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492" headerRowCount="1">
  <autoFilter ref="A1:DQ1492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COUNTA('Picks'!$A$2:$A$1492)</f>
        <v/>
      </c>
      <c r="C4" s="6">
        <f>COUNTIF('Picks'!$U$2:$U$1492,"open")</f>
        <v/>
      </c>
      <c r="E4" s="6">
        <f>COUNTIF('Picks'!$U$2:$U$1492,"settled")</f>
        <v/>
      </c>
      <c r="G4" s="6">
        <f>IF(COUNTIFS('Picks'!$U$2:$U$1492,"settled",'Picks'!$V$2:$V$1492,"win")+COUNTIFS('Picks'!$U$2:$U$1492,"settled",'Picks'!$V$2:$V$1492,"loss")&gt;=$L$2,"Ready","Insufficient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COUNTIF('Picks'!$BX$2:$BX$1492,"&gt;0")</f>
        <v/>
      </c>
      <c r="C7" s="6">
        <f>COUNTIFS('Picks'!$BX$2:$BX$1492,"&gt;0",'Picks'!$V$2:$V$1492,"win")&amp;"-"&amp;COUNTIFS('Picks'!$BX$2:$BX$1492,"&gt;0",'Picks'!$V$2:$V$1492,"loss")</f>
        <v/>
      </c>
      <c r="E7" s="7">
        <f>IFERROR(COUNTIFS('Picks'!$BX$2:$BX$1492,"&gt;0",'Picks'!$V$2:$V$1492,"win")/(COUNTIFS('Picks'!$BX$2:$BX$1492,"&gt;0",'Picks'!$V$2:$V$1492,"win")+COUNTIFS('Picks'!$BX$2:$BX$1492,"&gt;0",'Picks'!$V$2:$V$1492,"loss")),0)</f>
        <v/>
      </c>
      <c r="G7" s="7">
        <f>IFERROR(SUM('Picks'!$BY$2:$BY$1492)/SUM('Picks'!$BX$2:$BX$1492),0)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SUM('Picks'!$BY$2:$BY$1492)</f>
        <v/>
      </c>
      <c r="C10" s="9">
        <f>IFERROR(AVERAGEIF('Picks'!$AB$2:$AB$1492,"&lt;&gt;",'Picks'!$AB$2:$AB$1492),0)</f>
        <v/>
      </c>
      <c r="E10" s="6">
        <f>COUNTIFS('Picks'!$AM$2:$AM$1492,"QUALIFIED_SHADOW_CALL",'Picks'!$U$2:$U$1492,"settled")</f>
        <v/>
      </c>
      <c r="G10" s="8">
        <f>SUMIFS('Picks'!$AC$2:$AC$1492,'Picks'!$AM$2:$AM$1492,"QUALIFIED_SHADOW_CALL")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COUNTIFS('Picks'!$H$2:$H$1492,$A14,'Picks'!$U$2:$U$1492,"settled")</f>
        <v/>
      </c>
      <c r="C14" s="13">
        <f>COUNTIFS('Picks'!$H$2:$H$1492,$A14,'Picks'!$U$2:$U$1492,"settled",'Picks'!$V$2:$V$1492,"win")</f>
        <v/>
      </c>
      <c r="D14" s="13">
        <f>COUNTIFS('Picks'!$H$2:$H$1492,$A14,'Picks'!$U$2:$U$1492,"settled",'Picks'!$V$2:$V$1492,"loss")</f>
        <v/>
      </c>
      <c r="E14" s="14">
        <f>IFERROR(C14/(C14+D14),0)</f>
        <v/>
      </c>
      <c r="F14" s="15">
        <f>SUMIFS('Picks'!$BY$2:$BY$1492,'Picks'!$H$2:$H$1492,$A14)</f>
        <v/>
      </c>
      <c r="G14" s="16">
        <f>IFERROR(AVERAGEIFS('Picks'!$AB$2:$AB$1492,'Picks'!$H$2:$H$1492,$A14,'Picks'!$U$2:$U$1492,"settled"),0)</f>
        <v/>
      </c>
    </row>
    <row r="15">
      <c r="A15" s="17" t="inlineStr">
        <is>
          <t>spread</t>
        </is>
      </c>
      <c r="B15" s="18">
        <f>COUNTIFS('Picks'!$H$2:$H$1492,$A15,'Picks'!$U$2:$U$1492,"settled")</f>
        <v/>
      </c>
      <c r="C15" s="18">
        <f>COUNTIFS('Picks'!$H$2:$H$1492,$A15,'Picks'!$U$2:$U$1492,"settled",'Picks'!$V$2:$V$1492,"win")</f>
        <v/>
      </c>
      <c r="D15" s="18">
        <f>COUNTIFS('Picks'!$H$2:$H$1492,$A15,'Picks'!$U$2:$U$1492,"settled",'Picks'!$V$2:$V$1492,"loss")</f>
        <v/>
      </c>
      <c r="E15" s="19">
        <f>IFERROR(C15/(C15+D15),0)</f>
        <v/>
      </c>
      <c r="F15" s="20">
        <f>SUMIFS('Picks'!$BY$2:$BY$1492,'Picks'!$H$2:$H$1492,$A15)</f>
        <v/>
      </c>
      <c r="G15" s="21">
        <f>IFERROR(AVERAGEIFS('Picks'!$AB$2:$AB$1492,'Picks'!$H$2:$H$1492,$A15,'Picks'!$U$2:$U$1492,"settled"),0)</f>
        <v/>
      </c>
    </row>
    <row r="16">
      <c r="A16" s="12" t="inlineStr">
        <is>
          <t>total</t>
        </is>
      </c>
      <c r="B16" s="13">
        <f>COUNTIFS('Picks'!$H$2:$H$1492,$A16,'Picks'!$U$2:$U$1492,"settled")</f>
        <v/>
      </c>
      <c r="C16" s="13">
        <f>COUNTIFS('Picks'!$H$2:$H$1492,$A16,'Picks'!$U$2:$U$1492,"settled",'Picks'!$V$2:$V$1492,"win")</f>
        <v/>
      </c>
      <c r="D16" s="13">
        <f>COUNTIFS('Picks'!$H$2:$H$1492,$A16,'Picks'!$U$2:$U$1492,"settled",'Picks'!$V$2:$V$1492,"loss")</f>
        <v/>
      </c>
      <c r="E16" s="14">
        <f>IFERROR(C16/(C16+D16),0)</f>
        <v/>
      </c>
      <c r="F16" s="15">
        <f>SUMIFS('Picks'!$BY$2:$BY$1492,'Picks'!$H$2:$H$1492,$A16)</f>
        <v/>
      </c>
      <c r="G16" s="16">
        <f>IFERROR(AVERAGEIFS('Picks'!$AB$2:$AB$1492,'Picks'!$H$2:$H$1492,$A16,'Picks'!$U$2:$U$1492,"settled"),0)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4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0.3003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0.760192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0.409836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0.54955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0.719888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0.669967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0.380228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0.95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0.530516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0.909991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0.789916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0.820144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0.210084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0.570815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0.570815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0.669967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0.859944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0.570815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0.140056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0.789916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0.640288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0.659864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0.640288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0.770115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0.859944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0.609375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0.65035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0.820144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0.760192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0.72973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0.74026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0.21978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0.78022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0.429185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0.409836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0.380228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0.509804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0.770115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0.6997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0.8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0.669967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0.690402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0.680511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0.710145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0.680511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0.74026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0.65035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0.2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0.509804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0.65035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0.719888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0.469484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0.579832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0.539171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0.619772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0.829932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0.770115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0.559471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0.869961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0.72973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0.45045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0.469484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0.640288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0.850075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0.72973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0.590164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0.530516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0.590164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0.659864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0.530516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0.54955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0.690402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0.480769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3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0.45045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0.62963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0.719888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0.659864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0.96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3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0.570815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0.78022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0.429185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0.54955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0.969997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0.509804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0.559471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0.579832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0.590164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0.519231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0.590164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0.879952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0.509804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0.570815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0.6997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0.380228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0.45045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0.669967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0.570815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0.539171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0.850075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0.590164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0.659864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0.909991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0.590164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0.659864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0.420168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0.850075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0.34965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0.25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3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0.640288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0.420168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0.559471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0.480769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0.65035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0.590164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0.6997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0.480769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0.74026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0.62963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3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0.92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3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0.390625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3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0.590164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0.570815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3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0.409836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0.760192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0.539171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3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0.74026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0.789916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0.659864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0.420168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3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0.37037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0.539171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3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0.75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3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0.509804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0.74026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0.440529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0.619772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0.84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3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0.509804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0.62963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0.690402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3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0.330033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0.850075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0.62963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0.539171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0.559471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0.65035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3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0.559471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3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0.889989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0.539171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0.579832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0.590164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0.669967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3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0.390625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3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0.820144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3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0.95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0.45045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0.78022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0.519231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0.570815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0.669967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0.619772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3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0.680511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0.619772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3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0.659864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3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0.409836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3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0.62963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3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0.889989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3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0.760192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639381b79e134a1a</t>
        </is>
      </c>
      <c r="B188" s="24" t="inlineStr">
        <is>
          <t>2026-08-05T04:36:19.625619Z</t>
        </is>
      </c>
      <c r="C188" s="24" t="inlineStr">
        <is>
          <t>2026-08-05T09:00Z</t>
        </is>
      </c>
      <c r="D188" s="24" t="inlineStr">
        <is>
          <t>961-2026:182103</t>
        </is>
      </c>
      <c r="E188" s="24" t="inlineStr">
        <is>
          <t>TENNIS</t>
        </is>
      </c>
      <c r="F188" s="24" t="inlineStr">
        <is>
          <t>Justina Mikulskyte</t>
        </is>
      </c>
      <c r="G188" s="24" t="inlineStr">
        <is>
          <t>Katarzyna Kawa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-317</v>
      </c>
      <c r="M188" s="27" t="n">
        <v>1.315457</v>
      </c>
      <c r="N188" s="28" t="n">
        <v>0.760192</v>
      </c>
      <c r="O188" s="28" t="n">
        <v>0.782547</v>
      </c>
      <c r="P188" s="28" t="n">
        <v>0.05</v>
      </c>
      <c r="Q188" s="28" t="n">
        <v>0.022355</v>
      </c>
      <c r="R188" s="26" t="n">
        <v>31</v>
      </c>
      <c r="S188" s="29" t="n">
        <v>2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-317</v>
      </c>
      <c r="AA188" s="28" t="n">
        <v>0.76</v>
      </c>
      <c r="AB188" s="28" t="n">
        <v>-0.000192</v>
      </c>
      <c r="AC188" s="30" t="n">
        <v>-2</v>
      </c>
      <c r="AD188" s="24" t="inlineStr">
        <is>
          <t>2026-08-05T13:50:01.101421Z</t>
        </is>
      </c>
      <c r="AE188" s="31" t="inlineStr">
        <is>
          <t>Surface-blended Elo on Hard: Justina Mikulskyte p=0.217 vs Katarzyna Kawa. Executable ask 0.7600 (aec-wta-katkaw-jusmik-2026-08-05).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3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Justina Mikulskyte</t>
        </is>
      </c>
      <c r="AQ188" s="24" t="inlineStr">
        <is>
          <t>Justina Mikulskyte</t>
        </is>
      </c>
      <c r="AR188" s="24" t="inlineStr">
        <is>
          <t>Justina Mikulskyte</t>
        </is>
      </c>
      <c r="AS188" s="24" t="inlineStr">
        <is>
          <t>Katarzyna Kawa</t>
        </is>
      </c>
      <c r="AT188" s="24" t="inlineStr">
        <is>
          <t>Katarzyna Kawa</t>
        </is>
      </c>
      <c r="AU188" s="24" t="inlineStr">
        <is>
          <t>Katarzyna Kawa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2026-08-05T04:34:10.082069Z</t>
        </is>
      </c>
      <c r="BI188" s="24" t="inlineStr">
        <is>
          <t>["same_event","same_team_same_day","same_league_same_day"]</t>
        </is>
      </c>
      <c r="BJ188" s="25" t="n"/>
      <c r="BK188" s="26" t="n">
        <v>-317</v>
      </c>
      <c r="BL188" s="27" t="n">
        <v>1.315457</v>
      </c>
      <c r="BM188" s="28" t="n">
        <v>0.760192</v>
      </c>
      <c r="BN188" s="28" t="n"/>
      <c r="BO188" s="28" t="n"/>
      <c r="BP188" s="25" t="n"/>
      <c r="BQ188" s="27" t="n">
        <v>1.315457</v>
      </c>
      <c r="BR188" s="28" t="n">
        <v>0.76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0.760192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0428483b2fae4598</t>
        </is>
      </c>
      <c r="B189" s="24" t="inlineStr">
        <is>
          <t>2026-08-05T04:36:19.625619Z</t>
        </is>
      </c>
      <c r="C189" s="24" t="inlineStr">
        <is>
          <t>2026-08-05T09:00Z</t>
        </is>
      </c>
      <c r="D189" s="24" t="inlineStr">
        <is>
          <t>961-2026:182104</t>
        </is>
      </c>
      <c r="E189" s="24" t="inlineStr">
        <is>
          <t>TENNIS</t>
        </is>
      </c>
      <c r="F189" s="24" t="inlineStr">
        <is>
          <t>Aliona Falei</t>
        </is>
      </c>
      <c r="G189" s="24" t="inlineStr">
        <is>
          <t>Carol Young Suh Lee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0.589246</v>
      </c>
      <c r="P189" s="28" t="n">
        <v>0.05</v>
      </c>
      <c r="Q189" s="28" t="n">
        <v>-0.020129</v>
      </c>
      <c r="R189" s="26" t="n">
        <v>10</v>
      </c>
      <c r="S189" s="29" t="n">
        <v>1.25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-156</v>
      </c>
      <c r="AA189" s="28" t="n">
        <v>0.61</v>
      </c>
      <c r="AB189" s="28" t="n">
        <v>0.000625</v>
      </c>
      <c r="AC189" s="30" t="n">
        <v>0.8013</v>
      </c>
      <c r="AD189" s="24" t="inlineStr">
        <is>
          <t>2026-08-05T13:50:03.420509Z</t>
        </is>
      </c>
      <c r="AE189" s="31" t="inlineStr">
        <is>
          <t>Surface-blended Elo on Hard: Aliona Falei p=0.411 vs Carol Young Suh Lee. Executable ask 0.6100 (aec-wta-carlee-alifal-2026-08-05).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3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Aliona Falei</t>
        </is>
      </c>
      <c r="AQ189" s="24" t="inlineStr">
        <is>
          <t>Aliona Falei</t>
        </is>
      </c>
      <c r="AR189" s="24" t="inlineStr">
        <is>
          <t>Aliona Falei</t>
        </is>
      </c>
      <c r="AS189" s="24" t="inlineStr">
        <is>
          <t>Carol Young Suh Lee</t>
        </is>
      </c>
      <c r="AT189" s="24" t="inlineStr">
        <is>
          <t>Carol Young Suh Lee</t>
        </is>
      </c>
      <c r="AU189" s="24" t="inlineStr">
        <is>
          <t>Carol Young Suh Lee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2026-08-05T04:34:10.066030Z</t>
        </is>
      </c>
      <c r="BI189" s="24" t="inlineStr">
        <is>
          <t>["same_event","same_team_same_day","same_league_same_day"]</t>
        </is>
      </c>
      <c r="BJ189" s="25" t="n"/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>
        <v>1.641026</v>
      </c>
      <c r="BR189" s="28" t="n">
        <v>0.61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0.609375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bc559a134fa74fa9</t>
        </is>
      </c>
      <c r="B190" s="24" t="inlineStr">
        <is>
          <t>2026-08-05T10:21:33.669433Z</t>
        </is>
      </c>
      <c r="C190" s="24" t="inlineStr">
        <is>
          <t>2026-08-05T10:30Z</t>
        </is>
      </c>
      <c r="D190" s="24" t="inlineStr">
        <is>
          <t>961-2026:182101</t>
        </is>
      </c>
      <c r="E190" s="24" t="inlineStr">
        <is>
          <t>TENNIS</t>
        </is>
      </c>
      <c r="F190" s="24" t="inlineStr">
        <is>
          <t>Ella Seidel</t>
        </is>
      </c>
      <c r="G190" s="24" t="inlineStr">
        <is>
          <t>Gabriela Knutson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178</v>
      </c>
      <c r="M190" s="27" t="n">
        <v>2.78</v>
      </c>
      <c r="N190" s="28" t="n">
        <v>0.359712</v>
      </c>
      <c r="O190" s="28" t="n">
        <v>0.518196</v>
      </c>
      <c r="P190" s="28" t="n">
        <v>0.05</v>
      </c>
      <c r="Q190" s="28" t="n">
        <v>0.158484</v>
      </c>
      <c r="R190" s="26" t="n">
        <v>99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178</v>
      </c>
      <c r="AA190" s="28" t="n">
        <v>0.36</v>
      </c>
      <c r="AB190" s="28" t="n">
        <v>0.000288</v>
      </c>
      <c r="AC190" s="30" t="n">
        <v>1.78</v>
      </c>
      <c r="AD190" s="24" t="inlineStr">
        <is>
          <t>2026-08-05T13:50:05.648156Z</t>
        </is>
      </c>
      <c r="AE190" s="31" t="inlineStr">
        <is>
          <t>Surface-blended Elo on Hard: Ella Seidel p=0.482 vs Gabriela Knutson. Executable ask 0.3600 (aec-wta-gabknu-ellsei-2026-08-05).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3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Ella Seidel</t>
        </is>
      </c>
      <c r="AQ190" s="24" t="inlineStr">
        <is>
          <t>Ella Seidel</t>
        </is>
      </c>
      <c r="AR190" s="24" t="inlineStr">
        <is>
          <t>Ella Seidel</t>
        </is>
      </c>
      <c r="AS190" s="24" t="inlineStr">
        <is>
          <t>Gabriela Knutson</t>
        </is>
      </c>
      <c r="AT190" s="24" t="inlineStr">
        <is>
          <t>Gabriela Knutson</t>
        </is>
      </c>
      <c r="AU190" s="24" t="inlineStr">
        <is>
          <t>Gabriela Knutson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2026-08-05T10:19:06.147146Z</t>
        </is>
      </c>
      <c r="BI190" s="24" t="inlineStr">
        <is>
          <t>["same_event","same_team_same_day","same_league_same_day"]</t>
        </is>
      </c>
      <c r="BJ190" s="25" t="n"/>
      <c r="BK190" s="26" t="n">
        <v>178</v>
      </c>
      <c r="BL190" s="27" t="n">
        <v>2.78</v>
      </c>
      <c r="BM190" s="28" t="n">
        <v>0.359712</v>
      </c>
      <c r="BN190" s="28" t="n"/>
      <c r="BO190" s="28" t="n"/>
      <c r="BP190" s="25" t="n"/>
      <c r="BQ190" s="27" t="n">
        <v>2.78</v>
      </c>
      <c r="BR190" s="28" t="n">
        <v>0.36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0.359712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d3c5b1d1eaf54153</t>
        </is>
      </c>
      <c r="B191" s="24" t="inlineStr">
        <is>
          <t>2026-08-05T10:21:33.669433Z</t>
        </is>
      </c>
      <c r="C191" s="24" t="inlineStr">
        <is>
          <t>2026-08-05T10:30Z</t>
        </is>
      </c>
      <c r="D191" s="24" t="inlineStr">
        <is>
          <t>961-2026:182098</t>
        </is>
      </c>
      <c r="E191" s="24" t="inlineStr">
        <is>
          <t>TENNIS</t>
        </is>
      </c>
      <c r="F191" s="24" t="inlineStr">
        <is>
          <t>Mona Barthel</t>
        </is>
      </c>
      <c r="G191" s="24" t="inlineStr">
        <is>
          <t>Martyna Kubka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156</v>
      </c>
      <c r="M191" s="27" t="n">
        <v>2.56</v>
      </c>
      <c r="N191" s="28" t="n">
        <v>0.390625</v>
      </c>
      <c r="O191" s="28" t="n">
        <v>0.5849800000000001</v>
      </c>
      <c r="P191" s="28" t="n">
        <v>0.05</v>
      </c>
      <c r="Q191" s="28" t="n">
        <v>0.194355</v>
      </c>
      <c r="R191" s="26" t="n">
        <v>100</v>
      </c>
      <c r="S191" s="29" t="n">
        <v>1.25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win</t>
        </is>
      </c>
      <c r="W191" s="26" t="n">
        <v>1</v>
      </c>
      <c r="X191" s="26" t="n">
        <v>0</v>
      </c>
      <c r="Y191" s="25" t="n"/>
      <c r="Z191" s="26" t="n">
        <v>156</v>
      </c>
      <c r="AA191" s="28" t="n">
        <v>0.39</v>
      </c>
      <c r="AB191" s="28" t="n">
        <v>-0.000625</v>
      </c>
      <c r="AC191" s="30" t="n">
        <v>1.95</v>
      </c>
      <c r="AD191" s="24" t="inlineStr">
        <is>
          <t>2026-08-05T13:50:07.965679Z</t>
        </is>
      </c>
      <c r="AE191" s="31" t="inlineStr">
        <is>
          <t>Surface-blended Elo on Hard: Mona Barthel p=0.585 vs Martyna Kubka. Executable ask 0.3900 (aec-wta-markub-monbar-2026-08-05).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Mona Barthel</t>
        </is>
      </c>
      <c r="AQ191" s="24" t="inlineStr">
        <is>
          <t>Mona Barthel</t>
        </is>
      </c>
      <c r="AR191" s="24" t="inlineStr">
        <is>
          <t>Mona Barthel</t>
        </is>
      </c>
      <c r="AS191" s="24" t="inlineStr">
        <is>
          <t>Martyna Kubka</t>
        </is>
      </c>
      <c r="AT191" s="24" t="inlineStr">
        <is>
          <t>Martyna Kubka</t>
        </is>
      </c>
      <c r="AU191" s="24" t="inlineStr">
        <is>
          <t>Martyna Kubka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2026-08-05T10:19:06.246493Z</t>
        </is>
      </c>
      <c r="BI191" s="24" t="inlineStr">
        <is>
          <t>["same_event","same_team_same_day","same_league_same_day"]</t>
        </is>
      </c>
      <c r="BJ191" s="25" t="n"/>
      <c r="BK191" s="26" t="n">
        <v>156</v>
      </c>
      <c r="BL191" s="27" t="n">
        <v>2.56</v>
      </c>
      <c r="BM191" s="28" t="n">
        <v>0.390625</v>
      </c>
      <c r="BN191" s="28" t="n"/>
      <c r="BO191" s="28" t="n"/>
      <c r="BP191" s="25" t="n"/>
      <c r="BQ191" s="27" t="n">
        <v>2.56</v>
      </c>
      <c r="BR191" s="28" t="n">
        <v>0.39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0.390625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27f1b617c765418f</t>
        </is>
      </c>
      <c r="B192" s="24" t="inlineStr">
        <is>
          <t>2026-08-05T10:21:33.669433Z</t>
        </is>
      </c>
      <c r="C192" s="24" t="inlineStr">
        <is>
          <t>2026-08-05T10:30Z</t>
        </is>
      </c>
      <c r="D192" s="24" t="inlineStr">
        <is>
          <t>961-2026:182102</t>
        </is>
      </c>
      <c r="E192" s="24" t="inlineStr">
        <is>
          <t>TENNIS</t>
        </is>
      </c>
      <c r="F192" s="24" t="inlineStr">
        <is>
          <t>Yuan Yue</t>
        </is>
      </c>
      <c r="G192" s="24" t="inlineStr">
        <is>
          <t>Elizara Yaneva</t>
        </is>
      </c>
      <c r="H192" s="24" t="inlineStr">
        <is>
          <t>moneyline</t>
        </is>
      </c>
      <c r="I192" s="24" t="inlineStr">
        <is>
          <t>away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0.549241</v>
      </c>
      <c r="P192" s="28" t="n">
        <v>0.05</v>
      </c>
      <c r="Q192" s="28" t="n">
        <v>-0.050759</v>
      </c>
      <c r="R192" s="26" t="n">
        <v>0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2026-08-05T16:59:40.046286Z</t>
        </is>
      </c>
      <c r="AE192" s="31" t="inlineStr">
        <is>
          <t>Surface-blended Elo on Hard: Yuan Yue p=0.549 vs Elizara Yaneva. Executable ask 0.6000 (aec-wta-eliyan-yueyua-2026-08-05).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3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Yuan Yue</t>
        </is>
      </c>
      <c r="AQ192" s="24" t="inlineStr">
        <is>
          <t>Yuan Yue</t>
        </is>
      </c>
      <c r="AR192" s="24" t="inlineStr">
        <is>
          <t>Yuan Yue</t>
        </is>
      </c>
      <c r="AS192" s="24" t="inlineStr">
        <is>
          <t>Elizara Yaneva</t>
        </is>
      </c>
      <c r="AT192" s="24" t="inlineStr">
        <is>
          <t>Elizara Yaneva</t>
        </is>
      </c>
      <c r="AU192" s="24" t="inlineStr">
        <is>
          <t>Elizara Yaneva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2026-08-05T10:19:06.257511Z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9527e5d3364349b3</t>
        </is>
      </c>
      <c r="B193" s="24" t="inlineStr">
        <is>
          <t>2026-08-05T10:44:49.997481Z</t>
        </is>
      </c>
      <c r="C193" s="24" t="inlineStr">
        <is>
          <t>2026-08-05T12:00Z</t>
        </is>
      </c>
      <c r="D193" s="24" t="inlineStr">
        <is>
          <t>961-2026:182099</t>
        </is>
      </c>
      <c r="E193" s="24" t="inlineStr">
        <is>
          <t>TENNIS</t>
        </is>
      </c>
      <c r="F193" s="24" t="inlineStr">
        <is>
          <t>Noma Noha Akugue</t>
        </is>
      </c>
      <c r="G193" s="24" t="inlineStr">
        <is>
          <t>Weronika Falkowska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150</v>
      </c>
      <c r="M193" s="27" t="n">
        <v>2.5</v>
      </c>
      <c r="N193" s="28" t="n">
        <v>0.4</v>
      </c>
      <c r="O193" s="28" t="n">
        <v>0.513857</v>
      </c>
      <c r="P193" s="28" t="n">
        <v>0.05</v>
      </c>
      <c r="Q193" s="28" t="n">
        <v>0.113857</v>
      </c>
      <c r="R193" s="26" t="n">
        <v>77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150</v>
      </c>
      <c r="AA193" s="28" t="n">
        <v>0.4</v>
      </c>
      <c r="AB193" s="28" t="n">
        <v>0</v>
      </c>
      <c r="AC193" s="30" t="n">
        <v>1.5</v>
      </c>
      <c r="AD193" s="24" t="inlineStr">
        <is>
          <t>2026-08-05T16:59:41.306763Z</t>
        </is>
      </c>
      <c r="AE193" s="31" t="inlineStr">
        <is>
          <t>Surface-blended Elo on Hard: Noma Noha Akugue p=0.486 vs Weronika Falkowska. Executable ask 0.4000 (aec-wta-werfal-nomaku-2026-08-05).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3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Noma Noha Akugue</t>
        </is>
      </c>
      <c r="AQ193" s="24" t="inlineStr">
        <is>
          <t>Noma Noha Akugue</t>
        </is>
      </c>
      <c r="AR193" s="24" t="inlineStr">
        <is>
          <t>Noma Noha Akugue</t>
        </is>
      </c>
      <c r="AS193" s="24" t="inlineStr">
        <is>
          <t>Weronika Falkowska</t>
        </is>
      </c>
      <c r="AT193" s="24" t="inlineStr">
        <is>
          <t>Weronika Falkowska</t>
        </is>
      </c>
      <c r="AU193" s="24" t="inlineStr">
        <is>
          <t>Weronika Falkowska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2026-08-05T10:42:35.362081Z</t>
        </is>
      </c>
      <c r="BI193" s="24" t="inlineStr">
        <is>
          <t>["same_event","same_team_same_day","same_league_same_day"]</t>
        </is>
      </c>
      <c r="BJ193" s="25" t="n"/>
      <c r="BK193" s="26" t="n">
        <v>150</v>
      </c>
      <c r="BL193" s="27" t="n">
        <v>2.5</v>
      </c>
      <c r="BM193" s="28" t="n">
        <v>0.4</v>
      </c>
      <c r="BN193" s="28" t="n"/>
      <c r="BO193" s="28" t="n"/>
      <c r="BP193" s="25" t="n"/>
      <c r="BQ193" s="27" t="n">
        <v>2.5</v>
      </c>
      <c r="BR193" s="28" t="n">
        <v>0.4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0.4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9bf1639f6c1a421e</t>
        </is>
      </c>
      <c r="B194" s="24" t="inlineStr">
        <is>
          <t>2026-08-05T10:44:49.997481Z</t>
        </is>
      </c>
      <c r="C194" s="24" t="inlineStr">
        <is>
          <t>2026-08-05T12:00Z</t>
        </is>
      </c>
      <c r="D194" s="24" t="inlineStr">
        <is>
          <t>961-2026:182097</t>
        </is>
      </c>
      <c r="E194" s="24" t="inlineStr">
        <is>
          <t>TENNIS</t>
        </is>
      </c>
      <c r="F194" s="24" t="inlineStr">
        <is>
          <t>Veronika Podrez</t>
        </is>
      </c>
      <c r="G194" s="24" t="inlineStr">
        <is>
          <t>Susan Bandecchi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0.684504</v>
      </c>
      <c r="P194" s="28" t="n">
        <v>0.05</v>
      </c>
      <c r="Q194" s="28" t="n">
        <v>0.153988</v>
      </c>
      <c r="R194" s="26" t="n">
        <v>97</v>
      </c>
      <c r="S194" s="29" t="n">
        <v>2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loss</t>
        </is>
      </c>
      <c r="W194" s="26" t="n">
        <v>0</v>
      </c>
      <c r="X194" s="26" t="n">
        <v>1</v>
      </c>
      <c r="Y194" s="25" t="n"/>
      <c r="Z194" s="26" t="n">
        <v>-113</v>
      </c>
      <c r="AA194" s="28" t="n">
        <v>0.53</v>
      </c>
      <c r="AB194" s="28" t="n">
        <v>-0.000516</v>
      </c>
      <c r="AC194" s="30" t="n">
        <v>-2</v>
      </c>
      <c r="AD194" s="24" t="inlineStr">
        <is>
          <t>2026-08-05T16:59:42.507417Z</t>
        </is>
      </c>
      <c r="AE194" s="31" t="inlineStr">
        <is>
          <t>Surface-blended Elo on Hard: Veronika Podrez p=0.685 vs Susan Bandecchi. Executable ask 0.5300 (aec-wta-susban-verpod-2026-08-05).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Veronika Podrez</t>
        </is>
      </c>
      <c r="AQ194" s="24" t="inlineStr">
        <is>
          <t>Veronika Podrez</t>
        </is>
      </c>
      <c r="AR194" s="24" t="inlineStr">
        <is>
          <t>Veronika Podrez</t>
        </is>
      </c>
      <c r="AS194" s="24" t="inlineStr">
        <is>
          <t>Susan Bandecchi</t>
        </is>
      </c>
      <c r="AT194" s="24" t="inlineStr">
        <is>
          <t>Susan Bandecchi</t>
        </is>
      </c>
      <c r="AU194" s="24" t="inlineStr">
        <is>
          <t>Susan Bandecchi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2026-08-05T10:42:35.161195Z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>
        <v>1.884956</v>
      </c>
      <c r="BR194" s="28" t="n">
        <v>0.53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0.530516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a16c7bca38f7476f</t>
        </is>
      </c>
      <c r="B195" s="24" t="inlineStr">
        <is>
          <t>2026-08-05T13:54:48.712587Z</t>
        </is>
      </c>
      <c r="C195" s="24" t="inlineStr">
        <is>
          <t>2026-08-05T15:00Z</t>
        </is>
      </c>
      <c r="D195" s="24" t="inlineStr">
        <is>
          <t>421-2026:182220</t>
        </is>
      </c>
      <c r="E195" s="24" t="inlineStr">
        <is>
          <t>TENNIS</t>
        </is>
      </c>
      <c r="F195" s="24" t="inlineStr">
        <is>
          <t>Kayla Cross</t>
        </is>
      </c>
      <c r="G195" s="24" t="inlineStr">
        <is>
          <t>Ann Li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0.795002</v>
      </c>
      <c r="P195" s="28" t="n">
        <v>0.05</v>
      </c>
      <c r="Q195" s="28" t="n">
        <v>0.024887</v>
      </c>
      <c r="R195" s="26" t="n">
        <v>32</v>
      </c>
      <c r="S195" s="29" t="n">
        <v>2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>
        <v>-335</v>
      </c>
      <c r="AA195" s="28" t="n">
        <v>0.77</v>
      </c>
      <c r="AB195" s="28" t="n">
        <v>-0.000115</v>
      </c>
      <c r="AC195" s="30" t="n">
        <v>0.597</v>
      </c>
      <c r="AD195" s="24" t="inlineStr">
        <is>
          <t>2026-08-05T16:59:43.760127Z</t>
        </is>
      </c>
      <c r="AE195" s="31" t="inlineStr">
        <is>
          <t>Surface-blended Elo on Hard: Kayla Cross p=0.205 vs Ann Li. Executable ask 0.7700 (aec-wta-annli-kaycro-2026-08-04).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3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Kayla Cross</t>
        </is>
      </c>
      <c r="AQ195" s="24" t="inlineStr">
        <is>
          <t>Kayla Cross</t>
        </is>
      </c>
      <c r="AR195" s="24" t="inlineStr">
        <is>
          <t>Kayla Cross</t>
        </is>
      </c>
      <c r="AS195" s="24" t="inlineStr">
        <is>
          <t>Ann Li</t>
        </is>
      </c>
      <c r="AT195" s="24" t="inlineStr">
        <is>
          <t>Ann Li</t>
        </is>
      </c>
      <c r="AU195" s="24" t="inlineStr">
        <is>
          <t>Ann Li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2026-08-05T13:52:38.380096Z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>
        <v>1.298507</v>
      </c>
      <c r="BR195" s="28" t="n">
        <v>0.77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0.770115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6ddd668cdefb4366</t>
        </is>
      </c>
      <c r="B196" s="24" t="inlineStr">
        <is>
          <t>2026-08-05T13:54:48.712587Z</t>
        </is>
      </c>
      <c r="C196" s="24" t="inlineStr">
        <is>
          <t>2026-08-05T16:30Z</t>
        </is>
      </c>
      <c r="D196" s="24" t="inlineStr">
        <is>
          <t>421-2026:182196</t>
        </is>
      </c>
      <c r="E196" s="24" t="inlineStr">
        <is>
          <t>TENNIS</t>
        </is>
      </c>
      <c r="F196" s="24" t="inlineStr">
        <is>
          <t>Magdalena Frech</t>
        </is>
      </c>
      <c r="G196" s="24" t="inlineStr">
        <is>
          <t>Jessica Pegula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-900</v>
      </c>
      <c r="M196" s="27" t="n">
        <v>1.111111</v>
      </c>
      <c r="N196" s="28" t="n">
        <v>0.9</v>
      </c>
      <c r="O196" s="28" t="n">
        <v>0.9137729999999999</v>
      </c>
      <c r="P196" s="28" t="n">
        <v>0.05</v>
      </c>
      <c r="Q196" s="28" t="n">
        <v>0.013773</v>
      </c>
      <c r="R196" s="26" t="n">
        <v>27</v>
      </c>
      <c r="S196" s="29" t="n">
        <v>2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-900</v>
      </c>
      <c r="AA196" s="28" t="n">
        <v>0.9</v>
      </c>
      <c r="AB196" s="28" t="n">
        <v>0</v>
      </c>
      <c r="AC196" s="30" t="n">
        <v>0.2222</v>
      </c>
      <c r="AD196" s="24" t="inlineStr">
        <is>
          <t>2026-08-05T20:58:01.229413Z</t>
        </is>
      </c>
      <c r="AE196" s="31" t="inlineStr">
        <is>
          <t>Surface-blended Elo on Hard: Magdalena Frech p=0.086 vs Jessica Pegula. Executable ask 0.9000 (aec-wta-jespeg-magfre-2026-08-04).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3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Magdalena Frech</t>
        </is>
      </c>
      <c r="AQ196" s="24" t="inlineStr">
        <is>
          <t>Magdalena Frech</t>
        </is>
      </c>
      <c r="AR196" s="24" t="inlineStr">
        <is>
          <t>Magdalena Frech</t>
        </is>
      </c>
      <c r="AS196" s="24" t="inlineStr">
        <is>
          <t>Jessica Pegula</t>
        </is>
      </c>
      <c r="AT196" s="24" t="inlineStr">
        <is>
          <t>Jessica Pegula</t>
        </is>
      </c>
      <c r="AU196" s="24" t="inlineStr">
        <is>
          <t>Jessica Pegula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2026-08-05T13:52:39.841560Z</t>
        </is>
      </c>
      <c r="BI196" s="24" t="inlineStr">
        <is>
          <t>["same_event","same_team_same_day","same_league_same_day"]</t>
        </is>
      </c>
      <c r="BJ196" s="25" t="n"/>
      <c r="BK196" s="26" t="n">
        <v>-900</v>
      </c>
      <c r="BL196" s="27" t="n">
        <v>1.111111</v>
      </c>
      <c r="BM196" s="28" t="n">
        <v>0.9</v>
      </c>
      <c r="BN196" s="28" t="n"/>
      <c r="BO196" s="28" t="n"/>
      <c r="BP196" s="25" t="n"/>
      <c r="BQ196" s="27" t="n">
        <v>1.111111</v>
      </c>
      <c r="BR196" s="28" t="n">
        <v>0.9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0.9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39ddf50ddbbd4653</t>
        </is>
      </c>
      <c r="B197" s="24" t="inlineStr">
        <is>
          <t>2026-08-05T13:54:48.712587Z</t>
        </is>
      </c>
      <c r="C197" s="24" t="inlineStr">
        <is>
          <t>2026-08-05T16:30Z</t>
        </is>
      </c>
      <c r="D197" s="24" t="inlineStr">
        <is>
          <t>421-2026:182201</t>
        </is>
      </c>
      <c r="E197" s="24" t="inlineStr">
        <is>
          <t>TENNIS</t>
        </is>
      </c>
      <c r="F197" s="24" t="inlineStr">
        <is>
          <t>Belinda Bencic</t>
        </is>
      </c>
      <c r="G197" s="24" t="inlineStr">
        <is>
          <t>Sloane Stephens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-733</v>
      </c>
      <c r="M197" s="27" t="n">
        <v>1.136426</v>
      </c>
      <c r="N197" s="28" t="n">
        <v>0.879952</v>
      </c>
      <c r="O197" s="28" t="n">
        <v>0.887489</v>
      </c>
      <c r="P197" s="28" t="n">
        <v>0.05</v>
      </c>
      <c r="Q197" s="28" t="n">
        <v>0.007537</v>
      </c>
      <c r="R197" s="26" t="n">
        <v>24</v>
      </c>
      <c r="S197" s="29" t="n">
        <v>2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-733</v>
      </c>
      <c r="AA197" s="28" t="n">
        <v>0.88</v>
      </c>
      <c r="AB197" s="28" t="n">
        <v>4.8e-05</v>
      </c>
      <c r="AC197" s="30" t="n">
        <v>0.2729</v>
      </c>
      <c r="AD197" s="24" t="inlineStr">
        <is>
          <t>2026-08-05T20:58:02.341123Z</t>
        </is>
      </c>
      <c r="AE197" s="31" t="inlineStr">
        <is>
          <t>Surface-blended Elo on Hard: Belinda Bencic p=0.887 vs Sloane Stephens. Executable ask 0.8800 (aec-wta-sloste-belben-2026-08-06).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3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Belinda Bencic</t>
        </is>
      </c>
      <c r="AQ197" s="24" t="inlineStr">
        <is>
          <t>Belinda Bencic</t>
        </is>
      </c>
      <c r="AR197" s="24" t="inlineStr">
        <is>
          <t>Belinda Bencic</t>
        </is>
      </c>
      <c r="AS197" s="24" t="inlineStr">
        <is>
          <t>Sloane Stephens</t>
        </is>
      </c>
      <c r="AT197" s="24" t="inlineStr">
        <is>
          <t>Sloane Stephens</t>
        </is>
      </c>
      <c r="AU197" s="24" t="inlineStr">
        <is>
          <t>Sloane Stephens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2026-08-05T13:52:41.012065Z</t>
        </is>
      </c>
      <c r="BI197" s="24" t="inlineStr">
        <is>
          <t>["same_event","same_team_same_day","same_league_same_day"]</t>
        </is>
      </c>
      <c r="BJ197" s="25" t="n"/>
      <c r="BK197" s="26" t="n">
        <v>-733</v>
      </c>
      <c r="BL197" s="27" t="n">
        <v>1.136426</v>
      </c>
      <c r="BM197" s="28" t="n">
        <v>0.879952</v>
      </c>
      <c r="BN197" s="28" t="n"/>
      <c r="BO197" s="28" t="n"/>
      <c r="BP197" s="25" t="n"/>
      <c r="BQ197" s="27" t="n">
        <v>1.136426</v>
      </c>
      <c r="BR197" s="28" t="n">
        <v>0.88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0.879952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f465d39b412e4847</t>
        </is>
      </c>
      <c r="B198" s="24" t="inlineStr">
        <is>
          <t>2026-08-05T13:54:48.712587Z</t>
        </is>
      </c>
      <c r="C198" s="24" t="inlineStr">
        <is>
          <t>2026-08-05T16:30Z</t>
        </is>
      </c>
      <c r="D198" s="24" t="inlineStr">
        <is>
          <t>421-2026:182218</t>
        </is>
      </c>
      <c r="E198" s="24" t="inlineStr">
        <is>
          <t>TENNIS</t>
        </is>
      </c>
      <c r="F198" s="24" t="inlineStr">
        <is>
          <t>Elena Rybakina</t>
        </is>
      </c>
      <c r="G198" s="24" t="inlineStr">
        <is>
          <t>Daria Kasatkina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-669</v>
      </c>
      <c r="M198" s="27" t="n">
        <v>1.149477</v>
      </c>
      <c r="N198" s="28" t="n">
        <v>0.869961</v>
      </c>
      <c r="O198" s="28" t="n">
        <v>0.8561839999999999</v>
      </c>
      <c r="P198" s="28" t="n">
        <v>0.05</v>
      </c>
      <c r="Q198" s="28" t="n">
        <v>-0.013777</v>
      </c>
      <c r="R198" s="26" t="n">
        <v>13</v>
      </c>
      <c r="S198" s="29" t="n">
        <v>2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1</v>
      </c>
      <c r="X198" s="26" t="n">
        <v>0</v>
      </c>
      <c r="Y198" s="25" t="n"/>
      <c r="Z198" s="26" t="n">
        <v>-669</v>
      </c>
      <c r="AA198" s="28" t="n">
        <v>0.87</v>
      </c>
      <c r="AB198" s="28" t="n">
        <v>3.9e-05</v>
      </c>
      <c r="AC198" s="30" t="n">
        <v>0.299</v>
      </c>
      <c r="AD198" s="24" t="inlineStr">
        <is>
          <t>2026-08-05T20:58:03.504667Z</t>
        </is>
      </c>
      <c r="AE198" s="31" t="inlineStr">
        <is>
          <t>Surface-blended Elo on Hard: Elena Rybakina p=0.856 vs Daria Kasatkina. Executable ask 0.8700 (aec-wta-darkas-eleryb-2026-08-06).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3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Elena Rybakina</t>
        </is>
      </c>
      <c r="AQ198" s="24" t="inlineStr">
        <is>
          <t>Elena Rybakina</t>
        </is>
      </c>
      <c r="AR198" s="24" t="inlineStr">
        <is>
          <t>Elena Rybakina</t>
        </is>
      </c>
      <c r="AS198" s="24" t="inlineStr">
        <is>
          <t>Daria Kasatkina</t>
        </is>
      </c>
      <c r="AT198" s="24" t="inlineStr">
        <is>
          <t>Daria Kasatkina</t>
        </is>
      </c>
      <c r="AU198" s="24" t="inlineStr">
        <is>
          <t>Daria Kasatkina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2026-08-05T13:52:41.872950Z</t>
        </is>
      </c>
      <c r="BI198" s="24" t="inlineStr">
        <is>
          <t>["same_event","same_team_same_day","same_league_same_day"]</t>
        </is>
      </c>
      <c r="BJ198" s="25" t="n"/>
      <c r="BK198" s="26" t="n">
        <v>-669</v>
      </c>
      <c r="BL198" s="27" t="n">
        <v>1.149477</v>
      </c>
      <c r="BM198" s="28" t="n">
        <v>0.869961</v>
      </c>
      <c r="BN198" s="28" t="n"/>
      <c r="BO198" s="28" t="n"/>
      <c r="BP198" s="25" t="n"/>
      <c r="BQ198" s="27" t="n">
        <v>1.149477</v>
      </c>
      <c r="BR198" s="28" t="n">
        <v>0.87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0.869961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c01d22a58c78482c</t>
        </is>
      </c>
      <c r="B199" s="24" t="inlineStr">
        <is>
          <t>2026-08-05T13:54:48.712587Z</t>
        </is>
      </c>
      <c r="C199" s="24" t="inlineStr">
        <is>
          <t>2026-08-05T16:30Z</t>
        </is>
      </c>
      <c r="D199" s="24" t="inlineStr">
        <is>
          <t>421-2026:182225</t>
        </is>
      </c>
      <c r="E199" s="24" t="inlineStr">
        <is>
          <t>TENNIS</t>
        </is>
      </c>
      <c r="F199" s="24" t="inlineStr">
        <is>
          <t>Taylor Townsend</t>
        </is>
      </c>
      <c r="G199" s="24" t="inlineStr">
        <is>
          <t>Marie Bouzkova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0.56035</v>
      </c>
      <c r="P199" s="28" t="n">
        <v>0.05</v>
      </c>
      <c r="Q199" s="28" t="n">
        <v>-0.010465</v>
      </c>
      <c r="R199" s="26" t="n">
        <v>15</v>
      </c>
      <c r="S199" s="29" t="n">
        <v>1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-133</v>
      </c>
      <c r="AA199" s="28" t="n">
        <v>0.57</v>
      </c>
      <c r="AB199" s="28" t="n">
        <v>-0.000815</v>
      </c>
      <c r="AC199" s="30" t="n">
        <v>-1</v>
      </c>
      <c r="AD199" s="24" t="inlineStr">
        <is>
          <t>2026-08-05T20:58:04.618067Z</t>
        </is>
      </c>
      <c r="AE199" s="31" t="inlineStr">
        <is>
          <t>Surface-blended Elo on Hard: Taylor Townsend p=0.440 vs Marie Bouzkova. Executable ask 0.5700 (aec-wta-marbou-taytow-2026-08-06).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3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Taylor Townsend</t>
        </is>
      </c>
      <c r="AQ199" s="24" t="inlineStr">
        <is>
          <t>Taylor Townsend</t>
        </is>
      </c>
      <c r="AR199" s="24" t="inlineStr">
        <is>
          <t>Taylor Townsend</t>
        </is>
      </c>
      <c r="AS199" s="24" t="inlineStr">
        <is>
          <t>Marie Bouzkova</t>
        </is>
      </c>
      <c r="AT199" s="24" t="inlineStr">
        <is>
          <t>Marie Bouzkova</t>
        </is>
      </c>
      <c r="AU199" s="24" t="inlineStr">
        <is>
          <t>Marie Bouzkova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2026-08-05T13:52:39.163501Z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>
        <v>1.75188</v>
      </c>
      <c r="BR199" s="28" t="n">
        <v>0.57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0.570815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2811cb0a91b94e15</t>
        </is>
      </c>
      <c r="B200" s="24" t="inlineStr">
        <is>
          <t>2026-08-05T13:54:48.712587Z</t>
        </is>
      </c>
      <c r="C200" s="24" t="inlineStr">
        <is>
          <t>2026-08-05T15:00Z</t>
        </is>
      </c>
      <c r="D200" s="24" t="inlineStr">
        <is>
          <t>421-2026:181726</t>
        </is>
      </c>
      <c r="E200" s="24" t="inlineStr">
        <is>
          <t>TENNIS</t>
        </is>
      </c>
      <c r="F200" s="24" t="inlineStr">
        <is>
          <t>Sebastian Baez</t>
        </is>
      </c>
      <c r="G200" s="24" t="inlineStr">
        <is>
          <t>Zizou Bergs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-144</v>
      </c>
      <c r="M200" s="27" t="n">
        <v>1.694444</v>
      </c>
      <c r="N200" s="28" t="n">
        <v>0.590164</v>
      </c>
      <c r="O200" s="28" t="n">
        <v>0.52297</v>
      </c>
      <c r="P200" s="28" t="n">
        <v>0.05</v>
      </c>
      <c r="Q200" s="28" t="n">
        <v>-0.067194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-144</v>
      </c>
      <c r="AA200" s="28" t="n">
        <v>0.59</v>
      </c>
      <c r="AB200" s="28" t="n">
        <v>-0.000164</v>
      </c>
      <c r="AC200" s="30" t="n">
        <v>0.6944</v>
      </c>
      <c r="AD200" s="24" t="inlineStr">
        <is>
          <t>2026-08-05T20:58:05.784696Z</t>
        </is>
      </c>
      <c r="AE200" s="31" t="inlineStr">
        <is>
          <t>Surface-blended Elo on Hard: Sebastian Baez p=0.477 vs Zizou Bergs. Executable ask 0.5900 (aec-atp-zizber-sebbae-2026-08-06).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3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Sebastian Baez</t>
        </is>
      </c>
      <c r="AQ200" s="24" t="inlineStr">
        <is>
          <t>Sebastian Baez</t>
        </is>
      </c>
      <c r="AR200" s="24" t="inlineStr">
        <is>
          <t>Sebastian Baez</t>
        </is>
      </c>
      <c r="AS200" s="24" t="inlineStr">
        <is>
          <t>Zizou Bergs</t>
        </is>
      </c>
      <c r="AT200" s="24" t="inlineStr">
        <is>
          <t>Zizou Bergs</t>
        </is>
      </c>
      <c r="AU200" s="24" t="inlineStr">
        <is>
          <t>Zizou Bergs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2026-08-05T13:52:51.067876Z</t>
        </is>
      </c>
      <c r="BI200" s="24" t="inlineStr">
        <is>
          <t>["same_event","same_team_same_day","same_league_same_day"]</t>
        </is>
      </c>
      <c r="BJ200" s="25" t="n"/>
      <c r="BK200" s="26" t="n">
        <v>-144</v>
      </c>
      <c r="BL200" s="27" t="n">
        <v>1.694444</v>
      </c>
      <c r="BM200" s="28" t="n">
        <v>0.590164</v>
      </c>
      <c r="BN200" s="28" t="n"/>
      <c r="BO200" s="28" t="n"/>
      <c r="BP200" s="25" t="n"/>
      <c r="BQ200" s="27" t="n">
        <v>1.694444</v>
      </c>
      <c r="BR200" s="28" t="n">
        <v>0.59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0.590164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06ce4b5381084b0a</t>
        </is>
      </c>
      <c r="B201" s="24" t="inlineStr">
        <is>
          <t>2026-08-05T13:54:48.712587Z</t>
        </is>
      </c>
      <c r="C201" s="24" t="inlineStr">
        <is>
          <t>2026-08-05T15:00Z</t>
        </is>
      </c>
      <c r="D201" s="24" t="inlineStr">
        <is>
          <t>421-2026:181727</t>
        </is>
      </c>
      <c r="E201" s="24" t="inlineStr">
        <is>
          <t>TENNIS</t>
        </is>
      </c>
      <c r="F201" s="24" t="inlineStr">
        <is>
          <t>Joao Fonseca</t>
        </is>
      </c>
      <c r="G201" s="24" t="inlineStr">
        <is>
          <t>Stefanos Tsitsipas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-150</v>
      </c>
      <c r="M201" s="27" t="n">
        <v>1.666667</v>
      </c>
      <c r="N201" s="28" t="n">
        <v>0.6</v>
      </c>
      <c r="O201" s="28" t="n">
        <v>0.629315</v>
      </c>
      <c r="P201" s="28" t="n">
        <v>0.05</v>
      </c>
      <c r="Q201" s="28" t="n">
        <v>0.029315</v>
      </c>
      <c r="R201" s="26" t="n">
        <v>35</v>
      </c>
      <c r="S201" s="29" t="n">
        <v>1.5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-150</v>
      </c>
      <c r="AA201" s="28" t="n">
        <v>0.6</v>
      </c>
      <c r="AB201" s="28" t="n">
        <v>0</v>
      </c>
      <c r="AC201" s="30" t="n">
        <v>1</v>
      </c>
      <c r="AD201" s="24" t="inlineStr">
        <is>
          <t>2026-08-05T20:58:06.956089Z</t>
        </is>
      </c>
      <c r="AE201" s="31" t="inlineStr">
        <is>
          <t>Surface-blended Elo on Hard: Joao Fonseca p=0.629 vs Stefanos Tsitsipas. Executable ask 0.6000 (aec-atp-stetsi-joafon-2026-08-05).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3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Joao Fonseca</t>
        </is>
      </c>
      <c r="AQ201" s="24" t="inlineStr">
        <is>
          <t>Joao Fonseca</t>
        </is>
      </c>
      <c r="AR201" s="24" t="inlineStr">
        <is>
          <t>Joao Fonseca</t>
        </is>
      </c>
      <c r="AS201" s="24" t="inlineStr">
        <is>
          <t>Stefanos Tsitsipas</t>
        </is>
      </c>
      <c r="AT201" s="24" t="inlineStr">
        <is>
          <t>Stefanos Tsitsipas</t>
        </is>
      </c>
      <c r="AU201" s="24" t="inlineStr">
        <is>
          <t>Stefanos Tsitsipas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2026-08-05T13:52:53.241498Z</t>
        </is>
      </c>
      <c r="BI201" s="24" t="inlineStr">
        <is>
          <t>["same_event","same_team_same_day","same_league_same_day"]</t>
        </is>
      </c>
      <c r="BJ201" s="25" t="n"/>
      <c r="BK201" s="26" t="n">
        <v>-150</v>
      </c>
      <c r="BL201" s="27" t="n">
        <v>1.666667</v>
      </c>
      <c r="BM201" s="28" t="n">
        <v>0.6</v>
      </c>
      <c r="BN201" s="28" t="n"/>
      <c r="BO201" s="28" t="n"/>
      <c r="BP201" s="25" t="n"/>
      <c r="BQ201" s="27" t="n">
        <v>1.666667</v>
      </c>
      <c r="BR201" s="28" t="n">
        <v>0.6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a4438889fb85473c</t>
        </is>
      </c>
      <c r="B202" s="24" t="inlineStr">
        <is>
          <t>2026-08-05T13:54:48.712587Z</t>
        </is>
      </c>
      <c r="C202" s="24" t="inlineStr">
        <is>
          <t>2026-08-05T15:00Z</t>
        </is>
      </c>
      <c r="D202" s="24" t="inlineStr">
        <is>
          <t>421-2026:181747</t>
        </is>
      </c>
      <c r="E202" s="24" t="inlineStr">
        <is>
          <t>TENNIS</t>
        </is>
      </c>
      <c r="F202" s="24" t="inlineStr">
        <is>
          <t>Lorenzo Musetti</t>
        </is>
      </c>
      <c r="G202" s="24" t="inlineStr">
        <is>
          <t>Nicolas Mejia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-669</v>
      </c>
      <c r="M202" s="27" t="n">
        <v>1.149477</v>
      </c>
      <c r="N202" s="28" t="n">
        <v>0.869961</v>
      </c>
      <c r="O202" s="28" t="n">
        <v>0.855919</v>
      </c>
      <c r="P202" s="28" t="n">
        <v>0.05</v>
      </c>
      <c r="Q202" s="28" t="n">
        <v>-0.014042</v>
      </c>
      <c r="R202" s="26" t="n">
        <v>13</v>
      </c>
      <c r="S202" s="29" t="n">
        <v>2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>
        <v>-669</v>
      </c>
      <c r="AA202" s="28" t="n">
        <v>0.87</v>
      </c>
      <c r="AB202" s="28" t="n">
        <v>3.9e-05</v>
      </c>
      <c r="AC202" s="30" t="n">
        <v>0.299</v>
      </c>
      <c r="AD202" s="24" t="inlineStr">
        <is>
          <t>2026-08-05T20:58:08.071881Z</t>
        </is>
      </c>
      <c r="AE202" s="31" t="inlineStr">
        <is>
          <t>Surface-blended Elo on Hard: Lorenzo Musetti p=0.856 vs Nicolas Mejia. Executable ask 0.8700 (aec-atp-nicmej-lormus-2026-08-04).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3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Lorenzo Musetti</t>
        </is>
      </c>
      <c r="AQ202" s="24" t="inlineStr">
        <is>
          <t>Lorenzo Musetti</t>
        </is>
      </c>
      <c r="AR202" s="24" t="inlineStr">
        <is>
          <t>Lorenzo Musetti</t>
        </is>
      </c>
      <c r="AS202" s="24" t="inlineStr">
        <is>
          <t>Nicolas Mejia</t>
        </is>
      </c>
      <c r="AT202" s="24" t="inlineStr">
        <is>
          <t>Nicolas Mejia</t>
        </is>
      </c>
      <c r="AU202" s="24" t="inlineStr">
        <is>
          <t>Nicolas Mejia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2026-08-05T13:52:49.651695Z</t>
        </is>
      </c>
      <c r="BI202" s="24" t="inlineStr">
        <is>
          <t>["same_event","same_team_same_day","same_league_same_day"]</t>
        </is>
      </c>
      <c r="BJ202" s="25" t="n"/>
      <c r="BK202" s="26" t="n">
        <v>-669</v>
      </c>
      <c r="BL202" s="27" t="n">
        <v>1.149477</v>
      </c>
      <c r="BM202" s="28" t="n">
        <v>0.869961</v>
      </c>
      <c r="BN202" s="28" t="n"/>
      <c r="BO202" s="28" t="n"/>
      <c r="BP202" s="25" t="n"/>
      <c r="BQ202" s="27" t="n">
        <v>1.149477</v>
      </c>
      <c r="BR202" s="28" t="n">
        <v>0.87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0.869961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6f49f42d5b724416</t>
        </is>
      </c>
      <c r="B203" s="24" t="inlineStr">
        <is>
          <t>2026-08-05T13:54:48.712587Z</t>
        </is>
      </c>
      <c r="C203" s="24" t="inlineStr">
        <is>
          <t>2026-08-05T15:00Z</t>
        </is>
      </c>
      <c r="D203" s="24" t="inlineStr">
        <is>
          <t>421-2026:181760</t>
        </is>
      </c>
      <c r="E203" s="24" t="inlineStr">
        <is>
          <t>TENNIS</t>
        </is>
      </c>
      <c r="F203" s="24" t="inlineStr">
        <is>
          <t>Mariano Navone</t>
        </is>
      </c>
      <c r="G203" s="24" t="inlineStr">
        <is>
          <t>Valentin Vacherot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-156</v>
      </c>
      <c r="M203" s="27" t="n">
        <v>1.641026</v>
      </c>
      <c r="N203" s="28" t="n">
        <v>0.609375</v>
      </c>
      <c r="O203" s="28" t="n">
        <v>0.642108</v>
      </c>
      <c r="P203" s="28" t="n">
        <v>0.05</v>
      </c>
      <c r="Q203" s="28" t="n">
        <v>0.032733</v>
      </c>
      <c r="R203" s="26" t="n">
        <v>36</v>
      </c>
      <c r="S203" s="29" t="n">
        <v>1.5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>
        <v>-156</v>
      </c>
      <c r="AA203" s="28" t="n">
        <v>0.61</v>
      </c>
      <c r="AB203" s="28" t="n">
        <v>0.000625</v>
      </c>
      <c r="AC203" s="30" t="n">
        <v>-1.5</v>
      </c>
      <c r="AD203" s="24" t="inlineStr">
        <is>
          <t>2026-08-05T20:58:09.240641Z</t>
        </is>
      </c>
      <c r="AE203" s="31" t="inlineStr">
        <is>
          <t>Surface-blended Elo on Hard: Mariano Navone p=0.358 vs Valentin Vacherot. Executable ask 0.6100 (aec-atp-valvac-marnav-2026-08-04).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3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Mariano Navone</t>
        </is>
      </c>
      <c r="AQ203" s="24" t="inlineStr">
        <is>
          <t>Mariano Navone</t>
        </is>
      </c>
      <c r="AR203" s="24" t="inlineStr">
        <is>
          <t>Mariano Navone</t>
        </is>
      </c>
      <c r="AS203" s="24" t="inlineStr">
        <is>
          <t>Valentin Vacherot</t>
        </is>
      </c>
      <c r="AT203" s="24" t="inlineStr">
        <is>
          <t>Valentin Vacherot</t>
        </is>
      </c>
      <c r="AU203" s="24" t="inlineStr">
        <is>
          <t>Valentin Vacherot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2026-08-05T13:52:50.187567Z</t>
        </is>
      </c>
      <c r="BI203" s="24" t="inlineStr">
        <is>
          <t>["same_event","same_team_same_day","same_league_same_day"]</t>
        </is>
      </c>
      <c r="BJ203" s="25" t="n"/>
      <c r="BK203" s="26" t="n">
        <v>-156</v>
      </c>
      <c r="BL203" s="27" t="n">
        <v>1.641026</v>
      </c>
      <c r="BM203" s="28" t="n">
        <v>0.609375</v>
      </c>
      <c r="BN203" s="28" t="n"/>
      <c r="BO203" s="28" t="n"/>
      <c r="BP203" s="25" t="n"/>
      <c r="BQ203" s="27" t="n">
        <v>1.641026</v>
      </c>
      <c r="BR203" s="28" t="n">
        <v>0.61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0.609375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6fbba5bf31bc4f32</t>
        </is>
      </c>
      <c r="B204" s="24" t="inlineStr">
        <is>
          <t>2026-08-05T13:54:48.712587Z</t>
        </is>
      </c>
      <c r="C204" s="24" t="inlineStr">
        <is>
          <t>2026-08-05T16:30Z</t>
        </is>
      </c>
      <c r="D204" s="24" t="inlineStr">
        <is>
          <t>421-2026:181724</t>
        </is>
      </c>
      <c r="E204" s="24" t="inlineStr">
        <is>
          <t>TENNIS</t>
        </is>
      </c>
      <c r="F204" s="24" t="inlineStr">
        <is>
          <t>Juan Manuel Cerundolo</t>
        </is>
      </c>
      <c r="G204" s="24" t="inlineStr">
        <is>
          <t>Casper Ruud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-245</v>
      </c>
      <c r="M204" s="27" t="n">
        <v>1.408163</v>
      </c>
      <c r="N204" s="28" t="n">
        <v>0.710145</v>
      </c>
      <c r="O204" s="28" t="n">
        <v>0.735828</v>
      </c>
      <c r="P204" s="28" t="n">
        <v>0.05</v>
      </c>
      <c r="Q204" s="28" t="n">
        <v>0.025683</v>
      </c>
      <c r="R204" s="26" t="n">
        <v>33</v>
      </c>
      <c r="S204" s="29" t="n">
        <v>2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-245</v>
      </c>
      <c r="AA204" s="28" t="n">
        <v>0.71</v>
      </c>
      <c r="AB204" s="28" t="n">
        <v>-0.000145</v>
      </c>
      <c r="AC204" s="30" t="n">
        <v>0.8163</v>
      </c>
      <c r="AD204" s="24" t="inlineStr">
        <is>
          <t>2026-08-05T20:58:10.365727Z</t>
        </is>
      </c>
      <c r="AE204" s="31" t="inlineStr">
        <is>
          <t>Surface-blended Elo on Hard: Juan Manuel Cerundolo p=0.264 vs Casper Ruud. Executable ask 0.7100 (aec-atp-casruu-juacer-2026-08-06).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3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Juan Manuel Cerundolo</t>
        </is>
      </c>
      <c r="AQ204" s="24" t="inlineStr">
        <is>
          <t>Juan Manuel Cerundolo</t>
        </is>
      </c>
      <c r="AR204" s="24" t="inlineStr">
        <is>
          <t>Juan Manuel Cerundolo</t>
        </is>
      </c>
      <c r="AS204" s="24" t="inlineStr">
        <is>
          <t>Casper Ruud</t>
        </is>
      </c>
      <c r="AT204" s="24" t="inlineStr">
        <is>
          <t>Casper Ruud</t>
        </is>
      </c>
      <c r="AU204" s="24" t="inlineStr">
        <is>
          <t>Casper Ruud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2026-08-05T13:52:53.800312Z</t>
        </is>
      </c>
      <c r="BI204" s="24" t="inlineStr">
        <is>
          <t>["same_event","same_team_same_day","same_league_same_day"]</t>
        </is>
      </c>
      <c r="BJ204" s="25" t="n"/>
      <c r="BK204" s="26" t="n">
        <v>-245</v>
      </c>
      <c r="BL204" s="27" t="n">
        <v>1.408163</v>
      </c>
      <c r="BM204" s="28" t="n">
        <v>0.710145</v>
      </c>
      <c r="BN204" s="28" t="n"/>
      <c r="BO204" s="28" t="n"/>
      <c r="BP204" s="25" t="n"/>
      <c r="BQ204" s="27" t="n">
        <v>1.408163</v>
      </c>
      <c r="BR204" s="28" t="n">
        <v>0.71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0.710145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df1b39de672f43dc</t>
        </is>
      </c>
      <c r="B205" s="24" t="inlineStr">
        <is>
          <t>2026-08-05T13:54:48.712587Z</t>
        </is>
      </c>
      <c r="C205" s="24" t="inlineStr">
        <is>
          <t>2026-08-05T16:30Z</t>
        </is>
      </c>
      <c r="D205" s="24" t="inlineStr">
        <is>
          <t>421-2026:181732</t>
        </is>
      </c>
      <c r="E205" s="24" t="inlineStr">
        <is>
          <t>TENNIS</t>
        </is>
      </c>
      <c r="F205" s="24" t="inlineStr">
        <is>
          <t>Cameron Norrie</t>
        </is>
      </c>
      <c r="G205" s="24" t="inlineStr">
        <is>
          <t>Ignacio Buse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-223</v>
      </c>
      <c r="M205" s="27" t="n">
        <v>1.44843</v>
      </c>
      <c r="N205" s="28" t="n">
        <v>0.690402</v>
      </c>
      <c r="O205" s="28" t="n">
        <v>0.555985</v>
      </c>
      <c r="P205" s="28" t="n">
        <v>0.05</v>
      </c>
      <c r="Q205" s="28" t="n">
        <v>-0.134417</v>
      </c>
      <c r="R205" s="26" t="n">
        <v>0</v>
      </c>
      <c r="S205" s="29" t="n">
        <v>1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-223</v>
      </c>
      <c r="AA205" s="28" t="n">
        <v>0.6899999999999999</v>
      </c>
      <c r="AB205" s="28" t="n">
        <v>-0.000402</v>
      </c>
      <c r="AC205" s="30" t="n">
        <v>0.4484</v>
      </c>
      <c r="AD205" s="24" t="inlineStr">
        <is>
          <t>2026-08-05T20:58:11.549364Z</t>
        </is>
      </c>
      <c r="AE205" s="31" t="inlineStr">
        <is>
          <t>Surface-blended Elo on Hard: Cameron Norrie p=0.556 vs Ignacio Buse. Executable ask 0.6900 (aec-atp-ignbus-camnor-2026-08-05).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3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Cameron Norrie</t>
        </is>
      </c>
      <c r="AQ205" s="24" t="inlineStr">
        <is>
          <t>Cameron Norrie</t>
        </is>
      </c>
      <c r="AR205" s="24" t="inlineStr">
        <is>
          <t>Cameron Norrie</t>
        </is>
      </c>
      <c r="AS205" s="24" t="inlineStr">
        <is>
          <t>Ignacio Buse</t>
        </is>
      </c>
      <c r="AT205" s="24" t="inlineStr">
        <is>
          <t>Ignacio Buse</t>
        </is>
      </c>
      <c r="AU205" s="24" t="inlineStr">
        <is>
          <t>Ignacio Buse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2026-08-05T13:52:55.689355Z</t>
        </is>
      </c>
      <c r="BI205" s="24" t="inlineStr">
        <is>
          <t>["same_event","same_team_same_day","same_league_same_day"]</t>
        </is>
      </c>
      <c r="BJ205" s="25" t="n"/>
      <c r="BK205" s="26" t="n">
        <v>-223</v>
      </c>
      <c r="BL205" s="27" t="n">
        <v>1.44843</v>
      </c>
      <c r="BM205" s="28" t="n">
        <v>0.690402</v>
      </c>
      <c r="BN205" s="28" t="n"/>
      <c r="BO205" s="28" t="n"/>
      <c r="BP205" s="25" t="n"/>
      <c r="BQ205" s="27" t="n">
        <v>1.44843</v>
      </c>
      <c r="BR205" s="28" t="n">
        <v>0.6899999999999999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0.690402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8f935c82cbf44be9</t>
        </is>
      </c>
      <c r="B206" s="24" t="inlineStr">
        <is>
          <t>2026-08-05T13:54:48.712587Z</t>
        </is>
      </c>
      <c r="C206" s="24" t="inlineStr">
        <is>
          <t>2026-08-05T16:30Z</t>
        </is>
      </c>
      <c r="D206" s="24" t="inlineStr">
        <is>
          <t>421-2026:181752</t>
        </is>
      </c>
      <c r="E206" s="24" t="inlineStr">
        <is>
          <t>TENNIS</t>
        </is>
      </c>
      <c r="F206" s="24" t="inlineStr">
        <is>
          <t>Arthur Rinderknech</t>
        </is>
      </c>
      <c r="G206" s="24" t="inlineStr">
        <is>
          <t>Miomir Kecmanovic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104</v>
      </c>
      <c r="M206" s="27" t="n">
        <v>2.04</v>
      </c>
      <c r="N206" s="28" t="n">
        <v>0.490196</v>
      </c>
      <c r="O206" s="28" t="n">
        <v>0.5960220000000001</v>
      </c>
      <c r="P206" s="28" t="n">
        <v>0.05</v>
      </c>
      <c r="Q206" s="28" t="n">
        <v>0.105826</v>
      </c>
      <c r="R206" s="26" t="n">
        <v>73</v>
      </c>
      <c r="S206" s="29" t="n">
        <v>1.25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104</v>
      </c>
      <c r="AA206" s="28" t="n">
        <v>0.49</v>
      </c>
      <c r="AB206" s="28" t="n">
        <v>-0.000196</v>
      </c>
      <c r="AC206" s="30" t="n">
        <v>1.3</v>
      </c>
      <c r="AD206" s="24" t="inlineStr">
        <is>
          <t>2026-08-05T20:58:12.723358Z</t>
        </is>
      </c>
      <c r="AE206" s="31" t="inlineStr">
        <is>
          <t>Surface-blended Elo on Hard: Arthur Rinderknech p=0.596 vs Miomir Kecmanovic. Executable ask 0.4900 (aec-atp-miokec-artrin-2026-08-05).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Arthur Rinderknech</t>
        </is>
      </c>
      <c r="AQ206" s="24" t="inlineStr">
        <is>
          <t>Arthur Rinderknech</t>
        </is>
      </c>
      <c r="AR206" s="24" t="inlineStr">
        <is>
          <t>Arthur Rinderknech</t>
        </is>
      </c>
      <c r="AS206" s="24" t="inlineStr">
        <is>
          <t>Miomir Kecmanovic</t>
        </is>
      </c>
      <c r="AT206" s="24" t="inlineStr">
        <is>
          <t>Miomir Kecmanovic</t>
        </is>
      </c>
      <c r="AU206" s="24" t="inlineStr">
        <is>
          <t>Miomir Kecmanovic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2026-08-05T13:52:54.747914Z</t>
        </is>
      </c>
      <c r="BI206" s="24" t="inlineStr">
        <is>
          <t>["same_event","same_team_same_day","same_league_same_day"]</t>
        </is>
      </c>
      <c r="BJ206" s="25" t="n"/>
      <c r="BK206" s="26" t="n">
        <v>104</v>
      </c>
      <c r="BL206" s="27" t="n">
        <v>2.04</v>
      </c>
      <c r="BM206" s="28" t="n">
        <v>0.490196</v>
      </c>
      <c r="BN206" s="28" t="n"/>
      <c r="BO206" s="28" t="n"/>
      <c r="BP206" s="25" t="n"/>
      <c r="BQ206" s="27" t="n">
        <v>2.04</v>
      </c>
      <c r="BR206" s="28" t="n">
        <v>0.49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0.490196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65d319e932d34bc7</t>
        </is>
      </c>
      <c r="B207" s="24" t="inlineStr">
        <is>
          <t>2026-08-05T13:54:48.712587Z</t>
        </is>
      </c>
      <c r="C207" s="24" t="inlineStr">
        <is>
          <t>2026-08-05T16:30Z</t>
        </is>
      </c>
      <c r="D207" s="24" t="inlineStr">
        <is>
          <t>421-2026:181762</t>
        </is>
      </c>
      <c r="E207" s="24" t="inlineStr">
        <is>
          <t>TENNIS</t>
        </is>
      </c>
      <c r="F207" s="24" t="inlineStr">
        <is>
          <t>Arthur Fils</t>
        </is>
      </c>
      <c r="G207" s="24" t="inlineStr">
        <is>
          <t>Zachary Svajda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-300</v>
      </c>
      <c r="M207" s="27" t="n">
        <v>1.333333</v>
      </c>
      <c r="N207" s="28" t="n">
        <v>0.75</v>
      </c>
      <c r="O207" s="28" t="n">
        <v>0.781423</v>
      </c>
      <c r="P207" s="28" t="n">
        <v>0.05</v>
      </c>
      <c r="Q207" s="28" t="n">
        <v>0.031423</v>
      </c>
      <c r="R207" s="26" t="n">
        <v>36</v>
      </c>
      <c r="S207" s="29" t="n">
        <v>2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win</t>
        </is>
      </c>
      <c r="W207" s="26" t="n">
        <v>1</v>
      </c>
      <c r="X207" s="26" t="n">
        <v>0</v>
      </c>
      <c r="Y207" s="25" t="n"/>
      <c r="Z207" s="26" t="n">
        <v>-300</v>
      </c>
      <c r="AA207" s="28" t="n">
        <v>0.75</v>
      </c>
      <c r="AB207" s="28" t="n">
        <v>0</v>
      </c>
      <c r="AC207" s="30" t="n">
        <v>0.6667</v>
      </c>
      <c r="AD207" s="24" t="inlineStr">
        <is>
          <t>2026-08-05T20:58:13.850320Z</t>
        </is>
      </c>
      <c r="AE207" s="31" t="inlineStr">
        <is>
          <t>Surface-blended Elo on Hard: Arthur Fils p=0.781 vs Zachary Svajda. Executable ask 0.7500 (aec-atp-zacsva-artfil-2026-08-06).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Arthur Fils</t>
        </is>
      </c>
      <c r="AQ207" s="24" t="inlineStr">
        <is>
          <t>Arthur Fils</t>
        </is>
      </c>
      <c r="AR207" s="24" t="inlineStr">
        <is>
          <t>Arthur Fils</t>
        </is>
      </c>
      <c r="AS207" s="24" t="inlineStr">
        <is>
          <t>Zachary Svajda</t>
        </is>
      </c>
      <c r="AT207" s="24" t="inlineStr">
        <is>
          <t>Zachary Svajda</t>
        </is>
      </c>
      <c r="AU207" s="24" t="inlineStr">
        <is>
          <t>Zachary Svajda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2026-08-05T13:52:56.392048Z</t>
        </is>
      </c>
      <c r="BI207" s="24" t="inlineStr">
        <is>
          <t>["same_event","same_team_same_day","same_league_same_day"]</t>
        </is>
      </c>
      <c r="BJ207" s="25" t="n"/>
      <c r="BK207" s="26" t="n">
        <v>-300</v>
      </c>
      <c r="BL207" s="27" t="n">
        <v>1.333333</v>
      </c>
      <c r="BM207" s="28" t="n">
        <v>0.75</v>
      </c>
      <c r="BN207" s="28" t="n"/>
      <c r="BO207" s="28" t="n"/>
      <c r="BP207" s="25" t="n"/>
      <c r="BQ207" s="27" t="n">
        <v>1.333333</v>
      </c>
      <c r="BR207" s="28" t="n">
        <v>0.75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0.75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d1a68a02d83f47ba</t>
        </is>
      </c>
      <c r="B208" s="24" t="inlineStr">
        <is>
          <t>2026-08-05T13:54:48.712587Z</t>
        </is>
      </c>
      <c r="C208" s="24" t="inlineStr">
        <is>
          <t>2026-08-05T16:30Z</t>
        </is>
      </c>
      <c r="D208" s="24" t="inlineStr">
        <is>
          <t>421-2026:181765</t>
        </is>
      </c>
      <c r="E208" s="24" t="inlineStr">
        <is>
          <t>TENNIS</t>
        </is>
      </c>
      <c r="F208" s="24" t="inlineStr">
        <is>
          <t>Ben Shelton</t>
        </is>
      </c>
      <c r="G208" s="24" t="inlineStr">
        <is>
          <t>Jenson Brooksby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-300</v>
      </c>
      <c r="M208" s="27" t="n">
        <v>1.333333</v>
      </c>
      <c r="N208" s="28" t="n">
        <v>0.75</v>
      </c>
      <c r="O208" s="28" t="n">
        <v>0.814392</v>
      </c>
      <c r="P208" s="28" t="n">
        <v>0.05</v>
      </c>
      <c r="Q208" s="28" t="n">
        <v>0.064392</v>
      </c>
      <c r="R208" s="26" t="n">
        <v>52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-300</v>
      </c>
      <c r="AA208" s="28" t="n">
        <v>0.75</v>
      </c>
      <c r="AB208" s="28" t="n">
        <v>0</v>
      </c>
      <c r="AC208" s="30" t="n">
        <v>0.6667</v>
      </c>
      <c r="AD208" s="24" t="inlineStr">
        <is>
          <t>2026-08-05T20:58:15.031461Z</t>
        </is>
      </c>
      <c r="AE208" s="31" t="inlineStr">
        <is>
          <t>Surface-blended Elo on Hard: Ben Shelton p=0.814 vs Jenson Brooksby. Executable ask 0.7500 (aec-atp-jenbro-benshe-2026-08-06).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Ben Shelton</t>
        </is>
      </c>
      <c r="AQ208" s="24" t="inlineStr">
        <is>
          <t>Ben Shelton</t>
        </is>
      </c>
      <c r="AR208" s="24" t="inlineStr">
        <is>
          <t>Ben Shelton</t>
        </is>
      </c>
      <c r="AS208" s="24" t="inlineStr">
        <is>
          <t>Jenson Brooksby</t>
        </is>
      </c>
      <c r="AT208" s="24" t="inlineStr">
        <is>
          <t>Jenson Brooksby</t>
        </is>
      </c>
      <c r="AU208" s="24" t="inlineStr">
        <is>
          <t>Jenson Brooksby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2026-08-05T13:52:57.128543Z</t>
        </is>
      </c>
      <c r="BI208" s="24" t="inlineStr">
        <is>
          <t>["same_event","same_team_same_day","same_league_same_day"]</t>
        </is>
      </c>
      <c r="BJ208" s="25" t="n"/>
      <c r="BK208" s="26" t="n">
        <v>-300</v>
      </c>
      <c r="BL208" s="27" t="n">
        <v>1.333333</v>
      </c>
      <c r="BM208" s="28" t="n">
        <v>0.75</v>
      </c>
      <c r="BN208" s="28" t="n"/>
      <c r="BO208" s="28" t="n"/>
      <c r="BP208" s="25" t="n"/>
      <c r="BQ208" s="27" t="n">
        <v>1.333333</v>
      </c>
      <c r="BR208" s="28" t="n">
        <v>0.75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0.75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5c84c712c851463e</t>
        </is>
      </c>
      <c r="B209" s="24" t="inlineStr">
        <is>
          <t>2026-08-05T17:03:22.897552Z</t>
        </is>
      </c>
      <c r="C209" s="24" t="inlineStr">
        <is>
          <t>2026-08-05T18:00Z</t>
        </is>
      </c>
      <c r="D209" s="24" t="inlineStr">
        <is>
          <t>421-2026:182190</t>
        </is>
      </c>
      <c r="E209" s="24" t="inlineStr">
        <is>
          <t>TENNIS</t>
        </is>
      </c>
      <c r="F209" s="24" t="inlineStr">
        <is>
          <t>Coco Gauff</t>
        </is>
      </c>
      <c r="G209" s="24" t="inlineStr">
        <is>
          <t>Kayla Day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-1011</v>
      </c>
      <c r="M209" s="27" t="n">
        <v>1.098912</v>
      </c>
      <c r="N209" s="28" t="n">
        <v>0.909991</v>
      </c>
      <c r="O209" s="28" t="n">
        <v>0.914779</v>
      </c>
      <c r="P209" s="28" t="n">
        <v>0.05</v>
      </c>
      <c r="Q209" s="28" t="n">
        <v>0.004788</v>
      </c>
      <c r="R209" s="26" t="n">
        <v>22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-1011</v>
      </c>
      <c r="AA209" s="28" t="n">
        <v>0.91</v>
      </c>
      <c r="AB209" s="28" t="n">
        <v>9e-06</v>
      </c>
      <c r="AC209" s="30" t="n">
        <v>0.1978</v>
      </c>
      <c r="AD209" s="24" t="inlineStr">
        <is>
          <t>2026-08-06T00:20:31.732729Z</t>
        </is>
      </c>
      <c r="AE209" s="31" t="inlineStr">
        <is>
          <t>Surface-blended Elo on Hard: Coco Gauff p=0.915 vs Kayla Day. Executable ask 0.9100 (aec-wta-kayday-cocgau-2026-08-04).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PAPER_CALL_WINNER_OVERVALUED</t>
        </is>
      </c>
      <c r="AP209" s="24" t="inlineStr">
        <is>
          <t>Coco Gauff</t>
        </is>
      </c>
      <c r="AQ209" s="24" t="inlineStr">
        <is>
          <t>Coco Gauff</t>
        </is>
      </c>
      <c r="AR209" s="24" t="inlineStr">
        <is>
          <t>Coco Gauff</t>
        </is>
      </c>
      <c r="AS209" s="24" t="inlineStr">
        <is>
          <t>Kayla Day</t>
        </is>
      </c>
      <c r="AT209" s="24" t="inlineStr">
        <is>
          <t>Kayla Day</t>
        </is>
      </c>
      <c r="AU209" s="24" t="inlineStr">
        <is>
          <t>Kayla Day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2026-08-05T17:02:01.226700Z</t>
        </is>
      </c>
      <c r="BI209" s="24" t="inlineStr">
        <is>
          <t>["same_event","same_team_same_day","same_league_same_day"]</t>
        </is>
      </c>
      <c r="BJ209" s="25" t="n"/>
      <c r="BK209" s="26" t="n">
        <v>-1011</v>
      </c>
      <c r="BL209" s="27" t="n">
        <v>1.098912</v>
      </c>
      <c r="BM209" s="28" t="n">
        <v>0.909991</v>
      </c>
      <c r="BN209" s="28" t="n"/>
      <c r="BO209" s="28" t="n"/>
      <c r="BP209" s="25" t="n"/>
      <c r="BQ209" s="27" t="n">
        <v>1.098912</v>
      </c>
      <c r="BR209" s="28" t="n">
        <v>0.91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0.909991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5c9912c759bf4acd</t>
        </is>
      </c>
      <c r="B210" s="24" t="inlineStr">
        <is>
          <t>2026-08-05T17:03:22.897552Z</t>
        </is>
      </c>
      <c r="C210" s="24" t="inlineStr">
        <is>
          <t>2026-08-05T18:00Z</t>
        </is>
      </c>
      <c r="D210" s="24" t="inlineStr">
        <is>
          <t>421-2026:182192</t>
        </is>
      </c>
      <c r="E210" s="24" t="inlineStr">
        <is>
          <t>TENNIS</t>
        </is>
      </c>
      <c r="F210" s="24" t="inlineStr">
        <is>
          <t>Karolina Pliskova</t>
        </is>
      </c>
      <c r="G210" s="24" t="inlineStr">
        <is>
          <t>Mirra Andreeva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-426</v>
      </c>
      <c r="M210" s="27" t="n">
        <v>1.234742</v>
      </c>
      <c r="N210" s="28" t="n">
        <v>0.809886</v>
      </c>
      <c r="O210" s="28" t="n">
        <v>0.753053</v>
      </c>
      <c r="P210" s="28" t="n">
        <v>0.05</v>
      </c>
      <c r="Q210" s="28" t="n">
        <v>-0.056833</v>
      </c>
      <c r="R210" s="26" t="n">
        <v>0</v>
      </c>
      <c r="S210" s="29" t="n">
        <v>2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-426</v>
      </c>
      <c r="AA210" s="28" t="n">
        <v>0.8100000000000001</v>
      </c>
      <c r="AB210" s="28" t="n">
        <v>0.000114</v>
      </c>
      <c r="AC210" s="30" t="n">
        <v>0.4695</v>
      </c>
      <c r="AD210" s="24" t="inlineStr">
        <is>
          <t>2026-08-05T20:58:17.243055Z</t>
        </is>
      </c>
      <c r="AE210" s="31" t="inlineStr">
        <is>
          <t>Surface-blended Elo on Hard: Karolina Pliskova p=0.247 vs Mirra Andreeva. Executable ask 0.8100 (aec-wta-mirand-karpli-2026-08-04).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PAPER_CALL_WINNER_OVERVALUED</t>
        </is>
      </c>
      <c r="AP210" s="24" t="inlineStr">
        <is>
          <t>Karolina Pliskova</t>
        </is>
      </c>
      <c r="AQ210" s="24" t="inlineStr">
        <is>
          <t>Karolina Pliskova</t>
        </is>
      </c>
      <c r="AR210" s="24" t="inlineStr">
        <is>
          <t>Karolina Pliskova</t>
        </is>
      </c>
      <c r="AS210" s="24" t="inlineStr">
        <is>
          <t>Mirra Andreeva</t>
        </is>
      </c>
      <c r="AT210" s="24" t="inlineStr">
        <is>
          <t>Mirra Andreeva</t>
        </is>
      </c>
      <c r="AU210" s="24" t="inlineStr">
        <is>
          <t>Mirra Andreeva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2026-08-05T17:02:00.605938Z</t>
        </is>
      </c>
      <c r="BI210" s="24" t="inlineStr">
        <is>
          <t>["same_event","same_team_same_day","same_league_same_day"]</t>
        </is>
      </c>
      <c r="BJ210" s="25" t="n"/>
      <c r="BK210" s="26" t="n">
        <v>-426</v>
      </c>
      <c r="BL210" s="27" t="n">
        <v>1.234742</v>
      </c>
      <c r="BM210" s="28" t="n">
        <v>0.809886</v>
      </c>
      <c r="BN210" s="28" t="n"/>
      <c r="BO210" s="28" t="n"/>
      <c r="BP210" s="25" t="n"/>
      <c r="BQ210" s="27" t="n">
        <v>1.234742</v>
      </c>
      <c r="BR210" s="28" t="n">
        <v>0.8100000000000001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0.809886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f90a0045a7fa4b02</t>
        </is>
      </c>
      <c r="B211" s="24" t="inlineStr">
        <is>
          <t>2026-08-05T17:03:22.897552Z</t>
        </is>
      </c>
      <c r="C211" s="24" t="inlineStr">
        <is>
          <t>2026-08-05T18:00Z</t>
        </is>
      </c>
      <c r="D211" s="24" t="inlineStr">
        <is>
          <t>421-2026:182204</t>
        </is>
      </c>
      <c r="E211" s="24" t="inlineStr">
        <is>
          <t>TENNIS</t>
        </is>
      </c>
      <c r="F211" s="24" t="inlineStr">
        <is>
          <t>Magda Linette</t>
        </is>
      </c>
      <c r="G211" s="24" t="inlineStr">
        <is>
          <t>Iva Jovic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-376</v>
      </c>
      <c r="M211" s="27" t="n">
        <v>1.265957</v>
      </c>
      <c r="N211" s="28" t="n">
        <v>0.789916</v>
      </c>
      <c r="O211" s="28" t="n">
        <v>0.661686</v>
      </c>
      <c r="P211" s="28" t="n">
        <v>0.05</v>
      </c>
      <c r="Q211" s="28" t="n">
        <v>-0.12823</v>
      </c>
      <c r="R211" s="26" t="n">
        <v>0</v>
      </c>
      <c r="S211" s="29" t="n">
        <v>1.75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-376</v>
      </c>
      <c r="AA211" s="28" t="n">
        <v>0.79</v>
      </c>
      <c r="AB211" s="28" t="n">
        <v>8.4e-05</v>
      </c>
      <c r="AC211" s="30" t="n">
        <v>0.4654</v>
      </c>
      <c r="AD211" s="24" t="inlineStr">
        <is>
          <t>2026-08-05T20:58:18.431486Z</t>
        </is>
      </c>
      <c r="AE211" s="31" t="inlineStr">
        <is>
          <t>Surface-blended Elo on Hard: Magda Linette p=0.338 vs Iva Jovic. Executable ask 0.7900 (aec-wta-ivajov-maglin-2026-08-04).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1" s="24" t="inlineStr">
        <is>
          <t>paper_call</t>
        </is>
      </c>
      <c r="AL211" s="26" t="n">
        <v>3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PAPER_CALL_WINNER_OVERVALUED</t>
        </is>
      </c>
      <c r="AP211" s="24" t="inlineStr">
        <is>
          <t>Magda Linette</t>
        </is>
      </c>
      <c r="AQ211" s="24" t="inlineStr">
        <is>
          <t>Magda Linette</t>
        </is>
      </c>
      <c r="AR211" s="24" t="inlineStr">
        <is>
          <t>Magda Linette</t>
        </is>
      </c>
      <c r="AS211" s="24" t="inlineStr">
        <is>
          <t>Iva Jovic</t>
        </is>
      </c>
      <c r="AT211" s="24" t="inlineStr">
        <is>
          <t>Iva Jovic</t>
        </is>
      </c>
      <c r="AU211" s="24" t="inlineStr">
        <is>
          <t>Iva Jovic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2026-08-05T17:02:01.679276Z</t>
        </is>
      </c>
      <c r="BI211" s="24" t="inlineStr">
        <is>
          <t>["same_event","same_team_same_day","same_league_same_day"]</t>
        </is>
      </c>
      <c r="BJ211" s="25" t="n"/>
      <c r="BK211" s="26" t="n">
        <v>-376</v>
      </c>
      <c r="BL211" s="27" t="n">
        <v>1.265957</v>
      </c>
      <c r="BM211" s="28" t="n">
        <v>0.789916</v>
      </c>
      <c r="BN211" s="28" t="n"/>
      <c r="BO211" s="28" t="n"/>
      <c r="BP211" s="25" t="n"/>
      <c r="BQ211" s="27" t="n">
        <v>1.265957</v>
      </c>
      <c r="BR211" s="28" t="n">
        <v>0.79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0.789916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89626f4145754f4f</t>
        </is>
      </c>
      <c r="B212" s="24" t="inlineStr">
        <is>
          <t>2026-08-05T17:03:22.897552Z</t>
        </is>
      </c>
      <c r="C212" s="24" t="inlineStr">
        <is>
          <t>2026-08-05T18:00Z</t>
        </is>
      </c>
      <c r="D212" s="24" t="inlineStr">
        <is>
          <t>421-2026:182208</t>
        </is>
      </c>
      <c r="E212" s="24" t="inlineStr">
        <is>
          <t>TENNIS</t>
        </is>
      </c>
      <c r="F212" s="24" t="inlineStr">
        <is>
          <t>Emma Navarro</t>
        </is>
      </c>
      <c r="G212" s="24" t="inlineStr">
        <is>
          <t>Alina Korneeva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-113</v>
      </c>
      <c r="M212" s="27" t="n">
        <v>1.884956</v>
      </c>
      <c r="N212" s="28" t="n">
        <v>0.530516</v>
      </c>
      <c r="O212" s="28" t="n">
        <v>0.646211</v>
      </c>
      <c r="P212" s="28" t="n">
        <v>0.05</v>
      </c>
      <c r="Q212" s="28" t="n">
        <v>0.115695</v>
      </c>
      <c r="R212" s="26" t="n">
        <v>78</v>
      </c>
      <c r="S212" s="29" t="n">
        <v>1.75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loss</t>
        </is>
      </c>
      <c r="W212" s="26" t="n">
        <v>0</v>
      </c>
      <c r="X212" s="26" t="n">
        <v>1</v>
      </c>
      <c r="Y212" s="25" t="n"/>
      <c r="Z212" s="26" t="n">
        <v>-113</v>
      </c>
      <c r="AA212" s="28" t="n">
        <v>0.53</v>
      </c>
      <c r="AB212" s="28" t="n">
        <v>-0.000516</v>
      </c>
      <c r="AC212" s="30" t="n">
        <v>-1.75</v>
      </c>
      <c r="AD212" s="24" t="inlineStr">
        <is>
          <t>2026-08-05T20:58:19.638573Z</t>
        </is>
      </c>
      <c r="AE212" s="31" t="inlineStr">
        <is>
          <t>Surface-blended Elo on Hard: Emma Navarro p=0.646 vs Alina Korneeva. Executable ask 0.5300 (aec-wta-alikor-emmnav-2026-08-04).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Emma Navarro</t>
        </is>
      </c>
      <c r="AQ212" s="24" t="inlineStr">
        <is>
          <t>Emma Navarro</t>
        </is>
      </c>
      <c r="AR212" s="24" t="inlineStr">
        <is>
          <t>Emma Navarro</t>
        </is>
      </c>
      <c r="AS212" s="24" t="inlineStr">
        <is>
          <t>Alina Korneeva</t>
        </is>
      </c>
      <c r="AT212" s="24" t="inlineStr">
        <is>
          <t>Alina Korneeva</t>
        </is>
      </c>
      <c r="AU212" s="24" t="inlineStr">
        <is>
          <t>Alina Korneeva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2026-08-05T17:01:59.688625Z</t>
        </is>
      </c>
      <c r="BI212" s="24" t="inlineStr">
        <is>
          <t>["same_event","same_team_same_day","same_league_same_day"]</t>
        </is>
      </c>
      <c r="BJ212" s="25" t="n"/>
      <c r="BK212" s="26" t="n">
        <v>-113</v>
      </c>
      <c r="BL212" s="27" t="n">
        <v>1.884956</v>
      </c>
      <c r="BM212" s="28" t="n">
        <v>0.530516</v>
      </c>
      <c r="BN212" s="28" t="n"/>
      <c r="BO212" s="28" t="n"/>
      <c r="BP212" s="25" t="n"/>
      <c r="BQ212" s="27" t="n">
        <v>1.884956</v>
      </c>
      <c r="BR212" s="28" t="n">
        <v>0.53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0.530516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eb19a3d135374f11</t>
        </is>
      </c>
      <c r="B213" s="24" t="inlineStr">
        <is>
          <t>2026-08-05T17:03:22.897552Z</t>
        </is>
      </c>
      <c r="C213" s="24" t="inlineStr">
        <is>
          <t>2026-08-05T19:30Z</t>
        </is>
      </c>
      <c r="D213" s="24" t="inlineStr">
        <is>
          <t>421-2026:182178</t>
        </is>
      </c>
      <c r="E213" s="24" t="inlineStr">
        <is>
          <t>TENNIS</t>
        </is>
      </c>
      <c r="F213" s="24" t="inlineStr">
        <is>
          <t>Anna Bondar</t>
        </is>
      </c>
      <c r="G213" s="24" t="inlineStr">
        <is>
          <t>Elise Mertens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-270</v>
      </c>
      <c r="M213" s="27" t="n">
        <v>1.37037</v>
      </c>
      <c r="N213" s="28" t="n">
        <v>0.72973</v>
      </c>
      <c r="O213" s="28" t="n">
        <v>0.61543</v>
      </c>
      <c r="P213" s="28" t="n">
        <v>0.05</v>
      </c>
      <c r="Q213" s="28" t="n">
        <v>-0.1143</v>
      </c>
      <c r="R213" s="26" t="n">
        <v>0</v>
      </c>
      <c r="S213" s="29" t="n">
        <v>1.5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-270</v>
      </c>
      <c r="AA213" s="28" t="n">
        <v>0.73</v>
      </c>
      <c r="AB213" s="28" t="n">
        <v>0.00027</v>
      </c>
      <c r="AC213" s="30" t="n">
        <v>0.5556</v>
      </c>
      <c r="AD213" s="24" t="inlineStr">
        <is>
          <t>2026-08-06T00:20:32.940906Z</t>
        </is>
      </c>
      <c r="AE213" s="31" t="inlineStr">
        <is>
          <t>Surface-blended Elo on Hard: Anna Bondar p=0.385 vs Elise Mertens. Executable ask 0.7300 (aec-wta-elimer-annbon-2026-08-04).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PAPER_CALL_WINNER_OVERVALUED</t>
        </is>
      </c>
      <c r="AP213" s="24" t="inlineStr">
        <is>
          <t>Anna Bondar</t>
        </is>
      </c>
      <c r="AQ213" s="24" t="inlineStr">
        <is>
          <t>Anna Bondar</t>
        </is>
      </c>
      <c r="AR213" s="24" t="inlineStr">
        <is>
          <t>Anna Bondar</t>
        </is>
      </c>
      <c r="AS213" s="24" t="inlineStr">
        <is>
          <t>Elise Mertens</t>
        </is>
      </c>
      <c r="AT213" s="24" t="inlineStr">
        <is>
          <t>Elise Mertens</t>
        </is>
      </c>
      <c r="AU213" s="24" t="inlineStr">
        <is>
          <t>Elise Mertens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2026-08-05T17:02:02.673243Z</t>
        </is>
      </c>
      <c r="BI213" s="24" t="inlineStr">
        <is>
          <t>["same_event","same_team_same_day","same_league_same_day"]</t>
        </is>
      </c>
      <c r="BJ213" s="25" t="n"/>
      <c r="BK213" s="26" t="n">
        <v>-270</v>
      </c>
      <c r="BL213" s="27" t="n">
        <v>1.37037</v>
      </c>
      <c r="BM213" s="28" t="n">
        <v>0.72973</v>
      </c>
      <c r="BN213" s="28" t="n"/>
      <c r="BO213" s="28" t="n"/>
      <c r="BP213" s="25" t="n"/>
      <c r="BQ213" s="27" t="n">
        <v>1.37037</v>
      </c>
      <c r="BR213" s="28" t="n">
        <v>0.73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0.72973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2c6c243fd0cf4dbb</t>
        </is>
      </c>
      <c r="B214" s="24" t="inlineStr">
        <is>
          <t>2026-08-05T17:03:22.897552Z</t>
        </is>
      </c>
      <c r="C214" s="24" t="inlineStr">
        <is>
          <t>2026-08-05T19:30Z</t>
        </is>
      </c>
      <c r="D214" s="24" t="inlineStr">
        <is>
          <t>421-2026:182191</t>
        </is>
      </c>
      <c r="E214" s="24" t="inlineStr">
        <is>
          <t>TENNIS</t>
        </is>
      </c>
      <c r="F214" s="24" t="inlineStr">
        <is>
          <t>Zeynep Sonmez</t>
        </is>
      </c>
      <c r="G214" s="24" t="inlineStr">
        <is>
          <t>Maria Sakkari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156</v>
      </c>
      <c r="M214" s="27" t="n">
        <v>2.56</v>
      </c>
      <c r="N214" s="28" t="n">
        <v>0.390625</v>
      </c>
      <c r="O214" s="28" t="n">
        <v>0.529381</v>
      </c>
      <c r="P214" s="28" t="n">
        <v>0.05</v>
      </c>
      <c r="Q214" s="28" t="n">
        <v>0.138756</v>
      </c>
      <c r="R214" s="26" t="n">
        <v>89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156</v>
      </c>
      <c r="AA214" s="28" t="n">
        <v>0.39</v>
      </c>
      <c r="AB214" s="28" t="n">
        <v>-0.000625</v>
      </c>
      <c r="AC214" s="30" t="n">
        <v>-1</v>
      </c>
      <c r="AD214" s="24" t="inlineStr">
        <is>
          <t>2026-08-06T00:20:34.119638Z</t>
        </is>
      </c>
      <c r="AE214" s="31" t="inlineStr">
        <is>
          <t>Surface-blended Elo on Hard: Zeynep Sonmez p=0.529 vs Maria Sakkari. Executable ask 0.3900 (aec-wta-marsak-zeyson-2026-08-06).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Zeynep Sonmez</t>
        </is>
      </c>
      <c r="AQ214" s="24" t="inlineStr">
        <is>
          <t>Zeynep Sonmez</t>
        </is>
      </c>
      <c r="AR214" s="24" t="inlineStr">
        <is>
          <t>Zeynep Sonmez</t>
        </is>
      </c>
      <c r="AS214" s="24" t="inlineStr">
        <is>
          <t>Maria Sakkari</t>
        </is>
      </c>
      <c r="AT214" s="24" t="inlineStr">
        <is>
          <t>Maria Sakkari</t>
        </is>
      </c>
      <c r="AU214" s="24" t="inlineStr">
        <is>
          <t>Maria Sakkari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2026-08-05T17:02:02.173972Z</t>
        </is>
      </c>
      <c r="BI214" s="24" t="inlineStr">
        <is>
          <t>["same_event","same_team_same_day","same_league_same_day"]</t>
        </is>
      </c>
      <c r="BJ214" s="25" t="n"/>
      <c r="BK214" s="26" t="n">
        <v>156</v>
      </c>
      <c r="BL214" s="27" t="n">
        <v>2.56</v>
      </c>
      <c r="BM214" s="28" t="n">
        <v>0.390625</v>
      </c>
      <c r="BN214" s="28" t="n"/>
      <c r="BO214" s="28" t="n"/>
      <c r="BP214" s="25" t="n"/>
      <c r="BQ214" s="27" t="n">
        <v>2.56</v>
      </c>
      <c r="BR214" s="28" t="n">
        <v>0.39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0.390625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a156a39dfc43411d</t>
        </is>
      </c>
      <c r="B215" s="24" t="inlineStr">
        <is>
          <t>2026-08-05T17:03:22.897552Z</t>
        </is>
      </c>
      <c r="C215" s="24" t="inlineStr">
        <is>
          <t>2026-08-05T21:00Z</t>
        </is>
      </c>
      <c r="D215" s="24" t="inlineStr">
        <is>
          <t>421-2026:182176</t>
        </is>
      </c>
      <c r="E215" s="24" t="inlineStr">
        <is>
          <t>TENNIS</t>
        </is>
      </c>
      <c r="F215" s="24" t="inlineStr">
        <is>
          <t>Naomi Osaka</t>
        </is>
      </c>
      <c r="G215" s="24" t="inlineStr">
        <is>
          <t>Panna Udvardy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-1150</v>
      </c>
      <c r="M215" s="27" t="n">
        <v>1.086957</v>
      </c>
      <c r="N215" s="28" t="n">
        <v>0.92</v>
      </c>
      <c r="O215" s="28" t="n">
        <v>0.728504</v>
      </c>
      <c r="P215" s="28" t="n">
        <v>0.05</v>
      </c>
      <c r="Q215" s="28" t="n">
        <v>-0.191496</v>
      </c>
      <c r="R215" s="26" t="n">
        <v>0</v>
      </c>
      <c r="S215" s="29" t="n">
        <v>2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-1150</v>
      </c>
      <c r="AA215" s="28" t="n">
        <v>0.92</v>
      </c>
      <c r="AB215" s="28" t="n">
        <v>0</v>
      </c>
      <c r="AC215" s="30" t="n">
        <v>0.1739</v>
      </c>
      <c r="AD215" s="24" t="inlineStr">
        <is>
          <t>2026-08-06T00:20:35.293382Z</t>
        </is>
      </c>
      <c r="AE215" s="31" t="inlineStr">
        <is>
          <t>Surface-blended Elo on Hard: Naomi Osaka p=0.729 vs Panna Udvardy. Executable ask 0.9200 (aec-wta-panudv-naoosa-2026-08-06).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5" s="24" t="inlineStr">
        <is>
          <t>paper_call</t>
        </is>
      </c>
      <c r="AL215" s="26" t="n">
        <v>3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PAPER_CALL_WINNER_OVERVALUED</t>
        </is>
      </c>
      <c r="AP215" s="24" t="inlineStr">
        <is>
          <t>Naomi Osaka</t>
        </is>
      </c>
      <c r="AQ215" s="24" t="inlineStr">
        <is>
          <t>Naomi Osaka</t>
        </is>
      </c>
      <c r="AR215" s="24" t="inlineStr">
        <is>
          <t>Naomi Osaka</t>
        </is>
      </c>
      <c r="AS215" s="24" t="inlineStr">
        <is>
          <t>Panna Udvardy</t>
        </is>
      </c>
      <c r="AT215" s="24" t="inlineStr">
        <is>
          <t>Panna Udvardy</t>
        </is>
      </c>
      <c r="AU215" s="24" t="inlineStr">
        <is>
          <t>Panna Udvardy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2026-08-05T17:02:05.036007Z</t>
        </is>
      </c>
      <c r="BI215" s="24" t="inlineStr">
        <is>
          <t>["same_event","same_team_same_day","same_league_same_day"]</t>
        </is>
      </c>
      <c r="BJ215" s="25" t="n"/>
      <c r="BK215" s="26" t="n">
        <v>-1150</v>
      </c>
      <c r="BL215" s="27" t="n">
        <v>1.086957</v>
      </c>
      <c r="BM215" s="28" t="n">
        <v>0.92</v>
      </c>
      <c r="BN215" s="28" t="n"/>
      <c r="BO215" s="28" t="n"/>
      <c r="BP215" s="25" t="n"/>
      <c r="BQ215" s="27" t="n">
        <v>1.086957</v>
      </c>
      <c r="BR215" s="28" t="n">
        <v>0.92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0.92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f67df7871cb8414f</t>
        </is>
      </c>
      <c r="B216" s="24" t="inlineStr">
        <is>
          <t>2026-08-05T17:03:22.897552Z</t>
        </is>
      </c>
      <c r="C216" s="24" t="inlineStr">
        <is>
          <t>2026-08-05T21:00Z</t>
        </is>
      </c>
      <c r="D216" s="24" t="inlineStr">
        <is>
          <t>421-2026:182179</t>
        </is>
      </c>
      <c r="E216" s="24" t="inlineStr">
        <is>
          <t>TENNIS</t>
        </is>
      </c>
      <c r="F216" s="24" t="inlineStr">
        <is>
          <t>Maya Joint</t>
        </is>
      </c>
      <c r="G216" s="24" t="inlineStr">
        <is>
          <t>Sorana Cirstea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-270</v>
      </c>
      <c r="M216" s="27" t="n">
        <v>1.37037</v>
      </c>
      <c r="N216" s="28" t="n">
        <v>0.72973</v>
      </c>
      <c r="O216" s="28" t="n">
        <v>0.797746</v>
      </c>
      <c r="P216" s="28" t="n">
        <v>0.05</v>
      </c>
      <c r="Q216" s="28" t="n">
        <v>0.06801599999999999</v>
      </c>
      <c r="R216" s="26" t="n">
        <v>54</v>
      </c>
      <c r="S216" s="29" t="n">
        <v>2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-270</v>
      </c>
      <c r="AA216" s="28" t="n">
        <v>0.73</v>
      </c>
      <c r="AB216" s="28" t="n">
        <v>0.00027</v>
      </c>
      <c r="AC216" s="30" t="n">
        <v>-2</v>
      </c>
      <c r="AD216" s="24" t="inlineStr">
        <is>
          <t>2026-08-06T03:25:29.468196Z</t>
        </is>
      </c>
      <c r="AE216" s="31" t="inlineStr">
        <is>
          <t>Surface-blended Elo on Hard: Maya Joint p=0.202 vs Sorana Cirstea. Executable ask 0.7300 (aec-wta-sorcir-mayjoi-2026-08-04).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6" s="24" t="inlineStr">
        <is>
          <t>paper_call</t>
        </is>
      </c>
      <c r="AL216" s="26" t="n">
        <v>3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PAPER_CALL_WINNER_OVERVALUED</t>
        </is>
      </c>
      <c r="AP216" s="24" t="inlineStr">
        <is>
          <t>Maya Joint</t>
        </is>
      </c>
      <c r="AQ216" s="24" t="inlineStr">
        <is>
          <t>Maya Joint</t>
        </is>
      </c>
      <c r="AR216" s="24" t="inlineStr">
        <is>
          <t>Maya Joint</t>
        </is>
      </c>
      <c r="AS216" s="24" t="inlineStr">
        <is>
          <t>Sorana Cirstea</t>
        </is>
      </c>
      <c r="AT216" s="24" t="inlineStr">
        <is>
          <t>Sorana Cirstea</t>
        </is>
      </c>
      <c r="AU216" s="24" t="inlineStr">
        <is>
          <t>Sorana Cirstea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2026-08-05T17:02:03.456518Z</t>
        </is>
      </c>
      <c r="BI216" s="24" t="inlineStr">
        <is>
          <t>["same_event","same_team_same_day","same_league_same_day"]</t>
        </is>
      </c>
      <c r="BJ216" s="25" t="n"/>
      <c r="BK216" s="26" t="n">
        <v>-270</v>
      </c>
      <c r="BL216" s="27" t="n">
        <v>1.37037</v>
      </c>
      <c r="BM216" s="28" t="n">
        <v>0.72973</v>
      </c>
      <c r="BN216" s="28" t="n"/>
      <c r="BO216" s="28" t="n"/>
      <c r="BP216" s="25" t="n"/>
      <c r="BQ216" s="27" t="n">
        <v>1.37037</v>
      </c>
      <c r="BR216" s="28" t="n">
        <v>0.73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0.72973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631adf3b5f484806</t>
        </is>
      </c>
      <c r="B217" s="24" t="inlineStr">
        <is>
          <t>2026-08-05T17:03:22.897552Z</t>
        </is>
      </c>
      <c r="C217" s="24" t="inlineStr">
        <is>
          <t>2026-08-05T21:00Z</t>
        </is>
      </c>
      <c r="D217" s="24" t="inlineStr">
        <is>
          <t>421-2026:182214</t>
        </is>
      </c>
      <c r="E217" s="24" t="inlineStr">
        <is>
          <t>TENNIS</t>
        </is>
      </c>
      <c r="F217" s="24" t="inlineStr">
        <is>
          <t>Barbora Krejcikova</t>
        </is>
      </c>
      <c r="G217" s="24" t="inlineStr">
        <is>
          <t>Liudmila Samsonova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-144</v>
      </c>
      <c r="M217" s="27" t="n">
        <v>1.694444</v>
      </c>
      <c r="N217" s="28" t="n">
        <v>0.590164</v>
      </c>
      <c r="O217" s="28" t="n">
        <v>0.733479</v>
      </c>
      <c r="P217" s="28" t="n">
        <v>0.05</v>
      </c>
      <c r="Q217" s="28" t="n">
        <v>0.143315</v>
      </c>
      <c r="R217" s="26" t="n">
        <v>92</v>
      </c>
      <c r="S217" s="29" t="n">
        <v>2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1</v>
      </c>
      <c r="Y217" s="25" t="n"/>
      <c r="Z217" s="26" t="n">
        <v>-144</v>
      </c>
      <c r="AA217" s="28" t="n">
        <v>0.59</v>
      </c>
      <c r="AB217" s="28" t="n">
        <v>-0.000164</v>
      </c>
      <c r="AC217" s="30" t="n">
        <v>-2</v>
      </c>
      <c r="AD217" s="24" t="inlineStr">
        <is>
          <t>2026-08-06T00:20:36.468350Z</t>
        </is>
      </c>
      <c r="AE217" s="31" t="inlineStr">
        <is>
          <t>Surface-blended Elo on Hard: Barbora Krejcikova p=0.733 vs Liudmila Samsonova. Executable ask 0.5900 (aec-wta-liusam-barkre-2026-08-06).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Barbora Krejcikova</t>
        </is>
      </c>
      <c r="AQ217" s="24" t="inlineStr">
        <is>
          <t>Barbora Krejcikova</t>
        </is>
      </c>
      <c r="AR217" s="24" t="inlineStr">
        <is>
          <t>Barbora Krejcikova</t>
        </is>
      </c>
      <c r="AS217" s="24" t="inlineStr">
        <is>
          <t>Liudmila Samsonova</t>
        </is>
      </c>
      <c r="AT217" s="24" t="inlineStr">
        <is>
          <t>Liudmila Samsonova</t>
        </is>
      </c>
      <c r="AU217" s="24" t="inlineStr">
        <is>
          <t>Liudmila Samsonova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2026-08-05T17:02:04.621209Z</t>
        </is>
      </c>
      <c r="BI217" s="24" t="inlineStr">
        <is>
          <t>["same_event","same_team_same_day","same_league_same_day"]</t>
        </is>
      </c>
      <c r="BJ217" s="25" t="n"/>
      <c r="BK217" s="26" t="n">
        <v>-144</v>
      </c>
      <c r="BL217" s="27" t="n">
        <v>1.694444</v>
      </c>
      <c r="BM217" s="28" t="n">
        <v>0.590164</v>
      </c>
      <c r="BN217" s="28" t="n"/>
      <c r="BO217" s="28" t="n"/>
      <c r="BP217" s="25" t="n"/>
      <c r="BQ217" s="27" t="n">
        <v>1.694444</v>
      </c>
      <c r="BR217" s="28" t="n">
        <v>0.59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0.590164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e958adc6a61346a3</t>
        </is>
      </c>
      <c r="B218" s="24" t="inlineStr">
        <is>
          <t>2026-08-05T17:03:22.897552Z</t>
        </is>
      </c>
      <c r="C218" s="24" t="inlineStr">
        <is>
          <t>2026-08-05T18:00Z</t>
        </is>
      </c>
      <c r="D218" s="24" t="inlineStr">
        <is>
          <t>421-2026:181729</t>
        </is>
      </c>
      <c r="E218" s="24" t="inlineStr">
        <is>
          <t>TENNIS</t>
        </is>
      </c>
      <c r="F218" s="24" t="inlineStr">
        <is>
          <t>Alexei Popyrin</t>
        </is>
      </c>
      <c r="G218" s="24" t="inlineStr">
        <is>
          <t>Raphael Collignon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-156</v>
      </c>
      <c r="M218" s="27" t="n">
        <v>1.641026</v>
      </c>
      <c r="N218" s="28" t="n">
        <v>0.609375</v>
      </c>
      <c r="O218" s="28" t="n">
        <v>0.57423</v>
      </c>
      <c r="P218" s="28" t="n">
        <v>0.05</v>
      </c>
      <c r="Q218" s="28" t="n">
        <v>-0.035145</v>
      </c>
      <c r="R218" s="26" t="n">
        <v>2</v>
      </c>
      <c r="S218" s="29" t="n">
        <v>1.25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-156</v>
      </c>
      <c r="AA218" s="28" t="n">
        <v>0.61</v>
      </c>
      <c r="AB218" s="28" t="n">
        <v>0.000625</v>
      </c>
      <c r="AC218" s="30" t="n">
        <v>-1.25</v>
      </c>
      <c r="AD218" s="24" t="inlineStr">
        <is>
          <t>2026-08-06T00:20:37.606905Z</t>
        </is>
      </c>
      <c r="AE218" s="31" t="inlineStr">
        <is>
          <t>Surface-blended Elo on Hard: Alexei Popyrin p=0.426 vs Raphael Collignon. Executable ask 0.6100 (aec-atp-rapcol-alepop-2026-08-05).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review_required</t>
        </is>
      </c>
      <c r="AH218" s="24" t="n"/>
      <c r="AI218" s="31" t="n"/>
      <c r="AJ2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8" s="24" t="inlineStr">
        <is>
          <t>paper_call</t>
        </is>
      </c>
      <c r="AL218" s="26" t="n">
        <v>3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PAPER_CALL_WINNER_OVERVALUED</t>
        </is>
      </c>
      <c r="AP218" s="24" t="inlineStr">
        <is>
          <t>Alexei Popyrin</t>
        </is>
      </c>
      <c r="AQ218" s="24" t="inlineStr">
        <is>
          <t>Alexei Popyrin</t>
        </is>
      </c>
      <c r="AR218" s="24" t="inlineStr">
        <is>
          <t>Alexei Popyrin</t>
        </is>
      </c>
      <c r="AS218" s="24" t="inlineStr">
        <is>
          <t>Raphael Collignon</t>
        </is>
      </c>
      <c r="AT218" s="24" t="inlineStr">
        <is>
          <t>Raphael Collignon</t>
        </is>
      </c>
      <c r="AU218" s="24" t="inlineStr">
        <is>
          <t>Raphael Collignon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2026-08-05T17:02:13.525353Z</t>
        </is>
      </c>
      <c r="BI218" s="24" t="inlineStr">
        <is>
          <t>["same_event","same_team_same_day","same_league_same_day"]</t>
        </is>
      </c>
      <c r="BJ218" s="25" t="n"/>
      <c r="BK218" s="26" t="n">
        <v>-156</v>
      </c>
      <c r="BL218" s="27" t="n">
        <v>1.641026</v>
      </c>
      <c r="BM218" s="28" t="n">
        <v>0.609375</v>
      </c>
      <c r="BN218" s="28" t="n"/>
      <c r="BO218" s="28" t="n"/>
      <c r="BP218" s="25" t="n"/>
      <c r="BQ218" s="27" t="n">
        <v>1.641026</v>
      </c>
      <c r="BR218" s="28" t="n">
        <v>0.61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0.609375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b7c8aa4268c84246</t>
        </is>
      </c>
      <c r="B219" s="24" t="inlineStr">
        <is>
          <t>2026-08-05T17:03:22.897552Z</t>
        </is>
      </c>
      <c r="C219" s="24" t="inlineStr">
        <is>
          <t>2026-08-05T18:00Z</t>
        </is>
      </c>
      <c r="D219" s="24" t="inlineStr">
        <is>
          <t>421-2026:181743</t>
        </is>
      </c>
      <c r="E219" s="24" t="inlineStr">
        <is>
          <t>TENNIS</t>
        </is>
      </c>
      <c r="F219" s="24" t="inlineStr">
        <is>
          <t>Alejandro Tabilo</t>
        </is>
      </c>
      <c r="G219" s="24" t="inlineStr">
        <is>
          <t>Hubert Hurkacz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138</v>
      </c>
      <c r="M219" s="27" t="n">
        <v>2.38</v>
      </c>
      <c r="N219" s="28" t="n">
        <v>0.420168</v>
      </c>
      <c r="O219" s="28" t="n">
        <v>0.584869</v>
      </c>
      <c r="P219" s="28" t="n">
        <v>0.05</v>
      </c>
      <c r="Q219" s="28" t="n">
        <v>0.164701</v>
      </c>
      <c r="R219" s="26" t="n">
        <v>100</v>
      </c>
      <c r="S219" s="29" t="n">
        <v>1.25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138</v>
      </c>
      <c r="AA219" s="28" t="n">
        <v>0.42</v>
      </c>
      <c r="AB219" s="28" t="n">
        <v>-0.000168</v>
      </c>
      <c r="AC219" s="30" t="n">
        <v>-1.25</v>
      </c>
      <c r="AD219" s="24" t="inlineStr">
        <is>
          <t>2026-08-05T20:58:20.783418Z</t>
        </is>
      </c>
      <c r="AE219" s="31" t="inlineStr">
        <is>
          <t>Surface-blended Elo on Hard: Alejandro Tabilo p=0.585 vs Hubert Hurkacz. Executable ask 0.4200 (aec-atp-hubhur-aletab-2026-08-06).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Alejandro Tabilo</t>
        </is>
      </c>
      <c r="AQ219" s="24" t="inlineStr">
        <is>
          <t>Alejandro Tabilo</t>
        </is>
      </c>
      <c r="AR219" s="24" t="inlineStr">
        <is>
          <t>Alejandro Tabilo</t>
        </is>
      </c>
      <c r="AS219" s="24" t="inlineStr">
        <is>
          <t>Hubert Hurkacz</t>
        </is>
      </c>
      <c r="AT219" s="24" t="inlineStr">
        <is>
          <t>Hubert Hurkacz</t>
        </is>
      </c>
      <c r="AU219" s="24" t="inlineStr">
        <is>
          <t>Hubert Hurkacz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2026-08-05T17:02:15.869129Z</t>
        </is>
      </c>
      <c r="BI219" s="24" t="inlineStr">
        <is>
          <t>["same_event","same_team_same_day","same_league_same_day"]</t>
        </is>
      </c>
      <c r="BJ219" s="25" t="n"/>
      <c r="BK219" s="26" t="n">
        <v>138</v>
      </c>
      <c r="BL219" s="27" t="n">
        <v>2.38</v>
      </c>
      <c r="BM219" s="28" t="n">
        <v>0.420168</v>
      </c>
      <c r="BN219" s="28" t="n"/>
      <c r="BO219" s="28" t="n"/>
      <c r="BP219" s="25" t="n"/>
      <c r="BQ219" s="27" t="n">
        <v>2.38</v>
      </c>
      <c r="BR219" s="28" t="n">
        <v>0.42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0.420168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10b586b4f7604def</t>
        </is>
      </c>
      <c r="B220" s="24" t="inlineStr">
        <is>
          <t>2026-08-05T17:03:22.897552Z</t>
        </is>
      </c>
      <c r="C220" s="24" t="inlineStr">
        <is>
          <t>2026-08-05T18:20Z</t>
        </is>
      </c>
      <c r="D220" s="24" t="inlineStr">
        <is>
          <t>421-2026:181735</t>
        </is>
      </c>
      <c r="E220" s="24" t="inlineStr">
        <is>
          <t>TENNIS</t>
        </is>
      </c>
      <c r="F220" s="24" t="inlineStr">
        <is>
          <t>Taylor Fritz</t>
        </is>
      </c>
      <c r="G220" s="24" t="inlineStr">
        <is>
          <t>Thiago Agustin Tirante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-525</v>
      </c>
      <c r="M220" s="27" t="n">
        <v>1.190476</v>
      </c>
      <c r="N220" s="28" t="n">
        <v>0.84</v>
      </c>
      <c r="O220" s="28" t="n">
        <v>0.744005</v>
      </c>
      <c r="P220" s="28" t="n">
        <v>0.05</v>
      </c>
      <c r="Q220" s="28" t="n">
        <v>-0.095995</v>
      </c>
      <c r="R220" s="26" t="n">
        <v>0</v>
      </c>
      <c r="S220" s="29" t="n">
        <v>2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1</v>
      </c>
      <c r="Y220" s="25" t="n"/>
      <c r="Z220" s="26" t="n">
        <v>-525</v>
      </c>
      <c r="AA220" s="28" t="n">
        <v>0.84</v>
      </c>
      <c r="AB220" s="28" t="n">
        <v>0</v>
      </c>
      <c r="AC220" s="30" t="n">
        <v>-2</v>
      </c>
      <c r="AD220" s="24" t="inlineStr">
        <is>
          <t>2026-08-05T20:58:21.965953Z</t>
        </is>
      </c>
      <c r="AE220" s="31" t="inlineStr">
        <is>
          <t>Surface-blended Elo on Hard: Taylor Fritz p=0.744 vs Thiago Agustin Tirante. Executable ask 0.8400 (aec-atp-thitir-tayfri-2026-08-05).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review_required</t>
        </is>
      </c>
      <c r="AH220" s="24" t="n"/>
      <c r="AI220" s="31" t="n"/>
      <c r="AJ2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0" s="24" t="inlineStr">
        <is>
          <t>paper_call</t>
        </is>
      </c>
      <c r="AL220" s="26" t="n">
        <v>3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PAPER_CALL_WINNER_OVERVALUED</t>
        </is>
      </c>
      <c r="AP220" s="24" t="inlineStr">
        <is>
          <t>Taylor Fritz</t>
        </is>
      </c>
      <c r="AQ220" s="24" t="inlineStr">
        <is>
          <t>Taylor Fritz</t>
        </is>
      </c>
      <c r="AR220" s="24" t="inlineStr">
        <is>
          <t>Taylor Fritz</t>
        </is>
      </c>
      <c r="AS220" s="24" t="inlineStr">
        <is>
          <t>Thiago Agustin Tirante</t>
        </is>
      </c>
      <c r="AT220" s="24" t="inlineStr">
        <is>
          <t>Thiago Agustin Tirante</t>
        </is>
      </c>
      <c r="AU220" s="24" t="inlineStr">
        <is>
          <t>Thiago Agustin Tirante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2026-08-05T17:02:15.611692Z</t>
        </is>
      </c>
      <c r="BI220" s="24" t="inlineStr">
        <is>
          <t>["same_event","same_team_same_day","same_league_same_day"]</t>
        </is>
      </c>
      <c r="BJ220" s="25" t="n"/>
      <c r="BK220" s="26" t="n">
        <v>-525</v>
      </c>
      <c r="BL220" s="27" t="n">
        <v>1.190476</v>
      </c>
      <c r="BM220" s="28" t="n">
        <v>0.84</v>
      </c>
      <c r="BN220" s="28" t="n"/>
      <c r="BO220" s="28" t="n"/>
      <c r="BP220" s="25" t="n"/>
      <c r="BQ220" s="27" t="n">
        <v>1.190476</v>
      </c>
      <c r="BR220" s="28" t="n">
        <v>0.84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0.84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a5177a98bbdc4a4e</t>
        </is>
      </c>
      <c r="B221" s="24" t="inlineStr">
        <is>
          <t>2026-08-05T17:03:22.897552Z</t>
        </is>
      </c>
      <c r="C221" s="24" t="inlineStr">
        <is>
          <t>2026-08-05T18:20Z</t>
        </is>
      </c>
      <c r="D221" s="24" t="inlineStr">
        <is>
          <t>421-2026:181749</t>
        </is>
      </c>
      <c r="E221" s="24" t="inlineStr">
        <is>
          <t>TENNIS</t>
        </is>
      </c>
      <c r="F221" s="24" t="inlineStr">
        <is>
          <t>Corentin Moutet</t>
        </is>
      </c>
      <c r="G221" s="24" t="inlineStr">
        <is>
          <t>Rafael Jodar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-285</v>
      </c>
      <c r="M221" s="27" t="n">
        <v>1.350877</v>
      </c>
      <c r="N221" s="28" t="n">
        <v>0.74026</v>
      </c>
      <c r="O221" s="28" t="n">
        <v>0.707792</v>
      </c>
      <c r="P221" s="28" t="n">
        <v>0.05</v>
      </c>
      <c r="Q221" s="28" t="n">
        <v>-0.032468</v>
      </c>
      <c r="R221" s="26" t="n">
        <v>4</v>
      </c>
      <c r="S221" s="29" t="n">
        <v>2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-285</v>
      </c>
      <c r="AA221" s="28" t="n">
        <v>0.74</v>
      </c>
      <c r="AB221" s="28" t="n">
        <v>-0.00026</v>
      </c>
      <c r="AC221" s="30" t="n">
        <v>0.7018</v>
      </c>
      <c r="AD221" s="24" t="inlineStr">
        <is>
          <t>2026-08-06T00:20:38.789745Z</t>
        </is>
      </c>
      <c r="AE221" s="31" t="inlineStr">
        <is>
          <t>Surface-blended Elo on Hard: Corentin Moutet p=0.292 vs Rafael Jodar. Executable ask 0.7400 (aec-atp-rafjod-cormou-2026-08-06).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1" s="24" t="inlineStr">
        <is>
          <t>paper_call</t>
        </is>
      </c>
      <c r="AL221" s="26" t="n">
        <v>3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PAPER_CALL_WINNER_OVERVALUED</t>
        </is>
      </c>
      <c r="AP221" s="24" t="inlineStr">
        <is>
          <t>Corentin Moutet</t>
        </is>
      </c>
      <c r="AQ221" s="24" t="inlineStr">
        <is>
          <t>Corentin Moutet</t>
        </is>
      </c>
      <c r="AR221" s="24" t="inlineStr">
        <is>
          <t>Corentin Moutet</t>
        </is>
      </c>
      <c r="AS221" s="24" t="inlineStr">
        <is>
          <t>Rafael Jodar</t>
        </is>
      </c>
      <c r="AT221" s="24" t="inlineStr">
        <is>
          <t>Rafael Jodar</t>
        </is>
      </c>
      <c r="AU221" s="24" t="inlineStr">
        <is>
          <t>Rafael Jodar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2026-08-05T17:02:14.722373Z</t>
        </is>
      </c>
      <c r="BI221" s="24" t="inlineStr">
        <is>
          <t>["same_event","same_team_same_day","same_league_same_day"]</t>
        </is>
      </c>
      <c r="BJ221" s="25" t="n"/>
      <c r="BK221" s="26" t="n">
        <v>-285</v>
      </c>
      <c r="BL221" s="27" t="n">
        <v>1.350877</v>
      </c>
      <c r="BM221" s="28" t="n">
        <v>0.74026</v>
      </c>
      <c r="BN221" s="28" t="n"/>
      <c r="BO221" s="28" t="n"/>
      <c r="BP221" s="25" t="n"/>
      <c r="BQ221" s="27" t="n">
        <v>1.350877</v>
      </c>
      <c r="BR221" s="28" t="n">
        <v>0.74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0.74026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0d05ddb6e8224d92</t>
        </is>
      </c>
      <c r="B222" s="24" t="inlineStr">
        <is>
          <t>2026-08-05T17:03:22.897552Z</t>
        </is>
      </c>
      <c r="C222" s="24" t="inlineStr">
        <is>
          <t>2026-08-05T18:20Z</t>
        </is>
      </c>
      <c r="D222" s="24" t="inlineStr">
        <is>
          <t>421-2026:181750</t>
        </is>
      </c>
      <c r="E222" s="24" t="inlineStr">
        <is>
          <t>TENNIS</t>
        </is>
      </c>
      <c r="F222" s="24" t="inlineStr">
        <is>
          <t>Tallon Griekspoor</t>
        </is>
      </c>
      <c r="G222" s="24" t="inlineStr">
        <is>
          <t>Alexander Zverev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-614</v>
      </c>
      <c r="M222" s="27" t="n">
        <v>1.162866</v>
      </c>
      <c r="N222" s="28" t="n">
        <v>0.859944</v>
      </c>
      <c r="O222" s="28" t="n">
        <v>0.873265</v>
      </c>
      <c r="P222" s="28" t="n">
        <v>0.05</v>
      </c>
      <c r="Q222" s="28" t="n">
        <v>0.013321</v>
      </c>
      <c r="R222" s="26" t="n">
        <v>27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-614</v>
      </c>
      <c r="AA222" s="28" t="n">
        <v>0.86</v>
      </c>
      <c r="AB222" s="28" t="n">
        <v>5.6e-05</v>
      </c>
      <c r="AC222" s="30" t="n">
        <v>-2</v>
      </c>
      <c r="AD222" s="24" t="inlineStr">
        <is>
          <t>2026-08-06T00:20:39.928474Z</t>
        </is>
      </c>
      <c r="AE222" s="31" t="inlineStr">
        <is>
          <t>Surface-blended Elo on Hard: Tallon Griekspoor p=0.127 vs Alexander Zverev. Executable ask 0.8600 (aec-atp-alezve-talgri-2026-08-06).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review_required</t>
        </is>
      </c>
      <c r="AH222" s="24" t="n"/>
      <c r="AI222" s="31" t="n"/>
      <c r="AJ2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2" s="24" t="inlineStr">
        <is>
          <t>paper_call</t>
        </is>
      </c>
      <c r="AL222" s="26" t="n">
        <v>3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PAPER_CALL_WINNER_OVERVALUED</t>
        </is>
      </c>
      <c r="AP222" s="24" t="inlineStr">
        <is>
          <t>Tallon Griekspoor</t>
        </is>
      </c>
      <c r="AQ222" s="24" t="inlineStr">
        <is>
          <t>Tallon Griekspoor</t>
        </is>
      </c>
      <c r="AR222" s="24" t="inlineStr">
        <is>
          <t>Tallon Griekspoor</t>
        </is>
      </c>
      <c r="AS222" s="24" t="inlineStr">
        <is>
          <t>Alexander Zverev</t>
        </is>
      </c>
      <c r="AT222" s="24" t="inlineStr">
        <is>
          <t>Alexander Zverev</t>
        </is>
      </c>
      <c r="AU222" s="24" t="inlineStr">
        <is>
          <t>Alexander Zverev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2026-08-05T17:02:14.134986Z</t>
        </is>
      </c>
      <c r="BI222" s="24" t="inlineStr">
        <is>
          <t>["same_event","same_team_same_day","same_league_same_day"]</t>
        </is>
      </c>
      <c r="BJ222" s="25" t="n"/>
      <c r="BK222" s="26" t="n">
        <v>-614</v>
      </c>
      <c r="BL222" s="27" t="n">
        <v>1.162866</v>
      </c>
      <c r="BM222" s="28" t="n">
        <v>0.859944</v>
      </c>
      <c r="BN222" s="28" t="n"/>
      <c r="BO222" s="28" t="n"/>
      <c r="BP222" s="25" t="n"/>
      <c r="BQ222" s="27" t="n">
        <v>1.162866</v>
      </c>
      <c r="BR222" s="28" t="n">
        <v>0.86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0.859944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15c3f1792e824244</t>
        </is>
      </c>
      <c r="B223" s="24" t="inlineStr">
        <is>
          <t>2026-08-05T17:03:22.897552Z</t>
        </is>
      </c>
      <c r="C223" s="24" t="inlineStr">
        <is>
          <t>2026-08-05T19:30Z</t>
        </is>
      </c>
      <c r="D223" s="24" t="inlineStr">
        <is>
          <t>421-2026:181741</t>
        </is>
      </c>
      <c r="E223" s="24" t="inlineStr">
        <is>
          <t>TENNIS</t>
        </is>
      </c>
      <c r="F223" s="24" t="inlineStr">
        <is>
          <t>Terence Atmane</t>
        </is>
      </c>
      <c r="G223" s="24" t="inlineStr">
        <is>
          <t>Karen Khachanov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0.596987</v>
      </c>
      <c r="P223" s="28" t="n">
        <v>0.05</v>
      </c>
      <c r="Q223" s="28" t="n">
        <v>0.037516</v>
      </c>
      <c r="R223" s="26" t="n">
        <v>39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-127</v>
      </c>
      <c r="AA223" s="28" t="n">
        <v>0.5600000000000001</v>
      </c>
      <c r="AB223" s="28" t="n">
        <v>0.000529</v>
      </c>
      <c r="AC223" s="30" t="n">
        <v>-1.25</v>
      </c>
      <c r="AD223" s="24" t="inlineStr">
        <is>
          <t>2026-08-06T00:20:41.113176Z</t>
        </is>
      </c>
      <c r="AE223" s="31" t="inlineStr">
        <is>
          <t>Surface-blended Elo on Hard: Terence Atmane p=0.403 vs Karen Khachanov. Executable ask 0.5600 (aec-atp-karkha-teratm-2026-08-06).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3" s="24" t="inlineStr">
        <is>
          <t>paper_call</t>
        </is>
      </c>
      <c r="AL223" s="26" t="n">
        <v>3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PAPER_CALL_WINNER_OVERVALUED</t>
        </is>
      </c>
      <c r="AP223" s="24" t="inlineStr">
        <is>
          <t>Terence Atmane</t>
        </is>
      </c>
      <c r="AQ223" s="24" t="inlineStr">
        <is>
          <t>Terence Atmane</t>
        </is>
      </c>
      <c r="AR223" s="24" t="inlineStr">
        <is>
          <t>Terence Atmane</t>
        </is>
      </c>
      <c r="AS223" s="24" t="inlineStr">
        <is>
          <t>Karen Khachanov</t>
        </is>
      </c>
      <c r="AT223" s="24" t="inlineStr">
        <is>
          <t>Karen Khachanov</t>
        </is>
      </c>
      <c r="AU223" s="24" t="inlineStr">
        <is>
          <t>Karen Khachanov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2026-08-05T17:02:17.116696Z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1.787402</v>
      </c>
      <c r="BR223" s="28" t="n">
        <v>0.5600000000000001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0.559471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ab1e7c5cd3fd4173</t>
        </is>
      </c>
      <c r="B224" s="24" t="inlineStr">
        <is>
          <t>2026-08-05T17:03:22.897552Z</t>
        </is>
      </c>
      <c r="C224" s="24" t="inlineStr">
        <is>
          <t>2026-08-05T19:30Z</t>
        </is>
      </c>
      <c r="D224" s="24" t="inlineStr">
        <is>
          <t>421-2026:181746</t>
        </is>
      </c>
      <c r="E224" s="24" t="inlineStr">
        <is>
          <t>TENNIS</t>
        </is>
      </c>
      <c r="F224" s="24" t="inlineStr">
        <is>
          <t>Matteo Arnaldi</t>
        </is>
      </c>
      <c r="G224" s="24" t="inlineStr">
        <is>
          <t>Fabian Marozsan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-138</v>
      </c>
      <c r="M224" s="27" t="n">
        <v>1.724638</v>
      </c>
      <c r="N224" s="28" t="n">
        <v>0.579832</v>
      </c>
      <c r="O224" s="28" t="n">
        <v>0.605216</v>
      </c>
      <c r="P224" s="28" t="n">
        <v>0.05</v>
      </c>
      <c r="Q224" s="28" t="n">
        <v>0.025384</v>
      </c>
      <c r="R224" s="26" t="n">
        <v>33</v>
      </c>
      <c r="S224" s="29" t="n">
        <v>1.25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-138</v>
      </c>
      <c r="AA224" s="28" t="n">
        <v>0.58</v>
      </c>
      <c r="AB224" s="28" t="n">
        <v>0.000168</v>
      </c>
      <c r="AC224" s="30" t="n">
        <v>-1.25</v>
      </c>
      <c r="AD224" s="24" t="inlineStr">
        <is>
          <t>2026-08-06T00:20:42.297410Z</t>
        </is>
      </c>
      <c r="AE224" s="31" t="inlineStr">
        <is>
          <t>Surface-blended Elo on Hard: Matteo Arnaldi p=0.395 vs Fabian Marozsan. Executable ask 0.5800 (aec-atp-fabmar-matarn-2026-08-05).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review_required</t>
        </is>
      </c>
      <c r="AH224" s="24" t="n"/>
      <c r="AI224" s="31" t="n"/>
      <c r="AJ2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4" s="24" t="inlineStr">
        <is>
          <t>paper_call</t>
        </is>
      </c>
      <c r="AL224" s="26" t="n">
        <v>3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PAPER_CALL_WINNER_OVERVALUED</t>
        </is>
      </c>
      <c r="AP224" s="24" t="inlineStr">
        <is>
          <t>Matteo Arnaldi</t>
        </is>
      </c>
      <c r="AQ224" s="24" t="inlineStr">
        <is>
          <t>Matteo Arnaldi</t>
        </is>
      </c>
      <c r="AR224" s="24" t="inlineStr">
        <is>
          <t>Matteo Arnaldi</t>
        </is>
      </c>
      <c r="AS224" s="24" t="inlineStr">
        <is>
          <t>Fabian Marozsan</t>
        </is>
      </c>
      <c r="AT224" s="24" t="inlineStr">
        <is>
          <t>Fabian Marozsan</t>
        </is>
      </c>
      <c r="AU224" s="24" t="inlineStr">
        <is>
          <t>Fabian Marozsan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2026-08-05T17:02:17.875522Z</t>
        </is>
      </c>
      <c r="BI224" s="24" t="inlineStr">
        <is>
          <t>["same_event","same_team_same_day","same_league_same_day"]</t>
        </is>
      </c>
      <c r="BJ224" s="25" t="n"/>
      <c r="BK224" s="26" t="n">
        <v>-138</v>
      </c>
      <c r="BL224" s="27" t="n">
        <v>1.724638</v>
      </c>
      <c r="BM224" s="28" t="n">
        <v>0.579832</v>
      </c>
      <c r="BN224" s="28" t="n"/>
      <c r="BO224" s="28" t="n"/>
      <c r="BP224" s="25" t="n"/>
      <c r="BQ224" s="27" t="n">
        <v>1.724638</v>
      </c>
      <c r="BR224" s="28" t="n">
        <v>0.58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0.579832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69588baf875143c8</t>
        </is>
      </c>
      <c r="B225" s="24" t="inlineStr">
        <is>
          <t>2026-08-05T17:03:22.897552Z</t>
        </is>
      </c>
      <c r="C225" s="24" t="inlineStr">
        <is>
          <t>2026-08-05T19:30Z</t>
        </is>
      </c>
      <c r="D225" s="24" t="inlineStr">
        <is>
          <t>421-2026:181753</t>
        </is>
      </c>
      <c r="E225" s="24" t="inlineStr">
        <is>
          <t>TENNIS</t>
        </is>
      </c>
      <c r="F225" s="24" t="inlineStr">
        <is>
          <t>Francisco Cerundolo</t>
        </is>
      </c>
      <c r="G225" s="24" t="inlineStr">
        <is>
          <t>Alex Michelsen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144</v>
      </c>
      <c r="M225" s="27" t="n">
        <v>2.44</v>
      </c>
      <c r="N225" s="28" t="n">
        <v>0.409836</v>
      </c>
      <c r="O225" s="28" t="n">
        <v>0.657899</v>
      </c>
      <c r="P225" s="28" t="n">
        <v>0.05</v>
      </c>
      <c r="Q225" s="28" t="n">
        <v>0.248063</v>
      </c>
      <c r="R225" s="26" t="n">
        <v>100</v>
      </c>
      <c r="S225" s="29" t="n">
        <v>1.75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144</v>
      </c>
      <c r="AA225" s="28" t="n">
        <v>0.41</v>
      </c>
      <c r="AB225" s="28" t="n">
        <v>0.000164</v>
      </c>
      <c r="AC225" s="30" t="n">
        <v>-1.75</v>
      </c>
      <c r="AD225" s="24" t="inlineStr">
        <is>
          <t>2026-08-06T00:20:43.459804Z</t>
        </is>
      </c>
      <c r="AE225" s="31" t="inlineStr">
        <is>
          <t>Surface-blended Elo on Hard: Francisco Cerundolo p=0.658 vs Alex Michelsen. Executable ask 0.4100 (aec-atp-alemic-fracer-2026-08-06).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Francisco Cerundolo</t>
        </is>
      </c>
      <c r="AQ225" s="24" t="inlineStr">
        <is>
          <t>Francisco Cerundolo</t>
        </is>
      </c>
      <c r="AR225" s="24" t="inlineStr">
        <is>
          <t>Francisco Cerundolo</t>
        </is>
      </c>
      <c r="AS225" s="24" t="inlineStr">
        <is>
          <t>Alex Michelsen</t>
        </is>
      </c>
      <c r="AT225" s="24" t="inlineStr">
        <is>
          <t>Alex Michelsen</t>
        </is>
      </c>
      <c r="AU225" s="24" t="inlineStr">
        <is>
          <t>Alex Michelsen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2026-08-05T17:02:18.609359Z</t>
        </is>
      </c>
      <c r="BI225" s="24" t="inlineStr">
        <is>
          <t>["same_event","same_team_same_day","same_league_same_day"]</t>
        </is>
      </c>
      <c r="BJ225" s="25" t="n"/>
      <c r="BK225" s="26" t="n">
        <v>144</v>
      </c>
      <c r="BL225" s="27" t="n">
        <v>2.44</v>
      </c>
      <c r="BM225" s="28" t="n">
        <v>0.409836</v>
      </c>
      <c r="BN225" s="28" t="n"/>
      <c r="BO225" s="28" t="n"/>
      <c r="BP225" s="25" t="n"/>
      <c r="BQ225" s="27" t="n">
        <v>2.44</v>
      </c>
      <c r="BR225" s="28" t="n">
        <v>0.41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0.409836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15511601267f4ed3</t>
        </is>
      </c>
      <c r="B226" s="24" t="inlineStr">
        <is>
          <t>2026-08-05T17:03:22.897552Z</t>
        </is>
      </c>
      <c r="C226" s="24" t="inlineStr">
        <is>
          <t>2026-08-05T21:00Z</t>
        </is>
      </c>
      <c r="D226" s="24" t="inlineStr">
        <is>
          <t>421-2026:181719</t>
        </is>
      </c>
      <c r="E226" s="24" t="inlineStr">
        <is>
          <t>TENNIS</t>
        </is>
      </c>
      <c r="F226" s="24" t="inlineStr">
        <is>
          <t>Jakub Mensik</t>
        </is>
      </c>
      <c r="G226" s="24" t="inlineStr">
        <is>
          <t>Jacob Fearnley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0.742792</v>
      </c>
      <c r="P226" s="28" t="n">
        <v>0.05</v>
      </c>
      <c r="Q226" s="28" t="n">
        <v>0.05239</v>
      </c>
      <c r="R226" s="26" t="n">
        <v>46</v>
      </c>
      <c r="S226" s="29" t="n">
        <v>2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0.8969</v>
      </c>
      <c r="AD226" s="24" t="inlineStr">
        <is>
          <t>2026-08-06T03:25:31.997124Z</t>
        </is>
      </c>
      <c r="AE226" s="31" t="inlineStr">
        <is>
          <t>Surface-blended Elo on Hard: Jakub Mensik p=0.743 vs Jacob Fearnley. Executable ask 0.6900 (aec-atp-jacfea-jakmen-2026-08-05).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6" s="24" t="inlineStr">
        <is>
          <t>paper_call</t>
        </is>
      </c>
      <c r="AL226" s="26" t="n">
        <v>3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PAPER_CALL_WINNER_OVERVALUED</t>
        </is>
      </c>
      <c r="AP226" s="24" t="inlineStr">
        <is>
          <t>Jakub Mensik</t>
        </is>
      </c>
      <c r="AQ226" s="24" t="inlineStr">
        <is>
          <t>Jakub Mensik</t>
        </is>
      </c>
      <c r="AR226" s="24" t="inlineStr">
        <is>
          <t>Jakub Mensik</t>
        </is>
      </c>
      <c r="AS226" s="24" t="inlineStr">
        <is>
          <t>Jacob Fearnley</t>
        </is>
      </c>
      <c r="AT226" s="24" t="inlineStr">
        <is>
          <t>Jacob Fearnley</t>
        </is>
      </c>
      <c r="AU226" s="24" t="inlineStr">
        <is>
          <t>Jacob Fearnley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2026-08-05T17:02:20.858798Z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0.690402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46d5ecc1949b4c49</t>
        </is>
      </c>
      <c r="B227" s="24" t="inlineStr">
        <is>
          <t>2026-08-05T17:03:22.897552Z</t>
        </is>
      </c>
      <c r="C227" s="24" t="inlineStr">
        <is>
          <t>2026-08-05T21:00Z</t>
        </is>
      </c>
      <c r="D227" s="24" t="inlineStr">
        <is>
          <t>421-2026:181755</t>
        </is>
      </c>
      <c r="E227" s="24" t="inlineStr">
        <is>
          <t>TENNIS</t>
        </is>
      </c>
      <c r="F227" s="24" t="inlineStr">
        <is>
          <t>Daniel Merida</t>
        </is>
      </c>
      <c r="G227" s="24" t="inlineStr">
        <is>
          <t>Ugo Humbert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-223</v>
      </c>
      <c r="M227" s="27" t="n">
        <v>1.44843</v>
      </c>
      <c r="N227" s="28" t="n">
        <v>0.690402</v>
      </c>
      <c r="O227" s="28" t="n">
        <v>0.601922</v>
      </c>
      <c r="P227" s="28" t="n">
        <v>0.05</v>
      </c>
      <c r="Q227" s="28" t="n">
        <v>-0.08848</v>
      </c>
      <c r="R227" s="26" t="n">
        <v>0</v>
      </c>
      <c r="S227" s="29" t="n">
        <v>1.25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-223</v>
      </c>
      <c r="AA227" s="28" t="n">
        <v>0.6899999999999999</v>
      </c>
      <c r="AB227" s="28" t="n">
        <v>-0.000402</v>
      </c>
      <c r="AC227" s="30" t="n">
        <v>-1.25</v>
      </c>
      <c r="AD227" s="24" t="inlineStr">
        <is>
          <t>2026-08-06T03:25:34.372934Z</t>
        </is>
      </c>
      <c r="AE227" s="31" t="inlineStr">
        <is>
          <t>Surface-blended Elo on Hard: Daniel Merida p=0.398 vs Ugo Humbert. Executable ask 0.6900 (aec-atp-ugohum-danagu-2026-08-06).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7" s="24" t="inlineStr">
        <is>
          <t>paper_call</t>
        </is>
      </c>
      <c r="AL227" s="26" t="n">
        <v>3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PAPER_CALL_WINNER_OVERVALUED</t>
        </is>
      </c>
      <c r="AP227" s="24" t="inlineStr">
        <is>
          <t>Daniel Merida</t>
        </is>
      </c>
      <c r="AQ227" s="24" t="inlineStr">
        <is>
          <t>Daniel Merida</t>
        </is>
      </c>
      <c r="AR227" s="24" t="inlineStr">
        <is>
          <t>Daniel Merida</t>
        </is>
      </c>
      <c r="AS227" s="24" t="inlineStr">
        <is>
          <t>Ugo Humbert</t>
        </is>
      </c>
      <c r="AT227" s="24" t="inlineStr">
        <is>
          <t>Ugo Humbert</t>
        </is>
      </c>
      <c r="AU227" s="24" t="inlineStr">
        <is>
          <t>Ugo Humbert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2026-08-05T17:02:19.486831Z</t>
        </is>
      </c>
      <c r="BI227" s="24" t="inlineStr">
        <is>
          <t>["same_event","same_team_same_day","same_league_same_day"]</t>
        </is>
      </c>
      <c r="BJ227" s="25" t="n"/>
      <c r="BK227" s="26" t="n">
        <v>-223</v>
      </c>
      <c r="BL227" s="27" t="n">
        <v>1.44843</v>
      </c>
      <c r="BM227" s="28" t="n">
        <v>0.690402</v>
      </c>
      <c r="BN227" s="28" t="n"/>
      <c r="BO227" s="28" t="n"/>
      <c r="BP227" s="25" t="n"/>
      <c r="BQ227" s="27" t="n">
        <v>1.44843</v>
      </c>
      <c r="BR227" s="28" t="n">
        <v>0.6899999999999999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0.690402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90adba31b9bd4423</t>
        </is>
      </c>
      <c r="B228" s="24" t="inlineStr">
        <is>
          <t>2026-08-05T21:01:38.332565Z</t>
        </is>
      </c>
      <c r="C228" s="24" t="inlineStr">
        <is>
          <t>2026-08-05T23:00Z</t>
        </is>
      </c>
      <c r="D228" s="24" t="inlineStr">
        <is>
          <t>421-2026:182170</t>
        </is>
      </c>
      <c r="E228" s="24" t="inlineStr">
        <is>
          <t>TENNIS</t>
        </is>
      </c>
      <c r="F228" s="24" t="inlineStr">
        <is>
          <t>Leylah Fernandez</t>
        </is>
      </c>
      <c r="G228" s="24" t="inlineStr">
        <is>
          <t>Renata Zarazua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-285</v>
      </c>
      <c r="M228" s="27" t="n">
        <v>1.350877</v>
      </c>
      <c r="N228" s="28" t="n">
        <v>0.74026</v>
      </c>
      <c r="O228" s="28" t="n">
        <v>0.686095</v>
      </c>
      <c r="P228" s="28" t="n">
        <v>0.05</v>
      </c>
      <c r="Q228" s="28" t="n">
        <v>-0.054165</v>
      </c>
      <c r="R228" s="26" t="n">
        <v>0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-285</v>
      </c>
      <c r="AA228" s="28" t="n">
        <v>0.74</v>
      </c>
      <c r="AB228" s="28" t="n">
        <v>-0.00026</v>
      </c>
      <c r="AC228" s="30" t="n">
        <v>0.7018</v>
      </c>
      <c r="AD228" s="24" t="inlineStr">
        <is>
          <t>2026-08-06T03:26:28.167261Z</t>
        </is>
      </c>
      <c r="AE228" s="31" t="inlineStr">
        <is>
          <t>Surface-blended Elo on Hard: Leylah Fernandez p=0.686 vs Renata Zarazua. Executable ask 0.7400 (aec-wta-renzar-leyfer-2026-08-05).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8" s="24" t="inlineStr">
        <is>
          <t>paper_call</t>
        </is>
      </c>
      <c r="AL228" s="26" t="n">
        <v>3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PAPER_CALL_WINNER_OVERVALUED</t>
        </is>
      </c>
      <c r="AP228" s="24" t="inlineStr">
        <is>
          <t>Leylah Fernandez</t>
        </is>
      </c>
      <c r="AQ228" s="24" t="inlineStr">
        <is>
          <t>Leylah Fernandez</t>
        </is>
      </c>
      <c r="AR228" s="24" t="inlineStr">
        <is>
          <t>Leylah Fernandez</t>
        </is>
      </c>
      <c r="AS228" s="24" t="inlineStr">
        <is>
          <t>Renata Zarazua</t>
        </is>
      </c>
      <c r="AT228" s="24" t="inlineStr">
        <is>
          <t>Renata Zarazua</t>
        </is>
      </c>
      <c r="AU228" s="24" t="inlineStr">
        <is>
          <t>Renata Zarazua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2026-08-05T21:00:58.717236Z</t>
        </is>
      </c>
      <c r="BI228" s="24" t="inlineStr">
        <is>
          <t>["same_event","same_team_same_day","same_league_same_day"]</t>
        </is>
      </c>
      <c r="BJ228" s="25" t="n"/>
      <c r="BK228" s="26" t="n">
        <v>-285</v>
      </c>
      <c r="BL228" s="27" t="n">
        <v>1.350877</v>
      </c>
      <c r="BM228" s="28" t="n">
        <v>0.74026</v>
      </c>
      <c r="BN228" s="28" t="n"/>
      <c r="BO228" s="28" t="n"/>
      <c r="BP228" s="25" t="n"/>
      <c r="BQ228" s="27" t="n">
        <v>1.350877</v>
      </c>
      <c r="BR228" s="28" t="n">
        <v>0.74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0.74026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a1729e6fe43041fd</t>
        </is>
      </c>
      <c r="B229" s="24" t="inlineStr">
        <is>
          <t>2026-08-05T21:01:38.332565Z</t>
        </is>
      </c>
      <c r="C229" s="24" t="inlineStr">
        <is>
          <t>2026-08-05T22:00Z</t>
        </is>
      </c>
      <c r="D229" s="24" t="inlineStr">
        <is>
          <t>421-2026:181733</t>
        </is>
      </c>
      <c r="E229" s="24" t="inlineStr">
        <is>
          <t>TENNIS</t>
        </is>
      </c>
      <c r="F229" s="24" t="inlineStr">
        <is>
          <t>Botic Van De Zandschulp</t>
        </is>
      </c>
      <c r="G229" s="24" t="inlineStr">
        <is>
          <t>Daniil Medvedev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-317</v>
      </c>
      <c r="M229" s="27" t="n">
        <v>1.315457</v>
      </c>
      <c r="N229" s="28" t="n">
        <v>0.760192</v>
      </c>
      <c r="O229" s="28" t="n">
        <v>0.8122509999999999</v>
      </c>
      <c r="P229" s="28" t="n">
        <v>0.05</v>
      </c>
      <c r="Q229" s="28" t="n">
        <v>0.052059</v>
      </c>
      <c r="R229" s="26" t="n">
        <v>46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-317</v>
      </c>
      <c r="AA229" s="28" t="n">
        <v>0.76</v>
      </c>
      <c r="AB229" s="28" t="n">
        <v>-0.000192</v>
      </c>
      <c r="AC229" s="30" t="n">
        <v>-2</v>
      </c>
      <c r="AD229" s="24" t="inlineStr">
        <is>
          <t>2026-08-06T03:26:30.588476Z</t>
        </is>
      </c>
      <c r="AE229" s="31" t="inlineStr">
        <is>
          <t>Surface-blended Elo on Hard: Botic Van De Zandschulp p=0.188 vs Daniil Medvedev. Executable ask 0.7600 (aec-atp-danmed-botzan-2026-08-06).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review_required</t>
        </is>
      </c>
      <c r="AH229" s="24" t="n"/>
      <c r="AI229" s="31" t="n"/>
      <c r="AJ2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9" s="24" t="inlineStr">
        <is>
          <t>paper_call</t>
        </is>
      </c>
      <c r="AL229" s="26" t="n">
        <v>3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PAPER_CALL_WINNER_OVERVALUED</t>
        </is>
      </c>
      <c r="AP229" s="24" t="inlineStr">
        <is>
          <t>Botic Van De Zandschulp</t>
        </is>
      </c>
      <c r="AQ229" s="24" t="inlineStr">
        <is>
          <t>Botic Van De Zandschulp</t>
        </is>
      </c>
      <c r="AR229" s="24" t="inlineStr">
        <is>
          <t>Botic Van De Zandschulp</t>
        </is>
      </c>
      <c r="AS229" s="24" t="inlineStr">
        <is>
          <t>Daniil Medvedev</t>
        </is>
      </c>
      <c r="AT229" s="24" t="inlineStr">
        <is>
          <t>Daniil Medvedev</t>
        </is>
      </c>
      <c r="AU229" s="24" t="inlineStr">
        <is>
          <t>Daniil Medvedev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2026-08-05T21:01:04.249126Z</t>
        </is>
      </c>
      <c r="BI229" s="24" t="inlineStr">
        <is>
          <t>["same_event","same_team_same_day","same_league_same_day"]</t>
        </is>
      </c>
      <c r="BJ229" s="25" t="n"/>
      <c r="BK229" s="26" t="n">
        <v>-317</v>
      </c>
      <c r="BL229" s="27" t="n">
        <v>1.315457</v>
      </c>
      <c r="BM229" s="28" t="n">
        <v>0.760192</v>
      </c>
      <c r="BN229" s="28" t="n"/>
      <c r="BO229" s="28" t="n"/>
      <c r="BP229" s="25" t="n"/>
      <c r="BQ229" s="27" t="n">
        <v>1.315457</v>
      </c>
      <c r="BR229" s="28" t="n">
        <v>0.76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0.760192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e7e6ac6b905c4caf</t>
        </is>
      </c>
      <c r="B230" s="24" t="inlineStr">
        <is>
          <t>2026-08-05T21:01:38.332565Z</t>
        </is>
      </c>
      <c r="C230" s="24" t="inlineStr">
        <is>
          <t>2026-08-05T23:30Z</t>
        </is>
      </c>
      <c r="D230" s="24" t="inlineStr">
        <is>
          <t>421-2026:181731</t>
        </is>
      </c>
      <c r="E230" s="24" t="inlineStr">
        <is>
          <t>TENNIS</t>
        </is>
      </c>
      <c r="F230" s="24" t="inlineStr">
        <is>
          <t>Tommy Paul</t>
        </is>
      </c>
      <c r="G230" s="24" t="inlineStr">
        <is>
          <t>Valentin Royer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-456</v>
      </c>
      <c r="M230" s="27" t="n">
        <v>1.219298</v>
      </c>
      <c r="N230" s="28" t="n">
        <v>0.820144</v>
      </c>
      <c r="O230" s="28" t="n">
        <v>0.855695</v>
      </c>
      <c r="P230" s="28" t="n">
        <v>0.05</v>
      </c>
      <c r="Q230" s="28" t="n">
        <v>0.035551</v>
      </c>
      <c r="R230" s="26" t="n">
        <v>38</v>
      </c>
      <c r="S230" s="29" t="n">
        <v>2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-456</v>
      </c>
      <c r="AA230" s="28" t="n">
        <v>0.82</v>
      </c>
      <c r="AB230" s="28" t="n">
        <v>-0.000144</v>
      </c>
      <c r="AC230" s="30" t="n">
        <v>0.4386</v>
      </c>
      <c r="AD230" s="24" t="inlineStr">
        <is>
          <t>2026-08-06T03:26:32.942899Z</t>
        </is>
      </c>
      <c r="AE230" s="31" t="inlineStr">
        <is>
          <t>Surface-blended Elo on Hard: Tommy Paul p=0.856 vs Valentin Royer. Executable ask 0.8200 (aec-atp-valroy-tompau-2026-08-05).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0" s="24" t="inlineStr">
        <is>
          <t>paper_call</t>
        </is>
      </c>
      <c r="AL230" s="26" t="n">
        <v>3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PAPER_CALL_WINNER_OVERVALUED</t>
        </is>
      </c>
      <c r="AP230" s="24" t="inlineStr">
        <is>
          <t>Tommy Paul</t>
        </is>
      </c>
      <c r="AQ230" s="24" t="inlineStr">
        <is>
          <t>Tommy Paul</t>
        </is>
      </c>
      <c r="AR230" s="24" t="inlineStr">
        <is>
          <t>Tommy Paul</t>
        </is>
      </c>
      <c r="AS230" s="24" t="inlineStr">
        <is>
          <t>Valentin Royer</t>
        </is>
      </c>
      <c r="AT230" s="24" t="inlineStr">
        <is>
          <t>Valentin Royer</t>
        </is>
      </c>
      <c r="AU230" s="24" t="inlineStr">
        <is>
          <t>Valentin Royer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2026-08-05T21:01:07.355972Z</t>
        </is>
      </c>
      <c r="BI230" s="24" t="inlineStr">
        <is>
          <t>["same_event","same_team_same_day","same_league_same_day"]</t>
        </is>
      </c>
      <c r="BJ230" s="25" t="n"/>
      <c r="BK230" s="26" t="n">
        <v>-456</v>
      </c>
      <c r="BL230" s="27" t="n">
        <v>1.219298</v>
      </c>
      <c r="BM230" s="28" t="n">
        <v>0.820144</v>
      </c>
      <c r="BN230" s="28" t="n"/>
      <c r="BO230" s="28" t="n"/>
      <c r="BP230" s="25" t="n"/>
      <c r="BQ230" s="27" t="n">
        <v>1.219298</v>
      </c>
      <c r="BR230" s="28" t="n">
        <v>0.82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0.820144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e8a128b1957c488f</t>
        </is>
      </c>
      <c r="B231" s="24" t="inlineStr">
        <is>
          <t>2026-08-06T00:23:20.957652Z</t>
        </is>
      </c>
      <c r="C231" s="24" t="inlineStr">
        <is>
          <t>2026-08-06T00:30Z</t>
        </is>
      </c>
      <c r="D231" s="24" t="inlineStr">
        <is>
          <t>421-2026:182216</t>
        </is>
      </c>
      <c r="E231" s="24" t="inlineStr">
        <is>
          <t>TENNIS</t>
        </is>
      </c>
      <c r="F231" s="24" t="inlineStr">
        <is>
          <t>Alexandra Eala</t>
        </is>
      </c>
      <c r="G231" s="24" t="inlineStr">
        <is>
          <t>Alycia Parks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-456</v>
      </c>
      <c r="M231" s="27" t="n">
        <v>1.219298</v>
      </c>
      <c r="N231" s="28" t="n">
        <v>0.820144</v>
      </c>
      <c r="O231" s="28" t="n">
        <v>0.699863</v>
      </c>
      <c r="P231" s="28" t="n">
        <v>0.05</v>
      </c>
      <c r="Q231" s="28" t="n">
        <v>-0.120281</v>
      </c>
      <c r="R231" s="26" t="n">
        <v>0</v>
      </c>
      <c r="S231" s="29" t="n">
        <v>2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-456</v>
      </c>
      <c r="AA231" s="28" t="n">
        <v>0.82</v>
      </c>
      <c r="AB231" s="28" t="n">
        <v>-0.000144</v>
      </c>
      <c r="AC231" s="30" t="n">
        <v>0.4386</v>
      </c>
      <c r="AD231" s="24" t="inlineStr">
        <is>
          <t>2026-08-06T03:26:40.903938Z</t>
        </is>
      </c>
      <c r="AE231" s="31" t="inlineStr">
        <is>
          <t>Surface-blended Elo on Hard: Alexandra Eala p=0.700 vs Alycia Parks. Executable ask 0.8200 (aec-wta-alypar-aleeal-2026-08-04).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1" s="24" t="inlineStr">
        <is>
          <t>paper_call</t>
        </is>
      </c>
      <c r="AL231" s="26" t="n">
        <v>3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PAPER_CALL_WINNER_OVERVALUED</t>
        </is>
      </c>
      <c r="AP231" s="24" t="inlineStr">
        <is>
          <t>Alexandra Eala</t>
        </is>
      </c>
      <c r="AQ231" s="24" t="inlineStr">
        <is>
          <t>Alexandra Eala</t>
        </is>
      </c>
      <c r="AR231" s="24" t="inlineStr">
        <is>
          <t>Alexandra Eala</t>
        </is>
      </c>
      <c r="AS231" s="24" t="inlineStr">
        <is>
          <t>Alycia Parks</t>
        </is>
      </c>
      <c r="AT231" s="24" t="inlineStr">
        <is>
          <t>Alycia Parks</t>
        </is>
      </c>
      <c r="AU231" s="24" t="inlineStr">
        <is>
          <t>Alycia Parks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2026-08-06T00:23:02.086603Z</t>
        </is>
      </c>
      <c r="BI231" s="24" t="inlineStr">
        <is>
          <t>["same_event","same_team_same_day","same_league_same_day"]</t>
        </is>
      </c>
      <c r="BJ231" s="25" t="n"/>
      <c r="BK231" s="26" t="n">
        <v>-456</v>
      </c>
      <c r="BL231" s="27" t="n">
        <v>1.219298</v>
      </c>
      <c r="BM231" s="28" t="n">
        <v>0.820144</v>
      </c>
      <c r="BN231" s="28" t="n"/>
      <c r="BO231" s="28" t="n"/>
      <c r="BP231" s="25" t="n"/>
      <c r="BQ231" s="27" t="n">
        <v>1.219298</v>
      </c>
      <c r="BR231" s="28" t="n">
        <v>0.82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0.820144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87a9d15227f84167</t>
        </is>
      </c>
      <c r="B232" s="24" t="inlineStr">
        <is>
          <t>2026-08-06T00:23:20.957652Z</t>
        </is>
      </c>
      <c r="C232" s="24" t="inlineStr">
        <is>
          <t>2026-08-06T00:30Z</t>
        </is>
      </c>
      <c r="D232" s="24" t="inlineStr">
        <is>
          <t>421-2026:181761</t>
        </is>
      </c>
      <c r="E232" s="24" t="inlineStr">
        <is>
          <t>TENNIS</t>
        </is>
      </c>
      <c r="F232" s="24" t="inlineStr">
        <is>
          <t>Gael Monfils</t>
        </is>
      </c>
      <c r="G232" s="24" t="inlineStr">
        <is>
          <t>Learner Tien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-270</v>
      </c>
      <c r="M232" s="27" t="n">
        <v>1.37037</v>
      </c>
      <c r="N232" s="28" t="n">
        <v>0.72973</v>
      </c>
      <c r="O232" s="28" t="n">
        <v>0.768099</v>
      </c>
      <c r="P232" s="28" t="n">
        <v>0.05</v>
      </c>
      <c r="Q232" s="28" t="n">
        <v>0.038369</v>
      </c>
      <c r="R232" s="26" t="n">
        <v>39</v>
      </c>
      <c r="S232" s="29" t="n">
        <v>2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-270</v>
      </c>
      <c r="AA232" s="28" t="n">
        <v>0.73</v>
      </c>
      <c r="AB232" s="28" t="n">
        <v>0.00027</v>
      </c>
      <c r="AC232" s="30" t="n">
        <v>0.7407</v>
      </c>
      <c r="AD232" s="24" t="inlineStr">
        <is>
          <t>2026-08-06T03:26:43.319026Z</t>
        </is>
      </c>
      <c r="AE232" s="31" t="inlineStr">
        <is>
          <t>Surface-blended Elo on Hard: Gael Monfils p=0.232 vs Learner Tien. Executable ask 0.7300 (aec-atp-leatie-gaemon-2026-08-05).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2" s="24" t="inlineStr">
        <is>
          <t>paper_call</t>
        </is>
      </c>
      <c r="AL232" s="26" t="n">
        <v>3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PAPER_CALL_WINNER_OVERVALUED</t>
        </is>
      </c>
      <c r="AP232" s="24" t="inlineStr">
        <is>
          <t>Gael Monfils</t>
        </is>
      </c>
      <c r="AQ232" s="24" t="inlineStr">
        <is>
          <t>Gael Monfils</t>
        </is>
      </c>
      <c r="AR232" s="24" t="inlineStr">
        <is>
          <t>Gael Monfils</t>
        </is>
      </c>
      <c r="AS232" s="24" t="inlineStr">
        <is>
          <t>Learner Tien</t>
        </is>
      </c>
      <c r="AT232" s="24" t="inlineStr">
        <is>
          <t>Learner Tien</t>
        </is>
      </c>
      <c r="AU232" s="24" t="inlineStr">
        <is>
          <t>Learner Tien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2026-08-06T00:23:04.666471Z</t>
        </is>
      </c>
      <c r="BI232" s="24" t="inlineStr">
        <is>
          <t>["same_event","same_team_same_day","same_league_same_day"]</t>
        </is>
      </c>
      <c r="BJ232" s="25" t="n"/>
      <c r="BK232" s="26" t="n">
        <v>-270</v>
      </c>
      <c r="BL232" s="27" t="n">
        <v>1.37037</v>
      </c>
      <c r="BM232" s="28" t="n">
        <v>0.72973</v>
      </c>
      <c r="BN232" s="28" t="n"/>
      <c r="BO232" s="28" t="n"/>
      <c r="BP232" s="25" t="n"/>
      <c r="BQ232" s="27" t="n">
        <v>1.37037</v>
      </c>
      <c r="BR232" s="28" t="n">
        <v>0.73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0.72973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13b5e50bc6bb44af</t>
        </is>
      </c>
      <c r="B233" s="24" t="inlineStr">
        <is>
          <t>2026-08-06T18:58:42.068094Z</t>
        </is>
      </c>
      <c r="C233" s="24" t="inlineStr">
        <is>
          <t>2026-08-06T19:00Z</t>
        </is>
      </c>
      <c r="D233" s="24" t="inlineStr">
        <is>
          <t>421-2026:182181</t>
        </is>
      </c>
      <c r="E233" s="24" t="inlineStr">
        <is>
          <t>TENNIS</t>
        </is>
      </c>
      <c r="F233" s="24" t="inlineStr">
        <is>
          <t>Madison Keys</t>
        </is>
      </c>
      <c r="G233" s="24" t="inlineStr">
        <is>
          <t>Marta Kostyuk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-127</v>
      </c>
      <c r="M233" s="27" t="n">
        <v>1.787402</v>
      </c>
      <c r="N233" s="28" t="n">
        <v>0.5594710000000001</v>
      </c>
      <c r="O233" s="28" t="n">
        <v>0.5615599999999999</v>
      </c>
      <c r="P233" s="28" t="n">
        <v>0.05</v>
      </c>
      <c r="Q233" s="28" t="n">
        <v>0.002089</v>
      </c>
      <c r="R233" s="26" t="n">
        <v>21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-127</v>
      </c>
      <c r="AA233" s="28" t="n">
        <v>0.5600000000000001</v>
      </c>
      <c r="AB233" s="28" t="n">
        <v>0.000529</v>
      </c>
      <c r="AC233" s="30" t="n">
        <v>0.7874</v>
      </c>
      <c r="AD233" s="24" t="inlineStr">
        <is>
          <t>2026-08-07T09:06:49.084880Z</t>
        </is>
      </c>
      <c r="AE233" s="31" t="inlineStr">
        <is>
          <t>Surface-blended Elo on Hard: Madison Keys p=0.438 vs Marta Kostyuk. Executable ask 0.5600 (aec-wta-markos-madkey-2026-08-05).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3" s="24" t="inlineStr">
        <is>
          <t>paper_call</t>
        </is>
      </c>
      <c r="AL233" s="26" t="n">
        <v>3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PAPER_CALL_WINNER_OVERVALUED</t>
        </is>
      </c>
      <c r="AP233" s="24" t="inlineStr">
        <is>
          <t>Madison Keys</t>
        </is>
      </c>
      <c r="AQ233" s="24" t="inlineStr">
        <is>
          <t>Madison Keys</t>
        </is>
      </c>
      <c r="AR233" s="24" t="inlineStr">
        <is>
          <t>Madison Keys</t>
        </is>
      </c>
      <c r="AS233" s="24" t="inlineStr">
        <is>
          <t>Marta Kostyuk</t>
        </is>
      </c>
      <c r="AT233" s="24" t="inlineStr">
        <is>
          <t>Marta Kostyuk</t>
        </is>
      </c>
      <c r="AU233" s="24" t="inlineStr">
        <is>
          <t>Marta Kostyuk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2026-08-06T18:58:01.782347Z</t>
        </is>
      </c>
      <c r="BI233" s="24" t="inlineStr">
        <is>
          <t>["same_event","same_team_same_day","same_league_same_day"]</t>
        </is>
      </c>
      <c r="BJ233" s="25" t="n"/>
      <c r="BK233" s="26" t="n">
        <v>-127</v>
      </c>
      <c r="BL233" s="27" t="n">
        <v>1.787402</v>
      </c>
      <c r="BM233" s="28" t="n">
        <v>0.5594710000000001</v>
      </c>
      <c r="BN233" s="28" t="n"/>
      <c r="BO233" s="28" t="n"/>
      <c r="BP233" s="25" t="n"/>
      <c r="BQ233" s="27" t="n">
        <v>1.787402</v>
      </c>
      <c r="BR233" s="28" t="n">
        <v>0.5600000000000001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0.559471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c7c8c930f27c4ef5</t>
        </is>
      </c>
      <c r="B234" s="24" t="inlineStr">
        <is>
          <t>2026-08-06T18:58:42.068094Z</t>
        </is>
      </c>
      <c r="C234" s="24" t="inlineStr">
        <is>
          <t>2026-08-06T21:00Z</t>
        </is>
      </c>
      <c r="D234" s="24" t="inlineStr">
        <is>
          <t>421-2026:182193</t>
        </is>
      </c>
      <c r="E234" s="24" t="inlineStr">
        <is>
          <t>TENNIS</t>
        </is>
      </c>
      <c r="F234" s="24" t="inlineStr">
        <is>
          <t>Amanda Anisimova</t>
        </is>
      </c>
      <c r="G234" s="24" t="inlineStr">
        <is>
          <t>Nikola Bartunkova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0.7591</v>
      </c>
      <c r="P234" s="28" t="n">
        <v>0.05</v>
      </c>
      <c r="Q234" s="28" t="n">
        <v>0.099236</v>
      </c>
      <c r="R234" s="26" t="n">
        <v>70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0</v>
      </c>
      <c r="Y234" s="25" t="n"/>
      <c r="Z234" s="26" t="n">
        <v>-194</v>
      </c>
      <c r="AA234" s="28" t="n">
        <v>0.66</v>
      </c>
      <c r="AB234" s="28" t="n">
        <v>0.000136</v>
      </c>
      <c r="AC234" s="30" t="n">
        <v>1.0309</v>
      </c>
      <c r="AD234" s="24" t="inlineStr">
        <is>
          <t>2026-08-07T09:06:50.450161Z</t>
        </is>
      </c>
      <c r="AE234" s="31" t="inlineStr">
        <is>
          <t>Surface-blended Elo on Hard: Amanda Anisimova p=0.759 vs Nikola Bartunkova. Executable ask 0.6600 (aec-wta-nikbar-amaani-2026-08-06).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Amanda Anisimova</t>
        </is>
      </c>
      <c r="AQ234" s="24" t="inlineStr">
        <is>
          <t>Amanda Anisimova</t>
        </is>
      </c>
      <c r="AR234" s="24" t="inlineStr">
        <is>
          <t>Amanda Anisimova</t>
        </is>
      </c>
      <c r="AS234" s="24" t="inlineStr">
        <is>
          <t>Nikola Bartunkova</t>
        </is>
      </c>
      <c r="AT234" s="24" t="inlineStr">
        <is>
          <t>Nikola Bartunkova</t>
        </is>
      </c>
      <c r="AU234" s="24" t="inlineStr">
        <is>
          <t>Nikola Bartunkova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3ab056fefe04713e3c294da76c8adb2866b0dc46556ed32322a0426dd344a0e4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3ab056fefe04713e3c294da76c8adb2866b0dc46556ed32322a0426dd344a0e4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3ab056fefe04713e3c294da76c8adb2866b0dc46556ed32322a0426dd344a0e4</t>
        </is>
      </c>
      <c r="BH234" s="24" t="inlineStr">
        <is>
          <t>2026-08-06T18:58:03.210799Z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>
        <v>1.515464</v>
      </c>
      <c r="BR234" s="28" t="n">
        <v>0.66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0.659864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f53f053100944461</t>
        </is>
      </c>
      <c r="B235" s="24" t="inlineStr">
        <is>
          <t>2026-08-06T18:58:42.068094Z</t>
        </is>
      </c>
      <c r="C235" s="24" t="inlineStr">
        <is>
          <t>2026-08-06T23:00Z</t>
        </is>
      </c>
      <c r="D235" s="24" t="inlineStr">
        <is>
          <t>421-2026:182171</t>
        </is>
      </c>
      <c r="E235" s="24" t="inlineStr">
        <is>
          <t>TENNIS</t>
        </is>
      </c>
      <c r="F235" s="24" t="inlineStr">
        <is>
          <t>Zhang Shuai</t>
        </is>
      </c>
      <c r="G235" s="24" t="inlineStr">
        <is>
          <t>Aryna Sabalenka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-1329</v>
      </c>
      <c r="M235" s="27" t="n">
        <v>1.075245</v>
      </c>
      <c r="N235" s="28" t="n">
        <v>0.930021</v>
      </c>
      <c r="O235" s="28" t="n">
        <v>0.944807</v>
      </c>
      <c r="P235" s="28" t="n">
        <v>0.05</v>
      </c>
      <c r="Q235" s="28" t="n">
        <v>0.014786</v>
      </c>
      <c r="R235" s="26" t="n">
        <v>27</v>
      </c>
      <c r="S235" s="29" t="n">
        <v>2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-1329</v>
      </c>
      <c r="AA235" s="28" t="n">
        <v>0.93</v>
      </c>
      <c r="AB235" s="28" t="n">
        <v>-2.1e-05</v>
      </c>
      <c r="AC235" s="30" t="n">
        <v>0.1505</v>
      </c>
      <c r="AD235" s="24" t="inlineStr">
        <is>
          <t>2026-08-07T09:06:51.823785Z</t>
        </is>
      </c>
      <c r="AE235" s="31" t="inlineStr">
        <is>
          <t>Surface-blended Elo on Hard: Zhang Shuai p=0.055 vs Aryna Sabalenka. Executable ask 0.9300 (aec-wta-arysab-shuzha-2026-08-06).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not_applicable</t>
        </is>
      </c>
      <c r="AH235" s="24" t="n"/>
      <c r="AI235" s="31" t="n"/>
      <c r="AJ2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5" s="24" t="inlineStr">
        <is>
          <t>paper_call</t>
        </is>
      </c>
      <c r="AL235" s="26" t="n">
        <v>3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PAPER_CALL_WINNER_OVERVALUED</t>
        </is>
      </c>
      <c r="AP235" s="24" t="inlineStr">
        <is>
          <t>Zhang Shuai</t>
        </is>
      </c>
      <c r="AQ235" s="24" t="inlineStr">
        <is>
          <t>Zhang Shuai</t>
        </is>
      </c>
      <c r="AR235" s="24" t="inlineStr">
        <is>
          <t>Zhang Shuai</t>
        </is>
      </c>
      <c r="AS235" s="24" t="inlineStr">
        <is>
          <t>Aryna Sabalenka</t>
        </is>
      </c>
      <c r="AT235" s="24" t="inlineStr">
        <is>
          <t>Aryna Sabalenka</t>
        </is>
      </c>
      <c r="AU235" s="24" t="inlineStr">
        <is>
          <t>Aryna Sabalenka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3ab056fefe04713e3c294da76c8adb2866b0dc46556ed32322a0426dd344a0e4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3ab056fefe04713e3c294da76c8adb2866b0dc46556ed32322a0426dd344a0e4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3ab056fefe04713e3c294da76c8adb2866b0dc46556ed32322a0426dd344a0e4</t>
        </is>
      </c>
      <c r="BH235" s="24" t="inlineStr">
        <is>
          <t>2026-08-06T18:58:03.889736Z</t>
        </is>
      </c>
      <c r="BI235" s="24" t="inlineStr">
        <is>
          <t>["same_event","same_team_same_day","same_league_same_day"]</t>
        </is>
      </c>
      <c r="BJ235" s="25" t="n"/>
      <c r="BK235" s="26" t="n">
        <v>-1329</v>
      </c>
      <c r="BL235" s="27" t="n">
        <v>1.075245</v>
      </c>
      <c r="BM235" s="28" t="n">
        <v>0.930021</v>
      </c>
      <c r="BN235" s="28" t="n"/>
      <c r="BO235" s="28" t="n"/>
      <c r="BP235" s="25" t="n"/>
      <c r="BQ235" s="27" t="n">
        <v>1.075245</v>
      </c>
      <c r="BR235" s="28" t="n">
        <v>0.93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0.930021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3c5b3b4dbb9c40dc</t>
        </is>
      </c>
      <c r="B236" s="24" t="inlineStr">
        <is>
          <t>2026-08-06T18:58:42.068094Z</t>
        </is>
      </c>
      <c r="C236" s="24" t="inlineStr">
        <is>
          <t>2026-08-06T22:00Z</t>
        </is>
      </c>
      <c r="D236" s="24" t="inlineStr">
        <is>
          <t>421-2026:181764</t>
        </is>
      </c>
      <c r="E236" s="24" t="inlineStr">
        <is>
          <t>TENNIS</t>
        </is>
      </c>
      <c r="F236" s="24" t="inlineStr">
        <is>
          <t>Alexander Blockx</t>
        </is>
      </c>
      <c r="G236" s="24" t="inlineStr">
        <is>
          <t>Jiri Lehecka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-194</v>
      </c>
      <c r="M236" s="27" t="n">
        <v>1.515464</v>
      </c>
      <c r="N236" s="28" t="n">
        <v>0.659864</v>
      </c>
      <c r="O236" s="28" t="n">
        <v>0.699884</v>
      </c>
      <c r="P236" s="28" t="n">
        <v>0.05</v>
      </c>
      <c r="Q236" s="28" t="n">
        <v>0.04002</v>
      </c>
      <c r="R236" s="26" t="n">
        <v>40</v>
      </c>
      <c r="S236" s="29" t="n">
        <v>2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-194</v>
      </c>
      <c r="AA236" s="28" t="n">
        <v>0.66</v>
      </c>
      <c r="AB236" s="28" t="n">
        <v>0.000136</v>
      </c>
      <c r="AC236" s="30" t="n">
        <v>1.0309</v>
      </c>
      <c r="AD236" s="24" t="inlineStr">
        <is>
          <t>2026-08-07T09:06:53.201796Z</t>
        </is>
      </c>
      <c r="AE236" s="31" t="inlineStr">
        <is>
          <t>Surface-blended Elo on Hard: Alexander Blockx p=0.300 vs Jiri Lehecka. Executable ask 0.6600 (aec-atp-jirleh-aleblo-2026-08-06).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6" s="24" t="inlineStr">
        <is>
          <t>paper_call</t>
        </is>
      </c>
      <c r="AL236" s="26" t="n">
        <v>3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PAPER_CALL_WINNER_OVERVALUED</t>
        </is>
      </c>
      <c r="AP236" s="24" t="inlineStr">
        <is>
          <t>Alexander Blockx</t>
        </is>
      </c>
      <c r="AQ236" s="24" t="inlineStr">
        <is>
          <t>Alexander Blockx</t>
        </is>
      </c>
      <c r="AR236" s="24" t="inlineStr">
        <is>
          <t>Alexander Blockx</t>
        </is>
      </c>
      <c r="AS236" s="24" t="inlineStr">
        <is>
          <t>Jiri Lehecka</t>
        </is>
      </c>
      <c r="AT236" s="24" t="inlineStr">
        <is>
          <t>Jiri Lehecka</t>
        </is>
      </c>
      <c r="AU236" s="24" t="inlineStr">
        <is>
          <t>Jiri Lehecka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3ab056fefe04713e3c294da76c8adb2866b0dc46556ed32322a0426dd344a0e4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3ab056fefe04713e3c294da76c8adb2866b0dc46556ed32322a0426dd344a0e4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3ab056fefe04713e3c294da76c8adb2866b0dc46556ed32322a0426dd344a0e4</t>
        </is>
      </c>
      <c r="BH236" s="24" t="inlineStr">
        <is>
          <t>2026-08-06T18:58:08.954179Z</t>
        </is>
      </c>
      <c r="BI236" s="24" t="inlineStr">
        <is>
          <t>["same_event","same_team_same_day","same_league_same_day"]</t>
        </is>
      </c>
      <c r="BJ236" s="25" t="n"/>
      <c r="BK236" s="26" t="n">
        <v>-194</v>
      </c>
      <c r="BL236" s="27" t="n">
        <v>1.515464</v>
      </c>
      <c r="BM236" s="28" t="n">
        <v>0.659864</v>
      </c>
      <c r="BN236" s="28" t="n"/>
      <c r="BO236" s="28" t="n"/>
      <c r="BP236" s="25" t="n"/>
      <c r="BQ236" s="27" t="n">
        <v>1.515464</v>
      </c>
      <c r="BR236" s="28" t="n">
        <v>0.66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0.659864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279ea3676ddb437d</t>
        </is>
      </c>
      <c r="B237" s="24" t="inlineStr">
        <is>
          <t>2026-08-06T18:58:42.068094Z</t>
        </is>
      </c>
      <c r="C237" s="24" t="inlineStr">
        <is>
          <t>2026-08-06T23:00Z</t>
        </is>
      </c>
      <c r="D237" s="24" t="inlineStr">
        <is>
          <t>421-2026:181763</t>
        </is>
      </c>
      <c r="E237" s="24" t="inlineStr">
        <is>
          <t>TENNIS</t>
        </is>
      </c>
      <c r="F237" s="24" t="inlineStr">
        <is>
          <t>Lorenzo Musetti</t>
        </is>
      </c>
      <c r="G237" s="24" t="inlineStr">
        <is>
          <t>Rafael Jodar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127</v>
      </c>
      <c r="M237" s="27" t="n">
        <v>2.27</v>
      </c>
      <c r="N237" s="28" t="n">
        <v>0.440529</v>
      </c>
      <c r="O237" s="28" t="n">
        <v>0.544019</v>
      </c>
      <c r="P237" s="28" t="n">
        <v>0.05</v>
      </c>
      <c r="Q237" s="28" t="n">
        <v>0.10349</v>
      </c>
      <c r="R237" s="26" t="n">
        <v>72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>
        <v>127</v>
      </c>
      <c r="AA237" s="28" t="n">
        <v>0.44</v>
      </c>
      <c r="AB237" s="28" t="n">
        <v>-0.000529</v>
      </c>
      <c r="AC237" s="30" t="n">
        <v>-1</v>
      </c>
      <c r="AD237" s="24" t="inlineStr">
        <is>
          <t>2026-08-07T09:06:54.536791Z</t>
        </is>
      </c>
      <c r="AE237" s="31" t="inlineStr">
        <is>
          <t>Surface-blended Elo on Hard: Lorenzo Musetti p=0.544 vs Rafael Jodar. Executable ask 0.4400 (aec-atp-rafjod-lormus-2026-08-06).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Lorenzo Musetti</t>
        </is>
      </c>
      <c r="AQ237" s="24" t="inlineStr">
        <is>
          <t>Lorenzo Musetti</t>
        </is>
      </c>
      <c r="AR237" s="24" t="inlineStr">
        <is>
          <t>Lorenzo Musetti</t>
        </is>
      </c>
      <c r="AS237" s="24" t="inlineStr">
        <is>
          <t>Rafael Jodar</t>
        </is>
      </c>
      <c r="AT237" s="24" t="inlineStr">
        <is>
          <t>Rafael Jodar</t>
        </is>
      </c>
      <c r="AU237" s="24" t="inlineStr">
        <is>
          <t>Rafael Jodar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3ab056fefe04713e3c294da76c8adb2866b0dc46556ed32322a0426dd344a0e4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3ab056fefe04713e3c294da76c8adb2866b0dc46556ed32322a0426dd344a0e4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3ab056fefe04713e3c294da76c8adb2866b0dc46556ed32322a0426dd344a0e4</t>
        </is>
      </c>
      <c r="BH237" s="24" t="inlineStr">
        <is>
          <t>2026-08-06T18:58:10.033097Z</t>
        </is>
      </c>
      <c r="BI237" s="24" t="inlineStr">
        <is>
          <t>["same_event","same_team_same_day","same_league_same_day"]</t>
        </is>
      </c>
      <c r="BJ237" s="25" t="n"/>
      <c r="BK237" s="26" t="n">
        <v>127</v>
      </c>
      <c r="BL237" s="27" t="n">
        <v>2.27</v>
      </c>
      <c r="BM237" s="28" t="n">
        <v>0.440529</v>
      </c>
      <c r="BN237" s="28" t="n"/>
      <c r="BO237" s="28" t="n"/>
      <c r="BP237" s="25" t="n"/>
      <c r="BQ237" s="27" t="n">
        <v>2.27</v>
      </c>
      <c r="BR237" s="28" t="n">
        <v>0.44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0.440529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4770cc9265da4c0c</t>
        </is>
      </c>
      <c r="B238" s="24" t="inlineStr">
        <is>
          <t>2026-08-06T18:58:42.068094Z</t>
        </is>
      </c>
      <c r="C238" s="24" t="inlineStr">
        <is>
          <t>2026-08-06T23:30Z</t>
        </is>
      </c>
      <c r="D238" s="24" t="inlineStr">
        <is>
          <t>421-2026:181774</t>
        </is>
      </c>
      <c r="E238" s="24" t="inlineStr">
        <is>
          <t>TENNIS</t>
        </is>
      </c>
      <c r="F238" s="24" t="inlineStr">
        <is>
          <t>Titouan Droguet</t>
        </is>
      </c>
      <c r="G238" s="24" t="inlineStr">
        <is>
          <t>Brandon Nakashima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-317</v>
      </c>
      <c r="M238" s="27" t="n">
        <v>1.315457</v>
      </c>
      <c r="N238" s="28" t="n">
        <v>0.760192</v>
      </c>
      <c r="O238" s="28" t="n">
        <v>0.625237</v>
      </c>
      <c r="P238" s="28" t="n">
        <v>0.05</v>
      </c>
      <c r="Q238" s="28" t="n">
        <v>-0.134955</v>
      </c>
      <c r="R238" s="26" t="n">
        <v>0</v>
      </c>
      <c r="S238" s="29" t="n">
        <v>1.5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-317</v>
      </c>
      <c r="AA238" s="28" t="n">
        <v>0.76</v>
      </c>
      <c r="AB238" s="28" t="n">
        <v>-0.000192</v>
      </c>
      <c r="AC238" s="30" t="n">
        <v>0.4732</v>
      </c>
      <c r="AD238" s="24" t="inlineStr">
        <is>
          <t>2026-08-07T09:06:55.925627Z</t>
        </is>
      </c>
      <c r="AE238" s="31" t="inlineStr">
        <is>
          <t>Surface-blended Elo on Hard: Titouan Droguet p=0.375 vs Brandon Nakashima. Executable ask 0.7600 (aec-atp-branak-titdro-2026-08-06).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not_applicable</t>
        </is>
      </c>
      <c r="AH238" s="24" t="n"/>
      <c r="AI238" s="31" t="n"/>
      <c r="AJ2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8" s="24" t="inlineStr">
        <is>
          <t>paper_call</t>
        </is>
      </c>
      <c r="AL238" s="26" t="n">
        <v>3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PAPER_CALL_WINNER_OVERVALUED</t>
        </is>
      </c>
      <c r="AP238" s="24" t="inlineStr">
        <is>
          <t>Titouan Droguet</t>
        </is>
      </c>
      <c r="AQ238" s="24" t="inlineStr">
        <is>
          <t>Titouan Droguet</t>
        </is>
      </c>
      <c r="AR238" s="24" t="inlineStr">
        <is>
          <t>Titouan Droguet</t>
        </is>
      </c>
      <c r="AS238" s="24" t="inlineStr">
        <is>
          <t>Brandon Nakashima</t>
        </is>
      </c>
      <c r="AT238" s="24" t="inlineStr">
        <is>
          <t>Brandon Nakashima</t>
        </is>
      </c>
      <c r="AU238" s="24" t="inlineStr">
        <is>
          <t>Brandon Nakashima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3ab056fefe04713e3c294da76c8adb2866b0dc46556ed32322a0426dd344a0e4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3ab056fefe04713e3c294da76c8adb2866b0dc46556ed32322a0426dd344a0e4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3ab056fefe04713e3c294da76c8adb2866b0dc46556ed32322a0426dd344a0e4</t>
        </is>
      </c>
      <c r="BH238" s="24" t="inlineStr">
        <is>
          <t>2026-08-06T18:58:11.112366Z</t>
        </is>
      </c>
      <c r="BI238" s="24" t="inlineStr">
        <is>
          <t>["same_event","same_team_same_day","same_league_same_day"]</t>
        </is>
      </c>
      <c r="BJ238" s="25" t="n"/>
      <c r="BK238" s="26" t="n">
        <v>-317</v>
      </c>
      <c r="BL238" s="27" t="n">
        <v>1.315457</v>
      </c>
      <c r="BM238" s="28" t="n">
        <v>0.760192</v>
      </c>
      <c r="BN238" s="28" t="n"/>
      <c r="BO238" s="28" t="n"/>
      <c r="BP238" s="25" t="n"/>
      <c r="BQ238" s="27" t="n">
        <v>1.315457</v>
      </c>
      <c r="BR238" s="28" t="n">
        <v>0.76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0.760192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d89010184df24a44</t>
        </is>
      </c>
      <c r="B239" s="24" t="inlineStr">
        <is>
          <t>2026-08-06T18:58:42.068094Z</t>
        </is>
      </c>
      <c r="C239" s="24" t="inlineStr">
        <is>
          <t>2026-08-07T00:30Z</t>
        </is>
      </c>
      <c r="D239" s="24" t="inlineStr">
        <is>
          <t>421-2026:181770</t>
        </is>
      </c>
      <c r="E239" s="24" t="inlineStr">
        <is>
          <t>TENNIS</t>
        </is>
      </c>
      <c r="F239" s="24" t="inlineStr">
        <is>
          <t>Arthur Rinderknech</t>
        </is>
      </c>
      <c r="G239" s="24" t="inlineStr">
        <is>
          <t>Frances Tiafoe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-178</v>
      </c>
      <c r="M239" s="27" t="n">
        <v>1.561798</v>
      </c>
      <c r="N239" s="28" t="n">
        <v>0.640288</v>
      </c>
      <c r="O239" s="28" t="n">
        <v>0.708466</v>
      </c>
      <c r="P239" s="28" t="n">
        <v>0.05</v>
      </c>
      <c r="Q239" s="28" t="n">
        <v>0.068178</v>
      </c>
      <c r="R239" s="26" t="n">
        <v>54</v>
      </c>
      <c r="S239" s="29" t="n">
        <v>2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-178</v>
      </c>
      <c r="AA239" s="28" t="n">
        <v>0.64</v>
      </c>
      <c r="AB239" s="28" t="n">
        <v>-0.000288</v>
      </c>
      <c r="AC239" s="30" t="n">
        <v>-2</v>
      </c>
      <c r="AD239" s="24" t="inlineStr">
        <is>
          <t>2026-08-07T09:06:57.292388Z</t>
        </is>
      </c>
      <c r="AE239" s="31" t="inlineStr">
        <is>
          <t>Surface-blended Elo on Hard: Arthur Rinderknech p=0.292 vs Frances Tiafoe. Executable ask 0.6400 (aec-atp-fratia-artrin-2026-08-06).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9" s="24" t="inlineStr">
        <is>
          <t>paper_call</t>
        </is>
      </c>
      <c r="AL239" s="26" t="n">
        <v>3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PAPER_CALL_WINNER_OVERVALUED</t>
        </is>
      </c>
      <c r="AP239" s="24" t="inlineStr">
        <is>
          <t>Arthur Rinderknech</t>
        </is>
      </c>
      <c r="AQ239" s="24" t="inlineStr">
        <is>
          <t>Arthur Rinderknech</t>
        </is>
      </c>
      <c r="AR239" s="24" t="inlineStr">
        <is>
          <t>Arthur Rinderknech</t>
        </is>
      </c>
      <c r="AS239" s="24" t="inlineStr">
        <is>
          <t>Frances Tiafoe</t>
        </is>
      </c>
      <c r="AT239" s="24" t="inlineStr">
        <is>
          <t>Frances Tiafoe</t>
        </is>
      </c>
      <c r="AU239" s="24" t="inlineStr">
        <is>
          <t>Frances Tiafoe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3ab056fefe04713e3c294da76c8adb2866b0dc46556ed32322a0426dd344a0e4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3ab056fefe04713e3c294da76c8adb2866b0dc46556ed32322a0426dd344a0e4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3ab056fefe04713e3c294da76c8adb2866b0dc46556ed32322a0426dd344a0e4</t>
        </is>
      </c>
      <c r="BH239" s="24" t="inlineStr">
        <is>
          <t>2026-08-06T18:58:11.682726Z</t>
        </is>
      </c>
      <c r="BI239" s="24" t="inlineStr">
        <is>
          <t>["same_event","same_team_same_day","same_league_same_day"]</t>
        </is>
      </c>
      <c r="BJ239" s="25" t="n"/>
      <c r="BK239" s="26" t="n">
        <v>-178</v>
      </c>
      <c r="BL239" s="27" t="n">
        <v>1.561798</v>
      </c>
      <c r="BM239" s="28" t="n">
        <v>0.640288</v>
      </c>
      <c r="BN239" s="28" t="n"/>
      <c r="BO239" s="28" t="n"/>
      <c r="BP239" s="25" t="n"/>
      <c r="BQ239" s="27" t="n">
        <v>1.561798</v>
      </c>
      <c r="BR239" s="28" t="n">
        <v>0.64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0.640288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98f044d320824c7b</t>
        </is>
      </c>
      <c r="B240" s="24" t="inlineStr">
        <is>
          <t>2026-08-07T09:10:09.393141Z</t>
        </is>
      </c>
      <c r="C240" s="24" t="inlineStr">
        <is>
          <t>2026-08-07T10:00Z</t>
        </is>
      </c>
      <c r="D240" s="24" t="inlineStr">
        <is>
          <t>961-2026:182110</t>
        </is>
      </c>
      <c r="E240" s="24" t="inlineStr">
        <is>
          <t>TENNIS</t>
        </is>
      </c>
      <c r="F240" s="24" t="inlineStr">
        <is>
          <t>Gabriela Knutson</t>
        </is>
      </c>
      <c r="G240" s="24" t="inlineStr">
        <is>
          <t>Elizara Yaneva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138</v>
      </c>
      <c r="M240" s="27" t="n">
        <v>2.38</v>
      </c>
      <c r="N240" s="28" t="n">
        <v>0.420168</v>
      </c>
      <c r="O240" s="28" t="n">
        <v>0.551853</v>
      </c>
      <c r="P240" s="28" t="n">
        <v>0.05</v>
      </c>
      <c r="Q240" s="28" t="n">
        <v>0.131685</v>
      </c>
      <c r="R240" s="26" t="n">
        <v>86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138</v>
      </c>
      <c r="AA240" s="28" t="n">
        <v>0.42</v>
      </c>
      <c r="AB240" s="28" t="n">
        <v>-0.000168</v>
      </c>
      <c r="AC240" s="30" t="n">
        <v>1.38</v>
      </c>
      <c r="AD240" s="24" t="inlineStr">
        <is>
          <t>2026-08-07T12:12:40.604668Z</t>
        </is>
      </c>
      <c r="AE240" s="31" t="inlineStr">
        <is>
          <t>Surface-blended Elo on Hard: Gabriela Knutson p=0.552 vs Elizara Yaneva. Executable ask 0.4200 (aec-wta-eliyan-gabknu-2026-08-07).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Gabriela Knutson</t>
        </is>
      </c>
      <c r="AQ240" s="24" t="inlineStr">
        <is>
          <t>Gabriela Knutson</t>
        </is>
      </c>
      <c r="AR240" s="24" t="inlineStr">
        <is>
          <t>Gabriela Knutson</t>
        </is>
      </c>
      <c r="AS240" s="24" t="inlineStr">
        <is>
          <t>Elizara Yaneva</t>
        </is>
      </c>
      <c r="AT240" s="24" t="inlineStr">
        <is>
          <t>Elizara Yaneva</t>
        </is>
      </c>
      <c r="AU240" s="24" t="inlineStr">
        <is>
          <t>Elizara Yaneva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3ab056fefe04713e3c294da76c8adb2866b0dc46556ed32322a0426dd344a0e4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3ab056fefe04713e3c294da76c8adb2866b0dc46556ed32322a0426dd344a0e4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3ab056fefe04713e3c294da76c8adb2866b0dc46556ed32322a0426dd344a0e4</t>
        </is>
      </c>
      <c r="BH240" s="24" t="inlineStr">
        <is>
          <t>2026-08-07T09:08:50.003635Z</t>
        </is>
      </c>
      <c r="BI240" s="24" t="inlineStr">
        <is>
          <t>["same_event","same_team_same_day","same_league_same_day"]</t>
        </is>
      </c>
      <c r="BJ240" s="25" t="n"/>
      <c r="BK240" s="26" t="n">
        <v>138</v>
      </c>
      <c r="BL240" s="27" t="n">
        <v>2.38</v>
      </c>
      <c r="BM240" s="28" t="n">
        <v>0.420168</v>
      </c>
      <c r="BN240" s="28" t="n"/>
      <c r="BO240" s="28" t="n"/>
      <c r="BP240" s="25" t="n"/>
      <c r="BQ240" s="27" t="n">
        <v>2.38</v>
      </c>
      <c r="BR240" s="28" t="n">
        <v>0.42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0.420168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8378c56a2abb4aa3</t>
        </is>
      </c>
      <c r="B241" s="24" t="inlineStr">
        <is>
          <t>2026-08-07T09:10:09.393141Z</t>
        </is>
      </c>
      <c r="C241" s="24" t="inlineStr">
        <is>
          <t>2026-08-07T11:30Z</t>
        </is>
      </c>
      <c r="D241" s="24" t="inlineStr">
        <is>
          <t>961-2026:182109</t>
        </is>
      </c>
      <c r="E241" s="24" t="inlineStr">
        <is>
          <t>TENNIS</t>
        </is>
      </c>
      <c r="F241" s="24" t="inlineStr">
        <is>
          <t>Vendula Valdmannova</t>
        </is>
      </c>
      <c r="G241" s="24" t="inlineStr">
        <is>
          <t>Carol Young Suh Lee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0.506705</v>
      </c>
      <c r="P241" s="28" t="n">
        <v>0.05</v>
      </c>
      <c r="Q241" s="28" t="n">
        <v>0.086537</v>
      </c>
      <c r="R241" s="26" t="n">
        <v>63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-1</v>
      </c>
      <c r="AD241" s="24" t="inlineStr">
        <is>
          <t>2026-08-07T15:18:18.340623Z</t>
        </is>
      </c>
      <c r="AE241" s="31" t="inlineStr">
        <is>
          <t>Surface-blended Elo on Hard: Vendula Valdmannova p=0.507 vs Carol Young Suh Lee. Executable ask 0.4200 (aec-wta-carlee-venval-2026-08-07).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3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Vendula Valdmannova</t>
        </is>
      </c>
      <c r="AQ241" s="24" t="inlineStr">
        <is>
          <t>Vendula Valdmannova</t>
        </is>
      </c>
      <c r="AR241" s="24" t="inlineStr">
        <is>
          <t>Vendula Valdmannova</t>
        </is>
      </c>
      <c r="AS241" s="24" t="inlineStr">
        <is>
          <t>Carol Young Suh Lee</t>
        </is>
      </c>
      <c r="AT241" s="24" t="inlineStr">
        <is>
          <t>Carol Young Suh Lee</t>
        </is>
      </c>
      <c r="AU241" s="24" t="inlineStr">
        <is>
          <t>Carol Young Suh Lee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3ab056fefe04713e3c294da76c8adb2866b0dc46556ed32322a0426dd344a0e4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3ab056fefe04713e3c294da76c8adb2866b0dc46556ed32322a0426dd344a0e4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3ab056fefe04713e3c294da76c8adb2866b0dc46556ed32322a0426dd344a0e4</t>
        </is>
      </c>
      <c r="BH241" s="24" t="inlineStr">
        <is>
          <t>2026-08-07T09:08:47.909222Z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0.420168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13d6ff5bab7c4187</t>
        </is>
      </c>
      <c r="B242" s="24" t="inlineStr">
        <is>
          <t>2026-08-07T12:15:56.643858Z</t>
        </is>
      </c>
      <c r="C242" s="24" t="inlineStr">
        <is>
          <t>2026-08-07T15:00Z</t>
        </is>
      </c>
      <c r="D242" s="24" t="inlineStr">
        <is>
          <t>421-2026:182219</t>
        </is>
      </c>
      <c r="E242" s="24" t="inlineStr">
        <is>
          <t>TENNIS</t>
        </is>
      </c>
      <c r="F242" s="24" t="inlineStr">
        <is>
          <t>Alina Korneeva</t>
        </is>
      </c>
      <c r="G242" s="24" t="inlineStr">
        <is>
          <t>Iva Jovic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-194</v>
      </c>
      <c r="M242" s="27" t="n">
        <v>1.515464</v>
      </c>
      <c r="N242" s="28" t="n">
        <v>0.659864</v>
      </c>
      <c r="O242" s="28" t="n">
        <v>0.735589</v>
      </c>
      <c r="P242" s="28" t="n">
        <v>0.05</v>
      </c>
      <c r="Q242" s="28" t="n">
        <v>0.075725</v>
      </c>
      <c r="R242" s="26" t="n">
        <v>58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-194</v>
      </c>
      <c r="AA242" s="28" t="n">
        <v>0.66</v>
      </c>
      <c r="AB242" s="28" t="n">
        <v>0.000136</v>
      </c>
      <c r="AC242" s="30" t="n">
        <v>-2</v>
      </c>
      <c r="AD242" s="24" t="inlineStr">
        <is>
          <t>2026-08-07T18:25:54.678627Z</t>
        </is>
      </c>
      <c r="AE242" s="31" t="inlineStr">
        <is>
          <t>Surface-blended Elo on Hard: Alina Korneeva p=0.264 vs Iva Jovic. Executable ask 0.6600 (aec-wta-ivajov-alikor-2026-08-08).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PAPER_CALL_WINNER_OVERVALUED</t>
        </is>
      </c>
      <c r="AP242" s="24" t="inlineStr">
        <is>
          <t>Alina Korneeva</t>
        </is>
      </c>
      <c r="AQ242" s="24" t="inlineStr">
        <is>
          <t>Alina Korneeva</t>
        </is>
      </c>
      <c r="AR242" s="24" t="inlineStr">
        <is>
          <t>Alina Korneeva</t>
        </is>
      </c>
      <c r="AS242" s="24" t="inlineStr">
        <is>
          <t>Iva Jovic</t>
        </is>
      </c>
      <c r="AT242" s="24" t="inlineStr">
        <is>
          <t>Iva Jovic</t>
        </is>
      </c>
      <c r="AU242" s="24" t="inlineStr">
        <is>
          <t>Iva Jovic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3ab056fefe04713e3c294da76c8adb2866b0dc46556ed32322a0426dd344a0e4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3ab056fefe04713e3c294da76c8adb2866b0dc46556ed32322a0426dd344a0e4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3ab056fefe04713e3c294da76c8adb2866b0dc46556ed32322a0426dd344a0e4</t>
        </is>
      </c>
      <c r="BH242" s="24" t="inlineStr">
        <is>
          <t>2026-08-07T12:14:49.574708Z</t>
        </is>
      </c>
      <c r="BI242" s="24" t="inlineStr">
        <is>
          <t>["same_event","same_team_same_day","same_league_same_day"]</t>
        </is>
      </c>
      <c r="BJ242" s="25" t="n"/>
      <c r="BK242" s="26" t="n">
        <v>-194</v>
      </c>
      <c r="BL242" s="27" t="n">
        <v>1.515464</v>
      </c>
      <c r="BM242" s="28" t="n">
        <v>0.659864</v>
      </c>
      <c r="BN242" s="28" t="n"/>
      <c r="BO242" s="28" t="n"/>
      <c r="BP242" s="25" t="n"/>
      <c r="BQ242" s="27" t="n">
        <v>1.515464</v>
      </c>
      <c r="BR242" s="28" t="n">
        <v>0.66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0.659864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174ea6893d0a4c75</t>
        </is>
      </c>
      <c r="B243" s="24" t="inlineStr">
        <is>
          <t>2026-08-07T15:22:21.644116Z</t>
        </is>
      </c>
      <c r="C243" s="24" t="inlineStr">
        <is>
          <t>2026-08-07T16:30Z</t>
        </is>
      </c>
      <c r="D243" s="24" t="inlineStr">
        <is>
          <t>421-2026:182184</t>
        </is>
      </c>
      <c r="E243" s="24" t="inlineStr">
        <is>
          <t>TENNIS</t>
        </is>
      </c>
      <c r="F243" s="24" t="inlineStr">
        <is>
          <t>Elena Rybakina</t>
        </is>
      </c>
      <c r="G243" s="24" t="inlineStr">
        <is>
          <t>Ann Li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-525</v>
      </c>
      <c r="M243" s="27" t="n">
        <v>1.190476</v>
      </c>
      <c r="N243" s="28" t="n">
        <v>0.84</v>
      </c>
      <c r="O243" s="28" t="n">
        <v>0.871383</v>
      </c>
      <c r="P243" s="28" t="n">
        <v>0.05</v>
      </c>
      <c r="Q243" s="28" t="n">
        <v>0.031383</v>
      </c>
      <c r="R243" s="26" t="n">
        <v>36</v>
      </c>
      <c r="S243" s="29" t="n">
        <v>2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-525</v>
      </c>
      <c r="AA243" s="28" t="n">
        <v>0.84</v>
      </c>
      <c r="AB243" s="28" t="n">
        <v>0</v>
      </c>
      <c r="AC243" s="30" t="n">
        <v>0.381</v>
      </c>
      <c r="AD243" s="24" t="inlineStr">
        <is>
          <t>2026-08-07T18:25:57.376319Z</t>
        </is>
      </c>
      <c r="AE243" s="31" t="inlineStr">
        <is>
          <t>Surface-blended Elo on Hard: Elena Rybakina p=0.871 vs Ann Li. Executable ask 0.8400 (aec-wta-annli-eleryb-2026-08-06).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3" s="24" t="inlineStr">
        <is>
          <t>paper_call</t>
        </is>
      </c>
      <c r="AL243" s="26" t="n">
        <v>3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PAPER_CALL_WINNER_OVERVALUED</t>
        </is>
      </c>
      <c r="AP243" s="24" t="inlineStr">
        <is>
          <t>Elena Rybakina</t>
        </is>
      </c>
      <c r="AQ243" s="24" t="inlineStr">
        <is>
          <t>Elena Rybakina</t>
        </is>
      </c>
      <c r="AR243" s="24" t="inlineStr">
        <is>
          <t>Elena Rybakina</t>
        </is>
      </c>
      <c r="AS243" s="24" t="inlineStr">
        <is>
          <t>Ann Li</t>
        </is>
      </c>
      <c r="AT243" s="24" t="inlineStr">
        <is>
          <t>Ann Li</t>
        </is>
      </c>
      <c r="AU243" s="24" t="inlineStr">
        <is>
          <t>Ann Li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3ab056fefe04713e3c294da76c8adb2866b0dc46556ed32322a0426dd344a0e4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3ab056fefe04713e3c294da76c8adb2866b0dc46556ed32322a0426dd344a0e4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3ab056fefe04713e3c294da76c8adb2866b0dc46556ed32322a0426dd344a0e4</t>
        </is>
      </c>
      <c r="BH243" s="24" t="inlineStr">
        <is>
          <t>2026-08-07T15:20:44.712108Z</t>
        </is>
      </c>
      <c r="BI243" s="24" t="inlineStr">
        <is>
          <t>["same_event","same_team_same_day","same_league_same_day"]</t>
        </is>
      </c>
      <c r="BJ243" s="25" t="n"/>
      <c r="BK243" s="26" t="n">
        <v>-525</v>
      </c>
      <c r="BL243" s="27" t="n">
        <v>1.190476</v>
      </c>
      <c r="BM243" s="28" t="n">
        <v>0.84</v>
      </c>
      <c r="BN243" s="28" t="n"/>
      <c r="BO243" s="28" t="n"/>
      <c r="BP243" s="25" t="n"/>
      <c r="BQ243" s="27" t="n">
        <v>1.190476</v>
      </c>
      <c r="BR243" s="28" t="n">
        <v>0.84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0.84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44ab552493904555</t>
        </is>
      </c>
      <c r="B244" s="24" t="inlineStr">
        <is>
          <t>2026-08-07T15:22:21.644116Z</t>
        </is>
      </c>
      <c r="C244" s="24" t="inlineStr">
        <is>
          <t>2026-08-07T17:30Z</t>
        </is>
      </c>
      <c r="D244" s="24" t="inlineStr">
        <is>
          <t>421-2026:182198</t>
        </is>
      </c>
      <c r="E244" s="24" t="inlineStr">
        <is>
          <t>TENNIS</t>
        </is>
      </c>
      <c r="F244" s="24" t="inlineStr">
        <is>
          <t>Leylah Fernandez</t>
        </is>
      </c>
      <c r="G244" s="24" t="inlineStr">
        <is>
          <t>Mirra Andreeva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-376</v>
      </c>
      <c r="M244" s="27" t="n">
        <v>1.265957</v>
      </c>
      <c r="N244" s="28" t="n">
        <v>0.789916</v>
      </c>
      <c r="O244" s="28" t="n">
        <v>0.775234</v>
      </c>
      <c r="P244" s="28" t="n">
        <v>0.05</v>
      </c>
      <c r="Q244" s="28" t="n">
        <v>-0.014682</v>
      </c>
      <c r="R244" s="26" t="n">
        <v>13</v>
      </c>
      <c r="S244" s="29" t="n">
        <v>2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-376</v>
      </c>
      <c r="AA244" s="28" t="n">
        <v>0.79</v>
      </c>
      <c r="AB244" s="28" t="n">
        <v>8.4e-05</v>
      </c>
      <c r="AC244" s="30" t="n">
        <v>-2</v>
      </c>
      <c r="AD244" s="24" t="inlineStr">
        <is>
          <t>2026-08-07T21:54:20.732719Z</t>
        </is>
      </c>
      <c r="AE244" s="31" t="inlineStr">
        <is>
          <t>Surface-blended Elo on Hard: Leylah Fernandez p=0.225 vs Mirra Andreeva. Executable ask 0.7900 (aec-wta-mirand-leyfer-2026-08-08).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review_required</t>
        </is>
      </c>
      <c r="AH244" s="24" t="n"/>
      <c r="AI244" s="31" t="n"/>
      <c r="AJ2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4" s="24" t="inlineStr">
        <is>
          <t>paper_call</t>
        </is>
      </c>
      <c r="AL244" s="26" t="n">
        <v>3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PAPER_CALL_WINNER_OVERVALUED</t>
        </is>
      </c>
      <c r="AP244" s="24" t="inlineStr">
        <is>
          <t>Leylah Fernandez</t>
        </is>
      </c>
      <c r="AQ244" s="24" t="inlineStr">
        <is>
          <t>Leylah Fernandez</t>
        </is>
      </c>
      <c r="AR244" s="24" t="inlineStr">
        <is>
          <t>Leylah Fernandez</t>
        </is>
      </c>
      <c r="AS244" s="24" t="inlineStr">
        <is>
          <t>Mirra Andreeva</t>
        </is>
      </c>
      <c r="AT244" s="24" t="inlineStr">
        <is>
          <t>Mirra Andreeva</t>
        </is>
      </c>
      <c r="AU244" s="24" t="inlineStr">
        <is>
          <t>Mirra Andreeva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3ab056fefe04713e3c294da76c8adb2866b0dc46556ed32322a0426dd344a0e4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3ab056fefe04713e3c294da76c8adb2866b0dc46556ed32322a0426dd344a0e4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3ab056fefe04713e3c294da76c8adb2866b0dc46556ed32322a0426dd344a0e4</t>
        </is>
      </c>
      <c r="BH244" s="24" t="inlineStr">
        <is>
          <t>2026-08-07T15:20:45.190634Z</t>
        </is>
      </c>
      <c r="BI244" s="24" t="inlineStr">
        <is>
          <t>["same_event","same_team_same_day","same_league_same_day"]</t>
        </is>
      </c>
      <c r="BJ244" s="25" t="n"/>
      <c r="BK244" s="26" t="n">
        <v>-376</v>
      </c>
      <c r="BL244" s="27" t="n">
        <v>1.265957</v>
      </c>
      <c r="BM244" s="28" t="n">
        <v>0.789916</v>
      </c>
      <c r="BN244" s="28" t="n"/>
      <c r="BO244" s="28" t="n"/>
      <c r="BP244" s="25" t="n"/>
      <c r="BQ244" s="27" t="n">
        <v>1.265957</v>
      </c>
      <c r="BR244" s="28" t="n">
        <v>0.79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0.789916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d775004207ca4eb4</t>
        </is>
      </c>
      <c r="B245" s="24" t="inlineStr">
        <is>
          <t>2026-08-07T15:22:21.644116Z</t>
        </is>
      </c>
      <c r="C245" s="24" t="inlineStr">
        <is>
          <t>2026-08-07T16:30Z</t>
        </is>
      </c>
      <c r="D245" s="24" t="inlineStr">
        <is>
          <t>421-2026:181725</t>
        </is>
      </c>
      <c r="E245" s="24" t="inlineStr">
        <is>
          <t>TENNIS</t>
        </is>
      </c>
      <c r="F245" s="24" t="inlineStr">
        <is>
          <t>Matteo Arnaldi</t>
        </is>
      </c>
      <c r="G245" s="24" t="inlineStr">
        <is>
          <t>Tallon Griekspoor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-194</v>
      </c>
      <c r="M245" s="27" t="n">
        <v>1.515464</v>
      </c>
      <c r="N245" s="28" t="n">
        <v>0.659864</v>
      </c>
      <c r="O245" s="28" t="n">
        <v>0.577767</v>
      </c>
      <c r="P245" s="28" t="n">
        <v>0.05</v>
      </c>
      <c r="Q245" s="28" t="n">
        <v>-0.082097</v>
      </c>
      <c r="R245" s="26" t="n">
        <v>0</v>
      </c>
      <c r="S245" s="29" t="n">
        <v>1.25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>
        <v>-194</v>
      </c>
      <c r="AA245" s="28" t="n">
        <v>0.66</v>
      </c>
      <c r="AB245" s="28" t="n">
        <v>0.000136</v>
      </c>
      <c r="AC245" s="30" t="n">
        <v>0.6443</v>
      </c>
      <c r="AD245" s="24" t="inlineStr">
        <is>
          <t>2026-08-07T21:54:22.127886Z</t>
        </is>
      </c>
      <c r="AE245" s="31" t="inlineStr">
        <is>
          <t>Surface-blended Elo on Hard: Matteo Arnaldi p=0.422 vs Tallon Griekspoor. Executable ask 0.6600 (aec-atp-talgri-matarn-2026-08-06).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not_applicable</t>
        </is>
      </c>
      <c r="AH245" s="24" t="n"/>
      <c r="AI245" s="31" t="n"/>
      <c r="AJ2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PAPER_CALL_WINNER_OVERVALUED</t>
        </is>
      </c>
      <c r="AP245" s="24" t="inlineStr">
        <is>
          <t>Matteo Arnaldi</t>
        </is>
      </c>
      <c r="AQ245" s="24" t="inlineStr">
        <is>
          <t>Matteo Arnaldi</t>
        </is>
      </c>
      <c r="AR245" s="24" t="inlineStr">
        <is>
          <t>Matteo Arnaldi</t>
        </is>
      </c>
      <c r="AS245" s="24" t="inlineStr">
        <is>
          <t>Tallon Griekspoor</t>
        </is>
      </c>
      <c r="AT245" s="24" t="inlineStr">
        <is>
          <t>Tallon Griekspoor</t>
        </is>
      </c>
      <c r="AU245" s="24" t="inlineStr">
        <is>
          <t>Tallon Griekspoor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3ab056fefe04713e3c294da76c8adb2866b0dc46556ed32322a0426dd344a0e4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3ab056fefe04713e3c294da76c8adb2866b0dc46556ed32322a0426dd344a0e4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3ab056fefe04713e3c294da76c8adb2866b0dc46556ed32322a0426dd344a0e4</t>
        </is>
      </c>
      <c r="BH245" s="24" t="inlineStr">
        <is>
          <t>2026-08-07T15:20:50.125037Z</t>
        </is>
      </c>
      <c r="BI245" s="24" t="inlineStr">
        <is>
          <t>["same_event","same_team_same_day","same_league_same_day"]</t>
        </is>
      </c>
      <c r="BJ245" s="25" t="n"/>
      <c r="BK245" s="26" t="n">
        <v>-194</v>
      </c>
      <c r="BL245" s="27" t="n">
        <v>1.515464</v>
      </c>
      <c r="BM245" s="28" t="n">
        <v>0.659864</v>
      </c>
      <c r="BN245" s="28" t="n"/>
      <c r="BO245" s="28" t="n"/>
      <c r="BP245" s="25" t="n"/>
      <c r="BQ245" s="27" t="n">
        <v>1.515464</v>
      </c>
      <c r="BR245" s="28" t="n">
        <v>0.66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0.659864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b21dcf0589eb4d96</t>
        </is>
      </c>
      <c r="B246" s="24" t="inlineStr">
        <is>
          <t>2026-08-07T15:22:21.644116Z</t>
        </is>
      </c>
      <c r="C246" s="24" t="inlineStr">
        <is>
          <t>2026-08-07T16:30Z</t>
        </is>
      </c>
      <c r="D246" s="24" t="inlineStr">
        <is>
          <t>421-2026:181728</t>
        </is>
      </c>
      <c r="E246" s="24" t="inlineStr">
        <is>
          <t>TENNIS</t>
        </is>
      </c>
      <c r="F246" s="24" t="inlineStr">
        <is>
          <t>Alex Michelsen</t>
        </is>
      </c>
      <c r="G246" s="24" t="inlineStr">
        <is>
          <t>Daniel Merida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-257</v>
      </c>
      <c r="M246" s="27" t="n">
        <v>1.389105</v>
      </c>
      <c r="N246" s="28" t="n">
        <v>0.719888</v>
      </c>
      <c r="O246" s="28" t="n">
        <v>0.555003</v>
      </c>
      <c r="P246" s="28" t="n">
        <v>0.05</v>
      </c>
      <c r="Q246" s="28" t="n">
        <v>-0.164885</v>
      </c>
      <c r="R246" s="26" t="n">
        <v>0</v>
      </c>
      <c r="S246" s="29" t="n">
        <v>1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-257</v>
      </c>
      <c r="AA246" s="28" t="n">
        <v>0.72</v>
      </c>
      <c r="AB246" s="28" t="n">
        <v>0.000112</v>
      </c>
      <c r="AC246" s="30" t="n">
        <v>-1</v>
      </c>
      <c r="AD246" s="24" t="inlineStr">
        <is>
          <t>2026-08-07T21:54:23.428156Z</t>
        </is>
      </c>
      <c r="AE246" s="31" t="inlineStr">
        <is>
          <t>Surface-blended Elo on Hard: Alex Michelsen p=0.555 vs Daniel Merida. Executable ask 0.7200 (aec-atp-danagu-alemic-2026-08-07).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6" s="24" t="inlineStr">
        <is>
          <t>paper_call</t>
        </is>
      </c>
      <c r="AL246" s="26" t="n">
        <v>3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PAPER_CALL_WINNER_OVERVALUED</t>
        </is>
      </c>
      <c r="AP246" s="24" t="inlineStr">
        <is>
          <t>Alex Michelsen</t>
        </is>
      </c>
      <c r="AQ246" s="24" t="inlineStr">
        <is>
          <t>Alex Michelsen</t>
        </is>
      </c>
      <c r="AR246" s="24" t="inlineStr">
        <is>
          <t>Alex Michelsen</t>
        </is>
      </c>
      <c r="AS246" s="24" t="inlineStr">
        <is>
          <t>Daniel Merida</t>
        </is>
      </c>
      <c r="AT246" s="24" t="inlineStr">
        <is>
          <t>Daniel Merida</t>
        </is>
      </c>
      <c r="AU246" s="24" t="inlineStr">
        <is>
          <t>Daniel Merida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3ab056fefe04713e3c294da76c8adb2866b0dc46556ed32322a0426dd344a0e4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3ab056fefe04713e3c294da76c8adb2866b0dc46556ed32322a0426dd344a0e4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3ab056fefe04713e3c294da76c8adb2866b0dc46556ed32322a0426dd344a0e4</t>
        </is>
      </c>
      <c r="BH246" s="24" t="inlineStr">
        <is>
          <t>2026-08-07T15:20:51.879770Z</t>
        </is>
      </c>
      <c r="BI246" s="24" t="inlineStr">
        <is>
          <t>["same_event","same_team_same_day","same_league_same_day"]</t>
        </is>
      </c>
      <c r="BJ246" s="25" t="n"/>
      <c r="BK246" s="26" t="n">
        <v>-257</v>
      </c>
      <c r="BL246" s="27" t="n">
        <v>1.389105</v>
      </c>
      <c r="BM246" s="28" t="n">
        <v>0.719888</v>
      </c>
      <c r="BN246" s="28" t="n"/>
      <c r="BO246" s="28" t="n"/>
      <c r="BP246" s="25" t="n"/>
      <c r="BQ246" s="27" t="n">
        <v>1.389105</v>
      </c>
      <c r="BR246" s="28" t="n">
        <v>0.72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0.719888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41de4fbbaf384439</t>
        </is>
      </c>
      <c r="B247" s="24" t="inlineStr">
        <is>
          <t>2026-08-07T15:22:21.644116Z</t>
        </is>
      </c>
      <c r="C247" s="24" t="inlineStr">
        <is>
          <t>2026-08-07T18:00Z</t>
        </is>
      </c>
      <c r="D247" s="24" t="inlineStr">
        <is>
          <t>421-2026:181754</t>
        </is>
      </c>
      <c r="E247" s="24" t="inlineStr">
        <is>
          <t>TENNIS</t>
        </is>
      </c>
      <c r="F247" s="24" t="inlineStr">
        <is>
          <t>Ben Shelton</t>
        </is>
      </c>
      <c r="G247" s="24" t="inlineStr">
        <is>
          <t>Zizou Bergs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-270</v>
      </c>
      <c r="M247" s="27" t="n">
        <v>1.37037</v>
      </c>
      <c r="N247" s="28" t="n">
        <v>0.72973</v>
      </c>
      <c r="O247" s="28" t="n">
        <v>0.76591</v>
      </c>
      <c r="P247" s="28" t="n">
        <v>0.05</v>
      </c>
      <c r="Q247" s="28" t="n">
        <v>0.03618</v>
      </c>
      <c r="R247" s="26" t="n">
        <v>38</v>
      </c>
      <c r="S247" s="29" t="n">
        <v>2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0</v>
      </c>
      <c r="Y247" s="25" t="n"/>
      <c r="Z247" s="26" t="n">
        <v>-270</v>
      </c>
      <c r="AA247" s="28" t="n">
        <v>0.73</v>
      </c>
      <c r="AB247" s="28" t="n">
        <v>0.00027</v>
      </c>
      <c r="AC247" s="30" t="n">
        <v>0.7407</v>
      </c>
      <c r="AD247" s="24" t="inlineStr">
        <is>
          <t>2026-08-07T21:54:24.781422Z</t>
        </is>
      </c>
      <c r="AE247" s="31" t="inlineStr">
        <is>
          <t>Surface-blended Elo on Hard: Ben Shelton p=0.766 vs Zizou Bergs. Executable ask 0.7300 (aec-atp-zizber-benshe-2026-08-07).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not_applicable</t>
        </is>
      </c>
      <c r="AH247" s="24" t="n"/>
      <c r="AI247" s="31" t="n"/>
      <c r="AJ2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7" s="24" t="inlineStr">
        <is>
          <t>paper_call</t>
        </is>
      </c>
      <c r="AL247" s="26" t="n">
        <v>3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PAPER_CALL_WINNER_OVERVALUED</t>
        </is>
      </c>
      <c r="AP247" s="24" t="inlineStr">
        <is>
          <t>Ben Shelton</t>
        </is>
      </c>
      <c r="AQ247" s="24" t="inlineStr">
        <is>
          <t>Ben Shelton</t>
        </is>
      </c>
      <c r="AR247" s="24" t="inlineStr">
        <is>
          <t>Ben Shelton</t>
        </is>
      </c>
      <c r="AS247" s="24" t="inlineStr">
        <is>
          <t>Zizou Bergs</t>
        </is>
      </c>
      <c r="AT247" s="24" t="inlineStr">
        <is>
          <t>Zizou Bergs</t>
        </is>
      </c>
      <c r="AU247" s="24" t="inlineStr">
        <is>
          <t>Zizou Bergs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3ab056fefe04713e3c294da76c8adb2866b0dc46556ed32322a0426dd344a0e4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3ab056fefe04713e3c294da76c8adb2866b0dc46556ed32322a0426dd344a0e4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3ab056fefe04713e3c294da76c8adb2866b0dc46556ed32322a0426dd344a0e4</t>
        </is>
      </c>
      <c r="BH247" s="24" t="inlineStr">
        <is>
          <t>2026-08-07T15:20:53.852912Z</t>
        </is>
      </c>
      <c r="BI247" s="24" t="inlineStr">
        <is>
          <t>["same_event","same_team_same_day","same_league_same_day"]</t>
        </is>
      </c>
      <c r="BJ247" s="25" t="n"/>
      <c r="BK247" s="26" t="n">
        <v>-270</v>
      </c>
      <c r="BL247" s="27" t="n">
        <v>1.37037</v>
      </c>
      <c r="BM247" s="28" t="n">
        <v>0.72973</v>
      </c>
      <c r="BN247" s="28" t="n"/>
      <c r="BO247" s="28" t="n"/>
      <c r="BP247" s="25" t="n"/>
      <c r="BQ247" s="27" t="n">
        <v>1.37037</v>
      </c>
      <c r="BR247" s="28" t="n">
        <v>0.73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0.72973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050eb285078c4188</t>
        </is>
      </c>
      <c r="B248" s="24" t="inlineStr">
        <is>
          <t>2026-08-07T15:22:21.644116Z</t>
        </is>
      </c>
      <c r="C248" s="24" t="inlineStr">
        <is>
          <t>2026-08-07T18:00Z</t>
        </is>
      </c>
      <c r="D248" s="24" t="inlineStr">
        <is>
          <t>421-2026:181771</t>
        </is>
      </c>
      <c r="E248" s="24" t="inlineStr">
        <is>
          <t>TENNIS</t>
        </is>
      </c>
      <c r="F248" s="24" t="inlineStr">
        <is>
          <t>Hubert Hurkacz</t>
        </is>
      </c>
      <c r="G248" s="24" t="inlineStr">
        <is>
          <t>Botic Van De Zandschulp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186</v>
      </c>
      <c r="M248" s="27" t="n">
        <v>2.86</v>
      </c>
      <c r="N248" s="28" t="n">
        <v>0.34965</v>
      </c>
      <c r="O248" s="28" t="n">
        <v>0.505166</v>
      </c>
      <c r="P248" s="28" t="n">
        <v>0.05</v>
      </c>
      <c r="Q248" s="28" t="n">
        <v>0.155516</v>
      </c>
      <c r="R248" s="26" t="n">
        <v>98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186</v>
      </c>
      <c r="AA248" s="28" t="n">
        <v>0.35</v>
      </c>
      <c r="AB248" s="28" t="n">
        <v>0.00035</v>
      </c>
      <c r="AC248" s="30" t="n">
        <v>1.86</v>
      </c>
      <c r="AD248" s="24" t="inlineStr">
        <is>
          <t>2026-08-08T00:59:08.726113Z</t>
        </is>
      </c>
      <c r="AE248" s="31" t="inlineStr">
        <is>
          <t>Surface-blended Elo on Hard: Hubert Hurkacz p=0.495 vs Botic Van De Zandschulp. Executable ask 0.3500 (aec-atp-botzan-hubhur-2026-08-07).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3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Hubert Hurkacz</t>
        </is>
      </c>
      <c r="AQ248" s="24" t="inlineStr">
        <is>
          <t>Hubert Hurkacz</t>
        </is>
      </c>
      <c r="AR248" s="24" t="inlineStr">
        <is>
          <t>Hubert Hurkacz</t>
        </is>
      </c>
      <c r="AS248" s="24" t="inlineStr">
        <is>
          <t>Botic Van De Zandschulp</t>
        </is>
      </c>
      <c r="AT248" s="24" t="inlineStr">
        <is>
          <t>Botic Van De Zandschulp</t>
        </is>
      </c>
      <c r="AU248" s="24" t="inlineStr">
        <is>
          <t>Botic Van De Zandschulp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3ab056fefe04713e3c294da76c8adb2866b0dc46556ed32322a0426dd344a0e4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3ab056fefe04713e3c294da76c8adb2866b0dc46556ed32322a0426dd344a0e4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3ab056fefe04713e3c294da76c8adb2866b0dc46556ed32322a0426dd344a0e4</t>
        </is>
      </c>
      <c r="BH248" s="24" t="inlineStr">
        <is>
          <t>2026-08-07T15:20:52.687497Z</t>
        </is>
      </c>
      <c r="BI248" s="24" t="inlineStr">
        <is>
          <t>["same_event","same_team_same_day","same_league_same_day"]</t>
        </is>
      </c>
      <c r="BJ248" s="25" t="n"/>
      <c r="BK248" s="26" t="n">
        <v>186</v>
      </c>
      <c r="BL248" s="27" t="n">
        <v>2.86</v>
      </c>
      <c r="BM248" s="28" t="n">
        <v>0.34965</v>
      </c>
      <c r="BN248" s="28" t="n"/>
      <c r="BO248" s="28" t="n"/>
      <c r="BP248" s="25" t="n"/>
      <c r="BQ248" s="27" t="n">
        <v>2.86</v>
      </c>
      <c r="BR248" s="28" t="n">
        <v>0.35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0.34965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49ecba67b09a4c9c</t>
        </is>
      </c>
      <c r="B249" s="24" t="inlineStr">
        <is>
          <t>2026-08-07T18:29:30.567007Z</t>
        </is>
      </c>
      <c r="C249" s="24" t="inlineStr">
        <is>
          <t>2026-08-07T19:00Z</t>
        </is>
      </c>
      <c r="D249" s="24" t="inlineStr">
        <is>
          <t>421-2026:182209</t>
        </is>
      </c>
      <c r="E249" s="24" t="inlineStr">
        <is>
          <t>TENNIS</t>
        </is>
      </c>
      <c r="F249" s="24" t="inlineStr">
        <is>
          <t>Liudmila Samsonova</t>
        </is>
      </c>
      <c r="G249" s="24" t="inlineStr">
        <is>
          <t>Maya Joint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-257</v>
      </c>
      <c r="M249" s="27" t="n">
        <v>1.389105</v>
      </c>
      <c r="N249" s="28" t="n">
        <v>0.719888</v>
      </c>
      <c r="O249" s="28" t="n">
        <v>0.502257</v>
      </c>
      <c r="P249" s="28" t="n">
        <v>0.05</v>
      </c>
      <c r="Q249" s="28" t="n">
        <v>-0.217631</v>
      </c>
      <c r="R249" s="26" t="n">
        <v>0</v>
      </c>
      <c r="S249" s="29" t="n">
        <v>1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>
        <v>-257</v>
      </c>
      <c r="AA249" s="28" t="n">
        <v>0.72</v>
      </c>
      <c r="AB249" s="28" t="n">
        <v>0.000112</v>
      </c>
      <c r="AC249" s="30" t="n">
        <v>0.3891</v>
      </c>
      <c r="AD249" s="24" t="inlineStr">
        <is>
          <t>2026-08-08T00:59:10.065646Z</t>
        </is>
      </c>
      <c r="AE249" s="31" t="inlineStr">
        <is>
          <t>Surface-blended Elo on Hard: Liudmila Samsonova p=0.502 vs Maya Joint. Executable ask 0.7200 (aec-wta-mayjoi-liusam-2026-08-07).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not_applicable</t>
        </is>
      </c>
      <c r="AH249" s="24" t="n"/>
      <c r="AI249" s="31" t="n"/>
      <c r="AJ2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PAPER_CALL_WINNER_OVERVALUED</t>
        </is>
      </c>
      <c r="AP249" s="24" t="inlineStr">
        <is>
          <t>Liudmila Samsonova</t>
        </is>
      </c>
      <c r="AQ249" s="24" t="inlineStr">
        <is>
          <t>Liudmila Samsonova</t>
        </is>
      </c>
      <c r="AR249" s="24" t="inlineStr">
        <is>
          <t>Liudmila Samsonova</t>
        </is>
      </c>
      <c r="AS249" s="24" t="inlineStr">
        <is>
          <t>Maya Joint</t>
        </is>
      </c>
      <c r="AT249" s="24" t="inlineStr">
        <is>
          <t>Maya Joint</t>
        </is>
      </c>
      <c r="AU249" s="24" t="inlineStr">
        <is>
          <t>Maya Joint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3ab056fefe04713e3c294da76c8adb2866b0dc46556ed32322a0426dd344a0e4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3ab056fefe04713e3c294da76c8adb2866b0dc46556ed32322a0426dd344a0e4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3ab056fefe04713e3c294da76c8adb2866b0dc46556ed32322a0426dd344a0e4</t>
        </is>
      </c>
      <c r="BH249" s="24" t="inlineStr">
        <is>
          <t>2026-08-07T18:28:08.001910Z</t>
        </is>
      </c>
      <c r="BI249" s="24" t="inlineStr">
        <is>
          <t>["same_event","same_team_same_day","same_league_same_day"]</t>
        </is>
      </c>
      <c r="BJ249" s="25" t="n"/>
      <c r="BK249" s="26" t="n">
        <v>-257</v>
      </c>
      <c r="BL249" s="27" t="n">
        <v>1.389105</v>
      </c>
      <c r="BM249" s="28" t="n">
        <v>0.719888</v>
      </c>
      <c r="BN249" s="28" t="n"/>
      <c r="BO249" s="28" t="n"/>
      <c r="BP249" s="25" t="n"/>
      <c r="BQ249" s="27" t="n">
        <v>1.389105</v>
      </c>
      <c r="BR249" s="28" t="n">
        <v>0.72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0.719888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6e962dd1d9bb499f</t>
        </is>
      </c>
      <c r="B250" s="24" t="inlineStr">
        <is>
          <t>2026-08-07T18:29:30.567007Z</t>
        </is>
      </c>
      <c r="C250" s="24" t="inlineStr">
        <is>
          <t>2026-08-07T21:00Z</t>
        </is>
      </c>
      <c r="D250" s="24" t="inlineStr">
        <is>
          <t>421-2026:182205</t>
        </is>
      </c>
      <c r="E250" s="24" t="inlineStr">
        <is>
          <t>TENNIS</t>
        </is>
      </c>
      <c r="F250" s="24" t="inlineStr">
        <is>
          <t>Naomi Osaka</t>
        </is>
      </c>
      <c r="G250" s="24" t="inlineStr">
        <is>
          <t>Elise Mertens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-223</v>
      </c>
      <c r="M250" s="27" t="n">
        <v>1.44843</v>
      </c>
      <c r="N250" s="28" t="n">
        <v>0.690402</v>
      </c>
      <c r="O250" s="28" t="n">
        <v>0.633161</v>
      </c>
      <c r="P250" s="28" t="n">
        <v>0.05</v>
      </c>
      <c r="Q250" s="28" t="n">
        <v>-0.057241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1</v>
      </c>
      <c r="X250" s="26" t="n">
        <v>0</v>
      </c>
      <c r="Y250" s="25" t="n"/>
      <c r="Z250" s="26" t="n">
        <v>-223</v>
      </c>
      <c r="AA250" s="28" t="n">
        <v>0.6899999999999999</v>
      </c>
      <c r="AB250" s="28" t="n">
        <v>-0.000402</v>
      </c>
      <c r="AC250" s="30" t="n">
        <v>0.6726</v>
      </c>
      <c r="AD250" s="24" t="inlineStr">
        <is>
          <t>2026-08-08T00:59:11.358141Z</t>
        </is>
      </c>
      <c r="AE250" s="31" t="inlineStr">
        <is>
          <t>Surface-blended Elo on Hard: Naomi Osaka p=0.633 vs Elise Mertens. Executable ask 0.6900 (aec-wta-elimer-naoosa-2026-08-06).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not_applicable</t>
        </is>
      </c>
      <c r="AH250" s="24" t="n"/>
      <c r="AI250" s="31" t="n"/>
      <c r="AJ2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0" s="24" t="inlineStr">
        <is>
          <t>paper_call</t>
        </is>
      </c>
      <c r="AL250" s="26" t="n">
        <v>3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PAPER_CALL_WINNER_OVERVALUED</t>
        </is>
      </c>
      <c r="AP250" s="24" t="inlineStr">
        <is>
          <t>Naomi Osaka</t>
        </is>
      </c>
      <c r="AQ250" s="24" t="inlineStr">
        <is>
          <t>Naomi Osaka</t>
        </is>
      </c>
      <c r="AR250" s="24" t="inlineStr">
        <is>
          <t>Naomi Osaka</t>
        </is>
      </c>
      <c r="AS250" s="24" t="inlineStr">
        <is>
          <t>Elise Mertens</t>
        </is>
      </c>
      <c r="AT250" s="24" t="inlineStr">
        <is>
          <t>Elise Mertens</t>
        </is>
      </c>
      <c r="AU250" s="24" t="inlineStr">
        <is>
          <t>Elise Mertens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3ab056fefe04713e3c294da76c8adb2866b0dc46556ed32322a0426dd344a0e4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3ab056fefe04713e3c294da76c8adb2866b0dc46556ed32322a0426dd344a0e4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3ab056fefe04713e3c294da76c8adb2866b0dc46556ed32322a0426dd344a0e4</t>
        </is>
      </c>
      <c r="BH250" s="24" t="inlineStr">
        <is>
          <t>2026-08-07T18:28:08.316689Z</t>
        </is>
      </c>
      <c r="BI250" s="24" t="inlineStr">
        <is>
          <t>["same_event","same_team_same_day","same_league_same_day"]</t>
        </is>
      </c>
      <c r="BJ250" s="25" t="n"/>
      <c r="BK250" s="26" t="n">
        <v>-223</v>
      </c>
      <c r="BL250" s="27" t="n">
        <v>1.44843</v>
      </c>
      <c r="BM250" s="28" t="n">
        <v>0.690402</v>
      </c>
      <c r="BN250" s="28" t="n"/>
      <c r="BO250" s="28" t="n"/>
      <c r="BP250" s="25" t="n"/>
      <c r="BQ250" s="27" t="n">
        <v>1.44843</v>
      </c>
      <c r="BR250" s="28" t="n">
        <v>0.6899999999999999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0.690402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af4378b27a894041</t>
        </is>
      </c>
      <c r="B251" s="24" t="inlineStr">
        <is>
          <t>2026-08-07T21:56:48.826537Z</t>
        </is>
      </c>
      <c r="C251" s="24" t="inlineStr">
        <is>
          <t>2026-08-07T23:00Z</t>
        </is>
      </c>
      <c r="D251" s="24" t="inlineStr">
        <is>
          <t>421-2026:182212</t>
        </is>
      </c>
      <c r="E251" s="24" t="inlineStr">
        <is>
          <t>TENNIS</t>
        </is>
      </c>
      <c r="F251" s="24" t="inlineStr">
        <is>
          <t>Belinda Bencic</t>
        </is>
      </c>
      <c r="G251" s="24" t="inlineStr">
        <is>
          <t>Taylor Townsend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-270</v>
      </c>
      <c r="M251" s="27" t="n">
        <v>1.37037</v>
      </c>
      <c r="N251" s="28" t="n">
        <v>0.72973</v>
      </c>
      <c r="O251" s="28" t="n">
        <v>0.67718</v>
      </c>
      <c r="P251" s="28" t="n">
        <v>0.05</v>
      </c>
      <c r="Q251" s="28" t="n">
        <v>-0.05255</v>
      </c>
      <c r="R251" s="26" t="n">
        <v>0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-270</v>
      </c>
      <c r="AA251" s="28" t="n">
        <v>0.73</v>
      </c>
      <c r="AB251" s="28" t="n">
        <v>0.00027</v>
      </c>
      <c r="AC251" s="30" t="n">
        <v>0.6481</v>
      </c>
      <c r="AD251" s="24" t="inlineStr">
        <is>
          <t>2026-08-08T04:03:47.259450Z</t>
        </is>
      </c>
      <c r="AE251" s="31" t="inlineStr">
        <is>
          <t>Surface-blended Elo on Hard: Belinda Bencic p=0.677 vs Taylor Townsend. Executable ask 0.7300 (aec-wta-taytow-belben-2026-08-06).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1" s="24" t="inlineStr">
        <is>
          <t>paper_call</t>
        </is>
      </c>
      <c r="AL251" s="26" t="n">
        <v>3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PAPER_CALL_WINNER_OVERVALUED</t>
        </is>
      </c>
      <c r="AP251" s="24" t="inlineStr">
        <is>
          <t>Belinda Bencic</t>
        </is>
      </c>
      <c r="AQ251" s="24" t="inlineStr">
        <is>
          <t>Belinda Bencic</t>
        </is>
      </c>
      <c r="AR251" s="24" t="inlineStr">
        <is>
          <t>Belinda Bencic</t>
        </is>
      </c>
      <c r="AS251" s="24" t="inlineStr">
        <is>
          <t>Taylor Townsend</t>
        </is>
      </c>
      <c r="AT251" s="24" t="inlineStr">
        <is>
          <t>Taylor Townsend</t>
        </is>
      </c>
      <c r="AU251" s="24" t="inlineStr">
        <is>
          <t>Taylor Townsend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3ab056fefe04713e3c294da76c8adb2866b0dc46556ed32322a0426dd344a0e4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3ab056fefe04713e3c294da76c8adb2866b0dc46556ed32322a0426dd344a0e4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3ab056fefe04713e3c294da76c8adb2866b0dc46556ed32322a0426dd344a0e4</t>
        </is>
      </c>
      <c r="BH251" s="24" t="inlineStr">
        <is>
          <t>2026-08-07T21:56:03.576692Z</t>
        </is>
      </c>
      <c r="BI251" s="24" t="inlineStr">
        <is>
          <t>["same_event","same_team_same_day","same_league_same_day"]</t>
        </is>
      </c>
      <c r="BJ251" s="25" t="n"/>
      <c r="BK251" s="26" t="n">
        <v>-270</v>
      </c>
      <c r="BL251" s="27" t="n">
        <v>1.37037</v>
      </c>
      <c r="BM251" s="28" t="n">
        <v>0.72973</v>
      </c>
      <c r="BN251" s="28" t="n"/>
      <c r="BO251" s="28" t="n"/>
      <c r="BP251" s="25" t="n"/>
      <c r="BQ251" s="27" t="n">
        <v>1.37037</v>
      </c>
      <c r="BR251" s="28" t="n">
        <v>0.73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0.72973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a4495b94b0e8417f</t>
        </is>
      </c>
      <c r="B252" s="24" t="inlineStr">
        <is>
          <t>2026-08-07T21:56:48.826537Z</t>
        </is>
      </c>
      <c r="C252" s="24" t="inlineStr">
        <is>
          <t>2026-08-07T23:00Z</t>
        </is>
      </c>
      <c r="D252" s="24" t="inlineStr">
        <is>
          <t>421-2026:182222</t>
        </is>
      </c>
      <c r="E252" s="24" t="inlineStr">
        <is>
          <t>TENNIS</t>
        </is>
      </c>
      <c r="F252" s="24" t="inlineStr">
        <is>
          <t>Coco Gauff</t>
        </is>
      </c>
      <c r="G252" s="24" t="inlineStr">
        <is>
          <t>Maria Sakkari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-355</v>
      </c>
      <c r="M252" s="27" t="n">
        <v>1.28169</v>
      </c>
      <c r="N252" s="28" t="n">
        <v>0.78022</v>
      </c>
      <c r="O252" s="28" t="n">
        <v>0.801053</v>
      </c>
      <c r="P252" s="28" t="n">
        <v>0.05</v>
      </c>
      <c r="Q252" s="28" t="n">
        <v>0.020833</v>
      </c>
      <c r="R252" s="26" t="n">
        <v>30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>
        <v>-355</v>
      </c>
      <c r="AA252" s="28" t="n">
        <v>0.78</v>
      </c>
      <c r="AB252" s="28" t="n">
        <v>-0.00022</v>
      </c>
      <c r="AC252" s="30" t="n">
        <v>0.5634</v>
      </c>
      <c r="AD252" s="24" t="inlineStr">
        <is>
          <t>2026-08-08T00:59:20.282876Z</t>
        </is>
      </c>
      <c r="AE252" s="31" t="inlineStr">
        <is>
          <t>Surface-blended Elo on Hard: Coco Gauff p=0.801 vs Maria Sakkari. Executable ask 0.7800 (aec-wta-marsak-cocgau-2026-08-06).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not_applicable</t>
        </is>
      </c>
      <c r="AH252" s="24" t="n"/>
      <c r="AI252" s="31" t="n"/>
      <c r="AJ2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2" s="24" t="inlineStr">
        <is>
          <t>paper_call</t>
        </is>
      </c>
      <c r="AL252" s="26" t="n">
        <v>3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PAPER_CALL_WINNER_OVERVALUED</t>
        </is>
      </c>
      <c r="AP252" s="24" t="inlineStr">
        <is>
          <t>Coco Gauff</t>
        </is>
      </c>
      <c r="AQ252" s="24" t="inlineStr">
        <is>
          <t>Coco Gauff</t>
        </is>
      </c>
      <c r="AR252" s="24" t="inlineStr">
        <is>
          <t>Coco Gauff</t>
        </is>
      </c>
      <c r="AS252" s="24" t="inlineStr">
        <is>
          <t>Maria Sakkari</t>
        </is>
      </c>
      <c r="AT252" s="24" t="inlineStr">
        <is>
          <t>Maria Sakkari</t>
        </is>
      </c>
      <c r="AU252" s="24" t="inlineStr">
        <is>
          <t>Maria Sakkari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3ab056fefe04713e3c294da76c8adb2866b0dc46556ed32322a0426dd344a0e4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3ab056fefe04713e3c294da76c8adb2866b0dc46556ed32322a0426dd344a0e4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3ab056fefe04713e3c294da76c8adb2866b0dc46556ed32322a0426dd344a0e4</t>
        </is>
      </c>
      <c r="BH252" s="24" t="inlineStr">
        <is>
          <t>2026-08-07T21:56:04.332132Z</t>
        </is>
      </c>
      <c r="BI252" s="24" t="inlineStr">
        <is>
          <t>["same_event","same_team_same_day","same_league_same_day"]</t>
        </is>
      </c>
      <c r="BJ252" s="25" t="n"/>
      <c r="BK252" s="26" t="n">
        <v>-355</v>
      </c>
      <c r="BL252" s="27" t="n">
        <v>1.28169</v>
      </c>
      <c r="BM252" s="28" t="n">
        <v>0.78022</v>
      </c>
      <c r="BN252" s="28" t="n"/>
      <c r="BO252" s="28" t="n"/>
      <c r="BP252" s="25" t="n"/>
      <c r="BQ252" s="27" t="n">
        <v>1.28169</v>
      </c>
      <c r="BR252" s="28" t="n">
        <v>0.78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0.78022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a215698db7be4fa4</t>
        </is>
      </c>
      <c r="B253" s="24" t="inlineStr">
        <is>
          <t>2026-08-07T21:56:48.826537Z</t>
        </is>
      </c>
      <c r="C253" s="24" t="inlineStr">
        <is>
          <t>2026-08-07T22:00Z</t>
        </is>
      </c>
      <c r="D253" s="24" t="inlineStr">
        <is>
          <t>421-2026:181777</t>
        </is>
      </c>
      <c r="E253" s="24" t="inlineStr">
        <is>
          <t>TENNIS</t>
        </is>
      </c>
      <c r="F253" s="24" t="inlineStr">
        <is>
          <t>Jakub Mensik</t>
        </is>
      </c>
      <c r="G253" s="24" t="inlineStr">
        <is>
          <t>Terence Atmane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-194</v>
      </c>
      <c r="M253" s="27" t="n">
        <v>1.515464</v>
      </c>
      <c r="N253" s="28" t="n">
        <v>0.659864</v>
      </c>
      <c r="O253" s="28" t="n">
        <v>0.706207</v>
      </c>
      <c r="P253" s="28" t="n">
        <v>0.05</v>
      </c>
      <c r="Q253" s="28" t="n">
        <v>0.046343</v>
      </c>
      <c r="R253" s="26" t="n">
        <v>43</v>
      </c>
      <c r="S253" s="29" t="n">
        <v>2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0</v>
      </c>
      <c r="Y253" s="25" t="n"/>
      <c r="Z253" s="26" t="n">
        <v>-194</v>
      </c>
      <c r="AA253" s="28" t="n">
        <v>0.66</v>
      </c>
      <c r="AB253" s="28" t="n">
        <v>0.000136</v>
      </c>
      <c r="AC253" s="30" t="n">
        <v>1.0309</v>
      </c>
      <c r="AD253" s="24" t="inlineStr">
        <is>
          <t>2026-08-08T00:59:21.604035Z</t>
        </is>
      </c>
      <c r="AE253" s="31" t="inlineStr">
        <is>
          <t>Surface-blended Elo on Hard: Jakub Mensik p=0.706 vs Terence Atmane. Executable ask 0.6600 (aec-atp-teratm-jakmen-2026-08-07).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not_applicable</t>
        </is>
      </c>
      <c r="AH253" s="24" t="n"/>
      <c r="AI253" s="31" t="n"/>
      <c r="AJ2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3" s="24" t="inlineStr">
        <is>
          <t>paper_call</t>
        </is>
      </c>
      <c r="AL253" s="26" t="n">
        <v>3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PAPER_CALL_WINNER_OVERVALUED</t>
        </is>
      </c>
      <c r="AP253" s="24" t="inlineStr">
        <is>
          <t>Jakub Mensik</t>
        </is>
      </c>
      <c r="AQ253" s="24" t="inlineStr">
        <is>
          <t>Jakub Mensik</t>
        </is>
      </c>
      <c r="AR253" s="24" t="inlineStr">
        <is>
          <t>Jakub Mensik</t>
        </is>
      </c>
      <c r="AS253" s="24" t="inlineStr">
        <is>
          <t>Terence Atmane</t>
        </is>
      </c>
      <c r="AT253" s="24" t="inlineStr">
        <is>
          <t>Terence Atmane</t>
        </is>
      </c>
      <c r="AU253" s="24" t="inlineStr">
        <is>
          <t>Terence Atmane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3ab056fefe04713e3c294da76c8adb2866b0dc46556ed32322a0426dd344a0e4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3ab056fefe04713e3c294da76c8adb2866b0dc46556ed32322a0426dd344a0e4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3ab056fefe04713e3c294da76c8adb2866b0dc46556ed32322a0426dd344a0e4</t>
        </is>
      </c>
      <c r="BH253" s="24" t="inlineStr">
        <is>
          <t>2026-08-07T21:56:06.252905Z</t>
        </is>
      </c>
      <c r="BI253" s="24" t="inlineStr">
        <is>
          <t>["same_event","same_team_same_day","same_league_same_day"]</t>
        </is>
      </c>
      <c r="BJ253" s="25" t="n"/>
      <c r="BK253" s="26" t="n">
        <v>-194</v>
      </c>
      <c r="BL253" s="27" t="n">
        <v>1.515464</v>
      </c>
      <c r="BM253" s="28" t="n">
        <v>0.659864</v>
      </c>
      <c r="BN253" s="28" t="n"/>
      <c r="BO253" s="28" t="n"/>
      <c r="BP253" s="25" t="n"/>
      <c r="BQ253" s="27" t="n">
        <v>1.515464</v>
      </c>
      <c r="BR253" s="28" t="n">
        <v>0.66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0.659864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34485996e787436e</t>
        </is>
      </c>
      <c r="B254" s="24" t="inlineStr">
        <is>
          <t>2026-08-07T21:56:48.826537Z</t>
        </is>
      </c>
      <c r="C254" s="24" t="inlineStr">
        <is>
          <t>2026-08-07T23:00Z</t>
        </is>
      </c>
      <c r="D254" s="24" t="inlineStr">
        <is>
          <t>421-2026:181751</t>
        </is>
      </c>
      <c r="E254" s="24" t="inlineStr">
        <is>
          <t>TENNIS</t>
        </is>
      </c>
      <c r="F254" s="24" t="inlineStr">
        <is>
          <t>Joao Fonseca</t>
        </is>
      </c>
      <c r="G254" s="24" t="inlineStr">
        <is>
          <t>Casper Ruud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-122</v>
      </c>
      <c r="M254" s="27" t="n">
        <v>1.819672</v>
      </c>
      <c r="N254" s="28" t="n">
        <v>0.54955</v>
      </c>
      <c r="O254" s="28" t="n">
        <v>0.544096</v>
      </c>
      <c r="P254" s="28" t="n">
        <v>0.05</v>
      </c>
      <c r="Q254" s="28" t="n">
        <v>-0.005454</v>
      </c>
      <c r="R254" s="26" t="n">
        <v>17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>
        <v>-122</v>
      </c>
      <c r="AA254" s="28" t="n">
        <v>0.55</v>
      </c>
      <c r="AB254" s="28" t="n">
        <v>0.00045</v>
      </c>
      <c r="AC254" s="30" t="n">
        <v>0.8197</v>
      </c>
      <c r="AD254" s="24" t="inlineStr">
        <is>
          <t>2026-08-08T04:03:48.625240Z</t>
        </is>
      </c>
      <c r="AE254" s="31" t="inlineStr">
        <is>
          <t>Surface-blended Elo on Hard: Joao Fonseca p=0.544 vs Casper Ruud. Executable ask 0.5500 (aec-atp-casruu-joafon-2026-08-06).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4" s="24" t="inlineStr">
        <is>
          <t>paper_call</t>
        </is>
      </c>
      <c r="AL254" s="26" t="n">
        <v>3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PAPER_CALL_WINNER_OVERVALUED</t>
        </is>
      </c>
      <c r="AP254" s="24" t="inlineStr">
        <is>
          <t>Joao Fonseca</t>
        </is>
      </c>
      <c r="AQ254" s="24" t="inlineStr">
        <is>
          <t>Joao Fonseca</t>
        </is>
      </c>
      <c r="AR254" s="24" t="inlineStr">
        <is>
          <t>Joao Fonseca</t>
        </is>
      </c>
      <c r="AS254" s="24" t="inlineStr">
        <is>
          <t>Casper Ruud</t>
        </is>
      </c>
      <c r="AT254" s="24" t="inlineStr">
        <is>
          <t>Casper Ruud</t>
        </is>
      </c>
      <c r="AU254" s="24" t="inlineStr">
        <is>
          <t>Casper Ruud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3ab056fefe04713e3c294da76c8adb2866b0dc46556ed32322a0426dd344a0e4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3ab056fefe04713e3c294da76c8adb2866b0dc46556ed32322a0426dd344a0e4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3ab056fefe04713e3c294da76c8adb2866b0dc46556ed32322a0426dd344a0e4</t>
        </is>
      </c>
      <c r="BH254" s="24" t="inlineStr">
        <is>
          <t>2026-08-07T21:56:07.185893Z</t>
        </is>
      </c>
      <c r="BI254" s="24" t="inlineStr">
        <is>
          <t>["same_event","same_team_same_day","same_league_same_day"]</t>
        </is>
      </c>
      <c r="BJ254" s="25" t="n"/>
      <c r="BK254" s="26" t="n">
        <v>-122</v>
      </c>
      <c r="BL254" s="27" t="n">
        <v>1.819672</v>
      </c>
      <c r="BM254" s="28" t="n">
        <v>0.54955</v>
      </c>
      <c r="BN254" s="28" t="n"/>
      <c r="BO254" s="28" t="n"/>
      <c r="BP254" s="25" t="n"/>
      <c r="BQ254" s="27" t="n">
        <v>1.819672</v>
      </c>
      <c r="BR254" s="28" t="n">
        <v>0.55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0.54955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950c45d06cf4464d</t>
        </is>
      </c>
      <c r="B255" s="24" t="inlineStr">
        <is>
          <t>2026-08-07T21:56:48.826537Z</t>
        </is>
      </c>
      <c r="C255" s="24" t="inlineStr">
        <is>
          <t>2026-08-07T23:30Z</t>
        </is>
      </c>
      <c r="D255" s="24" t="inlineStr">
        <is>
          <t>421-2026:181766</t>
        </is>
      </c>
      <c r="E255" s="24" t="inlineStr">
        <is>
          <t>TENNIS</t>
        </is>
      </c>
      <c r="F255" s="24" t="inlineStr">
        <is>
          <t>Thiago Agustin Tirante</t>
        </is>
      </c>
      <c r="G255" s="24" t="inlineStr">
        <is>
          <t>Alexei Popyrin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122</v>
      </c>
      <c r="M255" s="27" t="n">
        <v>2.22</v>
      </c>
      <c r="N255" s="28" t="n">
        <v>0.45045</v>
      </c>
      <c r="O255" s="28" t="n">
        <v>0.592411</v>
      </c>
      <c r="P255" s="28" t="n">
        <v>0.05</v>
      </c>
      <c r="Q255" s="28" t="n">
        <v>0.141961</v>
      </c>
      <c r="R255" s="26" t="n">
        <v>91</v>
      </c>
      <c r="S255" s="29" t="n">
        <v>1.25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1</v>
      </c>
      <c r="X255" s="26" t="n">
        <v>0</v>
      </c>
      <c r="Y255" s="25" t="n"/>
      <c r="Z255" s="26" t="n">
        <v>122</v>
      </c>
      <c r="AA255" s="28" t="n">
        <v>0.45</v>
      </c>
      <c r="AB255" s="28" t="n">
        <v>-0.00045</v>
      </c>
      <c r="AC255" s="30" t="n">
        <v>1.525</v>
      </c>
      <c r="AD255" s="24" t="inlineStr">
        <is>
          <t>2026-08-08T04:03:49.971404Z</t>
        </is>
      </c>
      <c r="AE255" s="31" t="inlineStr">
        <is>
          <t>Surface-blended Elo on Hard: Thiago Agustin Tirante p=0.592 vs Alexei Popyrin. Executable ask 0.4500 (aec-atp-alepop-thitir-2026-08-06).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Thiago Agustin Tirante</t>
        </is>
      </c>
      <c r="AQ255" s="24" t="inlineStr">
        <is>
          <t>Thiago Agustin Tirante</t>
        </is>
      </c>
      <c r="AR255" s="24" t="inlineStr">
        <is>
          <t>Thiago Agustin Tirante</t>
        </is>
      </c>
      <c r="AS255" s="24" t="inlineStr">
        <is>
          <t>Alexei Popyrin</t>
        </is>
      </c>
      <c r="AT255" s="24" t="inlineStr">
        <is>
          <t>Alexei Popyrin</t>
        </is>
      </c>
      <c r="AU255" s="24" t="inlineStr">
        <is>
          <t>Alexei Popyrin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3ab056fefe04713e3c294da76c8adb2866b0dc46556ed32322a0426dd344a0e4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3ab056fefe04713e3c294da76c8adb2866b0dc46556ed32322a0426dd344a0e4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3ab056fefe04713e3c294da76c8adb2866b0dc46556ed32322a0426dd344a0e4</t>
        </is>
      </c>
      <c r="BH255" s="24" t="inlineStr">
        <is>
          <t>2026-08-07T21:56:07.767044Z</t>
        </is>
      </c>
      <c r="BI255" s="24" t="inlineStr">
        <is>
          <t>["same_event","same_team_same_day","same_league_same_day"]</t>
        </is>
      </c>
      <c r="BJ255" s="25" t="n"/>
      <c r="BK255" s="26" t="n">
        <v>122</v>
      </c>
      <c r="BL255" s="27" t="n">
        <v>2.22</v>
      </c>
      <c r="BM255" s="28" t="n">
        <v>0.45045</v>
      </c>
      <c r="BN255" s="28" t="n"/>
      <c r="BO255" s="28" t="n"/>
      <c r="BP255" s="25" t="n"/>
      <c r="BQ255" s="27" t="n">
        <v>2.22</v>
      </c>
      <c r="BR255" s="28" t="n">
        <v>0.45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0.45045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5d959aeacec94e50</t>
        </is>
      </c>
      <c r="B256" s="24" t="inlineStr">
        <is>
          <t>2026-08-07T21:56:48.826537Z</t>
        </is>
      </c>
      <c r="C256" s="24" t="inlineStr">
        <is>
          <t>2026-08-08T00:30Z</t>
        </is>
      </c>
      <c r="D256" s="24" t="inlineStr">
        <is>
          <t>421-2026:181768</t>
        </is>
      </c>
      <c r="E256" s="24" t="inlineStr">
        <is>
          <t>TENNIS</t>
        </is>
      </c>
      <c r="F256" s="24" t="inlineStr">
        <is>
          <t>Tommy Paul</t>
        </is>
      </c>
      <c r="G256" s="24" t="inlineStr">
        <is>
          <t>Learner Tien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0.573609</v>
      </c>
      <c r="P256" s="28" t="n">
        <v>0.05</v>
      </c>
      <c r="Q256" s="28" t="n">
        <v>-0.046163</v>
      </c>
      <c r="R256" s="26" t="n">
        <v>0</v>
      </c>
      <c r="S256" s="29" t="n">
        <v>1.25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0</v>
      </c>
      <c r="X256" s="26" t="n">
        <v>1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-1.25</v>
      </c>
      <c r="AD256" s="24" t="inlineStr">
        <is>
          <t>2026-08-08T04:03:51.319366Z</t>
        </is>
      </c>
      <c r="AE256" s="31" t="inlineStr">
        <is>
          <t>Surface-blended Elo on Hard: Tommy Paul p=0.574 vs Learner Tien. Executable ask 0.6200 (aec-atp-leatie-tompau-2026-08-07).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6" s="24" t="inlineStr">
        <is>
          <t>paper_call</t>
        </is>
      </c>
      <c r="AL256" s="26" t="n">
        <v>3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PAPER_CALL_WINNER_OVERVALUED</t>
        </is>
      </c>
      <c r="AP256" s="24" t="inlineStr">
        <is>
          <t>Tommy Paul</t>
        </is>
      </c>
      <c r="AQ256" s="24" t="inlineStr">
        <is>
          <t>Tommy Paul</t>
        </is>
      </c>
      <c r="AR256" s="24" t="inlineStr">
        <is>
          <t>Tommy Paul</t>
        </is>
      </c>
      <c r="AS256" s="24" t="inlineStr">
        <is>
          <t>Learner Tien</t>
        </is>
      </c>
      <c r="AT256" s="24" t="inlineStr">
        <is>
          <t>Learner Tien</t>
        </is>
      </c>
      <c r="AU256" s="24" t="inlineStr">
        <is>
          <t>Learner Tien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3ab056fefe04713e3c294da76c8adb2866b0dc46556ed32322a0426dd344a0e4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3ab056fefe04713e3c294da76c8adb2866b0dc46556ed32322a0426dd344a0e4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3ab056fefe04713e3c294da76c8adb2866b0dc46556ed32322a0426dd344a0e4</t>
        </is>
      </c>
      <c r="BH256" s="24" t="inlineStr">
        <is>
          <t>2026-08-07T21:56:09.029020Z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0.619772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34f06906552c42f2</t>
        </is>
      </c>
      <c r="B257" s="24" t="inlineStr">
        <is>
          <t>2026-08-08T04:06:19.341273Z</t>
        </is>
      </c>
      <c r="C257" s="24" t="inlineStr">
        <is>
          <t>2026-08-08T12:00Z</t>
        </is>
      </c>
      <c r="D257" s="24" t="inlineStr">
        <is>
          <t>961-2026:182111</t>
        </is>
      </c>
      <c r="E257" s="24" t="inlineStr">
        <is>
          <t>TENNIS</t>
        </is>
      </c>
      <c r="F257" s="24" t="inlineStr">
        <is>
          <t>Gabriela Knutson</t>
        </is>
      </c>
      <c r="G257" s="24" t="inlineStr">
        <is>
          <t>Carol Young Suh Lee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-194</v>
      </c>
      <c r="M257" s="27" t="n">
        <v>1.515464</v>
      </c>
      <c r="N257" s="28" t="n">
        <v>0.659864</v>
      </c>
      <c r="O257" s="28" t="n">
        <v>0.5540389999999999</v>
      </c>
      <c r="P257" s="28" t="n">
        <v>0.05</v>
      </c>
      <c r="Q257" s="28" t="n">
        <v>-0.105825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0</v>
      </c>
      <c r="X257" s="26" t="n">
        <v>1</v>
      </c>
      <c r="Y257" s="25" t="n"/>
      <c r="Z257" s="26" t="n">
        <v>-194</v>
      </c>
      <c r="AA257" s="28" t="n">
        <v>0.66</v>
      </c>
      <c r="AB257" s="28" t="n">
        <v>0.000136</v>
      </c>
      <c r="AC257" s="30" t="n">
        <v>0.5155</v>
      </c>
      <c r="AD257" s="24" t="inlineStr">
        <is>
          <t>2026-08-08T18:33:22.870955Z</t>
        </is>
      </c>
      <c r="AE257" s="31" t="inlineStr">
        <is>
          <t>Surface-blended Elo on Hard: Gabriela Knutson p=0.446 vs Carol Young Suh Lee. Executable ask 0.6600 (aec-wta-carlee-gabknu-2026-08-08).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7" s="24" t="inlineStr">
        <is>
          <t>paper_call</t>
        </is>
      </c>
      <c r="AL257" s="26" t="n">
        <v>3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PAPER_CALL_WINNER_OVERVALUED</t>
        </is>
      </c>
      <c r="AP257" s="24" t="inlineStr">
        <is>
          <t>Gabriela Knutson</t>
        </is>
      </c>
      <c r="AQ257" s="24" t="inlineStr">
        <is>
          <t>Gabriela Knutson</t>
        </is>
      </c>
      <c r="AR257" s="24" t="inlineStr">
        <is>
          <t>Gabriela Knutson</t>
        </is>
      </c>
      <c r="AS257" s="24" t="inlineStr">
        <is>
          <t>Carol Young Suh Lee</t>
        </is>
      </c>
      <c r="AT257" s="24" t="inlineStr">
        <is>
          <t>Carol Young Suh Lee</t>
        </is>
      </c>
      <c r="AU257" s="24" t="inlineStr">
        <is>
          <t>Carol Young Suh Lee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3ab056fefe04713e3c294da76c8adb2866b0dc46556ed32322a0426dd344a0e4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3ab056fefe04713e3c294da76c8adb2866b0dc46556ed32322a0426dd344a0e4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3ab056fefe04713e3c294da76c8adb2866b0dc46556ed32322a0426dd344a0e4</t>
        </is>
      </c>
      <c r="BH257" s="24" t="inlineStr">
        <is>
          <t>2026-08-08T04:05:30.287893Z</t>
        </is>
      </c>
      <c r="BI257" s="24" t="inlineStr">
        <is>
          <t>["same_event","same_team_same_day","same_league_same_day"]</t>
        </is>
      </c>
      <c r="BJ257" s="25" t="n"/>
      <c r="BK257" s="26" t="n">
        <v>-194</v>
      </c>
      <c r="BL257" s="27" t="n">
        <v>1.515464</v>
      </c>
      <c r="BM257" s="28" t="n">
        <v>0.659864</v>
      </c>
      <c r="BN257" s="28" t="n"/>
      <c r="BO257" s="28" t="n"/>
      <c r="BP257" s="25" t="n"/>
      <c r="BQ257" s="27" t="n">
        <v>1.515464</v>
      </c>
      <c r="BR257" s="28" t="n">
        <v>0.66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0.659864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1807cfd105cd47a2</t>
        </is>
      </c>
      <c r="B258" s="24" t="inlineStr">
        <is>
          <t>2026-08-08T18:36:25.161542Z</t>
        </is>
      </c>
      <c r="C258" s="24" t="inlineStr">
        <is>
          <t>2026-08-08T23:00Z</t>
        </is>
      </c>
      <c r="D258" s="24" t="inlineStr">
        <is>
          <t>421-2026:182224</t>
        </is>
      </c>
      <c r="E258" s="24" t="inlineStr">
        <is>
          <t>TENNIS</t>
        </is>
      </c>
      <c r="F258" s="24" t="inlineStr">
        <is>
          <t>Ekaterina Alexandrova</t>
        </is>
      </c>
      <c r="G258" s="24" t="inlineStr">
        <is>
          <t>Aryna Sabalenka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-525</v>
      </c>
      <c r="M258" s="27" t="n">
        <v>1.190476</v>
      </c>
      <c r="N258" s="28" t="n">
        <v>0.84</v>
      </c>
      <c r="O258" s="28" t="n">
        <v>0.914535</v>
      </c>
      <c r="P258" s="28" t="n">
        <v>0.05</v>
      </c>
      <c r="Q258" s="28" t="n">
        <v>0.074535</v>
      </c>
      <c r="R258" s="26" t="n">
        <v>57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1</v>
      </c>
      <c r="X258" s="26" t="n">
        <v>0</v>
      </c>
      <c r="Y258" s="25" t="n"/>
      <c r="Z258" s="26" t="n">
        <v>-525</v>
      </c>
      <c r="AA258" s="28" t="n">
        <v>0.84</v>
      </c>
      <c r="AB258" s="28" t="n">
        <v>0</v>
      </c>
      <c r="AC258" s="30" t="n">
        <v>-2</v>
      </c>
      <c r="AD258" s="24" t="inlineStr">
        <is>
          <t>2026-08-09T05:12:56.984051Z</t>
        </is>
      </c>
      <c r="AE258" s="31" t="inlineStr">
        <is>
          <t>Surface-blended Elo on Hard: Ekaterina Alexandrova p=0.085 vs Aryna Sabalenka. Executable ask 0.8400 (aec-wta-arysab-ekaale-2026-08-08).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8" s="24" t="inlineStr">
        <is>
          <t>paper_call</t>
        </is>
      </c>
      <c r="AL258" s="26" t="n">
        <v>3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PAPER_CALL_WINNER_OVERVALUED</t>
        </is>
      </c>
      <c r="AP258" s="24" t="inlineStr">
        <is>
          <t>Ekaterina Alexandrova</t>
        </is>
      </c>
      <c r="AQ258" s="24" t="inlineStr">
        <is>
          <t>Ekaterina Alexandrova</t>
        </is>
      </c>
      <c r="AR258" s="24" t="inlineStr">
        <is>
          <t>Ekaterina Alexandrova</t>
        </is>
      </c>
      <c r="AS258" s="24" t="inlineStr">
        <is>
          <t>Aryna Sabalenka</t>
        </is>
      </c>
      <c r="AT258" s="24" t="inlineStr">
        <is>
          <t>Aryna Sabalenka</t>
        </is>
      </c>
      <c r="AU258" s="24" t="inlineStr">
        <is>
          <t>Aryna Sabalenka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3ab056fefe04713e3c294da76c8adb2866b0dc46556ed32322a0426dd344a0e4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3ab056fefe04713e3c294da76c8adb2866b0dc46556ed32322a0426dd344a0e4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3ab056fefe04713e3c294da76c8adb2866b0dc46556ed32322a0426dd344a0e4</t>
        </is>
      </c>
      <c r="BH258" s="24" t="inlineStr">
        <is>
          <t>2026-08-08T18:35:48.074179Z</t>
        </is>
      </c>
      <c r="BI258" s="24" t="inlineStr">
        <is>
          <t>["same_event","same_team_same_day","same_league_same_day"]</t>
        </is>
      </c>
      <c r="BJ258" s="25" t="n"/>
      <c r="BK258" s="26" t="n">
        <v>-525</v>
      </c>
      <c r="BL258" s="27" t="n">
        <v>1.190476</v>
      </c>
      <c r="BM258" s="28" t="n">
        <v>0.84</v>
      </c>
      <c r="BN258" s="28" t="n"/>
      <c r="BO258" s="28" t="n"/>
      <c r="BP258" s="25" t="n"/>
      <c r="BQ258" s="27" t="n">
        <v>1.190476</v>
      </c>
      <c r="BR258" s="28" t="n">
        <v>0.84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0.84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67365af711b9411e</t>
        </is>
      </c>
      <c r="B259" s="24" t="inlineStr">
        <is>
          <t>2026-08-08T18:36:25.161542Z</t>
        </is>
      </c>
      <c r="C259" s="24" t="inlineStr">
        <is>
          <t>2026-08-09T00:30Z</t>
        </is>
      </c>
      <c r="D259" s="24" t="inlineStr">
        <is>
          <t>421-2026:182200</t>
        </is>
      </c>
      <c r="E259" s="24" t="inlineStr">
        <is>
          <t>TENNIS</t>
        </is>
      </c>
      <c r="F259" s="24" t="inlineStr">
        <is>
          <t>Amanda Anisimova</t>
        </is>
      </c>
      <c r="G259" s="24" t="inlineStr">
        <is>
          <t>Elina Svitolina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-144</v>
      </c>
      <c r="M259" s="27" t="n">
        <v>1.694444</v>
      </c>
      <c r="N259" s="28" t="n">
        <v>0.590164</v>
      </c>
      <c r="O259" s="28" t="n">
        <v>0.542879</v>
      </c>
      <c r="P259" s="28" t="n">
        <v>0.05</v>
      </c>
      <c r="Q259" s="28" t="n">
        <v>-0.047285</v>
      </c>
      <c r="R259" s="26" t="n">
        <v>0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>
        <v>-144</v>
      </c>
      <c r="AA259" s="28" t="n">
        <v>0.59</v>
      </c>
      <c r="AB259" s="28" t="n">
        <v>-0.000164</v>
      </c>
      <c r="AC259" s="30" t="n">
        <v>0.6944</v>
      </c>
      <c r="AD259" s="24" t="inlineStr">
        <is>
          <t>2026-08-09T05:12:59.748735Z</t>
        </is>
      </c>
      <c r="AE259" s="31" t="inlineStr">
        <is>
          <t>Surface-blended Elo on Hard: Amanda Anisimova p=0.457 vs Elina Svitolina. Executable ask 0.5900 (aec-wta-elisvi-amaani-2026-08-09).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not_applicable</t>
        </is>
      </c>
      <c r="AH259" s="24" t="n"/>
      <c r="AI259" s="31" t="n"/>
      <c r="AJ2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9" s="24" t="inlineStr">
        <is>
          <t>paper_call</t>
        </is>
      </c>
      <c r="AL259" s="26" t="n">
        <v>3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PAPER_CALL_WINNER_OVERVALUED</t>
        </is>
      </c>
      <c r="AP259" s="24" t="inlineStr">
        <is>
          <t>Amanda Anisimova</t>
        </is>
      </c>
      <c r="AQ259" s="24" t="inlineStr">
        <is>
          <t>Amanda Anisimova</t>
        </is>
      </c>
      <c r="AR259" s="24" t="inlineStr">
        <is>
          <t>Amanda Anisimova</t>
        </is>
      </c>
      <c r="AS259" s="24" t="inlineStr">
        <is>
          <t>Elina Svitolina</t>
        </is>
      </c>
      <c r="AT259" s="24" t="inlineStr">
        <is>
          <t>Elina Svitolina</t>
        </is>
      </c>
      <c r="AU259" s="24" t="inlineStr">
        <is>
          <t>Elina Svitolina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3ab056fefe04713e3c294da76c8adb2866b0dc46556ed32322a0426dd344a0e4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3ab056fefe04713e3c294da76c8adb2866b0dc46556ed32322a0426dd344a0e4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3ab056fefe04713e3c294da76c8adb2866b0dc46556ed32322a0426dd344a0e4</t>
        </is>
      </c>
      <c r="BH259" s="24" t="inlineStr">
        <is>
          <t>2026-08-08T18:35:48.764233Z</t>
        </is>
      </c>
      <c r="BI259" s="24" t="inlineStr">
        <is>
          <t>["same_event","same_team_same_day","same_league_same_day"]</t>
        </is>
      </c>
      <c r="BJ259" s="25" t="n"/>
      <c r="BK259" s="26" t="n">
        <v>-144</v>
      </c>
      <c r="BL259" s="27" t="n">
        <v>1.694444</v>
      </c>
      <c r="BM259" s="28" t="n">
        <v>0.590164</v>
      </c>
      <c r="BN259" s="28" t="n"/>
      <c r="BO259" s="28" t="n"/>
      <c r="BP259" s="25" t="n"/>
      <c r="BQ259" s="27" t="n">
        <v>1.694444</v>
      </c>
      <c r="BR259" s="28" t="n">
        <v>0.59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0.590164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b5a8447e0c9c4a1b</t>
        </is>
      </c>
      <c r="B260" s="24" t="inlineStr">
        <is>
          <t>2026-08-08T18:36:25.161542Z</t>
        </is>
      </c>
      <c r="C260" s="24" t="inlineStr">
        <is>
          <t>2026-08-08T22:00Z</t>
        </is>
      </c>
      <c r="D260" s="24" t="inlineStr">
        <is>
          <t>421-2026:181775</t>
        </is>
      </c>
      <c r="E260" s="24" t="inlineStr">
        <is>
          <t>TENNIS</t>
        </is>
      </c>
      <c r="F260" s="24" t="inlineStr">
        <is>
          <t>Rafael Jodar</t>
        </is>
      </c>
      <c r="G260" s="24" t="inlineStr">
        <is>
          <t>Jiri Lehecka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108</v>
      </c>
      <c r="M260" s="27" t="n">
        <v>2.08</v>
      </c>
      <c r="N260" s="28" t="n">
        <v>0.480769</v>
      </c>
      <c r="O260" s="28" t="n">
        <v>0.545414</v>
      </c>
      <c r="P260" s="28" t="n">
        <v>0.05</v>
      </c>
      <c r="Q260" s="28" t="n">
        <v>0.06464499999999999</v>
      </c>
      <c r="R260" s="26" t="n">
        <v>52</v>
      </c>
      <c r="S260" s="29" t="n">
        <v>1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108</v>
      </c>
      <c r="AA260" s="28" t="n">
        <v>0.48</v>
      </c>
      <c r="AB260" s="28" t="n">
        <v>-0.000769</v>
      </c>
      <c r="AC260" s="30" t="n">
        <v>-1</v>
      </c>
      <c r="AD260" s="24" t="inlineStr">
        <is>
          <t>2026-08-09T05:13:03.480000Z</t>
        </is>
      </c>
      <c r="AE260" s="31" t="inlineStr">
        <is>
          <t>Surface-blended Elo on Hard: Rafael Jodar p=0.455 vs Jiri Lehecka. Executable ask 0.4800 (aec-atp-jirleh-rafjod-2026-08-08).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0" s="24" t="inlineStr">
        <is>
          <t>paper_call</t>
        </is>
      </c>
      <c r="AL260" s="26" t="n">
        <v>3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PAPER_CALL_WINNER_OVERVALUED</t>
        </is>
      </c>
      <c r="AP260" s="24" t="inlineStr">
        <is>
          <t>Rafael Jodar</t>
        </is>
      </c>
      <c r="AQ260" s="24" t="inlineStr">
        <is>
          <t>Rafael Jodar</t>
        </is>
      </c>
      <c r="AR260" s="24" t="inlineStr">
        <is>
          <t>Rafael Jodar</t>
        </is>
      </c>
      <c r="AS260" s="24" t="inlineStr">
        <is>
          <t>Jiri Lehecka</t>
        </is>
      </c>
      <c r="AT260" s="24" t="inlineStr">
        <is>
          <t>Jiri Lehecka</t>
        </is>
      </c>
      <c r="AU260" s="24" t="inlineStr">
        <is>
          <t>Jiri Lehecka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3ab056fefe04713e3c294da76c8adb2866b0dc46556ed32322a0426dd344a0e4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3ab056fefe04713e3c294da76c8adb2866b0dc46556ed32322a0426dd344a0e4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3ab056fefe04713e3c294da76c8adb2866b0dc46556ed32322a0426dd344a0e4</t>
        </is>
      </c>
      <c r="BH260" s="24" t="inlineStr">
        <is>
          <t>2026-08-08T18:35:50.235964Z</t>
        </is>
      </c>
      <c r="BI260" s="24" t="inlineStr">
        <is>
          <t>["same_event","same_team_same_day","same_league_same_day"]</t>
        </is>
      </c>
      <c r="BJ260" s="25" t="n"/>
      <c r="BK260" s="26" t="n">
        <v>108</v>
      </c>
      <c r="BL260" s="27" t="n">
        <v>2.08</v>
      </c>
      <c r="BM260" s="28" t="n">
        <v>0.480769</v>
      </c>
      <c r="BN260" s="28" t="n"/>
      <c r="BO260" s="28" t="n"/>
      <c r="BP260" s="25" t="n"/>
      <c r="BQ260" s="27" t="n">
        <v>2.08</v>
      </c>
      <c r="BR260" s="28" t="n">
        <v>0.48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0.480769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00d499c18fd0433b</t>
        </is>
      </c>
      <c r="B261" s="24" t="inlineStr">
        <is>
          <t>2026-08-08T18:36:25.161542Z</t>
        </is>
      </c>
      <c r="C261" s="24" t="inlineStr">
        <is>
          <t>2026-08-08T23:30Z</t>
        </is>
      </c>
      <c r="D261" s="24" t="inlineStr">
        <is>
          <t>421-2026:181745</t>
        </is>
      </c>
      <c r="E261" s="24" t="inlineStr">
        <is>
          <t>TENNIS</t>
        </is>
      </c>
      <c r="F261" s="24" t="inlineStr">
        <is>
          <t>Cameron Norrie</t>
        </is>
      </c>
      <c r="G261" s="24" t="inlineStr">
        <is>
          <t>Arthur Fils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-245</v>
      </c>
      <c r="M261" s="27" t="n">
        <v>1.408163</v>
      </c>
      <c r="N261" s="28" t="n">
        <v>0.710145</v>
      </c>
      <c r="O261" s="28" t="n">
        <v>0.7323769999999999</v>
      </c>
      <c r="P261" s="28" t="n">
        <v>0.05</v>
      </c>
      <c r="Q261" s="28" t="n">
        <v>0.022232</v>
      </c>
      <c r="R261" s="26" t="n">
        <v>31</v>
      </c>
      <c r="S261" s="29" t="n">
        <v>2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win</t>
        </is>
      </c>
      <c r="W261" s="26" t="n">
        <v>0</v>
      </c>
      <c r="X261" s="26" t="n">
        <v>1</v>
      </c>
      <c r="Y261" s="25" t="n"/>
      <c r="Z261" s="26" t="n">
        <v>-245</v>
      </c>
      <c r="AA261" s="28" t="n">
        <v>0.71</v>
      </c>
      <c r="AB261" s="28" t="n">
        <v>-0.000145</v>
      </c>
      <c r="AC261" s="30" t="n">
        <v>0.8163</v>
      </c>
      <c r="AD261" s="24" t="inlineStr">
        <is>
          <t>2026-08-09T05:13:06.496971Z</t>
        </is>
      </c>
      <c r="AE261" s="31" t="inlineStr">
        <is>
          <t>Surface-blended Elo on Hard: Cameron Norrie p=0.268 vs Arthur Fils. Executable ask 0.7100 (aec-atp-artfil-camnor-2026-08-07).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not_applicable</t>
        </is>
      </c>
      <c r="AH261" s="24" t="n"/>
      <c r="AI261" s="31" t="n"/>
      <c r="AJ2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1" s="24" t="inlineStr">
        <is>
          <t>paper_call</t>
        </is>
      </c>
      <c r="AL261" s="26" t="n">
        <v>3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PAPER_CALL_WINNER_OVERVALUED</t>
        </is>
      </c>
      <c r="AP261" s="24" t="inlineStr">
        <is>
          <t>Cameron Norrie</t>
        </is>
      </c>
      <c r="AQ261" s="24" t="inlineStr">
        <is>
          <t>Cameron Norrie</t>
        </is>
      </c>
      <c r="AR261" s="24" t="inlineStr">
        <is>
          <t>Cameron Norrie</t>
        </is>
      </c>
      <c r="AS261" s="24" t="inlineStr">
        <is>
          <t>Arthur Fils</t>
        </is>
      </c>
      <c r="AT261" s="24" t="inlineStr">
        <is>
          <t>Arthur Fils</t>
        </is>
      </c>
      <c r="AU261" s="24" t="inlineStr">
        <is>
          <t>Arthur Fils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3ab056fefe04713e3c294da76c8adb2866b0dc46556ed32322a0426dd344a0e4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3ab056fefe04713e3c294da76c8adb2866b0dc46556ed32322a0426dd344a0e4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3ab056fefe04713e3c294da76c8adb2866b0dc46556ed32322a0426dd344a0e4</t>
        </is>
      </c>
      <c r="BH261" s="24" t="inlineStr">
        <is>
          <t>2026-08-08T18:35:50.478811Z</t>
        </is>
      </c>
      <c r="BI261" s="24" t="inlineStr">
        <is>
          <t>["same_event","same_team_same_day","same_league_same_day"]</t>
        </is>
      </c>
      <c r="BJ261" s="25" t="n"/>
      <c r="BK261" s="26" t="n">
        <v>-245</v>
      </c>
      <c r="BL261" s="27" t="n">
        <v>1.408163</v>
      </c>
      <c r="BM261" s="28" t="n">
        <v>0.710145</v>
      </c>
      <c r="BN261" s="28" t="n"/>
      <c r="BO261" s="28" t="n"/>
      <c r="BP261" s="25" t="n"/>
      <c r="BQ261" s="27" t="n">
        <v>1.408163</v>
      </c>
      <c r="BR261" s="28" t="n">
        <v>0.71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0.710145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2e5687f28b8a4377</t>
        </is>
      </c>
      <c r="B262" s="24" t="inlineStr">
        <is>
          <t>2026-08-09T14:00:10.713543Z</t>
        </is>
      </c>
      <c r="C262" s="24" t="inlineStr">
        <is>
          <t>2026-08-09T16:30Z</t>
        </is>
      </c>
      <c r="D262" s="24" t="inlineStr">
        <is>
          <t>421-2026:182177</t>
        </is>
      </c>
      <c r="E262" s="24" t="inlineStr">
        <is>
          <t>TENNIS</t>
        </is>
      </c>
      <c r="F262" s="24" t="inlineStr">
        <is>
          <t>Elena Rybakina</t>
        </is>
      </c>
      <c r="G262" s="24" t="inlineStr">
        <is>
          <t>Liudmila Samsonova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-300</v>
      </c>
      <c r="M262" s="27" t="n">
        <v>1.333333</v>
      </c>
      <c r="N262" s="28" t="n">
        <v>0.75</v>
      </c>
      <c r="O262" s="28" t="n">
        <v>0.9112749999999999</v>
      </c>
      <c r="P262" s="28" t="n">
        <v>0.05</v>
      </c>
      <c r="Q262" s="28" t="n">
        <v>0.161275</v>
      </c>
      <c r="R262" s="26" t="n">
        <v>100</v>
      </c>
      <c r="S262" s="29" t="n">
        <v>2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-300</v>
      </c>
      <c r="AA262" s="28" t="n">
        <v>0.75</v>
      </c>
      <c r="AB262" s="28" t="n">
        <v>0</v>
      </c>
      <c r="AC262" s="30" t="n">
        <v>0.6667</v>
      </c>
      <c r="AD262" s="24" t="inlineStr">
        <is>
          <t>2026-08-09T20:24:41.732637Z</t>
        </is>
      </c>
      <c r="AE262" s="31" t="inlineStr">
        <is>
          <t>Surface-blended Elo on Hard: Elena Rybakina p=0.911 vs Liudmila Samsonova. Executable ask 0.7500 (aec-wta-liusam-eleryb-2026-08-09).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Elena Rybakina</t>
        </is>
      </c>
      <c r="AQ262" s="24" t="inlineStr">
        <is>
          <t>Elena Rybakina</t>
        </is>
      </c>
      <c r="AR262" s="24" t="inlineStr">
        <is>
          <t>Elena Rybakina</t>
        </is>
      </c>
      <c r="AS262" s="24" t="inlineStr">
        <is>
          <t>Liudmila Samsonova</t>
        </is>
      </c>
      <c r="AT262" s="24" t="inlineStr">
        <is>
          <t>Liudmila Samsonova</t>
        </is>
      </c>
      <c r="AU262" s="24" t="inlineStr">
        <is>
          <t>Liudmila Samsonova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3ab056fefe04713e3c294da76c8adb2866b0dc46556ed32322a0426dd344a0e4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3ab056fefe04713e3c294da76c8adb2866b0dc46556ed32322a0426dd344a0e4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3ab056fefe04713e3c294da76c8adb2866b0dc46556ed32322a0426dd344a0e4</t>
        </is>
      </c>
      <c r="BH262" s="24" t="inlineStr">
        <is>
          <t>2026-08-09T13:58:22.617706Z</t>
        </is>
      </c>
      <c r="BI262" s="24" t="inlineStr">
        <is>
          <t>["same_event","same_team_same_day","same_league_same_day"]</t>
        </is>
      </c>
      <c r="BJ262" s="25" t="n"/>
      <c r="BK262" s="26" t="n">
        <v>-300</v>
      </c>
      <c r="BL262" s="27" t="n">
        <v>1.333333</v>
      </c>
      <c r="BM262" s="28" t="n">
        <v>0.75</v>
      </c>
      <c r="BN262" s="28" t="n"/>
      <c r="BO262" s="28" t="n"/>
      <c r="BP262" s="25" t="n"/>
      <c r="BQ262" s="27" t="n">
        <v>1.333333</v>
      </c>
      <c r="BR262" s="28" t="n">
        <v>0.75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0.75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81dab597ef6840e5</t>
        </is>
      </c>
      <c r="B263" s="24" t="inlineStr">
        <is>
          <t>2026-08-09T14:00:10.713543Z</t>
        </is>
      </c>
      <c r="C263" s="24" t="inlineStr">
        <is>
          <t>2026-08-09T16:30Z</t>
        </is>
      </c>
      <c r="D263" s="24" t="inlineStr">
        <is>
          <t>421-2026:181739</t>
        </is>
      </c>
      <c r="E263" s="24" t="inlineStr">
        <is>
          <t>TENNIS</t>
        </is>
      </c>
      <c r="F263" s="24" t="inlineStr">
        <is>
          <t>Daniel Merida</t>
        </is>
      </c>
      <c r="G263" s="24" t="inlineStr">
        <is>
          <t>Tallon Griekspoor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117</v>
      </c>
      <c r="M263" s="27" t="n">
        <v>2.17</v>
      </c>
      <c r="N263" s="28" t="n">
        <v>0.460829</v>
      </c>
      <c r="O263" s="28" t="n">
        <v>0.5573360000000001</v>
      </c>
      <c r="P263" s="28" t="n">
        <v>0.05</v>
      </c>
      <c r="Q263" s="28" t="n">
        <v>0.096507</v>
      </c>
      <c r="R263" s="26" t="n">
        <v>68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117</v>
      </c>
      <c r="AA263" s="28" t="n">
        <v>0.46</v>
      </c>
      <c r="AB263" s="28" t="n">
        <v>-0.000829</v>
      </c>
      <c r="AC263" s="30" t="n">
        <v>1.17</v>
      </c>
      <c r="AD263" s="24" t="inlineStr">
        <is>
          <t>2026-08-09T20:24:43.160289Z</t>
        </is>
      </c>
      <c r="AE263" s="31" t="inlineStr">
        <is>
          <t>Surface-blended Elo on Hard: Daniel Merida p=0.557 vs Tallon Griekspoor. Executable ask 0.4600 (aec-atp-talgri-danagu-2026-08-08).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3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Daniel Merida</t>
        </is>
      </c>
      <c r="AQ263" s="24" t="inlineStr">
        <is>
          <t>Daniel Merida</t>
        </is>
      </c>
      <c r="AR263" s="24" t="inlineStr">
        <is>
          <t>Daniel Merida</t>
        </is>
      </c>
      <c r="AS263" s="24" t="inlineStr">
        <is>
          <t>Tallon Griekspoor</t>
        </is>
      </c>
      <c r="AT263" s="24" t="inlineStr">
        <is>
          <t>Tallon Griekspoor</t>
        </is>
      </c>
      <c r="AU263" s="24" t="inlineStr">
        <is>
          <t>Tallon Griekspoor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3ab056fefe04713e3c294da76c8adb2866b0dc46556ed32322a0426dd344a0e4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3ab056fefe04713e3c294da76c8adb2866b0dc46556ed32322a0426dd344a0e4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3ab056fefe04713e3c294da76c8adb2866b0dc46556ed32322a0426dd344a0e4</t>
        </is>
      </c>
      <c r="BH263" s="24" t="inlineStr">
        <is>
          <t>2026-08-09T13:58:24.994988Z</t>
        </is>
      </c>
      <c r="BI263" s="24" t="inlineStr">
        <is>
          <t>["same_event","same_team_same_day","same_league_same_day"]</t>
        </is>
      </c>
      <c r="BJ263" s="25" t="n"/>
      <c r="BK263" s="26" t="n">
        <v>117</v>
      </c>
      <c r="BL263" s="27" t="n">
        <v>2.17</v>
      </c>
      <c r="BM263" s="28" t="n">
        <v>0.460829</v>
      </c>
      <c r="BN263" s="28" t="n"/>
      <c r="BO263" s="28" t="n"/>
      <c r="BP263" s="25" t="n"/>
      <c r="BQ263" s="27" t="n">
        <v>2.17</v>
      </c>
      <c r="BR263" s="28" t="n">
        <v>0.46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0.460829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379c1a39a679461b</t>
        </is>
      </c>
      <c r="B264" s="24" t="inlineStr">
        <is>
          <t>2026-08-09T17:06:49.007603Z</t>
        </is>
      </c>
      <c r="C264" s="24" t="inlineStr">
        <is>
          <t>2026-08-09T18:00Z</t>
        </is>
      </c>
      <c r="D264" s="24" t="inlineStr">
        <is>
          <t>421-2026:182197</t>
        </is>
      </c>
      <c r="E264" s="24" t="inlineStr">
        <is>
          <t>TENNIS</t>
        </is>
      </c>
      <c r="F264" s="24" t="inlineStr">
        <is>
          <t>Coco Gauff</t>
        </is>
      </c>
      <c r="G264" s="24" t="inlineStr">
        <is>
          <t>Alina Korneeva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-317</v>
      </c>
      <c r="M264" s="27" t="n">
        <v>1.315457</v>
      </c>
      <c r="N264" s="28" t="n">
        <v>0.760192</v>
      </c>
      <c r="O264" s="28" t="n">
        <v>0.846981</v>
      </c>
      <c r="P264" s="28" t="n">
        <v>0.05</v>
      </c>
      <c r="Q264" s="28" t="n">
        <v>0.08678900000000001</v>
      </c>
      <c r="R264" s="26" t="n">
        <v>63</v>
      </c>
      <c r="S264" s="29" t="n">
        <v>2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-317</v>
      </c>
      <c r="AA264" s="28" t="n">
        <v>0.76</v>
      </c>
      <c r="AB264" s="28" t="n">
        <v>-0.000192</v>
      </c>
      <c r="AC264" s="30" t="n">
        <v>0.6309</v>
      </c>
      <c r="AD264" s="24" t="inlineStr">
        <is>
          <t>2026-08-09T23:29:58.083509Z</t>
        </is>
      </c>
      <c r="AE264" s="31" t="inlineStr">
        <is>
          <t>Surface-blended Elo on Hard: Coco Gauff p=0.847 vs Alina Korneeva. Executable ask 0.7600 (aec-wta-alikor-cocgau-2026-08-09).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Coco Gauff</t>
        </is>
      </c>
      <c r="AQ264" s="24" t="inlineStr">
        <is>
          <t>Coco Gauff</t>
        </is>
      </c>
      <c r="AR264" s="24" t="inlineStr">
        <is>
          <t>Coco Gauff</t>
        </is>
      </c>
      <c r="AS264" s="24" t="inlineStr">
        <is>
          <t>Alina Korneeva</t>
        </is>
      </c>
      <c r="AT264" s="24" t="inlineStr">
        <is>
          <t>Alina Korneeva</t>
        </is>
      </c>
      <c r="AU264" s="24" t="inlineStr">
        <is>
          <t>Alina Korneeva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3ab056fefe04713e3c294da76c8adb2866b0dc46556ed32322a0426dd344a0e4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3ab056fefe04713e3c294da76c8adb2866b0dc46556ed32322a0426dd344a0e4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3ab056fefe04713e3c294da76c8adb2866b0dc46556ed32322a0426dd344a0e4</t>
        </is>
      </c>
      <c r="BH264" s="24" t="inlineStr">
        <is>
          <t>2026-08-09T17:05:49.061688Z</t>
        </is>
      </c>
      <c r="BI264" s="24" t="inlineStr">
        <is>
          <t>["same_event","same_team_same_day","same_league_same_day"]</t>
        </is>
      </c>
      <c r="BJ264" s="25" t="n"/>
      <c r="BK264" s="26" t="n">
        <v>-317</v>
      </c>
      <c r="BL264" s="27" t="n">
        <v>1.315457</v>
      </c>
      <c r="BM264" s="28" t="n">
        <v>0.760192</v>
      </c>
      <c r="BN264" s="28" t="n"/>
      <c r="BO264" s="28" t="n"/>
      <c r="BP264" s="25" t="n"/>
      <c r="BQ264" s="27" t="n">
        <v>1.315457</v>
      </c>
      <c r="BR264" s="28" t="n">
        <v>0.76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0.760192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ebac857c76584a8e</t>
        </is>
      </c>
      <c r="B265" s="24" t="inlineStr">
        <is>
          <t>2026-08-09T17:06:49.007603Z</t>
        </is>
      </c>
      <c r="C265" s="24" t="inlineStr">
        <is>
          <t>2026-08-09T18:00Z</t>
        </is>
      </c>
      <c r="D265" s="24" t="inlineStr">
        <is>
          <t>421-2026:181744</t>
        </is>
      </c>
      <c r="E265" s="24" t="inlineStr">
        <is>
          <t>TENNIS</t>
        </is>
      </c>
      <c r="F265" s="24" t="inlineStr">
        <is>
          <t>Thiago Agustin Tirante</t>
        </is>
      </c>
      <c r="G265" s="24" t="inlineStr">
        <is>
          <t>Learner Tien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-223</v>
      </c>
      <c r="M265" s="27" t="n">
        <v>1.44843</v>
      </c>
      <c r="N265" s="28" t="n">
        <v>0.690402</v>
      </c>
      <c r="O265" s="28" t="n">
        <v>0.6904709999999999</v>
      </c>
      <c r="P265" s="28" t="n">
        <v>0.05</v>
      </c>
      <c r="Q265" s="28" t="n">
        <v>6.9e-05</v>
      </c>
      <c r="R265" s="26" t="n">
        <v>20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-223</v>
      </c>
      <c r="AA265" s="28" t="n">
        <v>0.6899999999999999</v>
      </c>
      <c r="AB265" s="28" t="n">
        <v>-0.000402</v>
      </c>
      <c r="AC265" s="30" t="n">
        <v>0.8969</v>
      </c>
      <c r="AD265" s="24" t="inlineStr">
        <is>
          <t>2026-08-09T20:25:04.546815Z</t>
        </is>
      </c>
      <c r="AE265" s="31" t="inlineStr">
        <is>
          <t>Surface-blended Elo on Hard: Thiago Agustin Tirante p=0.310 vs Learner Tien. Executable ask 0.6900 (aec-atp-leatie-thitir-2026-08-10).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5" s="24" t="inlineStr">
        <is>
          <t>paper_call</t>
        </is>
      </c>
      <c r="AL265" s="26" t="n">
        <v>3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PAPER_CALL_WINNER_OVERVALUED</t>
        </is>
      </c>
      <c r="AP265" s="24" t="inlineStr">
        <is>
          <t>Thiago Agustin Tirante</t>
        </is>
      </c>
      <c r="AQ265" s="24" t="inlineStr">
        <is>
          <t>Thiago Agustin Tirante</t>
        </is>
      </c>
      <c r="AR265" s="24" t="inlineStr">
        <is>
          <t>Thiago Agustin Tirante</t>
        </is>
      </c>
      <c r="AS265" s="24" t="inlineStr">
        <is>
          <t>Learner Tien</t>
        </is>
      </c>
      <c r="AT265" s="24" t="inlineStr">
        <is>
          <t>Learner Tien</t>
        </is>
      </c>
      <c r="AU265" s="24" t="inlineStr">
        <is>
          <t>Learner Tien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3ab056fefe04713e3c294da76c8adb2866b0dc46556ed32322a0426dd344a0e4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3ab056fefe04713e3c294da76c8adb2866b0dc46556ed32322a0426dd344a0e4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3ab056fefe04713e3c294da76c8adb2866b0dc46556ed32322a0426dd344a0e4</t>
        </is>
      </c>
      <c r="BH265" s="24" t="inlineStr">
        <is>
          <t>2026-08-09T17:05:52.146087Z</t>
        </is>
      </c>
      <c r="BI265" s="24" t="inlineStr">
        <is>
          <t>["same_event","same_team_same_day","same_league_same_day"]</t>
        </is>
      </c>
      <c r="BJ265" s="25" t="n"/>
      <c r="BK265" s="26" t="n">
        <v>-223</v>
      </c>
      <c r="BL265" s="27" t="n">
        <v>1.44843</v>
      </c>
      <c r="BM265" s="28" t="n">
        <v>0.690402</v>
      </c>
      <c r="BN265" s="28" t="n"/>
      <c r="BO265" s="28" t="n"/>
      <c r="BP265" s="25" t="n"/>
      <c r="BQ265" s="27" t="n">
        <v>1.44843</v>
      </c>
      <c r="BR265" s="28" t="n">
        <v>0.6899999999999999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0.690402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f408e764074a441a</t>
        </is>
      </c>
      <c r="B266" s="24" t="inlineStr">
        <is>
          <t>2026-08-09T20:27:13.230036Z</t>
        </is>
      </c>
      <c r="C266" s="24" t="inlineStr">
        <is>
          <t>2026-08-09T23:00Z</t>
        </is>
      </c>
      <c r="D266" s="24" t="inlineStr">
        <is>
          <t>421-2026:182169</t>
        </is>
      </c>
      <c r="E266" s="24" t="inlineStr">
        <is>
          <t>TENNIS</t>
        </is>
      </c>
      <c r="F266" s="24" t="inlineStr">
        <is>
          <t>Naomi Osaka</t>
        </is>
      </c>
      <c r="G266" s="24" t="inlineStr">
        <is>
          <t>Leylah Fernandez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-233</v>
      </c>
      <c r="M266" s="27" t="n">
        <v>1.429185</v>
      </c>
      <c r="N266" s="28" t="n">
        <v>0.6997</v>
      </c>
      <c r="O266" s="28" t="n">
        <v>0.726025</v>
      </c>
      <c r="P266" s="28" t="n">
        <v>0.05</v>
      </c>
      <c r="Q266" s="28" t="n">
        <v>0.026325</v>
      </c>
      <c r="R266" s="26" t="n">
        <v>33</v>
      </c>
      <c r="S266" s="29" t="n">
        <v>2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-233</v>
      </c>
      <c r="AA266" s="28" t="n">
        <v>0.7</v>
      </c>
      <c r="AB266" s="28" t="n">
        <v>0.0003</v>
      </c>
      <c r="AC266" s="30" t="n">
        <v>0.8584000000000001</v>
      </c>
      <c r="AD266" s="24" t="inlineStr">
        <is>
          <t>2026-08-10T02:34:08.501645Z</t>
        </is>
      </c>
      <c r="AE266" s="31" t="inlineStr">
        <is>
          <t>Surface-blended Elo on Hard: Naomi Osaka p=0.726 vs Leylah Fernandez. Executable ask 0.7000 (aec-wta-leyfer-naoosa-2026-08-09).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3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Naomi Osaka</t>
        </is>
      </c>
      <c r="AQ266" s="24" t="inlineStr">
        <is>
          <t>Naomi Osaka</t>
        </is>
      </c>
      <c r="AR266" s="24" t="inlineStr">
        <is>
          <t>Naomi Osaka</t>
        </is>
      </c>
      <c r="AS266" s="24" t="inlineStr">
        <is>
          <t>Leylah Fernandez</t>
        </is>
      </c>
      <c r="AT266" s="24" t="inlineStr">
        <is>
          <t>Leylah Fernandez</t>
        </is>
      </c>
      <c r="AU266" s="24" t="inlineStr">
        <is>
          <t>Leylah Fernandez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3ab056fefe04713e3c294da76c8adb2866b0dc46556ed32322a0426dd344a0e4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3ab056fefe04713e3c294da76c8adb2866b0dc46556ed32322a0426dd344a0e4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3ab056fefe04713e3c294da76c8adb2866b0dc46556ed32322a0426dd344a0e4</t>
        </is>
      </c>
      <c r="BH266" s="24" t="inlineStr">
        <is>
          <t>2026-08-09T20:26:48.726357Z</t>
        </is>
      </c>
      <c r="BI266" s="24" t="inlineStr">
        <is>
          <t>["same_event","same_team_same_day","same_league_same_day"]</t>
        </is>
      </c>
      <c r="BJ266" s="25" t="n"/>
      <c r="BK266" s="26" t="n">
        <v>-233</v>
      </c>
      <c r="BL266" s="27" t="n">
        <v>1.429185</v>
      </c>
      <c r="BM266" s="28" t="n">
        <v>0.6997</v>
      </c>
      <c r="BN266" s="28" t="n"/>
      <c r="BO266" s="28" t="n"/>
      <c r="BP266" s="25" t="n"/>
      <c r="BQ266" s="27" t="n">
        <v>1.429185</v>
      </c>
      <c r="BR266" s="28" t="n">
        <v>0.7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0.6997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bbfb35a1c0f84ba1</t>
        </is>
      </c>
      <c r="B267" s="24" t="inlineStr">
        <is>
          <t>2026-08-09T20:27:13.230036Z</t>
        </is>
      </c>
      <c r="C267" s="24" t="inlineStr">
        <is>
          <t>2026-08-09T22:00Z</t>
        </is>
      </c>
      <c r="D267" s="24" t="inlineStr">
        <is>
          <t>421-2026:181772</t>
        </is>
      </c>
      <c r="E267" s="24" t="inlineStr">
        <is>
          <t>TENNIS</t>
        </is>
      </c>
      <c r="F267" s="24" t="inlineStr">
        <is>
          <t>Ben Shelton</t>
        </is>
      </c>
      <c r="G267" s="24" t="inlineStr">
        <is>
          <t>Joao Fonseca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-127</v>
      </c>
      <c r="M267" s="27" t="n">
        <v>1.787402</v>
      </c>
      <c r="N267" s="28" t="n">
        <v>0.5594710000000001</v>
      </c>
      <c r="O267" s="28" t="n">
        <v>0.620733</v>
      </c>
      <c r="P267" s="28" t="n">
        <v>0.05</v>
      </c>
      <c r="Q267" s="28" t="n">
        <v>0.061262</v>
      </c>
      <c r="R267" s="26" t="n">
        <v>51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win</t>
        </is>
      </c>
      <c r="W267" s="26" t="n">
        <v>1</v>
      </c>
      <c r="X267" s="26" t="n">
        <v>0</v>
      </c>
      <c r="Y267" s="25" t="n"/>
      <c r="Z267" s="26" t="n">
        <v>-127</v>
      </c>
      <c r="AA267" s="28" t="n">
        <v>0.5600000000000001</v>
      </c>
      <c r="AB267" s="28" t="n">
        <v>0.000529</v>
      </c>
      <c r="AC267" s="30" t="n">
        <v>1.1811</v>
      </c>
      <c r="AD267" s="24" t="inlineStr">
        <is>
          <t>2026-08-10T02:34:09.899248Z</t>
        </is>
      </c>
      <c r="AE267" s="31" t="inlineStr">
        <is>
          <t>Surface-blended Elo on Hard: Ben Shelton p=0.621 vs Joao Fonseca. Executable ask 0.5600 (aec-atp-joafon-benshe-2026-08-10).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3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Ben Shelton</t>
        </is>
      </c>
      <c r="AQ267" s="24" t="inlineStr">
        <is>
          <t>Ben Shelton</t>
        </is>
      </c>
      <c r="AR267" s="24" t="inlineStr">
        <is>
          <t>Ben Shelton</t>
        </is>
      </c>
      <c r="AS267" s="24" t="inlineStr">
        <is>
          <t>Joao Fonseca</t>
        </is>
      </c>
      <c r="AT267" s="24" t="inlineStr">
        <is>
          <t>Joao Fonseca</t>
        </is>
      </c>
      <c r="AU267" s="24" t="inlineStr">
        <is>
          <t>Joao Fonseca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3ab056fefe04713e3c294da76c8adb2866b0dc46556ed32322a0426dd344a0e4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3ab056fefe04713e3c294da76c8adb2866b0dc46556ed32322a0426dd344a0e4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3ab056fefe04713e3c294da76c8adb2866b0dc46556ed32322a0426dd344a0e4</t>
        </is>
      </c>
      <c r="BH267" s="24" t="inlineStr">
        <is>
          <t>2026-08-09T20:26:49.889205Z</t>
        </is>
      </c>
      <c r="BI267" s="24" t="inlineStr">
        <is>
          <t>["same_event","same_team_same_day","same_league_same_day"]</t>
        </is>
      </c>
      <c r="BJ267" s="25" t="n"/>
      <c r="BK267" s="26" t="n">
        <v>-127</v>
      </c>
      <c r="BL267" s="27" t="n">
        <v>1.787402</v>
      </c>
      <c r="BM267" s="28" t="n">
        <v>0.5594710000000001</v>
      </c>
      <c r="BN267" s="28" t="n"/>
      <c r="BO267" s="28" t="n"/>
      <c r="BP267" s="25" t="n"/>
      <c r="BQ267" s="27" t="n">
        <v>1.787402</v>
      </c>
      <c r="BR267" s="28" t="n">
        <v>0.5600000000000001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0.559471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e0a2782a46434933</t>
        </is>
      </c>
      <c r="B268" s="24" t="inlineStr">
        <is>
          <t>2026-08-09T20:27:13.230036Z</t>
        </is>
      </c>
      <c r="C268" s="24" t="inlineStr">
        <is>
          <t>2026-08-09T23:30Z</t>
        </is>
      </c>
      <c r="D268" s="24" t="inlineStr">
        <is>
          <t>421-2026:181723</t>
        </is>
      </c>
      <c r="E268" s="24" t="inlineStr">
        <is>
          <t>TENNIS</t>
        </is>
      </c>
      <c r="F268" s="24" t="inlineStr">
        <is>
          <t>Jakub Mensik</t>
        </is>
      </c>
      <c r="G268" s="24" t="inlineStr">
        <is>
          <t>Botic Van De Zandschulp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-257</v>
      </c>
      <c r="M268" s="27" t="n">
        <v>1.389105</v>
      </c>
      <c r="N268" s="28" t="n">
        <v>0.719888</v>
      </c>
      <c r="O268" s="28" t="n">
        <v>0.684791</v>
      </c>
      <c r="P268" s="28" t="n">
        <v>0.05</v>
      </c>
      <c r="Q268" s="28" t="n">
        <v>-0.035097</v>
      </c>
      <c r="R268" s="26" t="n">
        <v>2</v>
      </c>
      <c r="S268" s="29" t="n">
        <v>2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>
        <v>-257</v>
      </c>
      <c r="AA268" s="28" t="n">
        <v>0.72</v>
      </c>
      <c r="AB268" s="28" t="n">
        <v>0.000112</v>
      </c>
      <c r="AC268" s="30" t="n">
        <v>0.7782</v>
      </c>
      <c r="AD268" s="24" t="inlineStr">
        <is>
          <t>2026-08-10T02:34:11.314621Z</t>
        </is>
      </c>
      <c r="AE268" s="31" t="inlineStr">
        <is>
          <t>Surface-blended Elo on Hard: Jakub Mensik p=0.685 vs Botic Van De Zandschulp. Executable ask 0.7200 (aec-atp-botzan-jakmen-2026-08-10).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3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Jakub Mensik</t>
        </is>
      </c>
      <c r="AQ268" s="24" t="inlineStr">
        <is>
          <t>Jakub Mensik</t>
        </is>
      </c>
      <c r="AR268" s="24" t="inlineStr">
        <is>
          <t>Jakub Mensik</t>
        </is>
      </c>
      <c r="AS268" s="24" t="inlineStr">
        <is>
          <t>Botic Van De Zandschulp</t>
        </is>
      </c>
      <c r="AT268" s="24" t="inlineStr">
        <is>
          <t>Botic Van De Zandschulp</t>
        </is>
      </c>
      <c r="AU268" s="24" t="inlineStr">
        <is>
          <t>Botic Van De Zandschulp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3ab056fefe04713e3c294da76c8adb2866b0dc46556ed32322a0426dd344a0e4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3ab056fefe04713e3c294da76c8adb2866b0dc46556ed32322a0426dd344a0e4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3ab056fefe04713e3c294da76c8adb2866b0dc46556ed32322a0426dd344a0e4</t>
        </is>
      </c>
      <c r="BH268" s="24" t="inlineStr">
        <is>
          <t>2026-08-09T20:26:50.871018Z</t>
        </is>
      </c>
      <c r="BI268" s="24" t="inlineStr">
        <is>
          <t>["same_event","same_team_same_day","same_league_same_day"]</t>
        </is>
      </c>
      <c r="BJ268" s="25" t="n"/>
      <c r="BK268" s="26" t="n">
        <v>-257</v>
      </c>
      <c r="BL268" s="27" t="n">
        <v>1.389105</v>
      </c>
      <c r="BM268" s="28" t="n">
        <v>0.719888</v>
      </c>
      <c r="BN268" s="28" t="n"/>
      <c r="BO268" s="28" t="n"/>
      <c r="BP268" s="25" t="n"/>
      <c r="BQ268" s="27" t="n">
        <v>1.389105</v>
      </c>
      <c r="BR268" s="28" t="n">
        <v>0.72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0.719888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955c5c25d21f4f92</t>
        </is>
      </c>
      <c r="B269" s="24" t="inlineStr">
        <is>
          <t>2026-08-09T23:32:17.957013Z</t>
        </is>
      </c>
      <c r="C269" s="24" t="inlineStr">
        <is>
          <t>2026-08-10T00:30Z</t>
        </is>
      </c>
      <c r="D269" s="24" t="inlineStr">
        <is>
          <t>421-2026:182189</t>
        </is>
      </c>
      <c r="E269" s="24" t="inlineStr">
        <is>
          <t>TENNIS</t>
        </is>
      </c>
      <c r="F269" s="24" t="inlineStr">
        <is>
          <t>Belinda Bencic</t>
        </is>
      </c>
      <c r="G269" s="24" t="inlineStr">
        <is>
          <t>Alexandra Eala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-117</v>
      </c>
      <c r="M269" s="27" t="n">
        <v>1.854701</v>
      </c>
      <c r="N269" s="28" t="n">
        <v>0.539171</v>
      </c>
      <c r="O269" s="28" t="n">
        <v>0.646782</v>
      </c>
      <c r="P269" s="28" t="n">
        <v>0.05</v>
      </c>
      <c r="Q269" s="28" t="n">
        <v>0.107611</v>
      </c>
      <c r="R269" s="26" t="n">
        <v>74</v>
      </c>
      <c r="S269" s="29" t="n">
        <v>1.75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1</v>
      </c>
      <c r="X269" s="26" t="n">
        <v>0</v>
      </c>
      <c r="Y269" s="25" t="n"/>
      <c r="Z269" s="26" t="n">
        <v>-117</v>
      </c>
      <c r="AA269" s="28" t="n">
        <v>0.54</v>
      </c>
      <c r="AB269" s="28" t="n">
        <v>0.000829</v>
      </c>
      <c r="AC269" s="30" t="n">
        <v>1.4957</v>
      </c>
      <c r="AD269" s="24" t="inlineStr">
        <is>
          <t>2026-08-10T02:34:15.397794Z</t>
        </is>
      </c>
      <c r="AE269" s="31" t="inlineStr">
        <is>
          <t>Surface-blended Elo on Hard: Belinda Bencic p=0.647 vs Alexandra Eala. Executable ask 0.5400 (aec-wta-aleeal-belben-2026-08-09).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3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Belinda Bencic</t>
        </is>
      </c>
      <c r="AQ269" s="24" t="inlineStr">
        <is>
          <t>Belinda Bencic</t>
        </is>
      </c>
      <c r="AR269" s="24" t="inlineStr">
        <is>
          <t>Belinda Bencic</t>
        </is>
      </c>
      <c r="AS269" s="24" t="inlineStr">
        <is>
          <t>Alexandra Eala</t>
        </is>
      </c>
      <c r="AT269" s="24" t="inlineStr">
        <is>
          <t>Alexandra Eala</t>
        </is>
      </c>
      <c r="AU269" s="24" t="inlineStr">
        <is>
          <t>Alexandra Eala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3ab056fefe04713e3c294da76c8adb2866b0dc46556ed32322a0426dd344a0e4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3ab056fefe04713e3c294da76c8adb2866b0dc46556ed32322a0426dd344a0e4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3ab056fefe04713e3c294da76c8adb2866b0dc46556ed32322a0426dd344a0e4</t>
        </is>
      </c>
      <c r="BH269" s="24" t="inlineStr">
        <is>
          <t>2026-08-09T23:31:36.249636Z</t>
        </is>
      </c>
      <c r="BI269" s="24" t="inlineStr">
        <is>
          <t>["same_event","same_team_same_day","same_league_same_day"]</t>
        </is>
      </c>
      <c r="BJ269" s="25" t="n"/>
      <c r="BK269" s="26" t="n">
        <v>-117</v>
      </c>
      <c r="BL269" s="27" t="n">
        <v>1.854701</v>
      </c>
      <c r="BM269" s="28" t="n">
        <v>0.539171</v>
      </c>
      <c r="BN269" s="28" t="n"/>
      <c r="BO269" s="28" t="n"/>
      <c r="BP269" s="25" t="n"/>
      <c r="BQ269" s="27" t="n">
        <v>1.854701</v>
      </c>
      <c r="BR269" s="28" t="n">
        <v>0.54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0.539171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20581b8fae8a4cdc</t>
        </is>
      </c>
      <c r="B270" s="24" t="inlineStr">
        <is>
          <t>2026-08-10T16:35:12.075143Z</t>
        </is>
      </c>
      <c r="C270" s="24" t="inlineStr">
        <is>
          <t>2026-08-10T23:00Z</t>
        </is>
      </c>
      <c r="D270" s="24" t="inlineStr">
        <is>
          <t>421-2026:182221</t>
        </is>
      </c>
      <c r="E270" s="24" t="inlineStr">
        <is>
          <t>TENNIS</t>
        </is>
      </c>
      <c r="F270" s="24" t="inlineStr">
        <is>
          <t>Iga Swiatek</t>
        </is>
      </c>
      <c r="G270" s="24" t="inlineStr">
        <is>
          <t>Diana Shnaider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-270</v>
      </c>
      <c r="M270" s="27" t="n">
        <v>1.37037</v>
      </c>
      <c r="N270" s="28" t="n">
        <v>0.72973</v>
      </c>
      <c r="O270" s="28" t="n">
        <v>0.685323</v>
      </c>
      <c r="P270" s="28" t="n">
        <v>0.05</v>
      </c>
      <c r="Q270" s="28" t="n">
        <v>-0.044407</v>
      </c>
      <c r="R270" s="26" t="n">
        <v>0</v>
      </c>
      <c r="S270" s="29" t="n">
        <v>2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-270</v>
      </c>
      <c r="AA270" s="28" t="n">
        <v>0.73</v>
      </c>
      <c r="AB270" s="28" t="n">
        <v>0.00027</v>
      </c>
      <c r="AC270" s="30" t="n">
        <v>0.7407</v>
      </c>
      <c r="AD270" s="24" t="inlineStr">
        <is>
          <t>2026-08-11T13:07:06.362522Z</t>
        </is>
      </c>
      <c r="AE270" s="31" t="inlineStr">
        <is>
          <t>Surface-blended Elo on Hard: Iga Swiatek p=0.685 vs Diana Shnaider. Executable ask 0.7300 (aec-wta-diashn-igaswi-2026-08-11).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3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Iga Swiatek</t>
        </is>
      </c>
      <c r="AQ270" s="24" t="inlineStr">
        <is>
          <t>Iga Swiatek</t>
        </is>
      </c>
      <c r="AR270" s="24" t="inlineStr">
        <is>
          <t>Iga Swiatek</t>
        </is>
      </c>
      <c r="AS270" s="24" t="inlineStr">
        <is>
          <t>Diana Shnaider</t>
        </is>
      </c>
      <c r="AT270" s="24" t="inlineStr">
        <is>
          <t>Diana Shnaider</t>
        </is>
      </c>
      <c r="AU270" s="24" t="inlineStr">
        <is>
          <t>Diana Shnaider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3ab056fefe04713e3c294da76c8adb2866b0dc46556ed32322a0426dd344a0e4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3ab056fefe04713e3c294da76c8adb2866b0dc46556ed32322a0426dd344a0e4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3ab056fefe04713e3c294da76c8adb2866b0dc46556ed32322a0426dd344a0e4</t>
        </is>
      </c>
      <c r="BH270" s="24" t="inlineStr">
        <is>
          <t>2026-08-10T16:34:21.795257Z</t>
        </is>
      </c>
      <c r="BI270" s="24" t="inlineStr">
        <is>
          <t>["same_event","same_team_same_day","same_league_same_day"]</t>
        </is>
      </c>
      <c r="BJ270" s="25" t="n"/>
      <c r="BK270" s="26" t="n">
        <v>-270</v>
      </c>
      <c r="BL270" s="27" t="n">
        <v>1.37037</v>
      </c>
      <c r="BM270" s="28" t="n">
        <v>0.72973</v>
      </c>
      <c r="BN270" s="28" t="n"/>
      <c r="BO270" s="28" t="n"/>
      <c r="BP270" s="25" t="n"/>
      <c r="BQ270" s="27" t="n">
        <v>1.37037</v>
      </c>
      <c r="BR270" s="28" t="n">
        <v>0.73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0.72973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440d382ebcd04068</t>
        </is>
      </c>
      <c r="B271" s="24" t="inlineStr">
        <is>
          <t>2026-08-10T16:35:12.075143Z</t>
        </is>
      </c>
      <c r="C271" s="24" t="inlineStr">
        <is>
          <t>2026-08-11T00:30Z</t>
        </is>
      </c>
      <c r="D271" s="24" t="inlineStr">
        <is>
          <t>421-2026:182217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Ekaterina Alexandrova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-245</v>
      </c>
      <c r="M271" s="27" t="n">
        <v>1.408163</v>
      </c>
      <c r="N271" s="28" t="n">
        <v>0.710145</v>
      </c>
      <c r="O271" s="28" t="n">
        <v>0.765165</v>
      </c>
      <c r="P271" s="28" t="n">
        <v>0.05</v>
      </c>
      <c r="Q271" s="28" t="n">
        <v>0.05502</v>
      </c>
      <c r="R271" s="26" t="n">
        <v>48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>
        <v>-245</v>
      </c>
      <c r="AA271" s="28" t="n">
        <v>0.71</v>
      </c>
      <c r="AB271" s="28" t="n">
        <v>-0.000145</v>
      </c>
      <c r="AC271" s="30" t="n">
        <v>0.8163</v>
      </c>
      <c r="AD271" s="24" t="inlineStr">
        <is>
          <t>2026-08-11T13:07:07.798618Z</t>
        </is>
      </c>
      <c r="AE271" s="31" t="inlineStr">
        <is>
          <t>Surface-blended Elo on Hard: Elina Svitolina p=0.765 vs Ekaterina Alexandrova. Executable ask 0.7100 (aec-wta-ekaale-elisvi-2026-08-11).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Ekaterina Alexandrova</t>
        </is>
      </c>
      <c r="AT271" s="24" t="inlineStr">
        <is>
          <t>Ekaterina Alexandrova</t>
        </is>
      </c>
      <c r="AU271" s="24" t="inlineStr">
        <is>
          <t>Ekaterina Alexandrova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3ab056fefe04713e3c294da76c8adb2866b0dc46556ed32322a0426dd344a0e4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3ab056fefe04713e3c294da76c8adb2866b0dc46556ed32322a0426dd344a0e4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3ab056fefe04713e3c294da76c8adb2866b0dc46556ed32322a0426dd344a0e4</t>
        </is>
      </c>
      <c r="BH271" s="24" t="inlineStr">
        <is>
          <t>2026-08-10T16:34:18.936432Z</t>
        </is>
      </c>
      <c r="BI271" s="24" t="inlineStr">
        <is>
          <t>["same_event","same_team_same_day","same_league_same_day"]</t>
        </is>
      </c>
      <c r="BJ271" s="25" t="n"/>
      <c r="BK271" s="26" t="n">
        <v>-245</v>
      </c>
      <c r="BL271" s="27" t="n">
        <v>1.408163</v>
      </c>
      <c r="BM271" s="28" t="n">
        <v>0.710145</v>
      </c>
      <c r="BN271" s="28" t="n"/>
      <c r="BO271" s="28" t="n"/>
      <c r="BP271" s="25" t="n"/>
      <c r="BQ271" s="27" t="n">
        <v>1.408163</v>
      </c>
      <c r="BR271" s="28" t="n">
        <v>0.71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0.710145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41dc8af627454594</t>
        </is>
      </c>
      <c r="B272" s="24" t="inlineStr">
        <is>
          <t>2026-08-10T16:35:12.075143Z</t>
        </is>
      </c>
      <c r="C272" s="24" t="inlineStr">
        <is>
          <t>2026-08-10T22:00Z</t>
        </is>
      </c>
      <c r="D272" s="24" t="inlineStr">
        <is>
          <t>421-2026:181722</t>
        </is>
      </c>
      <c r="E272" s="24" t="inlineStr">
        <is>
          <t>TENNIS</t>
        </is>
      </c>
      <c r="F272" s="24" t="inlineStr">
        <is>
          <t>Arthur Fils</t>
        </is>
      </c>
      <c r="G272" s="24" t="inlineStr">
        <is>
          <t>Rafael Jodar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117</v>
      </c>
      <c r="M272" s="27" t="n">
        <v>2.17</v>
      </c>
      <c r="N272" s="28" t="n">
        <v>0.460829</v>
      </c>
      <c r="O272" s="28" t="n">
        <v>0.609065</v>
      </c>
      <c r="P272" s="28" t="n">
        <v>0.05</v>
      </c>
      <c r="Q272" s="28" t="n">
        <v>0.148236</v>
      </c>
      <c r="R272" s="26" t="n">
        <v>94</v>
      </c>
      <c r="S272" s="29" t="n">
        <v>1.5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117</v>
      </c>
      <c r="AA272" s="28" t="n">
        <v>0.46</v>
      </c>
      <c r="AB272" s="28" t="n">
        <v>-0.000829</v>
      </c>
      <c r="AC272" s="30" t="n">
        <v>-1.5</v>
      </c>
      <c r="AD272" s="24" t="inlineStr">
        <is>
          <t>2026-08-11T22:59:33.555119Z</t>
        </is>
      </c>
      <c r="AE272" s="31" t="inlineStr">
        <is>
          <t>Surface-blended Elo on Hard: Arthur Fils p=0.609 vs Rafael Jodar. Executable ask 0.4600 (aec-atp-rafjod-artfil-2026-08-11).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3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Arthur Fils</t>
        </is>
      </c>
      <c r="AQ272" s="24" t="inlineStr">
        <is>
          <t>Arthur Fils</t>
        </is>
      </c>
      <c r="AR272" s="24" t="inlineStr">
        <is>
          <t>Arthur Fils</t>
        </is>
      </c>
      <c r="AS272" s="24" t="inlineStr">
        <is>
          <t>Rafael Jodar</t>
        </is>
      </c>
      <c r="AT272" s="24" t="inlineStr">
        <is>
          <t>Rafael Jodar</t>
        </is>
      </c>
      <c r="AU272" s="24" t="inlineStr">
        <is>
          <t>Rafael Jodar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3ab056fefe04713e3c294da76c8adb2866b0dc46556ed32322a0426dd344a0e4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3ab056fefe04713e3c294da76c8adb2866b0dc46556ed32322a0426dd344a0e4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3ab056fefe04713e3c294da76c8adb2866b0dc46556ed32322a0426dd344a0e4</t>
        </is>
      </c>
      <c r="BH272" s="24" t="inlineStr">
        <is>
          <t>2026-08-10T16:34:20.296833Z</t>
        </is>
      </c>
      <c r="BI272" s="24" t="inlineStr">
        <is>
          <t>["same_event","same_team_same_day","same_league_same_day"]</t>
        </is>
      </c>
      <c r="BJ272" s="25" t="n"/>
      <c r="BK272" s="26" t="n">
        <v>117</v>
      </c>
      <c r="BL272" s="27" t="n">
        <v>2.17</v>
      </c>
      <c r="BM272" s="28" t="n">
        <v>0.460829</v>
      </c>
      <c r="BN272" s="28" t="n"/>
      <c r="BO272" s="28" t="n"/>
      <c r="BP272" s="25" t="n"/>
      <c r="BQ272" s="27" t="n">
        <v>2.17</v>
      </c>
      <c r="BR272" s="28" t="n">
        <v>0.46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0.460829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b2051b0c05994f6b</t>
        </is>
      </c>
      <c r="B273" s="24" t="inlineStr">
        <is>
          <t>2026-08-10T16:35:12.075143Z</t>
        </is>
      </c>
      <c r="C273" s="24" t="inlineStr">
        <is>
          <t>2026-08-10T23:30Z</t>
        </is>
      </c>
      <c r="D273" s="24" t="inlineStr">
        <is>
          <t>421-2026:181721</t>
        </is>
      </c>
      <c r="E273" s="24" t="inlineStr">
        <is>
          <t>TENNIS</t>
        </is>
      </c>
      <c r="F273" s="24" t="inlineStr">
        <is>
          <t>Brandon Nakashima</t>
        </is>
      </c>
      <c r="G273" s="24" t="inlineStr">
        <is>
          <t>Luciano Darderi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-223</v>
      </c>
      <c r="M273" s="27" t="n">
        <v>1.44843</v>
      </c>
      <c r="N273" s="28" t="n">
        <v>0.690402</v>
      </c>
      <c r="O273" s="28" t="n">
        <v>0.513567</v>
      </c>
      <c r="P273" s="28" t="n">
        <v>0.05</v>
      </c>
      <c r="Q273" s="28" t="n">
        <v>-0.176835</v>
      </c>
      <c r="R273" s="26" t="n">
        <v>0</v>
      </c>
      <c r="S273" s="29" t="n">
        <v>1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1</v>
      </c>
      <c r="X273" s="26" t="n">
        <v>0</v>
      </c>
      <c r="Y273" s="25" t="n"/>
      <c r="Z273" s="26" t="n">
        <v>-223</v>
      </c>
      <c r="AA273" s="28" t="n">
        <v>0.6899999999999999</v>
      </c>
      <c r="AB273" s="28" t="n">
        <v>-0.000402</v>
      </c>
      <c r="AC273" s="30" t="n">
        <v>0.4484</v>
      </c>
      <c r="AD273" s="24" t="inlineStr">
        <is>
          <t>2026-08-11T19:53:27.031940Z</t>
        </is>
      </c>
      <c r="AE273" s="31" t="inlineStr">
        <is>
          <t>Surface-blended Elo on Hard: Brandon Nakashima p=0.514 vs Luciano Darderi. Executable ask 0.6900 (aec-atp-lucdar-branak-2026-08-09).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3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Brandon Nakashima</t>
        </is>
      </c>
      <c r="AQ273" s="24" t="inlineStr">
        <is>
          <t>Brandon Nakashima</t>
        </is>
      </c>
      <c r="AR273" s="24" t="inlineStr">
        <is>
          <t>Brandon Nakashima</t>
        </is>
      </c>
      <c r="AS273" s="24" t="inlineStr">
        <is>
          <t>Luciano Darderi</t>
        </is>
      </c>
      <c r="AT273" s="24" t="inlineStr">
        <is>
          <t>Luciano Darderi</t>
        </is>
      </c>
      <c r="AU273" s="24" t="inlineStr">
        <is>
          <t>Luciano Darderi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3ab056fefe04713e3c294da76c8adb2866b0dc46556ed32322a0426dd344a0e4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3ab056fefe04713e3c294da76c8adb2866b0dc46556ed32322a0426dd344a0e4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3ab056fefe04713e3c294da76c8adb2866b0dc46556ed32322a0426dd344a0e4</t>
        </is>
      </c>
      <c r="BH273" s="24" t="inlineStr">
        <is>
          <t>2026-08-10T16:34:21.592752Z</t>
        </is>
      </c>
      <c r="BI273" s="24" t="inlineStr">
        <is>
          <t>["same_event","same_team_same_day","same_league_same_day"]</t>
        </is>
      </c>
      <c r="BJ273" s="25" t="n"/>
      <c r="BK273" s="26" t="n">
        <v>-223</v>
      </c>
      <c r="BL273" s="27" t="n">
        <v>1.44843</v>
      </c>
      <c r="BM273" s="28" t="n">
        <v>0.690402</v>
      </c>
      <c r="BN273" s="28" t="n"/>
      <c r="BO273" s="28" t="n"/>
      <c r="BP273" s="25" t="n"/>
      <c r="BQ273" s="27" t="n">
        <v>1.44843</v>
      </c>
      <c r="BR273" s="28" t="n">
        <v>0.6899999999999999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0.690402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0e9205a74cba49e9</t>
        </is>
      </c>
      <c r="B274" s="24" t="inlineStr">
        <is>
          <t>2026-08-11T17:25:06.939802Z</t>
        </is>
      </c>
      <c r="C274" s="24" t="inlineStr">
        <is>
          <t>2026-08-11T17:30Z</t>
        </is>
      </c>
      <c r="D274" s="24" t="inlineStr">
        <is>
          <t>718-2026:184454</t>
        </is>
      </c>
      <c r="E274" s="24" t="inlineStr">
        <is>
          <t>TENNIS</t>
        </is>
      </c>
      <c r="F274" s="24" t="inlineStr">
        <is>
          <t>Lucrezia Stefanini</t>
        </is>
      </c>
      <c r="G274" s="24" t="inlineStr">
        <is>
          <t>Anastasia Zakharova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-223</v>
      </c>
      <c r="M274" s="27" t="n">
        <v>1.44843</v>
      </c>
      <c r="N274" s="28" t="n">
        <v>0.690402</v>
      </c>
      <c r="O274" s="28" t="n">
        <v>0.699635</v>
      </c>
      <c r="P274" s="28" t="n">
        <v>0.05</v>
      </c>
      <c r="Q274" s="28" t="n">
        <v>0.009233</v>
      </c>
      <c r="R274" s="26" t="n">
        <v>25</v>
      </c>
      <c r="S274" s="29" t="n">
        <v>2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-223</v>
      </c>
      <c r="AA274" s="28" t="n">
        <v>0.6899999999999999</v>
      </c>
      <c r="AB274" s="28" t="n">
        <v>-0.000402</v>
      </c>
      <c r="AC274" s="30" t="n">
        <v>-2</v>
      </c>
      <c r="AD274" s="24" t="inlineStr">
        <is>
          <t>2026-08-12T02:05:03.103395Z</t>
        </is>
      </c>
      <c r="AE274" s="31" t="inlineStr">
        <is>
          <t>Surface-blended Elo on Hard: Lucrezia Stefanini p=0.300 vs Anastasia Zakharova. Executable ask 0.6900 (aec-wta-anazak-lucste-2026-08-11).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3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Lucrezia Stefanini</t>
        </is>
      </c>
      <c r="AQ274" s="24" t="inlineStr">
        <is>
          <t>Lucrezia Stefanini</t>
        </is>
      </c>
      <c r="AR274" s="24" t="inlineStr">
        <is>
          <t>Lucrezia Stefanini</t>
        </is>
      </c>
      <c r="AS274" s="24" t="inlineStr">
        <is>
          <t>Anastasia Zakharova</t>
        </is>
      </c>
      <c r="AT274" s="24" t="inlineStr">
        <is>
          <t>Anastasia Zakharova</t>
        </is>
      </c>
      <c r="AU274" s="24" t="inlineStr">
        <is>
          <t>Anastasia Zakharova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3ab056fefe04713e3c294da76c8adb2866b0dc46556ed32322a0426dd344a0e4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3ab056fefe04713e3c294da76c8adb2866b0dc46556ed32322a0426dd344a0e4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3ab056fefe04713e3c294da76c8adb2866b0dc46556ed32322a0426dd344a0e4</t>
        </is>
      </c>
      <c r="BH274" s="24" t="inlineStr">
        <is>
          <t>2026-08-11T17:22:59.044956Z</t>
        </is>
      </c>
      <c r="BI274" s="24" t="inlineStr">
        <is>
          <t>["same_event","same_team_same_day","same_league_same_day"]</t>
        </is>
      </c>
      <c r="BJ274" s="25" t="n"/>
      <c r="BK274" s="26" t="n">
        <v>-223</v>
      </c>
      <c r="BL274" s="27" t="n">
        <v>1.44843</v>
      </c>
      <c r="BM274" s="28" t="n">
        <v>0.690402</v>
      </c>
      <c r="BN274" s="28" t="n"/>
      <c r="BO274" s="28" t="n"/>
      <c r="BP274" s="25" t="n"/>
      <c r="BQ274" s="27" t="n">
        <v>1.44843</v>
      </c>
      <c r="BR274" s="28" t="n">
        <v>0.6899999999999999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0.690402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05b506ca3dab445d</t>
        </is>
      </c>
      <c r="B275" s="24" t="inlineStr">
        <is>
          <t>2026-08-11T17:25:06.939802Z</t>
        </is>
      </c>
      <c r="C275" s="24" t="inlineStr">
        <is>
          <t>2026-08-11T17:30Z</t>
        </is>
      </c>
      <c r="D275" s="24" t="inlineStr">
        <is>
          <t>718-2026:184456</t>
        </is>
      </c>
      <c r="E275" s="24" t="inlineStr">
        <is>
          <t>TENNIS</t>
        </is>
      </c>
      <c r="F275" s="24" t="inlineStr">
        <is>
          <t>Veronika Erjavec</t>
        </is>
      </c>
      <c r="G275" s="24" t="inlineStr">
        <is>
          <t>Mary Stoiana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233</v>
      </c>
      <c r="M275" s="27" t="n">
        <v>3.33</v>
      </c>
      <c r="N275" s="28" t="n">
        <v>0.3003</v>
      </c>
      <c r="O275" s="28" t="n">
        <v>0.543574</v>
      </c>
      <c r="P275" s="28" t="n">
        <v>0.05</v>
      </c>
      <c r="Q275" s="28" t="n">
        <v>0.243274</v>
      </c>
      <c r="R275" s="26" t="n">
        <v>100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loss</t>
        </is>
      </c>
      <c r="W275" s="26" t="n">
        <v>0</v>
      </c>
      <c r="X275" s="26" t="n">
        <v>1</v>
      </c>
      <c r="Y275" s="25" t="n"/>
      <c r="Z275" s="26" t="n">
        <v>233</v>
      </c>
      <c r="AA275" s="28" t="n">
        <v>0.3</v>
      </c>
      <c r="AB275" s="28" t="n">
        <v>-0.0003</v>
      </c>
      <c r="AC275" s="30" t="n">
        <v>-1</v>
      </c>
      <c r="AD275" s="24" t="inlineStr">
        <is>
          <t>2026-08-12T02:05:04.676754Z</t>
        </is>
      </c>
      <c r="AE275" s="31" t="inlineStr">
        <is>
          <t>Surface-blended Elo on Hard: Veronika Erjavec p=0.544 vs Mary Stoiana. Executable ask 0.3000 (aec-wta-marsto-vererj-2026-08-11).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3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Veronika Erjavec</t>
        </is>
      </c>
      <c r="AQ275" s="24" t="inlineStr">
        <is>
          <t>Veronika Erjavec</t>
        </is>
      </c>
      <c r="AR275" s="24" t="inlineStr">
        <is>
          <t>Veronika Erjavec</t>
        </is>
      </c>
      <c r="AS275" s="24" t="inlineStr">
        <is>
          <t>Mary Stoiana</t>
        </is>
      </c>
      <c r="AT275" s="24" t="inlineStr">
        <is>
          <t>Mary Stoiana</t>
        </is>
      </c>
      <c r="AU275" s="24" t="inlineStr">
        <is>
          <t>Mary Stoiana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3ab056fefe04713e3c294da76c8adb2866b0dc46556ed32322a0426dd344a0e4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3ab056fefe04713e3c294da76c8adb2866b0dc46556ed32322a0426dd344a0e4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3ab056fefe04713e3c294da76c8adb2866b0dc46556ed32322a0426dd344a0e4</t>
        </is>
      </c>
      <c r="BH275" s="24" t="inlineStr">
        <is>
          <t>2026-08-11T17:23:01.484061Z</t>
        </is>
      </c>
      <c r="BI275" s="24" t="inlineStr">
        <is>
          <t>["same_event","same_team_same_day","same_league_same_day"]</t>
        </is>
      </c>
      <c r="BJ275" s="25" t="n"/>
      <c r="BK275" s="26" t="n">
        <v>233</v>
      </c>
      <c r="BL275" s="27" t="n">
        <v>3.33</v>
      </c>
      <c r="BM275" s="28" t="n">
        <v>0.3003</v>
      </c>
      <c r="BN275" s="28" t="n"/>
      <c r="BO275" s="28" t="n"/>
      <c r="BP275" s="25" t="n"/>
      <c r="BQ275" s="27" t="n">
        <v>3.33</v>
      </c>
      <c r="BR275" s="28" t="n">
        <v>0.3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0.3003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83f4fddab5434bda</t>
        </is>
      </c>
      <c r="B276" s="24" t="inlineStr">
        <is>
          <t>2026-08-11T17:25:06.939802Z</t>
        </is>
      </c>
      <c r="C276" s="24" t="inlineStr">
        <is>
          <t>2026-08-11T17:30Z</t>
        </is>
      </c>
      <c r="D276" s="24" t="inlineStr">
        <is>
          <t>718-2026:184457</t>
        </is>
      </c>
      <c r="E276" s="24" t="inlineStr">
        <is>
          <t>TENNIS</t>
        </is>
      </c>
      <c r="F276" s="24" t="inlineStr">
        <is>
          <t>Elizabeth Mandlik</t>
        </is>
      </c>
      <c r="G276" s="24" t="inlineStr">
        <is>
          <t>Oksana Selekhmeteva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-144</v>
      </c>
      <c r="M276" s="27" t="n">
        <v>1.694444</v>
      </c>
      <c r="N276" s="28" t="n">
        <v>0.590164</v>
      </c>
      <c r="O276" s="28" t="n">
        <v>0.664346</v>
      </c>
      <c r="P276" s="28" t="n">
        <v>0.05</v>
      </c>
      <c r="Q276" s="28" t="n">
        <v>0.074182</v>
      </c>
      <c r="R276" s="26" t="n">
        <v>57</v>
      </c>
      <c r="S276" s="29" t="n">
        <v>1.75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-144</v>
      </c>
      <c r="AA276" s="28" t="n">
        <v>0.59</v>
      </c>
      <c r="AB276" s="28" t="n">
        <v>-0.000164</v>
      </c>
      <c r="AC276" s="30" t="n">
        <v>1.2153</v>
      </c>
      <c r="AD276" s="24" t="inlineStr">
        <is>
          <t>2026-08-12T02:05:06.213698Z</t>
        </is>
      </c>
      <c r="AE276" s="31" t="inlineStr">
        <is>
          <t>Surface-blended Elo on Hard: Elizabeth Mandlik p=0.336 vs Oksana Selekhmeteva. Executable ask 0.5900 (aec-wta-okssel-eliman-2026-08-11).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Elizabeth Mandlik</t>
        </is>
      </c>
      <c r="AQ276" s="24" t="inlineStr">
        <is>
          <t>Elizabeth Mandlik</t>
        </is>
      </c>
      <c r="AR276" s="24" t="inlineStr">
        <is>
          <t>Elizabeth Mandlik</t>
        </is>
      </c>
      <c r="AS276" s="24" t="inlineStr">
        <is>
          <t>Oksana Selekhmeteva</t>
        </is>
      </c>
      <c r="AT276" s="24" t="inlineStr">
        <is>
          <t>Oksana Selekhmeteva</t>
        </is>
      </c>
      <c r="AU276" s="24" t="inlineStr">
        <is>
          <t>Oksana Selekhmeteva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3ab056fefe04713e3c294da76c8adb2866b0dc46556ed32322a0426dd344a0e4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3ab056fefe04713e3c294da76c8adb2866b0dc46556ed32322a0426dd344a0e4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3ab056fefe04713e3c294da76c8adb2866b0dc46556ed32322a0426dd344a0e4</t>
        </is>
      </c>
      <c r="BH276" s="24" t="inlineStr">
        <is>
          <t>2026-08-11T17:23:00.536378Z</t>
        </is>
      </c>
      <c r="BI276" s="24" t="inlineStr">
        <is>
          <t>["same_event","same_team_same_day","same_league_same_day"]</t>
        </is>
      </c>
      <c r="BJ276" s="25" t="n"/>
      <c r="BK276" s="26" t="n">
        <v>-144</v>
      </c>
      <c r="BL276" s="27" t="n">
        <v>1.694444</v>
      </c>
      <c r="BM276" s="28" t="n">
        <v>0.590164</v>
      </c>
      <c r="BN276" s="28" t="n"/>
      <c r="BO276" s="28" t="n"/>
      <c r="BP276" s="25" t="n"/>
      <c r="BQ276" s="27" t="n">
        <v>1.694444</v>
      </c>
      <c r="BR276" s="28" t="n">
        <v>0.59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0.590164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8cc98f7e40e647c6</t>
        </is>
      </c>
      <c r="B277" s="24" t="inlineStr">
        <is>
          <t>2026-08-11T17:25:06.939802Z</t>
        </is>
      </c>
      <c r="C277" s="24" t="inlineStr">
        <is>
          <t>2026-08-11T17:30Z</t>
        </is>
      </c>
      <c r="D277" s="24" t="inlineStr">
        <is>
          <t>718-2026:184458</t>
        </is>
      </c>
      <c r="E277" s="24" t="inlineStr">
        <is>
          <t>TENNIS</t>
        </is>
      </c>
      <c r="F277" s="24" t="inlineStr">
        <is>
          <t>Leolia Jeanjean</t>
        </is>
      </c>
      <c r="G277" s="24" t="inlineStr">
        <is>
          <t>Himeno Sakatsume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-170</v>
      </c>
      <c r="M277" s="27" t="n">
        <v>1.588235</v>
      </c>
      <c r="N277" s="28" t="n">
        <v>0.62963</v>
      </c>
      <c r="O277" s="28" t="n">
        <v>0.518667</v>
      </c>
      <c r="P277" s="28" t="n">
        <v>0.05</v>
      </c>
      <c r="Q277" s="28" t="n">
        <v>-0.110963</v>
      </c>
      <c r="R277" s="26" t="n">
        <v>0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-170</v>
      </c>
      <c r="AA277" s="28" t="n">
        <v>0.63</v>
      </c>
      <c r="AB277" s="28" t="n">
        <v>0.00037</v>
      </c>
      <c r="AC277" s="30" t="n">
        <v>0.5881999999999999</v>
      </c>
      <c r="AD277" s="24" t="inlineStr">
        <is>
          <t>2026-08-12T02:05:07.930047Z</t>
        </is>
      </c>
      <c r="AE277" s="31" t="inlineStr">
        <is>
          <t>Surface-blended Elo on Hard: Leolia Jeanjean p=0.519 vs Himeno Sakatsume. Executable ask 0.6300 (aec-wta-himsak-leojea-2026-08-11).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3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Leolia Jeanjean</t>
        </is>
      </c>
      <c r="AQ277" s="24" t="inlineStr">
        <is>
          <t>Leolia Jeanjean</t>
        </is>
      </c>
      <c r="AR277" s="24" t="inlineStr">
        <is>
          <t>Leolia Jeanjean</t>
        </is>
      </c>
      <c r="AS277" s="24" t="inlineStr">
        <is>
          <t>Himeno Sakatsume</t>
        </is>
      </c>
      <c r="AT277" s="24" t="inlineStr">
        <is>
          <t>Himeno Sakatsume</t>
        </is>
      </c>
      <c r="AU277" s="24" t="inlineStr">
        <is>
          <t>Himeno Sakatsume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3ab056fefe04713e3c294da76c8adb2866b0dc46556ed32322a0426dd344a0e4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3ab056fefe04713e3c294da76c8adb2866b0dc46556ed32322a0426dd344a0e4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3ab056fefe04713e3c294da76c8adb2866b0dc46556ed32322a0426dd344a0e4</t>
        </is>
      </c>
      <c r="BH277" s="24" t="inlineStr">
        <is>
          <t>2026-08-11T17:23:00.006781Z</t>
        </is>
      </c>
      <c r="BI277" s="24" t="inlineStr">
        <is>
          <t>["same_event","same_team_same_day","same_league_same_day"]</t>
        </is>
      </c>
      <c r="BJ277" s="25" t="n"/>
      <c r="BK277" s="26" t="n">
        <v>-170</v>
      </c>
      <c r="BL277" s="27" t="n">
        <v>1.588235</v>
      </c>
      <c r="BM277" s="28" t="n">
        <v>0.62963</v>
      </c>
      <c r="BN277" s="28" t="n"/>
      <c r="BO277" s="28" t="n"/>
      <c r="BP277" s="25" t="n"/>
      <c r="BQ277" s="27" t="n">
        <v>1.588235</v>
      </c>
      <c r="BR277" s="28" t="n">
        <v>0.63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0.62963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7f8a7be10798493b</t>
        </is>
      </c>
      <c r="B278" s="24" t="inlineStr">
        <is>
          <t>2026-08-11T17:25:06.939802Z</t>
        </is>
      </c>
      <c r="C278" s="24" t="inlineStr">
        <is>
          <t>2026-08-11T17:30Z</t>
        </is>
      </c>
      <c r="D278" s="24" t="inlineStr">
        <is>
          <t>718-2026:184465</t>
        </is>
      </c>
      <c r="E278" s="24" t="inlineStr">
        <is>
          <t>TENNIS</t>
        </is>
      </c>
      <c r="F278" s="24" t="inlineStr">
        <is>
          <t>Claire Liu</t>
        </is>
      </c>
      <c r="G278" s="24" t="inlineStr">
        <is>
          <t>Polina Iatcenko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-186</v>
      </c>
      <c r="M278" s="27" t="n">
        <v>1.537634</v>
      </c>
      <c r="N278" s="28" t="n">
        <v>0.65035</v>
      </c>
      <c r="O278" s="28" t="n">
        <v>0.593784</v>
      </c>
      <c r="P278" s="28" t="n">
        <v>0.05</v>
      </c>
      <c r="Q278" s="28" t="n">
        <v>-0.056566</v>
      </c>
      <c r="R278" s="26" t="n">
        <v>0</v>
      </c>
      <c r="S278" s="29" t="n">
        <v>1.25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>
        <v>-186</v>
      </c>
      <c r="AA278" s="28" t="n">
        <v>0.65</v>
      </c>
      <c r="AB278" s="28" t="n">
        <v>-0.00035</v>
      </c>
      <c r="AC278" s="30" t="n">
        <v>0.672</v>
      </c>
      <c r="AD278" s="24" t="inlineStr">
        <is>
          <t>2026-08-11T22:59:43.303106Z</t>
        </is>
      </c>
      <c r="AE278" s="31" t="inlineStr">
        <is>
          <t>Surface-blended Elo on Hard: Claire Liu p=0.594 vs Polina Iatcenko. Executable ask 0.6500 (aec-wta-poliat-claliu-2026-08-11).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3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Claire Liu</t>
        </is>
      </c>
      <c r="AQ278" s="24" t="inlineStr">
        <is>
          <t>Claire Liu</t>
        </is>
      </c>
      <c r="AR278" s="24" t="inlineStr">
        <is>
          <t>Claire Liu</t>
        </is>
      </c>
      <c r="AS278" s="24" t="inlineStr">
        <is>
          <t>Polina Iatcenko</t>
        </is>
      </c>
      <c r="AT278" s="24" t="inlineStr">
        <is>
          <t>Polina Iatcenko</t>
        </is>
      </c>
      <c r="AU278" s="24" t="inlineStr">
        <is>
          <t>Polina Iatcenko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3ab056fefe04713e3c294da76c8adb2866b0dc46556ed32322a0426dd344a0e4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3ab056fefe04713e3c294da76c8adb2866b0dc46556ed32322a0426dd344a0e4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3ab056fefe04713e3c294da76c8adb2866b0dc46556ed32322a0426dd344a0e4</t>
        </is>
      </c>
      <c r="BH278" s="24" t="inlineStr">
        <is>
          <t>2026-08-11T17:22:58.561138Z</t>
        </is>
      </c>
      <c r="BI278" s="24" t="inlineStr">
        <is>
          <t>["same_event","same_team_same_day","same_league_same_day"]</t>
        </is>
      </c>
      <c r="BJ278" s="25" t="n"/>
      <c r="BK278" s="26" t="n">
        <v>-186</v>
      </c>
      <c r="BL278" s="27" t="n">
        <v>1.537634</v>
      </c>
      <c r="BM278" s="28" t="n">
        <v>0.65035</v>
      </c>
      <c r="BN278" s="28" t="n"/>
      <c r="BO278" s="28" t="n"/>
      <c r="BP278" s="25" t="n"/>
      <c r="BQ278" s="27" t="n">
        <v>1.537634</v>
      </c>
      <c r="BR278" s="28" t="n">
        <v>0.65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0.65035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f1cd2cd5b96e45e2</t>
        </is>
      </c>
      <c r="B279" s="24" t="inlineStr">
        <is>
          <t>2026-08-11T17:25:06.939802Z</t>
        </is>
      </c>
      <c r="C279" s="24" t="inlineStr">
        <is>
          <t>2026-08-11T17:30Z</t>
        </is>
      </c>
      <c r="D279" s="24" t="inlineStr">
        <is>
          <t>718-2026:184466</t>
        </is>
      </c>
      <c r="E279" s="24" t="inlineStr">
        <is>
          <t>TENNIS</t>
        </is>
      </c>
      <c r="F279" s="24" t="inlineStr">
        <is>
          <t>Marina Bassols Ribera</t>
        </is>
      </c>
      <c r="G279" s="24" t="inlineStr">
        <is>
          <t>Sinja Kraus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-127</v>
      </c>
      <c r="M279" s="27" t="n">
        <v>1.787402</v>
      </c>
      <c r="N279" s="28" t="n">
        <v>0.5594710000000001</v>
      </c>
      <c r="O279" s="28" t="n">
        <v>0.681821</v>
      </c>
      <c r="P279" s="28" t="n">
        <v>0.05</v>
      </c>
      <c r="Q279" s="28" t="n">
        <v>0.12235</v>
      </c>
      <c r="R279" s="26" t="n">
        <v>81</v>
      </c>
      <c r="S279" s="29" t="n">
        <v>2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-127</v>
      </c>
      <c r="AA279" s="28" t="n">
        <v>0.5600000000000001</v>
      </c>
      <c r="AB279" s="28" t="n">
        <v>0.000529</v>
      </c>
      <c r="AC279" s="30" t="n">
        <v>1.5748</v>
      </c>
      <c r="AD279" s="24" t="inlineStr">
        <is>
          <t>2026-08-11T19:53:35.240406Z</t>
        </is>
      </c>
      <c r="AE279" s="31" t="inlineStr">
        <is>
          <t>Surface-blended Elo on Hard: Marina Bassols Ribera p=0.318 vs Sinja Kraus. Executable ask 0.5600 (aec-wta-sinkra-marrib-2026-08-11).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model_qualified</t>
        </is>
      </c>
      <c r="AL279" s="26" t="n">
        <v>3</v>
      </c>
      <c r="AM279" s="24" t="inlineStr">
        <is>
          <t>QUALIFIED_SHADOW_CALL</t>
        </is>
      </c>
      <c r="AN279" s="24" t="inlineStr">
        <is>
          <t>CALL</t>
        </is>
      </c>
      <c r="AO279" s="24" t="inlineStr">
        <is>
          <t>QUALIFIED</t>
        </is>
      </c>
      <c r="AP279" s="24" t="inlineStr">
        <is>
          <t>Marina Bassols Ribera</t>
        </is>
      </c>
      <c r="AQ279" s="24" t="inlineStr">
        <is>
          <t>Marina Bassols Ribera</t>
        </is>
      </c>
      <c r="AR279" s="24" t="inlineStr">
        <is>
          <t>Marina Bassols Ribera</t>
        </is>
      </c>
      <c r="AS279" s="24" t="inlineStr">
        <is>
          <t>Sinja Kraus</t>
        </is>
      </c>
      <c r="AT279" s="24" t="inlineStr">
        <is>
          <t>Sinja Kraus</t>
        </is>
      </c>
      <c r="AU279" s="24" t="inlineStr">
        <is>
          <t>Sinja Kraus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3ab056fefe04713e3c294da76c8adb2866b0dc46556ed32322a0426dd344a0e4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3ab056fefe04713e3c294da76c8adb2866b0dc46556ed32322a0426dd344a0e4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3ab056fefe04713e3c294da76c8adb2866b0dc46556ed32322a0426dd344a0e4</t>
        </is>
      </c>
      <c r="BH279" s="24" t="inlineStr">
        <is>
          <t>2026-08-11T17:22:57.542336Z</t>
        </is>
      </c>
      <c r="BI279" s="24" t="inlineStr">
        <is>
          <t>["same_event","same_team_same_day","same_league_same_day"]</t>
        </is>
      </c>
      <c r="BJ279" s="25" t="n"/>
      <c r="BK279" s="26" t="n">
        <v>-127</v>
      </c>
      <c r="BL279" s="27" t="n">
        <v>1.787402</v>
      </c>
      <c r="BM279" s="28" t="n">
        <v>0.5594710000000001</v>
      </c>
      <c r="BN279" s="28" t="n"/>
      <c r="BO279" s="28" t="n"/>
      <c r="BP279" s="25" t="n"/>
      <c r="BQ279" s="27" t="n">
        <v>1.787402</v>
      </c>
      <c r="BR279" s="28" t="n">
        <v>0.5600000000000001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0.559471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04325ea71d954923</t>
        </is>
      </c>
      <c r="B280" s="24" t="inlineStr">
        <is>
          <t>2026-08-11T17:25:06.939802Z</t>
        </is>
      </c>
      <c r="C280" s="24" t="inlineStr">
        <is>
          <t>2026-08-11T19:00Z</t>
        </is>
      </c>
      <c r="D280" s="24" t="inlineStr">
        <is>
          <t>718-2026:184445</t>
        </is>
      </c>
      <c r="E280" s="24" t="inlineStr">
        <is>
          <t>TENNIS</t>
        </is>
      </c>
      <c r="F280" s="24" t="inlineStr">
        <is>
          <t>Alina Charaeva</t>
        </is>
      </c>
      <c r="G280" s="24" t="inlineStr">
        <is>
          <t>Rebecca Marino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-194</v>
      </c>
      <c r="M280" s="27" t="n">
        <v>1.515464</v>
      </c>
      <c r="N280" s="28" t="n">
        <v>0.659864</v>
      </c>
      <c r="O280" s="28" t="n">
        <v>0.640347</v>
      </c>
      <c r="P280" s="28" t="n">
        <v>0.05</v>
      </c>
      <c r="Q280" s="28" t="n">
        <v>-0.019517</v>
      </c>
      <c r="R280" s="26" t="n">
        <v>10</v>
      </c>
      <c r="S280" s="29" t="n">
        <v>1.5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-194</v>
      </c>
      <c r="AA280" s="28" t="n">
        <v>0.66</v>
      </c>
      <c r="AB280" s="28" t="n">
        <v>0.000136</v>
      </c>
      <c r="AC280" s="30" t="n">
        <v>0.7732</v>
      </c>
      <c r="AD280" s="24" t="inlineStr">
        <is>
          <t>2026-08-12T02:05:09.511435Z</t>
        </is>
      </c>
      <c r="AE280" s="31" t="inlineStr">
        <is>
          <t>Surface-blended Elo on Hard: Alina Charaeva p=0.640 vs Rebecca Marino. Executable ask 0.6600 (aec-wta-rebmar-alicha-2026-08-11).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3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Alina Charaeva</t>
        </is>
      </c>
      <c r="AQ280" s="24" t="inlineStr">
        <is>
          <t>Alina Charaeva</t>
        </is>
      </c>
      <c r="AR280" s="24" t="inlineStr">
        <is>
          <t>Alina Charaeva</t>
        </is>
      </c>
      <c r="AS280" s="24" t="inlineStr">
        <is>
          <t>Rebecca Marino</t>
        </is>
      </c>
      <c r="AT280" s="24" t="inlineStr">
        <is>
          <t>Rebecca Marino</t>
        </is>
      </c>
      <c r="AU280" s="24" t="inlineStr">
        <is>
          <t>Rebecca Marino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3ab056fefe04713e3c294da76c8adb2866b0dc46556ed32322a0426dd344a0e4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3ab056fefe04713e3c294da76c8adb2866b0dc46556ed32322a0426dd344a0e4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3ab056fefe04713e3c294da76c8adb2866b0dc46556ed32322a0426dd344a0e4</t>
        </is>
      </c>
      <c r="BH280" s="24" t="inlineStr">
        <is>
          <t>2026-08-11T17:23:03.688524Z</t>
        </is>
      </c>
      <c r="BI280" s="24" t="inlineStr">
        <is>
          <t>["same_event","same_team_same_day","same_league_same_day"]</t>
        </is>
      </c>
      <c r="BJ280" s="25" t="n"/>
      <c r="BK280" s="26" t="n">
        <v>-194</v>
      </c>
      <c r="BL280" s="27" t="n">
        <v>1.515464</v>
      </c>
      <c r="BM280" s="28" t="n">
        <v>0.659864</v>
      </c>
      <c r="BN280" s="28" t="n"/>
      <c r="BO280" s="28" t="n"/>
      <c r="BP280" s="25" t="n"/>
      <c r="BQ280" s="27" t="n">
        <v>1.515464</v>
      </c>
      <c r="BR280" s="28" t="n">
        <v>0.66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0.659864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0998546ca0a04770</t>
        </is>
      </c>
      <c r="B281" s="24" t="inlineStr">
        <is>
          <t>2026-08-11T17:25:06.939802Z</t>
        </is>
      </c>
      <c r="C281" s="24" t="inlineStr">
        <is>
          <t>2026-08-11T19:00Z</t>
        </is>
      </c>
      <c r="D281" s="24" t="inlineStr">
        <is>
          <t>718-2026:184446</t>
        </is>
      </c>
      <c r="E281" s="24" t="inlineStr">
        <is>
          <t>TENNIS</t>
        </is>
      </c>
      <c r="F281" s="24" t="inlineStr">
        <is>
          <t>Varvara Lepchenko</t>
        </is>
      </c>
      <c r="G281" s="24" t="inlineStr">
        <is>
          <t>Alina Korneeva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-567</v>
      </c>
      <c r="M281" s="27" t="n">
        <v>1.176367</v>
      </c>
      <c r="N281" s="28" t="n">
        <v>0.850075</v>
      </c>
      <c r="O281" s="28" t="n">
        <v>0.625269</v>
      </c>
      <c r="P281" s="28" t="n">
        <v>0.05</v>
      </c>
      <c r="Q281" s="28" t="n">
        <v>-0.224806</v>
      </c>
      <c r="R281" s="26" t="n">
        <v>0</v>
      </c>
      <c r="S281" s="29" t="n">
        <v>1.5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-567</v>
      </c>
      <c r="AA281" s="28" t="n">
        <v>0.85</v>
      </c>
      <c r="AB281" s="28" t="n">
        <v>-7.499999999999999e-05</v>
      </c>
      <c r="AC281" s="30" t="n">
        <v>0.2646</v>
      </c>
      <c r="AD281" s="24" t="inlineStr">
        <is>
          <t>2026-08-12T02:05:11.098800Z</t>
        </is>
      </c>
      <c r="AE281" s="31" t="inlineStr">
        <is>
          <t>Surface-blended Elo on Hard: Varvara Lepchenko p=0.375 vs Alina Korneeva. Executable ask 0.8500 (aec-wta-alikor-varlep-2026-08-11).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3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Varvara Lepchenko</t>
        </is>
      </c>
      <c r="AQ281" s="24" t="inlineStr">
        <is>
          <t>Varvara Lepchenko</t>
        </is>
      </c>
      <c r="AR281" s="24" t="inlineStr">
        <is>
          <t>Varvara Lepchenko</t>
        </is>
      </c>
      <c r="AS281" s="24" t="inlineStr">
        <is>
          <t>Alina Korneeva</t>
        </is>
      </c>
      <c r="AT281" s="24" t="inlineStr">
        <is>
          <t>Alina Korneeva</t>
        </is>
      </c>
      <c r="AU281" s="24" t="inlineStr">
        <is>
          <t>Alina Korneeva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3ab056fefe04713e3c294da76c8adb2866b0dc46556ed32322a0426dd344a0e4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3ab056fefe04713e3c294da76c8adb2866b0dc46556ed32322a0426dd344a0e4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3ab056fefe04713e3c294da76c8adb2866b0dc46556ed32322a0426dd344a0e4</t>
        </is>
      </c>
      <c r="BH281" s="24" t="inlineStr">
        <is>
          <t>2026-08-11T17:23:02.711004Z</t>
        </is>
      </c>
      <c r="BI281" s="24" t="inlineStr">
        <is>
          <t>["same_event","same_team_same_day","same_league_same_day"]</t>
        </is>
      </c>
      <c r="BJ281" s="25" t="n"/>
      <c r="BK281" s="26" t="n">
        <v>-567</v>
      </c>
      <c r="BL281" s="27" t="n">
        <v>1.176367</v>
      </c>
      <c r="BM281" s="28" t="n">
        <v>0.850075</v>
      </c>
      <c r="BN281" s="28" t="n"/>
      <c r="BO281" s="28" t="n"/>
      <c r="BP281" s="25" t="n"/>
      <c r="BQ281" s="27" t="n">
        <v>1.176367</v>
      </c>
      <c r="BR281" s="28" t="n">
        <v>0.85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0.850075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9b6422f944c54b08</t>
        </is>
      </c>
      <c r="B282" s="24" t="inlineStr">
        <is>
          <t>2026-08-11T17:25:06.939802Z</t>
        </is>
      </c>
      <c r="C282" s="24" t="inlineStr">
        <is>
          <t>2026-08-11T19:00Z</t>
        </is>
      </c>
      <c r="D282" s="24" t="inlineStr">
        <is>
          <t>718-2026:184451</t>
        </is>
      </c>
      <c r="E282" s="24" t="inlineStr">
        <is>
          <t>TENNIS</t>
        </is>
      </c>
      <c r="F282" s="24" t="inlineStr">
        <is>
          <t>Elsa Jacquemot</t>
        </is>
      </c>
      <c r="G282" s="24" t="inlineStr">
        <is>
          <t>Rebecca Sramkova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-203</v>
      </c>
      <c r="M282" s="27" t="n">
        <v>1.492611</v>
      </c>
      <c r="N282" s="28" t="n">
        <v>0.669967</v>
      </c>
      <c r="O282" s="28" t="n">
        <v>0.621605</v>
      </c>
      <c r="P282" s="28" t="n">
        <v>0.05</v>
      </c>
      <c r="Q282" s="28" t="n">
        <v>-0.048362</v>
      </c>
      <c r="R282" s="26" t="n">
        <v>0</v>
      </c>
      <c r="S282" s="29" t="n">
        <v>1.5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win</t>
        </is>
      </c>
      <c r="W282" s="26" t="n">
        <v>0</v>
      </c>
      <c r="X282" s="26" t="n">
        <v>1</v>
      </c>
      <c r="Y282" s="25" t="n"/>
      <c r="Z282" s="26" t="n">
        <v>-203</v>
      </c>
      <c r="AA282" s="28" t="n">
        <v>0.67</v>
      </c>
      <c r="AB282" s="28" t="n">
        <v>3.3e-05</v>
      </c>
      <c r="AC282" s="30" t="n">
        <v>0.7389</v>
      </c>
      <c r="AD282" s="24" t="inlineStr">
        <is>
          <t>2026-08-13T05:31:16.523731Z</t>
        </is>
      </c>
      <c r="AE282" s="31" t="inlineStr">
        <is>
          <t>Surface-blended Elo on Hard: Elsa Jacquemot p=0.378 vs Rebecca Sramkova. Executable ask 0.6700 (aec-wta-rebsra-elsjac-2026-08-11).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3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Elsa Jacquemot</t>
        </is>
      </c>
      <c r="AQ282" s="24" t="inlineStr">
        <is>
          <t>Elsa Jacquemot</t>
        </is>
      </c>
      <c r="AR282" s="24" t="inlineStr">
        <is>
          <t>Elsa Jacquemot</t>
        </is>
      </c>
      <c r="AS282" s="24" t="inlineStr">
        <is>
          <t>Rebecca Sramkova</t>
        </is>
      </c>
      <c r="AT282" s="24" t="inlineStr">
        <is>
          <t>Rebecca Sramkova</t>
        </is>
      </c>
      <c r="AU282" s="24" t="inlineStr">
        <is>
          <t>Rebecca Sramkova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3ab056fefe04713e3c294da76c8adb2866b0dc46556ed32322a0426dd344a0e4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3ab056fefe04713e3c294da76c8adb2866b0dc46556ed32322a0426dd344a0e4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3ab056fefe04713e3c294da76c8adb2866b0dc46556ed32322a0426dd344a0e4</t>
        </is>
      </c>
      <c r="BH282" s="24" t="inlineStr">
        <is>
          <t>2026-08-11T17:23:05.515151Z</t>
        </is>
      </c>
      <c r="BI282" s="24" t="inlineStr">
        <is>
          <t>["same_event","same_team_same_day","same_league_same_day"]</t>
        </is>
      </c>
      <c r="BJ282" s="25" t="n"/>
      <c r="BK282" s="26" t="n">
        <v>-203</v>
      </c>
      <c r="BL282" s="27" t="n">
        <v>1.492611</v>
      </c>
      <c r="BM282" s="28" t="n">
        <v>0.669967</v>
      </c>
      <c r="BN282" s="28" t="n"/>
      <c r="BO282" s="28" t="n"/>
      <c r="BP282" s="25" t="n"/>
      <c r="BQ282" s="27" t="n">
        <v>1.492611</v>
      </c>
      <c r="BR282" s="28" t="n">
        <v>0.67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0.669967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a44c70141d694f03</t>
        </is>
      </c>
      <c r="B283" s="24" t="inlineStr">
        <is>
          <t>2026-08-11T17:25:06.939802Z</t>
        </is>
      </c>
      <c r="C283" s="24" t="inlineStr">
        <is>
          <t>2026-08-11T19:00Z</t>
        </is>
      </c>
      <c r="D283" s="24" t="inlineStr">
        <is>
          <t>718-2026:184452</t>
        </is>
      </c>
      <c r="E283" s="24" t="inlineStr">
        <is>
          <t>TENNIS</t>
        </is>
      </c>
      <c r="F283" s="24" t="inlineStr">
        <is>
          <t>Akasha Urhobo</t>
        </is>
      </c>
      <c r="G283" s="24" t="inlineStr">
        <is>
          <t>Hanne Vandewinkel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-285</v>
      </c>
      <c r="M283" s="27" t="n">
        <v>1.350877</v>
      </c>
      <c r="N283" s="28" t="n">
        <v>0.74026</v>
      </c>
      <c r="O283" s="28" t="n">
        <v>0.658382</v>
      </c>
      <c r="P283" s="28" t="n">
        <v>0.05</v>
      </c>
      <c r="Q283" s="28" t="n">
        <v>-0.08187800000000001</v>
      </c>
      <c r="R283" s="26" t="n">
        <v>0</v>
      </c>
      <c r="S283" s="29" t="n">
        <v>1.75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-285</v>
      </c>
      <c r="AA283" s="28" t="n">
        <v>0.74</v>
      </c>
      <c r="AB283" s="28" t="n">
        <v>-0.00026</v>
      </c>
      <c r="AC283" s="30" t="n">
        <v>0.614</v>
      </c>
      <c r="AD283" s="24" t="inlineStr">
        <is>
          <t>2026-08-12T02:05:12.661657Z</t>
        </is>
      </c>
      <c r="AE283" s="31" t="inlineStr">
        <is>
          <t>Surface-blended Elo on Hard: Akasha Urhobo p=0.342 vs Hanne Vandewinkel. Executable ask 0.7400 (aec-wta-hanvan-akaurh-2026-08-11).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3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Akasha Urhobo</t>
        </is>
      </c>
      <c r="AQ283" s="24" t="inlineStr">
        <is>
          <t>Akasha Urhobo</t>
        </is>
      </c>
      <c r="AR283" s="24" t="inlineStr">
        <is>
          <t>Akasha Urhobo</t>
        </is>
      </c>
      <c r="AS283" s="24" t="inlineStr">
        <is>
          <t>Hanne Vandewinkel</t>
        </is>
      </c>
      <c r="AT283" s="24" t="inlineStr">
        <is>
          <t>Hanne Vandewinkel</t>
        </is>
      </c>
      <c r="AU283" s="24" t="inlineStr">
        <is>
          <t>Hanne Vandewinkel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3ab056fefe04713e3c294da76c8adb2866b0dc46556ed32322a0426dd344a0e4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3ab056fefe04713e3c294da76c8adb2866b0dc46556ed32322a0426dd344a0e4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3ab056fefe04713e3c294da76c8adb2866b0dc46556ed32322a0426dd344a0e4</t>
        </is>
      </c>
      <c r="BH283" s="24" t="inlineStr">
        <is>
          <t>2026-08-11T17:23:04.689168Z</t>
        </is>
      </c>
      <c r="BI283" s="24" t="inlineStr">
        <is>
          <t>["same_event","same_team_same_day","same_league_same_day"]</t>
        </is>
      </c>
      <c r="BJ283" s="25" t="n"/>
      <c r="BK283" s="26" t="n">
        <v>-285</v>
      </c>
      <c r="BL283" s="27" t="n">
        <v>1.350877</v>
      </c>
      <c r="BM283" s="28" t="n">
        <v>0.74026</v>
      </c>
      <c r="BN283" s="28" t="n"/>
      <c r="BO283" s="28" t="n"/>
      <c r="BP283" s="25" t="n"/>
      <c r="BQ283" s="27" t="n">
        <v>1.350877</v>
      </c>
      <c r="BR283" s="28" t="n">
        <v>0.74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0.74026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682ce71d8b98418d</t>
        </is>
      </c>
      <c r="B284" s="24" t="inlineStr">
        <is>
          <t>2026-08-11T17:25:06.939802Z</t>
        </is>
      </c>
      <c r="C284" s="24" t="inlineStr">
        <is>
          <t>2026-08-11T17:30Z</t>
        </is>
      </c>
      <c r="D284" s="24" t="inlineStr">
        <is>
          <t>718-2026:184411</t>
        </is>
      </c>
      <c r="E284" s="24" t="inlineStr">
        <is>
          <t>TENNIS</t>
        </is>
      </c>
      <c r="F284" s="24" t="inlineStr">
        <is>
          <t>Trevor Svajda</t>
        </is>
      </c>
      <c r="G284" s="24" t="inlineStr">
        <is>
          <t>Giovanni Mpetshi Perricard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-163</v>
      </c>
      <c r="M284" s="27" t="n">
        <v>1.613497</v>
      </c>
      <c r="N284" s="28" t="n">
        <v>0.619772</v>
      </c>
      <c r="O284" s="28" t="n">
        <v>0.576476</v>
      </c>
      <c r="P284" s="28" t="n">
        <v>0.05</v>
      </c>
      <c r="Q284" s="28" t="n">
        <v>-0.043296</v>
      </c>
      <c r="R284" s="26" t="n">
        <v>0</v>
      </c>
      <c r="S284" s="29" t="n">
        <v>1.25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1</v>
      </c>
      <c r="X284" s="26" t="n">
        <v>0</v>
      </c>
      <c r="Y284" s="25" t="n"/>
      <c r="Z284" s="26" t="n">
        <v>-163</v>
      </c>
      <c r="AA284" s="28" t="n">
        <v>0.62</v>
      </c>
      <c r="AB284" s="28" t="n">
        <v>0.000228</v>
      </c>
      <c r="AC284" s="30" t="n">
        <v>-1.25</v>
      </c>
      <c r="AD284" s="24" t="inlineStr">
        <is>
          <t>2026-08-11T19:53:36.852539Z</t>
        </is>
      </c>
      <c r="AE284" s="31" t="inlineStr">
        <is>
          <t>Surface-blended Elo on Hard: Trevor Svajda p=0.424 vs Giovanni Mpetshi Perricard. Executable ask 0.6200 (aec-atp-gioper-tresva-2026-08-11).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3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Trevor Svajda</t>
        </is>
      </c>
      <c r="AQ284" s="24" t="inlineStr">
        <is>
          <t>Trevor Svajda</t>
        </is>
      </c>
      <c r="AR284" s="24" t="inlineStr">
        <is>
          <t>Trevor Svajda</t>
        </is>
      </c>
      <c r="AS284" s="24" t="inlineStr">
        <is>
          <t>Giovanni Mpetshi Perricard</t>
        </is>
      </c>
      <c r="AT284" s="24" t="inlineStr">
        <is>
          <t>Giovanni Mpetshi Perricard</t>
        </is>
      </c>
      <c r="AU284" s="24" t="inlineStr">
        <is>
          <t>Giovanni Mpetshi Perricard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3ab056fefe04713e3c294da76c8adb2866b0dc46556ed32322a0426dd344a0e4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3ab056fefe04713e3c294da76c8adb2866b0dc46556ed32322a0426dd344a0e4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3ab056fefe04713e3c294da76c8adb2866b0dc46556ed32322a0426dd344a0e4</t>
        </is>
      </c>
      <c r="BH284" s="24" t="inlineStr">
        <is>
          <t>2026-08-11T17:23:14.885567Z</t>
        </is>
      </c>
      <c r="BI284" s="24" t="inlineStr">
        <is>
          <t>["same_event","same_team_same_day","same_league_same_day"]</t>
        </is>
      </c>
      <c r="BJ284" s="25" t="n"/>
      <c r="BK284" s="26" t="n">
        <v>-163</v>
      </c>
      <c r="BL284" s="27" t="n">
        <v>1.613497</v>
      </c>
      <c r="BM284" s="28" t="n">
        <v>0.619772</v>
      </c>
      <c r="BN284" s="28" t="n"/>
      <c r="BO284" s="28" t="n"/>
      <c r="BP284" s="25" t="n"/>
      <c r="BQ284" s="27" t="n">
        <v>1.613497</v>
      </c>
      <c r="BR284" s="28" t="n">
        <v>0.62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0.619772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01f345e4847f4672</t>
        </is>
      </c>
      <c r="B285" s="24" t="inlineStr">
        <is>
          <t>2026-08-11T17:25:06.939802Z</t>
        </is>
      </c>
      <c r="C285" s="24" t="inlineStr">
        <is>
          <t>2026-08-11T17:30Z</t>
        </is>
      </c>
      <c r="D285" s="24" t="inlineStr">
        <is>
          <t>718-2026:184417</t>
        </is>
      </c>
      <c r="E285" s="24" t="inlineStr">
        <is>
          <t>TENNIS</t>
        </is>
      </c>
      <c r="F285" s="24" t="inlineStr">
        <is>
          <t>Benjamin Bonzi</t>
        </is>
      </c>
      <c r="G285" s="24" t="inlineStr">
        <is>
          <t>Dusan Lajovic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0.6915249999999999</v>
      </c>
      <c r="P285" s="28" t="n">
        <v>0.05</v>
      </c>
      <c r="Q285" s="28" t="n">
        <v>0.031661</v>
      </c>
      <c r="R285" s="26" t="n">
        <v>36</v>
      </c>
      <c r="S285" s="29" t="n">
        <v>2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-2</v>
      </c>
      <c r="AD285" s="24" t="inlineStr">
        <is>
          <t>2026-08-12T02:05:14.223667Z</t>
        </is>
      </c>
      <c r="AE285" s="31" t="inlineStr">
        <is>
          <t>Surface-blended Elo on Hard: Benjamin Bonzi p=0.692 vs Dusan Lajovic. Executable ask 0.6600 (aec-atp-duslaj-benbon-2026-08-11).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3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Benjamin Bonzi</t>
        </is>
      </c>
      <c r="AQ285" s="24" t="inlineStr">
        <is>
          <t>Benjamin Bonzi</t>
        </is>
      </c>
      <c r="AR285" s="24" t="inlineStr">
        <is>
          <t>Benjamin Bonzi</t>
        </is>
      </c>
      <c r="AS285" s="24" t="inlineStr">
        <is>
          <t>Dusan Lajovic</t>
        </is>
      </c>
      <c r="AT285" s="24" t="inlineStr">
        <is>
          <t>Dusan Lajovic</t>
        </is>
      </c>
      <c r="AU285" s="24" t="inlineStr">
        <is>
          <t>Dusan Lajovic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3ab056fefe04713e3c294da76c8adb2866b0dc46556ed32322a0426dd344a0e4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3ab056fefe04713e3c294da76c8adb2866b0dc46556ed32322a0426dd344a0e4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3ab056fefe04713e3c294da76c8adb2866b0dc46556ed32322a0426dd344a0e4</t>
        </is>
      </c>
      <c r="BH285" s="24" t="inlineStr">
        <is>
          <t>2026-08-11T17:23:16.726783Z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0.659864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134a35ddce064acf</t>
        </is>
      </c>
      <c r="B286" s="24" t="inlineStr">
        <is>
          <t>2026-08-11T17:25:06.939802Z</t>
        </is>
      </c>
      <c r="C286" s="24" t="inlineStr">
        <is>
          <t>2026-08-11T17:30Z</t>
        </is>
      </c>
      <c r="D286" s="24" t="inlineStr">
        <is>
          <t>718-2026:184418</t>
        </is>
      </c>
      <c r="E286" s="24" t="inlineStr">
        <is>
          <t>TENNIS</t>
        </is>
      </c>
      <c r="F286" s="24" t="inlineStr">
        <is>
          <t>Gustavo Heide</t>
        </is>
      </c>
      <c r="G286" s="24" t="inlineStr">
        <is>
          <t>Luca Van Assche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-317</v>
      </c>
      <c r="M286" s="27" t="n">
        <v>1.315457</v>
      </c>
      <c r="N286" s="28" t="n">
        <v>0.760192</v>
      </c>
      <c r="O286" s="28" t="n">
        <v>0.620788</v>
      </c>
      <c r="P286" s="28" t="n">
        <v>0.05</v>
      </c>
      <c r="Q286" s="28" t="n">
        <v>-0.139404</v>
      </c>
      <c r="R286" s="26" t="n">
        <v>0</v>
      </c>
      <c r="S286" s="29" t="n">
        <v>1.5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-317</v>
      </c>
      <c r="AA286" s="28" t="n">
        <v>0.76</v>
      </c>
      <c r="AB286" s="28" t="n">
        <v>-0.000192</v>
      </c>
      <c r="AC286" s="30" t="n">
        <v>0.4732</v>
      </c>
      <c r="AD286" s="24" t="inlineStr">
        <is>
          <t>2026-08-11T22:59:44.816178Z</t>
        </is>
      </c>
      <c r="AE286" s="31" t="inlineStr">
        <is>
          <t>Surface-blended Elo on Hard: Gustavo Heide p=0.379 vs Luca Van Assche. Executable ask 0.7600 (aec-atp-lucass-gushei-2026-08-11).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3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PAPER_CALL_LOW_EDGE</t>
        </is>
      </c>
      <c r="AP286" s="24" t="inlineStr">
        <is>
          <t>Gustavo Heide</t>
        </is>
      </c>
      <c r="AQ286" s="24" t="inlineStr">
        <is>
          <t>Gustavo Heide</t>
        </is>
      </c>
      <c r="AR286" s="24" t="inlineStr">
        <is>
          <t>Gustavo Heide</t>
        </is>
      </c>
      <c r="AS286" s="24" t="inlineStr">
        <is>
          <t>Luca Van Assche</t>
        </is>
      </c>
      <c r="AT286" s="24" t="inlineStr">
        <is>
          <t>Luca Van Assche</t>
        </is>
      </c>
      <c r="AU286" s="24" t="inlineStr">
        <is>
          <t>Luca Van Assche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3ab056fefe04713e3c294da76c8adb2866b0dc46556ed32322a0426dd344a0e4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3ab056fefe04713e3c294da76c8adb2866b0dc46556ed32322a0426dd344a0e4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3ab056fefe04713e3c294da76c8adb2866b0dc46556ed32322a0426dd344a0e4</t>
        </is>
      </c>
      <c r="BH286" s="24" t="inlineStr">
        <is>
          <t>2026-08-11T17:23:15.749749Z</t>
        </is>
      </c>
      <c r="BI286" s="24" t="inlineStr">
        <is>
          <t>["same_event","same_team_same_day","same_league_same_day"]</t>
        </is>
      </c>
      <c r="BJ286" s="25" t="n"/>
      <c r="BK286" s="26" t="n">
        <v>-317</v>
      </c>
      <c r="BL286" s="27" t="n">
        <v>1.315457</v>
      </c>
      <c r="BM286" s="28" t="n">
        <v>0.760192</v>
      </c>
      <c r="BN286" s="28" t="n"/>
      <c r="BO286" s="28" t="n"/>
      <c r="BP286" s="25" t="n"/>
      <c r="BQ286" s="27" t="n">
        <v>1.315457</v>
      </c>
      <c r="BR286" s="28" t="n">
        <v>0.76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0.760192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7aa529c49ca84d6e</t>
        </is>
      </c>
      <c r="B287" s="24" t="inlineStr">
        <is>
          <t>2026-08-11T17:25:06.939802Z</t>
        </is>
      </c>
      <c r="C287" s="24" t="inlineStr">
        <is>
          <t>2026-08-11T19:00Z</t>
        </is>
      </c>
      <c r="D287" s="24" t="inlineStr">
        <is>
          <t>718-2026:184410</t>
        </is>
      </c>
      <c r="E287" s="24" t="inlineStr">
        <is>
          <t>TENNIS</t>
        </is>
      </c>
      <c r="F287" s="24" t="inlineStr">
        <is>
          <t>Wu Yibing</t>
        </is>
      </c>
      <c r="G287" s="24" t="inlineStr">
        <is>
          <t>Mackenzie McDonald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-194</v>
      </c>
      <c r="M287" s="27" t="n">
        <v>1.515464</v>
      </c>
      <c r="N287" s="28" t="n">
        <v>0.659864</v>
      </c>
      <c r="O287" s="28" t="n">
        <v>0.605863</v>
      </c>
      <c r="P287" s="28" t="n">
        <v>0.05</v>
      </c>
      <c r="Q287" s="28" t="n">
        <v>-0.054001</v>
      </c>
      <c r="R287" s="26" t="n">
        <v>0</v>
      </c>
      <c r="S287" s="29" t="n">
        <v>1.25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/>
      <c r="AA287" s="28" t="n"/>
      <c r="AB287" s="28" t="n"/>
      <c r="AC287" s="30" t="n">
        <v>0.6443</v>
      </c>
      <c r="AD287" s="24" t="inlineStr">
        <is>
          <t>2026-08-12T02:05:15.789623Z</t>
        </is>
      </c>
      <c r="AE287" s="31" t="inlineStr">
        <is>
          <t>Surface-blended Elo on Hard: Wu Yibing p=0.606 vs Mackenzie McDonald. Executable ask 0.6600 (aec-atp-macmcd-yibwu-2026-08-11).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3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Wu Yibing</t>
        </is>
      </c>
      <c r="AQ287" s="24" t="inlineStr">
        <is>
          <t>Wu Yibing</t>
        </is>
      </c>
      <c r="AR287" s="24" t="inlineStr">
        <is>
          <t>Wu Yibing</t>
        </is>
      </c>
      <c r="AS287" s="24" t="inlineStr">
        <is>
          <t>Mackenzie McDonald</t>
        </is>
      </c>
      <c r="AT287" s="24" t="inlineStr">
        <is>
          <t>Mackenzie McDonald</t>
        </is>
      </c>
      <c r="AU287" s="24" t="inlineStr">
        <is>
          <t>Mackenzie McDonald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3ab056fefe04713e3c294da76c8adb2866b0dc46556ed32322a0426dd344a0e4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3ab056fefe04713e3c294da76c8adb2866b0dc46556ed32322a0426dd344a0e4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3ab056fefe04713e3c294da76c8adb2866b0dc46556ed32322a0426dd344a0e4</t>
        </is>
      </c>
      <c r="BH287" s="24" t="inlineStr">
        <is>
          <t>2026-08-11T17:23:21.686241Z</t>
        </is>
      </c>
      <c r="BI287" s="24" t="inlineStr">
        <is>
          <t>["same_event","same_team_same_day","same_league_same_day"]</t>
        </is>
      </c>
      <c r="BJ287" s="25" t="n"/>
      <c r="BK287" s="26" t="n">
        <v>-194</v>
      </c>
      <c r="BL287" s="27" t="n">
        <v>1.515464</v>
      </c>
      <c r="BM287" s="28" t="n">
        <v>0.659864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0.659864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2fc9b6a9cf7e4502</t>
        </is>
      </c>
      <c r="B288" s="24" t="inlineStr">
        <is>
          <t>2026-08-11T17:25:06.939802Z</t>
        </is>
      </c>
      <c r="C288" s="24" t="inlineStr">
        <is>
          <t>2026-08-11T19:00Z</t>
        </is>
      </c>
      <c r="D288" s="24" t="inlineStr">
        <is>
          <t>718-2026:184412</t>
        </is>
      </c>
      <c r="E288" s="24" t="inlineStr">
        <is>
          <t>TENNIS</t>
        </is>
      </c>
      <c r="F288" s="24" t="inlineStr">
        <is>
          <t>Francisco Comesana</t>
        </is>
      </c>
      <c r="G288" s="24" t="inlineStr">
        <is>
          <t>Kei Nishikori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104</v>
      </c>
      <c r="M288" s="27" t="n">
        <v>2.04</v>
      </c>
      <c r="N288" s="28" t="n">
        <v>0.490196</v>
      </c>
      <c r="O288" s="28" t="n">
        <v>0.532307</v>
      </c>
      <c r="P288" s="28" t="n">
        <v>0.05</v>
      </c>
      <c r="Q288" s="28" t="n">
        <v>0.042111</v>
      </c>
      <c r="R288" s="26" t="n">
        <v>41</v>
      </c>
      <c r="S288" s="29" t="n">
        <v>1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>
        <v>104</v>
      </c>
      <c r="AA288" s="28" t="n">
        <v>0.49</v>
      </c>
      <c r="AB288" s="28" t="n">
        <v>-0.000196</v>
      </c>
      <c r="AC288" s="30" t="n">
        <v>1.04</v>
      </c>
      <c r="AD288" s="24" t="inlineStr">
        <is>
          <t>2026-08-12T02:05:17.314271Z</t>
        </is>
      </c>
      <c r="AE288" s="31" t="inlineStr">
        <is>
          <t>Surface-blended Elo on Hard: Francisco Comesana p=0.468 vs Kei Nishikori. Executable ask 0.4900 (aec-atp-keinis-fracom-2026-08-11).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3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Francisco Comesana</t>
        </is>
      </c>
      <c r="AQ288" s="24" t="inlineStr">
        <is>
          <t>Francisco Comesana</t>
        </is>
      </c>
      <c r="AR288" s="24" t="inlineStr">
        <is>
          <t>Francisco Comesana</t>
        </is>
      </c>
      <c r="AS288" s="24" t="inlineStr">
        <is>
          <t>Kei Nishikori</t>
        </is>
      </c>
      <c r="AT288" s="24" t="inlineStr">
        <is>
          <t>Kei Nishikori</t>
        </is>
      </c>
      <c r="AU288" s="24" t="inlineStr">
        <is>
          <t>Kei Nishikori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3ab056fefe04713e3c294da76c8adb2866b0dc46556ed32322a0426dd344a0e4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3ab056fefe04713e3c294da76c8adb2866b0dc46556ed32322a0426dd344a0e4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3ab056fefe04713e3c294da76c8adb2866b0dc46556ed32322a0426dd344a0e4</t>
        </is>
      </c>
      <c r="BH288" s="24" t="inlineStr">
        <is>
          <t>2026-08-11T17:23:23.141555Z</t>
        </is>
      </c>
      <c r="BI288" s="24" t="inlineStr">
        <is>
          <t>["same_event","same_team_same_day","same_league_same_day"]</t>
        </is>
      </c>
      <c r="BJ288" s="25" t="n"/>
      <c r="BK288" s="26" t="n">
        <v>104</v>
      </c>
      <c r="BL288" s="27" t="n">
        <v>2.04</v>
      </c>
      <c r="BM288" s="28" t="n">
        <v>0.490196</v>
      </c>
      <c r="BN288" s="28" t="n"/>
      <c r="BO288" s="28" t="n"/>
      <c r="BP288" s="25" t="n"/>
      <c r="BQ288" s="27" t="n">
        <v>2.04</v>
      </c>
      <c r="BR288" s="28" t="n">
        <v>0.49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0.490196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29c28ce667584121</t>
        </is>
      </c>
      <c r="B289" s="24" t="inlineStr">
        <is>
          <t>2026-08-11T17:25:06.939802Z</t>
        </is>
      </c>
      <c r="C289" s="24" t="inlineStr">
        <is>
          <t>2026-08-11T19:00Z</t>
        </is>
      </c>
      <c r="D289" s="24" t="inlineStr">
        <is>
          <t>718-2026:184413</t>
        </is>
      </c>
      <c r="E289" s="24" t="inlineStr">
        <is>
          <t>TENNIS</t>
        </is>
      </c>
      <c r="F289" s="24" t="inlineStr">
        <is>
          <t>Sebastian Ofner</t>
        </is>
      </c>
      <c r="G289" s="24" t="inlineStr">
        <is>
          <t>Marco Trungelliti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138</v>
      </c>
      <c r="M289" s="27" t="n">
        <v>2.38</v>
      </c>
      <c r="N289" s="28" t="n">
        <v>0.420168</v>
      </c>
      <c r="O289" s="28" t="n">
        <v>0.6634910000000001</v>
      </c>
      <c r="P289" s="28" t="n">
        <v>0.05</v>
      </c>
      <c r="Q289" s="28" t="n">
        <v>0.243323</v>
      </c>
      <c r="R289" s="26" t="n">
        <v>100</v>
      </c>
      <c r="S289" s="29" t="n">
        <v>1.75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138</v>
      </c>
      <c r="AA289" s="28" t="n">
        <v>0.42</v>
      </c>
      <c r="AB289" s="28" t="n">
        <v>-0.000168</v>
      </c>
      <c r="AC289" s="30" t="n">
        <v>2.415</v>
      </c>
      <c r="AD289" s="24" t="inlineStr">
        <is>
          <t>2026-08-12T05:11:09.061060Z</t>
        </is>
      </c>
      <c r="AE289" s="31" t="inlineStr">
        <is>
          <t>Surface-blended Elo on Hard: Sebastian Ofner p=0.337 vs Marco Trungelliti. Executable ask 0.4200 (aec-atp-martru-sebofn-2026-08-11).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3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Sebastian Ofner</t>
        </is>
      </c>
      <c r="AQ289" s="24" t="inlineStr">
        <is>
          <t>Sebastian Ofner</t>
        </is>
      </c>
      <c r="AR289" s="24" t="inlineStr">
        <is>
          <t>Sebastian Ofner</t>
        </is>
      </c>
      <c r="AS289" s="24" t="inlineStr">
        <is>
          <t>Marco Trungelliti</t>
        </is>
      </c>
      <c r="AT289" s="24" t="inlineStr">
        <is>
          <t>Marco Trungelliti</t>
        </is>
      </c>
      <c r="AU289" s="24" t="inlineStr">
        <is>
          <t>Marco Trungelliti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3ab056fefe04713e3c294da76c8adb2866b0dc46556ed32322a0426dd344a0e4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3ab056fefe04713e3c294da76c8adb2866b0dc46556ed32322a0426dd344a0e4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3ab056fefe04713e3c294da76c8adb2866b0dc46556ed32322a0426dd344a0e4</t>
        </is>
      </c>
      <c r="BH289" s="24" t="inlineStr">
        <is>
          <t>2026-08-11T17:23:19.102420Z</t>
        </is>
      </c>
      <c r="BI289" s="24" t="inlineStr">
        <is>
          <t>["same_event","same_team_same_day","same_league_same_day"]</t>
        </is>
      </c>
      <c r="BJ289" s="25" t="n"/>
      <c r="BK289" s="26" t="n">
        <v>138</v>
      </c>
      <c r="BL289" s="27" t="n">
        <v>2.38</v>
      </c>
      <c r="BM289" s="28" t="n">
        <v>0.420168</v>
      </c>
      <c r="BN289" s="28" t="n"/>
      <c r="BO289" s="28" t="n"/>
      <c r="BP289" s="25" t="n"/>
      <c r="BQ289" s="27" t="n">
        <v>2.38</v>
      </c>
      <c r="BR289" s="28" t="n">
        <v>0.42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0.420168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ebe4ce3d319b4b44</t>
        </is>
      </c>
      <c r="B290" s="24" t="inlineStr">
        <is>
          <t>2026-08-11T17:25:06.939802Z</t>
        </is>
      </c>
      <c r="C290" s="24" t="inlineStr">
        <is>
          <t>2026-08-11T19:00Z</t>
        </is>
      </c>
      <c r="D290" s="24" t="inlineStr">
        <is>
          <t>718-2026:184416</t>
        </is>
      </c>
      <c r="E290" s="24" t="inlineStr">
        <is>
          <t>TENNIS</t>
        </is>
      </c>
      <c r="F290" s="24" t="inlineStr">
        <is>
          <t>Michael Zheng</t>
        </is>
      </c>
      <c r="G290" s="24" t="inlineStr">
        <is>
          <t>Moez Echargui</t>
        </is>
      </c>
      <c r="H290" s="24" t="inlineStr">
        <is>
          <t>moneyline</t>
        </is>
      </c>
      <c r="I290" s="24" t="inlineStr">
        <is>
          <t>away</t>
        </is>
      </c>
      <c r="J290" s="25" t="n"/>
      <c r="K290" s="24" t="inlineStr">
        <is>
          <t>polymarket_us</t>
        </is>
      </c>
      <c r="L290" s="26" t="n">
        <v>-733</v>
      </c>
      <c r="M290" s="27" t="n">
        <v>1.136426</v>
      </c>
      <c r="N290" s="28" t="n">
        <v>0.879952</v>
      </c>
      <c r="O290" s="28" t="n">
        <v>0.674526</v>
      </c>
      <c r="P290" s="28" t="n">
        <v>0.05</v>
      </c>
      <c r="Q290" s="28" t="n">
        <v>-0.205426</v>
      </c>
      <c r="R290" s="26" t="n">
        <v>0</v>
      </c>
      <c r="S290" s="29" t="n">
        <v>1.75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0</v>
      </c>
      <c r="Y290" s="25" t="n"/>
      <c r="Z290" s="26" t="n">
        <v>-733</v>
      </c>
      <c r="AA290" s="28" t="n">
        <v>0.88</v>
      </c>
      <c r="AB290" s="28" t="n">
        <v>4.8e-05</v>
      </c>
      <c r="AC290" s="30" t="n">
        <v>0.2387</v>
      </c>
      <c r="AD290" s="24" t="inlineStr">
        <is>
          <t>2026-08-12T05:11:10.655283Z</t>
        </is>
      </c>
      <c r="AE290" s="31" t="inlineStr">
        <is>
          <t>Surface-blended Elo on Hard: Michael Zheng p=0.675 vs Moez Echargui. Executable ask 0.8800 (aec-atp-moeech-miczhe-2026-08-11).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3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Michael Zheng</t>
        </is>
      </c>
      <c r="AQ290" s="24" t="inlineStr">
        <is>
          <t>Michael Zheng</t>
        </is>
      </c>
      <c r="AR290" s="24" t="inlineStr">
        <is>
          <t>Michael Zheng</t>
        </is>
      </c>
      <c r="AS290" s="24" t="inlineStr">
        <is>
          <t>Moez Echargui</t>
        </is>
      </c>
      <c r="AT290" s="24" t="inlineStr">
        <is>
          <t>Moez Echargui</t>
        </is>
      </c>
      <c r="AU290" s="24" t="inlineStr">
        <is>
          <t>Moez Echargui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3ab056fefe04713e3c294da76c8adb2866b0dc46556ed32322a0426dd344a0e4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3ab056fefe04713e3c294da76c8adb2866b0dc46556ed32322a0426dd344a0e4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3ab056fefe04713e3c294da76c8adb2866b0dc46556ed32322a0426dd344a0e4</t>
        </is>
      </c>
      <c r="BH290" s="24" t="inlineStr">
        <is>
          <t>2026-08-11T17:23:22.732956Z</t>
        </is>
      </c>
      <c r="BI290" s="24" t="inlineStr">
        <is>
          <t>["same_event","same_team_same_day","same_league_same_day"]</t>
        </is>
      </c>
      <c r="BJ290" s="25" t="n"/>
      <c r="BK290" s="26" t="n">
        <v>-733</v>
      </c>
      <c r="BL290" s="27" t="n">
        <v>1.136426</v>
      </c>
      <c r="BM290" s="28" t="n">
        <v>0.879952</v>
      </c>
      <c r="BN290" s="28" t="n"/>
      <c r="BO290" s="28" t="n"/>
      <c r="BP290" s="25" t="n"/>
      <c r="BQ290" s="27" t="n">
        <v>1.136426</v>
      </c>
      <c r="BR290" s="28" t="n">
        <v>0.88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0.879952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cb30ebe0dbf04287</t>
        </is>
      </c>
      <c r="B291" s="24" t="inlineStr">
        <is>
          <t>2026-08-11T17:25:06.939802Z</t>
        </is>
      </c>
      <c r="C291" s="24" t="inlineStr">
        <is>
          <t>2026-08-11T19:00Z</t>
        </is>
      </c>
      <c r="D291" s="24" t="inlineStr">
        <is>
          <t>718-2026:184419</t>
        </is>
      </c>
      <c r="E291" s="24" t="inlineStr">
        <is>
          <t>TENNIS</t>
        </is>
      </c>
      <c r="F291" s="24" t="inlineStr">
        <is>
          <t>Nikoloz Basilashvili</t>
        </is>
      </c>
      <c r="G291" s="24" t="inlineStr">
        <is>
          <t>Jaime Faria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-213</v>
      </c>
      <c r="M291" s="27" t="n">
        <v>1.469484</v>
      </c>
      <c r="N291" s="28" t="n">
        <v>0.680511</v>
      </c>
      <c r="O291" s="28" t="n">
        <v>0.608</v>
      </c>
      <c r="P291" s="28" t="n">
        <v>0.05</v>
      </c>
      <c r="Q291" s="28" t="n">
        <v>-0.07251100000000001</v>
      </c>
      <c r="R291" s="26" t="n">
        <v>0</v>
      </c>
      <c r="S291" s="29" t="n">
        <v>1.5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win</t>
        </is>
      </c>
      <c r="W291" s="26" t="n">
        <v>0</v>
      </c>
      <c r="X291" s="26" t="n">
        <v>1</v>
      </c>
      <c r="Y291" s="25" t="n"/>
      <c r="Z291" s="26" t="n">
        <v>-213</v>
      </c>
      <c r="AA291" s="28" t="n">
        <v>0.68</v>
      </c>
      <c r="AB291" s="28" t="n">
        <v>-0.000511</v>
      </c>
      <c r="AC291" s="30" t="n">
        <v>0.7042</v>
      </c>
      <c r="AD291" s="24" t="inlineStr">
        <is>
          <t>2026-08-12T02:05:18.878094Z</t>
        </is>
      </c>
      <c r="AE291" s="31" t="inlineStr">
        <is>
          <t>Surface-blended Elo on Hard: Nikoloz Basilashvili p=0.392 vs Jaime Faria. Executable ask 0.6800 (aec-atp-jaifar-nikbas-2026-08-11).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3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Nikoloz Basilashvili</t>
        </is>
      </c>
      <c r="AQ291" s="24" t="inlineStr">
        <is>
          <t>Nikoloz Basilashvili</t>
        </is>
      </c>
      <c r="AR291" s="24" t="inlineStr">
        <is>
          <t>Nikoloz Basilashvili</t>
        </is>
      </c>
      <c r="AS291" s="24" t="inlineStr">
        <is>
          <t>Jaime Faria</t>
        </is>
      </c>
      <c r="AT291" s="24" t="inlineStr">
        <is>
          <t>Jaime Faria</t>
        </is>
      </c>
      <c r="AU291" s="24" t="inlineStr">
        <is>
          <t>Jaime Faria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3ab056fefe04713e3c294da76c8adb2866b0dc46556ed32322a0426dd344a0e4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3ab056fefe04713e3c294da76c8adb2866b0dc46556ed32322a0426dd344a0e4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3ab056fefe04713e3c294da76c8adb2866b0dc46556ed32322a0426dd344a0e4</t>
        </is>
      </c>
      <c r="BH291" s="24" t="inlineStr">
        <is>
          <t>2026-08-11T17:23:20.643142Z</t>
        </is>
      </c>
      <c r="BI291" s="24" t="inlineStr">
        <is>
          <t>["same_event","same_team_same_day","same_league_same_day"]</t>
        </is>
      </c>
      <c r="BJ291" s="25" t="n"/>
      <c r="BK291" s="26" t="n">
        <v>-213</v>
      </c>
      <c r="BL291" s="27" t="n">
        <v>1.469484</v>
      </c>
      <c r="BM291" s="28" t="n">
        <v>0.680511</v>
      </c>
      <c r="BN291" s="28" t="n"/>
      <c r="BO291" s="28" t="n"/>
      <c r="BP291" s="25" t="n"/>
      <c r="BQ291" s="27" t="n">
        <v>1.469484</v>
      </c>
      <c r="BR291" s="28" t="n">
        <v>0.68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0.680511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a0ac0e684e0e42e4</t>
        </is>
      </c>
      <c r="B292" s="24" t="inlineStr">
        <is>
          <t>2026-08-11T17:25:06.939802Z</t>
        </is>
      </c>
      <c r="C292" s="24" t="inlineStr">
        <is>
          <t>2026-08-11T19:00Z</t>
        </is>
      </c>
      <c r="D292" s="24" t="inlineStr">
        <is>
          <t>718-2026:184420</t>
        </is>
      </c>
      <c r="E292" s="24" t="inlineStr">
        <is>
          <t>TENNIS</t>
        </is>
      </c>
      <c r="F292" s="24" t="inlineStr">
        <is>
          <t>Bu Yunchaokete</t>
        </is>
      </c>
      <c r="G292" s="24" t="inlineStr">
        <is>
          <t>Francesco Maestrelli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-317</v>
      </c>
      <c r="M292" s="27" t="n">
        <v>1.315457</v>
      </c>
      <c r="N292" s="28" t="n">
        <v>0.760192</v>
      </c>
      <c r="O292" s="28" t="n">
        <v>0.507521</v>
      </c>
      <c r="P292" s="28" t="n">
        <v>0.05</v>
      </c>
      <c r="Q292" s="28" t="n">
        <v>-0.252671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1</v>
      </c>
      <c r="X292" s="26" t="n">
        <v>0</v>
      </c>
      <c r="Y292" s="25" t="n"/>
      <c r="Z292" s="26" t="n"/>
      <c r="AA292" s="28" t="n"/>
      <c r="AB292" s="28" t="n"/>
      <c r="AC292" s="30" t="n">
        <v>0.3155</v>
      </c>
      <c r="AD292" s="24" t="inlineStr">
        <is>
          <t>2026-08-12T02:05:20.459495Z</t>
        </is>
      </c>
      <c r="AE292" s="31" t="inlineStr">
        <is>
          <t>Surface-blended Elo on Hard: Bu Yunchaokete p=0.508 vs Francesco Maestrelli. Executable ask 0.7600 (aec-atp-framae-yunbu-2026-08-11).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3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Bu Yunchaokete</t>
        </is>
      </c>
      <c r="AQ292" s="24" t="inlineStr">
        <is>
          <t>Bu Yunchaokete</t>
        </is>
      </c>
      <c r="AR292" s="24" t="inlineStr">
        <is>
          <t>Bu Yunchaokete</t>
        </is>
      </c>
      <c r="AS292" s="24" t="inlineStr">
        <is>
          <t>Francesco Maestrelli</t>
        </is>
      </c>
      <c r="AT292" s="24" t="inlineStr">
        <is>
          <t>Francesco Maestrelli</t>
        </is>
      </c>
      <c r="AU292" s="24" t="inlineStr">
        <is>
          <t>Francesco Maestrelli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3ab056fefe04713e3c294da76c8adb2866b0dc46556ed32322a0426dd344a0e4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3ab056fefe04713e3c294da76c8adb2866b0dc46556ed32322a0426dd344a0e4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3ab056fefe04713e3c294da76c8adb2866b0dc46556ed32322a0426dd344a0e4</t>
        </is>
      </c>
      <c r="BH292" s="24" t="inlineStr">
        <is>
          <t>2026-08-11T17:23:20.095367Z</t>
        </is>
      </c>
      <c r="BI292" s="24" t="inlineStr">
        <is>
          <t>["same_event","same_team_same_day","same_league_same_day"]</t>
        </is>
      </c>
      <c r="BJ292" s="25" t="n"/>
      <c r="BK292" s="26" t="n">
        <v>-317</v>
      </c>
      <c r="BL292" s="27" t="n">
        <v>1.315457</v>
      </c>
      <c r="BM292" s="28" t="n">
        <v>0.760192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0.760192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3d16b1b7d19a4cf1</t>
        </is>
      </c>
      <c r="B293" s="24" t="inlineStr">
        <is>
          <t>2026-08-11T19:57:08.156846Z</t>
        </is>
      </c>
      <c r="C293" s="24" t="inlineStr">
        <is>
          <t>2026-08-11T23:00Z</t>
        </is>
      </c>
      <c r="D293" s="24" t="inlineStr">
        <is>
          <t>421-2026:182226</t>
        </is>
      </c>
      <c r="E293" s="24" t="inlineStr">
        <is>
          <t>TENNIS</t>
        </is>
      </c>
      <c r="F293" s="24" t="inlineStr">
        <is>
          <t>Coco Gauff</t>
        </is>
      </c>
      <c r="G293" s="24" t="inlineStr">
        <is>
          <t>Belinda Bencic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-156</v>
      </c>
      <c r="M293" s="27" t="n">
        <v>1.641026</v>
      </c>
      <c r="N293" s="28" t="n">
        <v>0.609375</v>
      </c>
      <c r="O293" s="28" t="n">
        <v>0.620196</v>
      </c>
      <c r="P293" s="28" t="n">
        <v>0.05</v>
      </c>
      <c r="Q293" s="28" t="n">
        <v>0.010821</v>
      </c>
      <c r="R293" s="26" t="n">
        <v>25</v>
      </c>
      <c r="S293" s="29" t="n">
        <v>1.5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-156</v>
      </c>
      <c r="AA293" s="28" t="n">
        <v>0.61</v>
      </c>
      <c r="AB293" s="28" t="n">
        <v>0.000625</v>
      </c>
      <c r="AC293" s="30" t="n">
        <v>0.9615</v>
      </c>
      <c r="AD293" s="24" t="inlineStr">
        <is>
          <t>2026-08-12T02:05:28.182007Z</t>
        </is>
      </c>
      <c r="AE293" s="31" t="inlineStr">
        <is>
          <t>Surface-blended Elo on Hard: Coco Gauff p=0.620 vs Belinda Bencic. Executable ask 0.6100 (aec-wta-belben-cocgau-2026-08-11).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3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PAPER_CALL_LOW_EDGE</t>
        </is>
      </c>
      <c r="AP293" s="24" t="inlineStr">
        <is>
          <t>Coco Gauff</t>
        </is>
      </c>
      <c r="AQ293" s="24" t="inlineStr">
        <is>
          <t>Coco Gauff</t>
        </is>
      </c>
      <c r="AR293" s="24" t="inlineStr">
        <is>
          <t>Coco Gauff</t>
        </is>
      </c>
      <c r="AS293" s="24" t="inlineStr">
        <is>
          <t>Belinda Bencic</t>
        </is>
      </c>
      <c r="AT293" s="24" t="inlineStr">
        <is>
          <t>Belinda Bencic</t>
        </is>
      </c>
      <c r="AU293" s="24" t="inlineStr">
        <is>
          <t>Belinda Bencic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3ab056fefe04713e3c294da76c8adb2866b0dc46556ed32322a0426dd344a0e4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3ab056fefe04713e3c294da76c8adb2866b0dc46556ed32322a0426dd344a0e4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3ab056fefe04713e3c294da76c8adb2866b0dc46556ed32322a0426dd344a0e4</t>
        </is>
      </c>
      <c r="BH293" s="24" t="inlineStr">
        <is>
          <t>2026-08-11T19:55:54.766159Z</t>
        </is>
      </c>
      <c r="BI293" s="24" t="inlineStr">
        <is>
          <t>["same_event","same_team_same_day","same_league_same_day"]</t>
        </is>
      </c>
      <c r="BJ293" s="25" t="n"/>
      <c r="BK293" s="26" t="n">
        <v>-156</v>
      </c>
      <c r="BL293" s="27" t="n">
        <v>1.641026</v>
      </c>
      <c r="BM293" s="28" t="n">
        <v>0.609375</v>
      </c>
      <c r="BN293" s="28" t="n"/>
      <c r="BO293" s="28" t="n"/>
      <c r="BP293" s="25" t="n"/>
      <c r="BQ293" s="27" t="n">
        <v>1.641026</v>
      </c>
      <c r="BR293" s="28" t="n">
        <v>0.61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0.609375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080a3131be4b4288</t>
        </is>
      </c>
      <c r="B294" s="24" t="inlineStr">
        <is>
          <t>2026-08-11T19:57:08.156846Z</t>
        </is>
      </c>
      <c r="C294" s="24" t="inlineStr">
        <is>
          <t>2026-08-11T20:45Z</t>
        </is>
      </c>
      <c r="D294" s="24" t="inlineStr">
        <is>
          <t>718-2026:184464</t>
        </is>
      </c>
      <c r="E294" s="24" t="inlineStr">
        <is>
          <t>TENNIS</t>
        </is>
      </c>
      <c r="F294" s="24" t="inlineStr">
        <is>
          <t>Katarzyna Kawa</t>
        </is>
      </c>
      <c r="G294" s="24" t="inlineStr">
        <is>
          <t>Eva Lys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223</v>
      </c>
      <c r="M294" s="27" t="n">
        <v>3.23</v>
      </c>
      <c r="N294" s="28" t="n">
        <v>0.309598</v>
      </c>
      <c r="O294" s="28" t="n">
        <v>0.508032</v>
      </c>
      <c r="P294" s="28" t="n">
        <v>0.05</v>
      </c>
      <c r="Q294" s="28" t="n">
        <v>0.198434</v>
      </c>
      <c r="R294" s="26" t="n">
        <v>100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loss</t>
        </is>
      </c>
      <c r="W294" s="26" t="n">
        <v>0</v>
      </c>
      <c r="X294" s="26" t="n">
        <v>1</v>
      </c>
      <c r="Y294" s="25" t="n"/>
      <c r="Z294" s="26" t="n">
        <v>223</v>
      </c>
      <c r="AA294" s="28" t="n">
        <v>0.31</v>
      </c>
      <c r="AB294" s="28" t="n">
        <v>0.000402</v>
      </c>
      <c r="AC294" s="30" t="n">
        <v>-1</v>
      </c>
      <c r="AD294" s="24" t="inlineStr">
        <is>
          <t>2026-08-12T05:11:12.294594Z</t>
        </is>
      </c>
      <c r="AE294" s="31" t="inlineStr">
        <is>
          <t>Surface-blended Elo on Hard: Katarzyna Kawa p=0.508 vs Eva Lys. Executable ask 0.3100 (aec-wta-evalys-katkaw-2026-08-11).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3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PAPER_CALL_LOW_EDGE</t>
        </is>
      </c>
      <c r="AP294" s="24" t="inlineStr">
        <is>
          <t>Katarzyna Kawa</t>
        </is>
      </c>
      <c r="AQ294" s="24" t="inlineStr">
        <is>
          <t>Katarzyna Kawa</t>
        </is>
      </c>
      <c r="AR294" s="24" t="inlineStr">
        <is>
          <t>Katarzyna Kawa</t>
        </is>
      </c>
      <c r="AS294" s="24" t="inlineStr">
        <is>
          <t>Eva Lys</t>
        </is>
      </c>
      <c r="AT294" s="24" t="inlineStr">
        <is>
          <t>Eva Lys</t>
        </is>
      </c>
      <c r="AU294" s="24" t="inlineStr">
        <is>
          <t>Eva Lys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3ab056fefe04713e3c294da76c8adb2866b0dc46556ed32322a0426dd344a0e4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3ab056fefe04713e3c294da76c8adb2866b0dc46556ed32322a0426dd344a0e4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3ab056fefe04713e3c294da76c8adb2866b0dc46556ed32322a0426dd344a0e4</t>
        </is>
      </c>
      <c r="BH294" s="24" t="inlineStr">
        <is>
          <t>2026-08-11T19:55:49.374331Z</t>
        </is>
      </c>
      <c r="BI294" s="24" t="inlineStr">
        <is>
          <t>["same_event","same_team_same_day","same_league_same_day"]</t>
        </is>
      </c>
      <c r="BJ294" s="25" t="n"/>
      <c r="BK294" s="26" t="n">
        <v>223</v>
      </c>
      <c r="BL294" s="27" t="n">
        <v>3.23</v>
      </c>
      <c r="BM294" s="28" t="n">
        <v>0.309598</v>
      </c>
      <c r="BN294" s="28" t="n"/>
      <c r="BO294" s="28" t="n"/>
      <c r="BP294" s="25" t="n"/>
      <c r="BQ294" s="27" t="n">
        <v>3.23</v>
      </c>
      <c r="BR294" s="28" t="n">
        <v>0.31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0.309598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5048bc7168e34a08</t>
        </is>
      </c>
      <c r="B295" s="24" t="inlineStr">
        <is>
          <t>2026-08-11T19:57:08.156846Z</t>
        </is>
      </c>
      <c r="C295" s="24" t="inlineStr">
        <is>
          <t>2026-08-11T21:00Z</t>
        </is>
      </c>
      <c r="D295" s="24" t="inlineStr">
        <is>
          <t>718-2026:184443</t>
        </is>
      </c>
      <c r="E295" s="24" t="inlineStr">
        <is>
          <t>TENNIS</t>
        </is>
      </c>
      <c r="F295" s="24" t="inlineStr">
        <is>
          <t>Anna Blinkova</t>
        </is>
      </c>
      <c r="G295" s="24" t="inlineStr">
        <is>
          <t>Dominika Salkova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117</v>
      </c>
      <c r="M295" s="27" t="n">
        <v>2.17</v>
      </c>
      <c r="N295" s="28" t="n">
        <v>0.460829</v>
      </c>
      <c r="O295" s="28" t="n">
        <v>0.514126</v>
      </c>
      <c r="P295" s="28" t="n">
        <v>0.05</v>
      </c>
      <c r="Q295" s="28" t="n">
        <v>0.053297</v>
      </c>
      <c r="R295" s="26" t="n">
        <v>47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>
        <v>117</v>
      </c>
      <c r="AA295" s="28" t="n">
        <v>0.46</v>
      </c>
      <c r="AB295" s="28" t="n">
        <v>-0.000829</v>
      </c>
      <c r="AC295" s="30" t="n">
        <v>-1</v>
      </c>
      <c r="AD295" s="24" t="inlineStr">
        <is>
          <t>2026-08-12T05:11:13.878330Z</t>
        </is>
      </c>
      <c r="AE295" s="31" t="inlineStr">
        <is>
          <t>Surface-blended Elo on Hard: Anna Blinkova p=0.486 vs Dominika Salkova. Executable ask 0.4600 (aec-wta-domsal-annbli-2026-08-11).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3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Anna Blinkova</t>
        </is>
      </c>
      <c r="AQ295" s="24" t="inlineStr">
        <is>
          <t>Anna Blinkova</t>
        </is>
      </c>
      <c r="AR295" s="24" t="inlineStr">
        <is>
          <t>Anna Blinkova</t>
        </is>
      </c>
      <c r="AS295" s="24" t="inlineStr">
        <is>
          <t>Dominika Salkova</t>
        </is>
      </c>
      <c r="AT295" s="24" t="inlineStr">
        <is>
          <t>Dominika Salkova</t>
        </is>
      </c>
      <c r="AU295" s="24" t="inlineStr">
        <is>
          <t>Dominika Salkova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3ab056fefe04713e3c294da76c8adb2866b0dc46556ed32322a0426dd344a0e4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3ab056fefe04713e3c294da76c8adb2866b0dc46556ed32322a0426dd344a0e4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3ab056fefe04713e3c294da76c8adb2866b0dc46556ed32322a0426dd344a0e4</t>
        </is>
      </c>
      <c r="BH295" s="24" t="inlineStr">
        <is>
          <t>2026-08-11T19:55:47.647204Z</t>
        </is>
      </c>
      <c r="BI295" s="24" t="inlineStr">
        <is>
          <t>["same_event","same_team_same_day","same_league_same_day"]</t>
        </is>
      </c>
      <c r="BJ295" s="25" t="n"/>
      <c r="BK295" s="26" t="n">
        <v>117</v>
      </c>
      <c r="BL295" s="27" t="n">
        <v>2.17</v>
      </c>
      <c r="BM295" s="28" t="n">
        <v>0.460829</v>
      </c>
      <c r="BN295" s="28" t="n"/>
      <c r="BO295" s="28" t="n"/>
      <c r="BP295" s="25" t="n"/>
      <c r="BQ295" s="27" t="n">
        <v>2.17</v>
      </c>
      <c r="BR295" s="28" t="n">
        <v>0.46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0.460829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c8d06540a80a49f9</t>
        </is>
      </c>
      <c r="B296" s="24" t="inlineStr">
        <is>
          <t>2026-08-11T19:57:08.156846Z</t>
        </is>
      </c>
      <c r="C296" s="24" t="inlineStr">
        <is>
          <t>2026-08-11T22:30Z</t>
        </is>
      </c>
      <c r="D296" s="24" t="inlineStr">
        <is>
          <t>718-2026:184449</t>
        </is>
      </c>
      <c r="E296" s="24" t="inlineStr">
        <is>
          <t>TENNIS</t>
        </is>
      </c>
      <c r="F296" s="24" t="inlineStr">
        <is>
          <t>Polina Kudermetova</t>
        </is>
      </c>
      <c r="G296" s="24" t="inlineStr">
        <is>
          <t>Carol Young Suh Lee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117</v>
      </c>
      <c r="M296" s="27" t="n">
        <v>2.17</v>
      </c>
      <c r="N296" s="28" t="n">
        <v>0.460829</v>
      </c>
      <c r="O296" s="28" t="n">
        <v>0.618632</v>
      </c>
      <c r="P296" s="28" t="n">
        <v>0.05</v>
      </c>
      <c r="Q296" s="28" t="n">
        <v>0.157803</v>
      </c>
      <c r="R296" s="26" t="n">
        <v>99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0</v>
      </c>
      <c r="Y296" s="25" t="n"/>
      <c r="Z296" s="26" t="n">
        <v>117</v>
      </c>
      <c r="AA296" s="28" t="n">
        <v>0.46</v>
      </c>
      <c r="AB296" s="28" t="n">
        <v>-0.000829</v>
      </c>
      <c r="AC296" s="30" t="n">
        <v>1.755</v>
      </c>
      <c r="AD296" s="24" t="inlineStr">
        <is>
          <t>2026-08-13T05:31:18.059071Z</t>
        </is>
      </c>
      <c r="AE296" s="31" t="inlineStr">
        <is>
          <t>Surface-blended Elo on Hard: Polina Kudermetova p=0.619 vs Carol Young Suh Lee. Executable ask 0.4600 (aec-wta-carlee-polkud-2026-08-11).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3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Polina Kudermetova</t>
        </is>
      </c>
      <c r="AQ296" s="24" t="inlineStr">
        <is>
          <t>Polina Kudermetova</t>
        </is>
      </c>
      <c r="AR296" s="24" t="inlineStr">
        <is>
          <t>Polina Kudermetova</t>
        </is>
      </c>
      <c r="AS296" s="24" t="inlineStr">
        <is>
          <t>Carol Young Suh Lee</t>
        </is>
      </c>
      <c r="AT296" s="24" t="inlineStr">
        <is>
          <t>Carol Young Suh Lee</t>
        </is>
      </c>
      <c r="AU296" s="24" t="inlineStr">
        <is>
          <t>Carol Young Suh Lee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3ab056fefe04713e3c294da76c8adb2866b0dc46556ed32322a0426dd344a0e4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3ab056fefe04713e3c294da76c8adb2866b0dc46556ed32322a0426dd344a0e4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3ab056fefe04713e3c294da76c8adb2866b0dc46556ed32322a0426dd344a0e4</t>
        </is>
      </c>
      <c r="BH296" s="24" t="inlineStr">
        <is>
          <t>2026-08-11T19:55:53.735567Z</t>
        </is>
      </c>
      <c r="BI296" s="24" t="inlineStr">
        <is>
          <t>["same_event","same_team_same_day","same_league_same_day"]</t>
        </is>
      </c>
      <c r="BJ296" s="25" t="n"/>
      <c r="BK296" s="26" t="n">
        <v>117</v>
      </c>
      <c r="BL296" s="27" t="n">
        <v>2.17</v>
      </c>
      <c r="BM296" s="28" t="n">
        <v>0.460829</v>
      </c>
      <c r="BN296" s="28" t="n"/>
      <c r="BO296" s="28" t="n"/>
      <c r="BP296" s="25" t="n"/>
      <c r="BQ296" s="27" t="n">
        <v>2.17</v>
      </c>
      <c r="BR296" s="28" t="n">
        <v>0.46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0.460829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8f5d5df2f1194487</t>
        </is>
      </c>
      <c r="B297" s="24" t="inlineStr">
        <is>
          <t>2026-08-11T19:57:08.156846Z</t>
        </is>
      </c>
      <c r="C297" s="24" t="inlineStr">
        <is>
          <t>2026-08-11T22:00Z</t>
        </is>
      </c>
      <c r="D297" s="24" t="inlineStr">
        <is>
          <t>421-2026:181736</t>
        </is>
      </c>
      <c r="E297" s="24" t="inlineStr">
        <is>
          <t>TENNIS</t>
        </is>
      </c>
      <c r="F297" s="24" t="inlineStr">
        <is>
          <t>Ben Shelton</t>
        </is>
      </c>
      <c r="G297" s="24" t="inlineStr">
        <is>
          <t>Jakub Mensik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-133</v>
      </c>
      <c r="M297" s="27" t="n">
        <v>1.75188</v>
      </c>
      <c r="N297" s="28" t="n">
        <v>0.570815</v>
      </c>
      <c r="O297" s="28" t="n">
        <v>0.647763</v>
      </c>
      <c r="P297" s="28" t="n">
        <v>0.05</v>
      </c>
      <c r="Q297" s="28" t="n">
        <v>0.076948</v>
      </c>
      <c r="R297" s="26" t="n">
        <v>58</v>
      </c>
      <c r="S297" s="29" t="n">
        <v>1.75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win</t>
        </is>
      </c>
      <c r="W297" s="26" t="n">
        <v>1</v>
      </c>
      <c r="X297" s="26" t="n">
        <v>0</v>
      </c>
      <c r="Y297" s="25" t="n"/>
      <c r="Z297" s="26" t="n">
        <v>-133</v>
      </c>
      <c r="AA297" s="28" t="n">
        <v>0.57</v>
      </c>
      <c r="AB297" s="28" t="n">
        <v>-0.000815</v>
      </c>
      <c r="AC297" s="30" t="n">
        <v>1.3158</v>
      </c>
      <c r="AD297" s="24" t="inlineStr">
        <is>
          <t>2026-08-12T02:05:29.769623Z</t>
        </is>
      </c>
      <c r="AE297" s="31" t="inlineStr">
        <is>
          <t>Surface-blended Elo on Hard: Ben Shelton p=0.648 vs Jakub Mensik. Executable ask 0.5700 (aec-atp-jakmen-benshe-2026-08-11).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Ben Shelton</t>
        </is>
      </c>
      <c r="AQ297" s="24" t="inlineStr">
        <is>
          <t>Ben Shelton</t>
        </is>
      </c>
      <c r="AR297" s="24" t="inlineStr">
        <is>
          <t>Ben Shelton</t>
        </is>
      </c>
      <c r="AS297" s="24" t="inlineStr">
        <is>
          <t>Jakub Mensik</t>
        </is>
      </c>
      <c r="AT297" s="24" t="inlineStr">
        <is>
          <t>Jakub Mensik</t>
        </is>
      </c>
      <c r="AU297" s="24" t="inlineStr">
        <is>
          <t>Jakub Mensik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3ab056fefe04713e3c294da76c8adb2866b0dc46556ed32322a0426dd344a0e4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3ab056fefe04713e3c294da76c8adb2866b0dc46556ed32322a0426dd344a0e4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3ab056fefe04713e3c294da76c8adb2866b0dc46556ed32322a0426dd344a0e4</t>
        </is>
      </c>
      <c r="BH297" s="24" t="inlineStr">
        <is>
          <t>2026-08-11T19:56:07.780416Z</t>
        </is>
      </c>
      <c r="BI297" s="24" t="inlineStr">
        <is>
          <t>["same_event","same_team_same_day","same_league_same_day"]</t>
        </is>
      </c>
      <c r="BJ297" s="25" t="n"/>
      <c r="BK297" s="26" t="n">
        <v>-133</v>
      </c>
      <c r="BL297" s="27" t="n">
        <v>1.75188</v>
      </c>
      <c r="BM297" s="28" t="n">
        <v>0.570815</v>
      </c>
      <c r="BN297" s="28" t="n"/>
      <c r="BO297" s="28" t="n"/>
      <c r="BP297" s="25" t="n"/>
      <c r="BQ297" s="27" t="n">
        <v>1.75188</v>
      </c>
      <c r="BR297" s="28" t="n">
        <v>0.57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0.570815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2f8f5d1ae1fa4ebf</t>
        </is>
      </c>
      <c r="B298" s="24" t="inlineStr">
        <is>
          <t>2026-08-11T23:02:26.971397Z</t>
        </is>
      </c>
      <c r="C298" s="24" t="inlineStr">
        <is>
          <t>2026-08-11T23:30Z</t>
        </is>
      </c>
      <c r="D298" s="24" t="inlineStr">
        <is>
          <t>421-2026:181734</t>
        </is>
      </c>
      <c r="E298" s="24" t="inlineStr">
        <is>
          <t>TENNIS</t>
        </is>
      </c>
      <c r="F298" s="24" t="inlineStr">
        <is>
          <t>Learner Tien</t>
        </is>
      </c>
      <c r="G298" s="24" t="inlineStr">
        <is>
          <t>Daniel Merida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-194</v>
      </c>
      <c r="M298" s="27" t="n">
        <v>1.515464</v>
      </c>
      <c r="N298" s="28" t="n">
        <v>0.659864</v>
      </c>
      <c r="O298" s="28" t="n">
        <v>0.668737</v>
      </c>
      <c r="P298" s="28" t="n">
        <v>0.05</v>
      </c>
      <c r="Q298" s="28" t="n">
        <v>0.008873000000000001</v>
      </c>
      <c r="R298" s="26" t="n">
        <v>24</v>
      </c>
      <c r="S298" s="29" t="n">
        <v>1.75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-194</v>
      </c>
      <c r="AA298" s="28" t="n">
        <v>0.66</v>
      </c>
      <c r="AB298" s="28" t="n">
        <v>0.000136</v>
      </c>
      <c r="AC298" s="30" t="n">
        <v>0.9021</v>
      </c>
      <c r="AD298" s="24" t="inlineStr">
        <is>
          <t>2026-08-12T02:05:42.549262Z</t>
        </is>
      </c>
      <c r="AE298" s="31" t="inlineStr">
        <is>
          <t>Surface-blended Elo on Hard: Learner Tien p=0.669 vs Daniel Merida. Executable ask 0.6600 (aec-atp-danagu-leatie-2026-08-11).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3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Learner Tien</t>
        </is>
      </c>
      <c r="AQ298" s="24" t="inlineStr">
        <is>
          <t>Learner Tien</t>
        </is>
      </c>
      <c r="AR298" s="24" t="inlineStr">
        <is>
          <t>Learner Tien</t>
        </is>
      </c>
      <c r="AS298" s="24" t="inlineStr">
        <is>
          <t>Daniel Merida</t>
        </is>
      </c>
      <c r="AT298" s="24" t="inlineStr">
        <is>
          <t>Daniel Merida</t>
        </is>
      </c>
      <c r="AU298" s="24" t="inlineStr">
        <is>
          <t>Daniel Merida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3ab056fefe04713e3c294da76c8adb2866b0dc46556ed32322a0426dd344a0e4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3ab056fefe04713e3c294da76c8adb2866b0dc46556ed32322a0426dd344a0e4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3ab056fefe04713e3c294da76c8adb2866b0dc46556ed32322a0426dd344a0e4</t>
        </is>
      </c>
      <c r="BH298" s="24" t="inlineStr">
        <is>
          <t>2026-08-11T23:01:52.509024Z</t>
        </is>
      </c>
      <c r="BI298" s="24" t="inlineStr">
        <is>
          <t>["same_event","same_team_same_day","same_league_same_day"]</t>
        </is>
      </c>
      <c r="BJ298" s="25" t="n"/>
      <c r="BK298" s="26" t="n">
        <v>-194</v>
      </c>
      <c r="BL298" s="27" t="n">
        <v>1.515464</v>
      </c>
      <c r="BM298" s="28" t="n">
        <v>0.659864</v>
      </c>
      <c r="BN298" s="28" t="n"/>
      <c r="BO298" s="28" t="n"/>
      <c r="BP298" s="25" t="n"/>
      <c r="BQ298" s="27" t="n">
        <v>1.515464</v>
      </c>
      <c r="BR298" s="28" t="n">
        <v>0.66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0.659864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e8bafbe2566d4b7f</t>
        </is>
      </c>
      <c r="B299" s="24" t="inlineStr">
        <is>
          <t>2026-08-12T11:28:41.768133Z</t>
        </is>
      </c>
      <c r="C299" s="24" t="inlineStr">
        <is>
          <t>2026-08-12T14:00Z</t>
        </is>
      </c>
      <c r="D299" s="24" t="inlineStr">
        <is>
          <t>718-2026:184450</t>
        </is>
      </c>
      <c r="E299" s="24" t="inlineStr">
        <is>
          <t>TENNIS</t>
        </is>
      </c>
      <c r="F299" s="24" t="inlineStr">
        <is>
          <t>Bianca Andreescu</t>
        </is>
      </c>
      <c r="G299" s="24" t="inlineStr">
        <is>
          <t>Wang Xiyu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-122</v>
      </c>
      <c r="M299" s="27" t="n">
        <v>1.819672</v>
      </c>
      <c r="N299" s="28" t="n">
        <v>0.54955</v>
      </c>
      <c r="O299" s="28" t="n">
        <v>0.550667</v>
      </c>
      <c r="P299" s="28" t="n">
        <v>0.05</v>
      </c>
      <c r="Q299" s="28" t="n">
        <v>0.001117</v>
      </c>
      <c r="R299" s="26" t="n">
        <v>21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/>
      <c r="AA299" s="28" t="n"/>
      <c r="AB299" s="28" t="n"/>
      <c r="AC299" s="30" t="n">
        <v>0.8197</v>
      </c>
      <c r="AD299" s="24" t="inlineStr">
        <is>
          <t>2026-08-13T05:31:19.994917Z</t>
        </is>
      </c>
      <c r="AE299" s="31" t="inlineStr">
        <is>
          <t>Surface-blended Elo on Hard: Bianca Andreescu p=0.449 vs Wang Xiyu. Executable ask 0.5500 (aec-wta-xiywan-biaand-2026-08-11).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3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Bianca Andreescu</t>
        </is>
      </c>
      <c r="AQ299" s="24" t="inlineStr">
        <is>
          <t>Bianca Andreescu</t>
        </is>
      </c>
      <c r="AR299" s="24" t="inlineStr">
        <is>
          <t>Bianca Andreescu</t>
        </is>
      </c>
      <c r="AS299" s="24" t="inlineStr">
        <is>
          <t>Wang Xiyu</t>
        </is>
      </c>
      <c r="AT299" s="24" t="inlineStr">
        <is>
          <t>Wang Xiyu</t>
        </is>
      </c>
      <c r="AU299" s="24" t="inlineStr">
        <is>
          <t>Wang Xiyu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3ab056fefe04713e3c294da76c8adb2866b0dc46556ed32322a0426dd344a0e4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3ab056fefe04713e3c294da76c8adb2866b0dc46556ed32322a0426dd344a0e4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3ab056fefe04713e3c294da76c8adb2866b0dc46556ed32322a0426dd344a0e4</t>
        </is>
      </c>
      <c r="BH299" s="24" t="inlineStr">
        <is>
          <t>2026-08-12T11:27:07.831894Z</t>
        </is>
      </c>
      <c r="BI299" s="24" t="inlineStr">
        <is>
          <t>["same_event","same_team_same_day","same_league_same_day"]</t>
        </is>
      </c>
      <c r="BJ299" s="25" t="n"/>
      <c r="BK299" s="26" t="n">
        <v>-122</v>
      </c>
      <c r="BL299" s="27" t="n">
        <v>1.819672</v>
      </c>
      <c r="BM299" s="28" t="n">
        <v>0.54955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0.54955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8f5e1748a876415a</t>
        </is>
      </c>
      <c r="B300" s="24" t="inlineStr">
        <is>
          <t>2026-08-12T11:28:41.768133Z</t>
        </is>
      </c>
      <c r="C300" s="24" t="inlineStr">
        <is>
          <t>2026-08-12T14:00Z</t>
        </is>
      </c>
      <c r="D300" s="24" t="inlineStr">
        <is>
          <t>718-2026:184453</t>
        </is>
      </c>
      <c r="E300" s="24" t="inlineStr">
        <is>
          <t>TENNIS</t>
        </is>
      </c>
      <c r="F300" s="24" t="inlineStr">
        <is>
          <t>Aliaksandra Sasnovich</t>
        </is>
      </c>
      <c r="G300" s="24" t="inlineStr">
        <is>
          <t>Emiliana Arango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-178</v>
      </c>
      <c r="M300" s="27" t="n">
        <v>1.561798</v>
      </c>
      <c r="N300" s="28" t="n">
        <v>0.640288</v>
      </c>
      <c r="O300" s="28" t="n">
        <v>0.643056</v>
      </c>
      <c r="P300" s="28" t="n">
        <v>0.05</v>
      </c>
      <c r="Q300" s="28" t="n">
        <v>0.002768</v>
      </c>
      <c r="R300" s="26" t="n">
        <v>21</v>
      </c>
      <c r="S300" s="29" t="n">
        <v>1.5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1</v>
      </c>
      <c r="Y300" s="25" t="n"/>
      <c r="Z300" s="26" t="n">
        <v>-178</v>
      </c>
      <c r="AA300" s="28" t="n">
        <v>0.64</v>
      </c>
      <c r="AB300" s="28" t="n">
        <v>-0.000288</v>
      </c>
      <c r="AC300" s="30" t="n">
        <v>-1.5</v>
      </c>
      <c r="AD300" s="24" t="inlineStr">
        <is>
          <t>2026-08-13T05:31:21.456047Z</t>
        </is>
      </c>
      <c r="AE300" s="31" t="inlineStr">
        <is>
          <t>Surface-blended Elo on Hard: Aliaksandra Sasnovich p=0.643 vs Emiliana Arango. Executable ask 0.6400 (aec-wta-emiara-alisas-2026-08-11).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3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Aliaksandra Sasnovich</t>
        </is>
      </c>
      <c r="AQ300" s="24" t="inlineStr">
        <is>
          <t>Aliaksandra Sasnovich</t>
        </is>
      </c>
      <c r="AR300" s="24" t="inlineStr">
        <is>
          <t>Aliaksandra Sasnovich</t>
        </is>
      </c>
      <c r="AS300" s="24" t="inlineStr">
        <is>
          <t>Emiliana Arango</t>
        </is>
      </c>
      <c r="AT300" s="24" t="inlineStr">
        <is>
          <t>Emiliana Arango</t>
        </is>
      </c>
      <c r="AU300" s="24" t="inlineStr">
        <is>
          <t>Emiliana Arango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3ab056fefe04713e3c294da76c8adb2866b0dc46556ed32322a0426dd344a0e4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3ab056fefe04713e3c294da76c8adb2866b0dc46556ed32322a0426dd344a0e4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3ab056fefe04713e3c294da76c8adb2866b0dc46556ed32322a0426dd344a0e4</t>
        </is>
      </c>
      <c r="BH300" s="24" t="inlineStr">
        <is>
          <t>2026-08-12T11:27:05.917025Z</t>
        </is>
      </c>
      <c r="BI300" s="24" t="inlineStr">
        <is>
          <t>["same_event","same_team_same_day","same_league_same_day"]</t>
        </is>
      </c>
      <c r="BJ300" s="25" t="n"/>
      <c r="BK300" s="26" t="n">
        <v>-178</v>
      </c>
      <c r="BL300" s="27" t="n">
        <v>1.561798</v>
      </c>
      <c r="BM300" s="28" t="n">
        <v>0.640288</v>
      </c>
      <c r="BN300" s="28" t="n"/>
      <c r="BO300" s="28" t="n"/>
      <c r="BP300" s="25" t="n"/>
      <c r="BQ300" s="27" t="n">
        <v>1.561798</v>
      </c>
      <c r="BR300" s="28" t="n">
        <v>0.64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0.640288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11703d64794c4658</t>
        </is>
      </c>
      <c r="B301" s="24" t="inlineStr">
        <is>
          <t>2026-08-12T11:28:41.768133Z</t>
        </is>
      </c>
      <c r="C301" s="24" t="inlineStr">
        <is>
          <t>2026-08-12T14:00Z</t>
        </is>
      </c>
      <c r="D301" s="24" t="inlineStr">
        <is>
          <t>718-2026:184455</t>
        </is>
      </c>
      <c r="E301" s="24" t="inlineStr">
        <is>
          <t>TENNIS</t>
        </is>
      </c>
      <c r="F301" s="24" t="inlineStr">
        <is>
          <t>Ella Seidel</t>
        </is>
      </c>
      <c r="G301" s="24" t="inlineStr">
        <is>
          <t>Nadia Podoroska</t>
        </is>
      </c>
      <c r="H301" s="24" t="inlineStr">
        <is>
          <t>moneyline</t>
        </is>
      </c>
      <c r="I301" s="24" t="inlineStr">
        <is>
          <t>away</t>
        </is>
      </c>
      <c r="J301" s="25" t="n"/>
      <c r="K301" s="24" t="inlineStr">
        <is>
          <t>polymarket_us</t>
        </is>
      </c>
      <c r="L301" s="26" t="n">
        <v>-186</v>
      </c>
      <c r="M301" s="27" t="n">
        <v>1.537634</v>
      </c>
      <c r="N301" s="28" t="n">
        <v>0.65035</v>
      </c>
      <c r="O301" s="28" t="n">
        <v>0.502352</v>
      </c>
      <c r="P301" s="28" t="n">
        <v>0.05</v>
      </c>
      <c r="Q301" s="28" t="n">
        <v>-0.147998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0</v>
      </c>
      <c r="X301" s="26" t="n">
        <v>1</v>
      </c>
      <c r="Y301" s="25" t="n"/>
      <c r="Z301" s="26" t="n">
        <v>-186</v>
      </c>
      <c r="AA301" s="28" t="n">
        <v>0.65</v>
      </c>
      <c r="AB301" s="28" t="n">
        <v>-0.00035</v>
      </c>
      <c r="AC301" s="30" t="n">
        <v>-1</v>
      </c>
      <c r="AD301" s="24" t="inlineStr">
        <is>
          <t>2026-08-13T05:31:22.891068Z</t>
        </is>
      </c>
      <c r="AE301" s="31" t="inlineStr">
        <is>
          <t>Surface-blended Elo on Hard: Ella Seidel p=0.502 vs Nadia Podoroska. Executable ask 0.6500 (aec-wta-nadpod-ellsei-2026-08-11).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3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Ella Seidel</t>
        </is>
      </c>
      <c r="AQ301" s="24" t="inlineStr">
        <is>
          <t>Ella Seidel</t>
        </is>
      </c>
      <c r="AR301" s="24" t="inlineStr">
        <is>
          <t>Ella Seidel</t>
        </is>
      </c>
      <c r="AS301" s="24" t="inlineStr">
        <is>
          <t>Nadia Podoroska</t>
        </is>
      </c>
      <c r="AT301" s="24" t="inlineStr">
        <is>
          <t>Nadia Podoroska</t>
        </is>
      </c>
      <c r="AU301" s="24" t="inlineStr">
        <is>
          <t>Nadia Podoroska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3ab056fefe04713e3c294da76c8adb2866b0dc46556ed32322a0426dd344a0e4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3ab056fefe04713e3c294da76c8adb2866b0dc46556ed32322a0426dd344a0e4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3ab056fefe04713e3c294da76c8adb2866b0dc46556ed32322a0426dd344a0e4</t>
        </is>
      </c>
      <c r="BH301" s="24" t="inlineStr">
        <is>
          <t>2026-08-12T11:27:06.859799Z</t>
        </is>
      </c>
      <c r="BI301" s="24" t="inlineStr">
        <is>
          <t>["same_event","same_team_same_day","same_league_same_day"]</t>
        </is>
      </c>
      <c r="BJ301" s="25" t="n"/>
      <c r="BK301" s="26" t="n">
        <v>-186</v>
      </c>
      <c r="BL301" s="27" t="n">
        <v>1.537634</v>
      </c>
      <c r="BM301" s="28" t="n">
        <v>0.65035</v>
      </c>
      <c r="BN301" s="28" t="n"/>
      <c r="BO301" s="28" t="n"/>
      <c r="BP301" s="25" t="n"/>
      <c r="BQ301" s="27" t="n">
        <v>1.537634</v>
      </c>
      <c r="BR301" s="28" t="n">
        <v>0.65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0.65035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2f5bda8764a842bd</t>
        </is>
      </c>
      <c r="B302" s="24" t="inlineStr">
        <is>
          <t>2026-08-12T11:28:41.768133Z</t>
        </is>
      </c>
      <c r="C302" s="24" t="inlineStr">
        <is>
          <t>2026-08-12T14:00Z</t>
        </is>
      </c>
      <c r="D302" s="24" t="inlineStr">
        <is>
          <t>718-2026:184478</t>
        </is>
      </c>
      <c r="E302" s="24" t="inlineStr">
        <is>
          <t>TENNIS</t>
        </is>
      </c>
      <c r="F302" s="24" t="inlineStr">
        <is>
          <t>Kayla Day</t>
        </is>
      </c>
      <c r="G302" s="24" t="inlineStr">
        <is>
          <t>Yuan Yue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150</v>
      </c>
      <c r="M302" s="27" t="n">
        <v>2.5</v>
      </c>
      <c r="N302" s="28" t="n">
        <v>0.4</v>
      </c>
      <c r="O302" s="28" t="n">
        <v>0.539124</v>
      </c>
      <c r="P302" s="28" t="n">
        <v>0.05</v>
      </c>
      <c r="Q302" s="28" t="n">
        <v>0.139124</v>
      </c>
      <c r="R302" s="26" t="n">
        <v>90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/>
      <c r="AA302" s="28" t="n"/>
      <c r="AB302" s="28" t="n"/>
      <c r="AC302" s="30" t="n">
        <v>-1</v>
      </c>
      <c r="AD302" s="24" t="inlineStr">
        <is>
          <t>2026-08-13T05:31:24.327962Z</t>
        </is>
      </c>
      <c r="AE302" s="31" t="inlineStr">
        <is>
          <t>Surface-blended Elo on Hard: Kayla Day p=0.461 vs Yuan Yue. Executable ask 0.4000 (aec-wta-yueyua-kayday-2026-08-12).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3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Kayla Day</t>
        </is>
      </c>
      <c r="AQ302" s="24" t="inlineStr">
        <is>
          <t>Kayla Day</t>
        </is>
      </c>
      <c r="AR302" s="24" t="inlineStr">
        <is>
          <t>Kayla Day</t>
        </is>
      </c>
      <c r="AS302" s="24" t="inlineStr">
        <is>
          <t>Yuan Yue</t>
        </is>
      </c>
      <c r="AT302" s="24" t="inlineStr">
        <is>
          <t>Yuan Yue</t>
        </is>
      </c>
      <c r="AU302" s="24" t="inlineStr">
        <is>
          <t>Yuan Yue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3ab056fefe04713e3c294da76c8adb2866b0dc46556ed32322a0426dd344a0e4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3ab056fefe04713e3c294da76c8adb2866b0dc46556ed32322a0426dd344a0e4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3ab056fefe04713e3c294da76c8adb2866b0dc46556ed32322a0426dd344a0e4</t>
        </is>
      </c>
      <c r="BH302" s="24" t="inlineStr">
        <is>
          <t>2026-08-12T11:27:04.086214Z</t>
        </is>
      </c>
      <c r="BI302" s="24" t="inlineStr">
        <is>
          <t>["same_event","same_team_same_day","same_league_same_day"]</t>
        </is>
      </c>
      <c r="BJ302" s="25" t="n"/>
      <c r="BK302" s="26" t="n">
        <v>150</v>
      </c>
      <c r="BL302" s="27" t="n">
        <v>2.5</v>
      </c>
      <c r="BM302" s="28" t="n">
        <v>0.4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cfd5300ebbfa4b7a</t>
        </is>
      </c>
      <c r="B303" s="24" t="inlineStr">
        <is>
          <t>2026-08-12T11:28:41.768133Z</t>
        </is>
      </c>
      <c r="C303" s="24" t="inlineStr">
        <is>
          <t>2026-08-12T14:00Z</t>
        </is>
      </c>
      <c r="D303" s="24" t="inlineStr">
        <is>
          <t>718-2026:184408</t>
        </is>
      </c>
      <c r="E303" s="24" t="inlineStr">
        <is>
          <t>TENNIS</t>
        </is>
      </c>
      <c r="F303" s="24" t="inlineStr">
        <is>
          <t>Jacob Fearnley</t>
        </is>
      </c>
      <c r="G303" s="24" t="inlineStr">
        <is>
          <t>Nicolas Mejia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-300</v>
      </c>
      <c r="M303" s="27" t="n">
        <v>1.333333</v>
      </c>
      <c r="N303" s="28" t="n">
        <v>0.75</v>
      </c>
      <c r="O303" s="28" t="n">
        <v>0.609888</v>
      </c>
      <c r="P303" s="28" t="n">
        <v>0.05</v>
      </c>
      <c r="Q303" s="28" t="n">
        <v>-0.140112</v>
      </c>
      <c r="R303" s="26" t="n">
        <v>0</v>
      </c>
      <c r="S303" s="29" t="n">
        <v>1.5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0</v>
      </c>
      <c r="X303" s="26" t="n">
        <v>1</v>
      </c>
      <c r="Y303" s="25" t="n"/>
      <c r="Z303" s="26" t="n">
        <v>-300</v>
      </c>
      <c r="AA303" s="28" t="n">
        <v>0.75</v>
      </c>
      <c r="AB303" s="28" t="n">
        <v>0</v>
      </c>
      <c r="AC303" s="30" t="n">
        <v>-1.5</v>
      </c>
      <c r="AD303" s="24" t="inlineStr">
        <is>
          <t>2026-08-13T05:31:26.792842Z</t>
        </is>
      </c>
      <c r="AE303" s="31" t="inlineStr">
        <is>
          <t>Surface-blended Elo on Hard: Jacob Fearnley p=0.610 vs Nicolas Mejia. Executable ask 0.7500 (aec-atp-nicmej-jacfea-2026-08-11).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3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Jacob Fearnley</t>
        </is>
      </c>
      <c r="AQ303" s="24" t="inlineStr">
        <is>
          <t>Jacob Fearnley</t>
        </is>
      </c>
      <c r="AR303" s="24" t="inlineStr">
        <is>
          <t>Jacob Fearnley</t>
        </is>
      </c>
      <c r="AS303" s="24" t="inlineStr">
        <is>
          <t>Nicolas Mejia</t>
        </is>
      </c>
      <c r="AT303" s="24" t="inlineStr">
        <is>
          <t>Nicolas Mejia</t>
        </is>
      </c>
      <c r="AU303" s="24" t="inlineStr">
        <is>
          <t>Nicolas Mejia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3ab056fefe04713e3c294da76c8adb2866b0dc46556ed32322a0426dd344a0e4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3ab056fefe04713e3c294da76c8adb2866b0dc46556ed32322a0426dd344a0e4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3ab056fefe04713e3c294da76c8adb2866b0dc46556ed32322a0426dd344a0e4</t>
        </is>
      </c>
      <c r="BH303" s="24" t="inlineStr">
        <is>
          <t>2026-08-12T11:27:19.761149Z</t>
        </is>
      </c>
      <c r="BI303" s="24" t="inlineStr">
        <is>
          <t>["same_event","same_team_same_day","same_league_same_day"]</t>
        </is>
      </c>
      <c r="BJ303" s="25" t="n"/>
      <c r="BK303" s="26" t="n">
        <v>-300</v>
      </c>
      <c r="BL303" s="27" t="n">
        <v>1.333333</v>
      </c>
      <c r="BM303" s="28" t="n">
        <v>0.75</v>
      </c>
      <c r="BN303" s="28" t="n"/>
      <c r="BO303" s="28" t="n"/>
      <c r="BP303" s="25" t="n"/>
      <c r="BQ303" s="27" t="n">
        <v>1.333333</v>
      </c>
      <c r="BR303" s="28" t="n">
        <v>0.75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0.75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fbf504a719b64f48</t>
        </is>
      </c>
      <c r="B304" s="24" t="inlineStr">
        <is>
          <t>2026-08-12T11:28:41.768133Z</t>
        </is>
      </c>
      <c r="C304" s="24" t="inlineStr">
        <is>
          <t>2026-08-12T14:00Z</t>
        </is>
      </c>
      <c r="D304" s="24" t="inlineStr">
        <is>
          <t>718-2026:184409</t>
        </is>
      </c>
      <c r="E304" s="24" t="inlineStr">
        <is>
          <t>TENNIS</t>
        </is>
      </c>
      <c r="F304" s="24" t="inlineStr">
        <is>
          <t>Henrique Rocha</t>
        </is>
      </c>
      <c r="G304" s="24" t="inlineStr">
        <is>
          <t>Marcos Giron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-213</v>
      </c>
      <c r="M304" s="27" t="n">
        <v>1.469484</v>
      </c>
      <c r="N304" s="28" t="n">
        <v>0.680511</v>
      </c>
      <c r="O304" s="28" t="n">
        <v>0.611017</v>
      </c>
      <c r="P304" s="28" t="n">
        <v>0.05</v>
      </c>
      <c r="Q304" s="28" t="n">
        <v>-0.069494</v>
      </c>
      <c r="R304" s="26" t="n">
        <v>0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-213</v>
      </c>
      <c r="AA304" s="28" t="n">
        <v>0.68</v>
      </c>
      <c r="AB304" s="28" t="n">
        <v>-0.000511</v>
      </c>
      <c r="AC304" s="30" t="n">
        <v>-1.5</v>
      </c>
      <c r="AD304" s="24" t="inlineStr">
        <is>
          <t>2026-08-13T05:31:28.676533Z</t>
        </is>
      </c>
      <c r="AE304" s="31" t="inlineStr">
        <is>
          <t>Surface-blended Elo on Hard: Henrique Rocha p=0.389 vs Marcos Giron. Executable ask 0.6800 (aec-atp-margir-henroc-2026-08-11).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3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Henrique Rocha</t>
        </is>
      </c>
      <c r="AQ304" s="24" t="inlineStr">
        <is>
          <t>Henrique Rocha</t>
        </is>
      </c>
      <c r="AR304" s="24" t="inlineStr">
        <is>
          <t>Henrique Rocha</t>
        </is>
      </c>
      <c r="AS304" s="24" t="inlineStr">
        <is>
          <t>Marcos Giron</t>
        </is>
      </c>
      <c r="AT304" s="24" t="inlineStr">
        <is>
          <t>Marcos Giron</t>
        </is>
      </c>
      <c r="AU304" s="24" t="inlineStr">
        <is>
          <t>Marcos Giron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3ab056fefe04713e3c294da76c8adb2866b0dc46556ed32322a0426dd344a0e4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3ab056fefe04713e3c294da76c8adb2866b0dc46556ed32322a0426dd344a0e4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3ab056fefe04713e3c294da76c8adb2866b0dc46556ed32322a0426dd344a0e4</t>
        </is>
      </c>
      <c r="BH304" s="24" t="inlineStr">
        <is>
          <t>2026-08-12T11:27:18.400855Z</t>
        </is>
      </c>
      <c r="BI304" s="24" t="inlineStr">
        <is>
          <t>["same_event","same_team_same_day","same_league_same_day"]</t>
        </is>
      </c>
      <c r="BJ304" s="25" t="n"/>
      <c r="BK304" s="26" t="n">
        <v>-213</v>
      </c>
      <c r="BL304" s="27" t="n">
        <v>1.469484</v>
      </c>
      <c r="BM304" s="28" t="n">
        <v>0.680511</v>
      </c>
      <c r="BN304" s="28" t="n"/>
      <c r="BO304" s="28" t="n"/>
      <c r="BP304" s="25" t="n"/>
      <c r="BQ304" s="27" t="n">
        <v>1.469484</v>
      </c>
      <c r="BR304" s="28" t="n">
        <v>0.68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0.680511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ff741f4712904e8a</t>
        </is>
      </c>
      <c r="B305" s="24" t="inlineStr">
        <is>
          <t>2026-08-12T11:28:41.768133Z</t>
        </is>
      </c>
      <c r="C305" s="24" t="inlineStr">
        <is>
          <t>2026-08-12T14:00Z</t>
        </is>
      </c>
      <c r="D305" s="24" t="inlineStr">
        <is>
          <t>718-2026:184427</t>
        </is>
      </c>
      <c r="E305" s="24" t="inlineStr">
        <is>
          <t>TENNIS</t>
        </is>
      </c>
      <c r="F305" s="24" t="inlineStr">
        <is>
          <t>Dalibor Svrcina</t>
        </is>
      </c>
      <c r="G305" s="24" t="inlineStr">
        <is>
          <t>Mark Lajal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-113</v>
      </c>
      <c r="M305" s="27" t="n">
        <v>1.884956</v>
      </c>
      <c r="N305" s="28" t="n">
        <v>0.530516</v>
      </c>
      <c r="O305" s="28" t="n">
        <v>0.526911</v>
      </c>
      <c r="P305" s="28" t="n">
        <v>0.05</v>
      </c>
      <c r="Q305" s="28" t="n">
        <v>-0.003605</v>
      </c>
      <c r="R305" s="26" t="n">
        <v>18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loss</t>
        </is>
      </c>
      <c r="W305" s="26" t="n">
        <v>0</v>
      </c>
      <c r="X305" s="26" t="n">
        <v>1</v>
      </c>
      <c r="Y305" s="25" t="n"/>
      <c r="Z305" s="26" t="n">
        <v>-113</v>
      </c>
      <c r="AA305" s="28" t="n">
        <v>0.53</v>
      </c>
      <c r="AB305" s="28" t="n">
        <v>-0.000516</v>
      </c>
      <c r="AC305" s="30" t="n">
        <v>-1</v>
      </c>
      <c r="AD305" s="24" t="inlineStr">
        <is>
          <t>2026-08-13T05:31:30.437377Z</t>
        </is>
      </c>
      <c r="AE305" s="31" t="inlineStr">
        <is>
          <t>Surface-blended Elo on Hard: Dalibor Svrcina p=0.527 vs Mark Lajal. Executable ask 0.5300 (aec-atp-marlaj-dalsvr-2026-08-11).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3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Dalibor Svrcina</t>
        </is>
      </c>
      <c r="AQ305" s="24" t="inlineStr">
        <is>
          <t>Dalibor Svrcina</t>
        </is>
      </c>
      <c r="AR305" s="24" t="inlineStr">
        <is>
          <t>Dalibor Svrcina</t>
        </is>
      </c>
      <c r="AS305" s="24" t="inlineStr">
        <is>
          <t>Mark Lajal</t>
        </is>
      </c>
      <c r="AT305" s="24" t="inlineStr">
        <is>
          <t>Mark Lajal</t>
        </is>
      </c>
      <c r="AU305" s="24" t="inlineStr">
        <is>
          <t>Mark Lajal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3ab056fefe04713e3c294da76c8adb2866b0dc46556ed32322a0426dd344a0e4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3ab056fefe04713e3c294da76c8adb2866b0dc46556ed32322a0426dd344a0e4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3ab056fefe04713e3c294da76c8adb2866b0dc46556ed32322a0426dd344a0e4</t>
        </is>
      </c>
      <c r="BH305" s="24" t="inlineStr">
        <is>
          <t>2026-08-12T11:27:17.792789Z</t>
        </is>
      </c>
      <c r="BI305" s="24" t="inlineStr">
        <is>
          <t>["same_event","same_team_same_day","same_league_same_day"]</t>
        </is>
      </c>
      <c r="BJ305" s="25" t="n"/>
      <c r="BK305" s="26" t="n">
        <v>-113</v>
      </c>
      <c r="BL305" s="27" t="n">
        <v>1.884956</v>
      </c>
      <c r="BM305" s="28" t="n">
        <v>0.530516</v>
      </c>
      <c r="BN305" s="28" t="n"/>
      <c r="BO305" s="28" t="n"/>
      <c r="BP305" s="25" t="n"/>
      <c r="BQ305" s="27" t="n">
        <v>1.884956</v>
      </c>
      <c r="BR305" s="28" t="n">
        <v>0.53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0.530516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83203846f8134025</t>
        </is>
      </c>
      <c r="B306" s="24" t="inlineStr">
        <is>
          <t>2026-08-12T11:28:41.768133Z</t>
        </is>
      </c>
      <c r="C306" s="24" t="inlineStr">
        <is>
          <t>2026-08-12T14:00Z</t>
        </is>
      </c>
      <c r="D306" s="24" t="inlineStr">
        <is>
          <t>718-2026:184428</t>
        </is>
      </c>
      <c r="E306" s="24" t="inlineStr">
        <is>
          <t>TENNIS</t>
        </is>
      </c>
      <c r="F306" s="24" t="inlineStr">
        <is>
          <t>Darwin Blanch</t>
        </is>
      </c>
      <c r="G306" s="24" t="inlineStr">
        <is>
          <t>Aleksandar Vukic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-150</v>
      </c>
      <c r="M306" s="27" t="n">
        <v>1.666667</v>
      </c>
      <c r="N306" s="28" t="n">
        <v>0.6</v>
      </c>
      <c r="O306" s="28" t="n">
        <v>0.532876</v>
      </c>
      <c r="P306" s="28" t="n">
        <v>0.05</v>
      </c>
      <c r="Q306" s="28" t="n">
        <v>-0.067124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0</v>
      </c>
      <c r="X306" s="26" t="n">
        <v>1</v>
      </c>
      <c r="Y306" s="25" t="n"/>
      <c r="Z306" s="26" t="n">
        <v>-150</v>
      </c>
      <c r="AA306" s="28" t="n">
        <v>0.6</v>
      </c>
      <c r="AB306" s="28" t="n">
        <v>0</v>
      </c>
      <c r="AC306" s="30" t="n">
        <v>0.6667</v>
      </c>
      <c r="AD306" s="24" t="inlineStr">
        <is>
          <t>2026-08-13T05:31:31.984950Z</t>
        </is>
      </c>
      <c r="AE306" s="31" t="inlineStr">
        <is>
          <t>Surface-blended Elo on Hard: Darwin Blanch p=0.467 vs Aleksandar Vukic. Executable ask 0.6000 (aec-atp-alevuk-darbla-2026-08-11).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3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Darwin Blanch</t>
        </is>
      </c>
      <c r="AQ306" s="24" t="inlineStr">
        <is>
          <t>Darwin Blanch</t>
        </is>
      </c>
      <c r="AR306" s="24" t="inlineStr">
        <is>
          <t>Darwin Blanch</t>
        </is>
      </c>
      <c r="AS306" s="24" t="inlineStr">
        <is>
          <t>Aleksandar Vukic</t>
        </is>
      </c>
      <c r="AT306" s="24" t="inlineStr">
        <is>
          <t>Aleksandar Vukic</t>
        </is>
      </c>
      <c r="AU306" s="24" t="inlineStr">
        <is>
          <t>Aleksandar Vukic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3ab056fefe04713e3c294da76c8adb2866b0dc46556ed32322a0426dd344a0e4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3ab056fefe04713e3c294da76c8adb2866b0dc46556ed32322a0426dd344a0e4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3ab056fefe04713e3c294da76c8adb2866b0dc46556ed32322a0426dd344a0e4</t>
        </is>
      </c>
      <c r="BH306" s="24" t="inlineStr">
        <is>
          <t>2026-08-12T11:27:16.750662Z</t>
        </is>
      </c>
      <c r="BI306" s="24" t="inlineStr">
        <is>
          <t>["same_event","same_team_same_day","same_league_same_day"]</t>
        </is>
      </c>
      <c r="BJ306" s="25" t="n"/>
      <c r="BK306" s="26" t="n">
        <v>-150</v>
      </c>
      <c r="BL306" s="27" t="n">
        <v>1.666667</v>
      </c>
      <c r="BM306" s="28" t="n">
        <v>0.6</v>
      </c>
      <c r="BN306" s="28" t="n"/>
      <c r="BO306" s="28" t="n"/>
      <c r="BP306" s="25" t="n"/>
      <c r="BQ306" s="27" t="n">
        <v>1.666667</v>
      </c>
      <c r="BR306" s="28" t="n">
        <v>0.6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068080db25014a1d</t>
        </is>
      </c>
      <c r="B307" s="24" t="inlineStr">
        <is>
          <t>2026-08-12T14:35:54.201251Z</t>
        </is>
      </c>
      <c r="C307" s="24" t="inlineStr">
        <is>
          <t>2026-08-12T15:30Z</t>
        </is>
      </c>
      <c r="D307" s="24" t="inlineStr">
        <is>
          <t>718-2026:184470</t>
        </is>
      </c>
      <c r="E307" s="24" t="inlineStr">
        <is>
          <t>TENNIS</t>
        </is>
      </c>
      <c r="F307" s="24" t="inlineStr">
        <is>
          <t>Claire Liu</t>
        </is>
      </c>
      <c r="G307" s="24" t="inlineStr">
        <is>
          <t>Sinja Kraus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144</v>
      </c>
      <c r="M307" s="27" t="n">
        <v>2.44</v>
      </c>
      <c r="N307" s="28" t="n">
        <v>0.409836</v>
      </c>
      <c r="O307" s="28" t="n">
        <v>0.6498429999999999</v>
      </c>
      <c r="P307" s="28" t="n">
        <v>0.05</v>
      </c>
      <c r="Q307" s="28" t="n">
        <v>0.240007</v>
      </c>
      <c r="R307" s="26" t="n">
        <v>100</v>
      </c>
      <c r="S307" s="29" t="n">
        <v>1.75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>
        <v>144</v>
      </c>
      <c r="AA307" s="28" t="n">
        <v>0.41</v>
      </c>
      <c r="AB307" s="28" t="n">
        <v>0.000164</v>
      </c>
      <c r="AC307" s="30" t="n">
        <v>2.52</v>
      </c>
      <c r="AD307" s="24" t="inlineStr">
        <is>
          <t>2026-08-13T05:31:33.683049Z</t>
        </is>
      </c>
      <c r="AE307" s="31" t="inlineStr">
        <is>
          <t>Surface-blended Elo on Hard: Claire Liu p=0.350 vs Sinja Kraus. Executable ask 0.4100 (aec-wta-sinkra-claliu-2026-08-12).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3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Claire Liu</t>
        </is>
      </c>
      <c r="AQ307" s="24" t="inlineStr">
        <is>
          <t>Claire Liu</t>
        </is>
      </c>
      <c r="AR307" s="24" t="inlineStr">
        <is>
          <t>Claire Liu</t>
        </is>
      </c>
      <c r="AS307" s="24" t="inlineStr">
        <is>
          <t>Sinja Kraus</t>
        </is>
      </c>
      <c r="AT307" s="24" t="inlineStr">
        <is>
          <t>Sinja Kraus</t>
        </is>
      </c>
      <c r="AU307" s="24" t="inlineStr">
        <is>
          <t>Sinja Kraus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3ab056fefe04713e3c294da76c8adb2866b0dc46556ed32322a0426dd344a0e4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3ab056fefe04713e3c294da76c8adb2866b0dc46556ed32322a0426dd344a0e4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3ab056fefe04713e3c294da76c8adb2866b0dc46556ed32322a0426dd344a0e4</t>
        </is>
      </c>
      <c r="BH307" s="24" t="inlineStr">
        <is>
          <t>2026-08-12T14:34:25.186953Z</t>
        </is>
      </c>
      <c r="BI307" s="24" t="inlineStr">
        <is>
          <t>["same_event","same_team_same_day","same_league_same_day"]</t>
        </is>
      </c>
      <c r="BJ307" s="25" t="n"/>
      <c r="BK307" s="26" t="n">
        <v>144</v>
      </c>
      <c r="BL307" s="27" t="n">
        <v>2.44</v>
      </c>
      <c r="BM307" s="28" t="n">
        <v>0.409836</v>
      </c>
      <c r="BN307" s="28" t="n"/>
      <c r="BO307" s="28" t="n"/>
      <c r="BP307" s="25" t="n"/>
      <c r="BQ307" s="27" t="n">
        <v>2.44</v>
      </c>
      <c r="BR307" s="28" t="n">
        <v>0.41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0.409836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7180e5460d304dc5</t>
        </is>
      </c>
      <c r="B308" s="24" t="inlineStr">
        <is>
          <t>2026-08-12T14:35:54.201251Z</t>
        </is>
      </c>
      <c r="C308" s="24" t="inlineStr">
        <is>
          <t>2026-08-12T15:30Z</t>
        </is>
      </c>
      <c r="D308" s="24" t="inlineStr">
        <is>
          <t>718-2026:184472</t>
        </is>
      </c>
      <c r="E308" s="24" t="inlineStr">
        <is>
          <t>TENNIS</t>
        </is>
      </c>
      <c r="F308" s="24" t="inlineStr">
        <is>
          <t>Mary Stoiana</t>
        </is>
      </c>
      <c r="G308" s="24" t="inlineStr">
        <is>
          <t>Oksana Selekhmeteva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144</v>
      </c>
      <c r="M308" s="27" t="n">
        <v>2.44</v>
      </c>
      <c r="N308" s="28" t="n">
        <v>0.409836</v>
      </c>
      <c r="O308" s="28" t="n">
        <v>0.5042</v>
      </c>
      <c r="P308" s="28" t="n">
        <v>0.05</v>
      </c>
      <c r="Q308" s="28" t="n">
        <v>0.094364</v>
      </c>
      <c r="R308" s="26" t="n">
        <v>67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144</v>
      </c>
      <c r="AA308" s="28" t="n">
        <v>0.41</v>
      </c>
      <c r="AB308" s="28" t="n">
        <v>0.000164</v>
      </c>
      <c r="AC308" s="30" t="n">
        <v>-1</v>
      </c>
      <c r="AD308" s="24" t="inlineStr">
        <is>
          <t>2026-08-13T05:31:35.246951Z</t>
        </is>
      </c>
      <c r="AE308" s="31" t="inlineStr">
        <is>
          <t>Surface-blended Elo on Hard: Mary Stoiana p=0.496 vs Oksana Selekhmeteva. Executable ask 0.4100 (aec-wta-okssel-marsto-2026-08-12).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3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Mary Stoiana</t>
        </is>
      </c>
      <c r="AQ308" s="24" t="inlineStr">
        <is>
          <t>Mary Stoiana</t>
        </is>
      </c>
      <c r="AR308" s="24" t="inlineStr">
        <is>
          <t>Mary Stoiana</t>
        </is>
      </c>
      <c r="AS308" s="24" t="inlineStr">
        <is>
          <t>Oksana Selekhmeteva</t>
        </is>
      </c>
      <c r="AT308" s="24" t="inlineStr">
        <is>
          <t>Oksana Selekhmeteva</t>
        </is>
      </c>
      <c r="AU308" s="24" t="inlineStr">
        <is>
          <t>Oksana Selekhmeteva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3ab056fefe04713e3c294da76c8adb2866b0dc46556ed32322a0426dd344a0e4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3ab056fefe04713e3c294da76c8adb2866b0dc46556ed32322a0426dd344a0e4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3ab056fefe04713e3c294da76c8adb2866b0dc46556ed32322a0426dd344a0e4</t>
        </is>
      </c>
      <c r="BH308" s="24" t="inlineStr">
        <is>
          <t>2026-08-12T14:34:21.839405Z</t>
        </is>
      </c>
      <c r="BI308" s="24" t="inlineStr">
        <is>
          <t>["same_event","same_team_same_day","same_league_same_day"]</t>
        </is>
      </c>
      <c r="BJ308" s="25" t="n"/>
      <c r="BK308" s="26" t="n">
        <v>144</v>
      </c>
      <c r="BL308" s="27" t="n">
        <v>2.44</v>
      </c>
      <c r="BM308" s="28" t="n">
        <v>0.409836</v>
      </c>
      <c r="BN308" s="28" t="n"/>
      <c r="BO308" s="28" t="n"/>
      <c r="BP308" s="25" t="n"/>
      <c r="BQ308" s="27" t="n">
        <v>2.44</v>
      </c>
      <c r="BR308" s="28" t="n">
        <v>0.41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0.409836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f2f0a003f6804d67</t>
        </is>
      </c>
      <c r="B309" s="24" t="inlineStr">
        <is>
          <t>2026-08-12T14:35:54.201251Z</t>
        </is>
      </c>
      <c r="C309" s="24" t="inlineStr">
        <is>
          <t>2026-08-12T15:30Z</t>
        </is>
      </c>
      <c r="D309" s="24" t="inlineStr">
        <is>
          <t>718-2026:184474</t>
        </is>
      </c>
      <c r="E309" s="24" t="inlineStr">
        <is>
          <t>TENNIS</t>
        </is>
      </c>
      <c r="F309" s="24" t="inlineStr">
        <is>
          <t>Leolia Jeanjean</t>
        </is>
      </c>
      <c r="G309" s="24" t="inlineStr">
        <is>
          <t>Lucrezia Stefanini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104</v>
      </c>
      <c r="M309" s="27" t="n">
        <v>2.04</v>
      </c>
      <c r="N309" s="28" t="n">
        <v>0.490196</v>
      </c>
      <c r="O309" s="28" t="n">
        <v>0.590503</v>
      </c>
      <c r="P309" s="28" t="n">
        <v>0.05</v>
      </c>
      <c r="Q309" s="28" t="n">
        <v>0.100307</v>
      </c>
      <c r="R309" s="26" t="n">
        <v>70</v>
      </c>
      <c r="S309" s="29" t="n">
        <v>1.25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104</v>
      </c>
      <c r="AA309" s="28" t="n">
        <v>0.49</v>
      </c>
      <c r="AB309" s="28" t="n">
        <v>-0.000196</v>
      </c>
      <c r="AC309" s="30" t="n">
        <v>-1.25</v>
      </c>
      <c r="AD309" s="24" t="inlineStr">
        <is>
          <t>2026-08-13T05:31:36.987518Z</t>
        </is>
      </c>
      <c r="AE309" s="31" t="inlineStr">
        <is>
          <t>Surface-blended Elo on Hard: Leolia Jeanjean p=0.591 vs Lucrezia Stefanini. Executable ask 0.4900 (aec-wta-lucste-leojea-2026-08-12).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Leolia Jeanjean</t>
        </is>
      </c>
      <c r="AQ309" s="24" t="inlineStr">
        <is>
          <t>Leolia Jeanjean</t>
        </is>
      </c>
      <c r="AR309" s="24" t="inlineStr">
        <is>
          <t>Leolia Jeanjean</t>
        </is>
      </c>
      <c r="AS309" s="24" t="inlineStr">
        <is>
          <t>Lucrezia Stefanini</t>
        </is>
      </c>
      <c r="AT309" s="24" t="inlineStr">
        <is>
          <t>Lucrezia Stefanini</t>
        </is>
      </c>
      <c r="AU309" s="24" t="inlineStr">
        <is>
          <t>Lucrezia Stefanini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3ab056fefe04713e3c294da76c8adb2866b0dc46556ed32322a0426dd344a0e4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3ab056fefe04713e3c294da76c8adb2866b0dc46556ed32322a0426dd344a0e4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3ab056fefe04713e3c294da76c8adb2866b0dc46556ed32322a0426dd344a0e4</t>
        </is>
      </c>
      <c r="BH309" s="24" t="inlineStr">
        <is>
          <t>2026-08-12T14:34:20.803171Z</t>
        </is>
      </c>
      <c r="BI309" s="24" t="inlineStr">
        <is>
          <t>["same_event","same_team_same_day","same_league_same_day"]</t>
        </is>
      </c>
      <c r="BJ309" s="25" t="n"/>
      <c r="BK309" s="26" t="n">
        <v>104</v>
      </c>
      <c r="BL309" s="27" t="n">
        <v>2.04</v>
      </c>
      <c r="BM309" s="28" t="n">
        <v>0.490196</v>
      </c>
      <c r="BN309" s="28" t="n"/>
      <c r="BO309" s="28" t="n"/>
      <c r="BP309" s="25" t="n"/>
      <c r="BQ309" s="27" t="n">
        <v>2.04</v>
      </c>
      <c r="BR309" s="28" t="n">
        <v>0.49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0.490196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1c30529b99e143ba</t>
        </is>
      </c>
      <c r="B310" s="24" t="inlineStr">
        <is>
          <t>2026-08-12T14:35:54.201251Z</t>
        </is>
      </c>
      <c r="C310" s="24" t="inlineStr">
        <is>
          <t>2026-08-12T15:30Z</t>
        </is>
      </c>
      <c r="D310" s="24" t="inlineStr">
        <is>
          <t>718-2026:184434</t>
        </is>
      </c>
      <c r="E310" s="24" t="inlineStr">
        <is>
          <t>TENNIS</t>
        </is>
      </c>
      <c r="F310" s="24" t="inlineStr">
        <is>
          <t>Dusan Lajovic</t>
        </is>
      </c>
      <c r="G310" s="24" t="inlineStr">
        <is>
          <t>Luca Van Assche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-245</v>
      </c>
      <c r="M310" s="27" t="n">
        <v>1.408163</v>
      </c>
      <c r="N310" s="28" t="n">
        <v>0.710145</v>
      </c>
      <c r="O310" s="28" t="n">
        <v>0.592302</v>
      </c>
      <c r="P310" s="28" t="n">
        <v>0.05</v>
      </c>
      <c r="Q310" s="28" t="n">
        <v>-0.117843</v>
      </c>
      <c r="R310" s="26" t="n">
        <v>0</v>
      </c>
      <c r="S310" s="29" t="n">
        <v>1.25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>
        <v>-245</v>
      </c>
      <c r="AA310" s="28" t="n">
        <v>0.71</v>
      </c>
      <c r="AB310" s="28" t="n">
        <v>-0.000145</v>
      </c>
      <c r="AC310" s="30" t="n">
        <v>0.5102</v>
      </c>
      <c r="AD310" s="24" t="inlineStr">
        <is>
          <t>2026-08-13T05:31:38.527870Z</t>
        </is>
      </c>
      <c r="AE310" s="31" t="inlineStr">
        <is>
          <t>Surface-blended Elo on Hard: Dusan Lajovic p=0.408 vs Luca Van Assche. Executable ask 0.7100 (aec-atp-lucass-duslaj-2026-08-12).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3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Dusan Lajovic</t>
        </is>
      </c>
      <c r="AQ310" s="24" t="inlineStr">
        <is>
          <t>Dusan Lajovic</t>
        </is>
      </c>
      <c r="AR310" s="24" t="inlineStr">
        <is>
          <t>Dusan Lajovic</t>
        </is>
      </c>
      <c r="AS310" s="24" t="inlineStr">
        <is>
          <t>Luca Van Assche</t>
        </is>
      </c>
      <c r="AT310" s="24" t="inlineStr">
        <is>
          <t>Luca Van Assche</t>
        </is>
      </c>
      <c r="AU310" s="24" t="inlineStr">
        <is>
          <t>Luca Van Assche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3ab056fefe04713e3c294da76c8adb2866b0dc46556ed32322a0426dd344a0e4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3ab056fefe04713e3c294da76c8adb2866b0dc46556ed32322a0426dd344a0e4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3ab056fefe04713e3c294da76c8adb2866b0dc46556ed32322a0426dd344a0e4</t>
        </is>
      </c>
      <c r="BH310" s="24" t="inlineStr">
        <is>
          <t>2026-08-12T14:34:34.858458Z</t>
        </is>
      </c>
      <c r="BI310" s="24" t="inlineStr">
        <is>
          <t>["same_event","same_team_same_day","same_league_same_day"]</t>
        </is>
      </c>
      <c r="BJ310" s="25" t="n"/>
      <c r="BK310" s="26" t="n">
        <v>-245</v>
      </c>
      <c r="BL310" s="27" t="n">
        <v>1.408163</v>
      </c>
      <c r="BM310" s="28" t="n">
        <v>0.710145</v>
      </c>
      <c r="BN310" s="28" t="n"/>
      <c r="BO310" s="28" t="n"/>
      <c r="BP310" s="25" t="n"/>
      <c r="BQ310" s="27" t="n">
        <v>1.408163</v>
      </c>
      <c r="BR310" s="28" t="n">
        <v>0.71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0.710145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d4f2ab38091d4929</t>
        </is>
      </c>
      <c r="B311" s="24" t="inlineStr">
        <is>
          <t>2026-08-12T21:32:23.180840Z</t>
        </is>
      </c>
      <c r="C311" s="24" t="inlineStr">
        <is>
          <t>2026-08-12T23:00Z</t>
        </is>
      </c>
      <c r="D311" s="24" t="inlineStr">
        <is>
          <t>421-2026:182206</t>
        </is>
      </c>
      <c r="E311" s="24" t="inlineStr">
        <is>
          <t>TENNIS</t>
        </is>
      </c>
      <c r="F311" s="24" t="inlineStr">
        <is>
          <t>Iga Swiatek</t>
        </is>
      </c>
      <c r="G311" s="24" t="inlineStr">
        <is>
          <t>Elina Svitolina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203</v>
      </c>
      <c r="M311" s="27" t="n">
        <v>3.03</v>
      </c>
      <c r="N311" s="28" t="n">
        <v>0.330033</v>
      </c>
      <c r="O311" s="28" t="n">
        <v>0.530694</v>
      </c>
      <c r="P311" s="28" t="n">
        <v>0.05</v>
      </c>
      <c r="Q311" s="28" t="n">
        <v>0.200661</v>
      </c>
      <c r="R311" s="26" t="n">
        <v>100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203</v>
      </c>
      <c r="AA311" s="28" t="n">
        <v>0.33</v>
      </c>
      <c r="AB311" s="28" t="n">
        <v>-3.3e-05</v>
      </c>
      <c r="AC311" s="30" t="n">
        <v>-1</v>
      </c>
      <c r="AD311" s="24" t="inlineStr">
        <is>
          <t>2026-08-13T05:32:40.046742Z</t>
        </is>
      </c>
      <c r="AE311" s="31" t="inlineStr">
        <is>
          <t>Surface-blended Elo on Hard: Iga Swiatek p=0.469 vs Elina Svitolina. Executable ask 0.3300 (aec-wta-elisvi-igaswi-2026-08-12).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3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Iga Swiatek</t>
        </is>
      </c>
      <c r="AQ311" s="24" t="inlineStr">
        <is>
          <t>Iga Swiatek</t>
        </is>
      </c>
      <c r="AR311" s="24" t="inlineStr">
        <is>
          <t>Iga Swiatek</t>
        </is>
      </c>
      <c r="AS311" s="24" t="inlineStr">
        <is>
          <t>Elina Svitolina</t>
        </is>
      </c>
      <c r="AT311" s="24" t="inlineStr">
        <is>
          <t>Elina Svitolina</t>
        </is>
      </c>
      <c r="AU311" s="24" t="inlineStr">
        <is>
          <t>Elina Svitolina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3ab056fefe04713e3c294da76c8adb2866b0dc46556ed32322a0426dd344a0e4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3ab056fefe04713e3c294da76c8adb2866b0dc46556ed32322a0426dd344a0e4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3ab056fefe04713e3c294da76c8adb2866b0dc46556ed32322a0426dd344a0e4</t>
        </is>
      </c>
      <c r="BH311" s="24" t="inlineStr">
        <is>
          <t>2026-08-12T21:16:29.324291Z</t>
        </is>
      </c>
      <c r="BI311" s="24" t="inlineStr">
        <is>
          <t>["same_event","same_team_same_day","same_league_same_day"]</t>
        </is>
      </c>
      <c r="BJ311" s="25" t="n"/>
      <c r="BK311" s="26" t="n">
        <v>203</v>
      </c>
      <c r="BL311" s="27" t="n">
        <v>3.03</v>
      </c>
      <c r="BM311" s="28" t="n">
        <v>0.330033</v>
      </c>
      <c r="BN311" s="28" t="n"/>
      <c r="BO311" s="28" t="n"/>
      <c r="BP311" s="25" t="n"/>
      <c r="BQ311" s="27" t="n">
        <v>3.03</v>
      </c>
      <c r="BR311" s="28" t="n">
        <v>0.33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0.330033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56ce1deb596844c8</t>
        </is>
      </c>
      <c r="B312" s="24" t="inlineStr">
        <is>
          <t>2026-08-12T21:32:23.180840Z</t>
        </is>
      </c>
      <c r="C312" s="24" t="inlineStr">
        <is>
          <t>2026-08-12T22:00Z</t>
        </is>
      </c>
      <c r="D312" s="24" t="inlineStr">
        <is>
          <t>421-2026:181793</t>
        </is>
      </c>
      <c r="E312" s="24" t="inlineStr">
        <is>
          <t>TENNIS</t>
        </is>
      </c>
      <c r="F312" s="24" t="inlineStr">
        <is>
          <t>Brandon Nakashima</t>
        </is>
      </c>
      <c r="G312" s="24" t="inlineStr">
        <is>
          <t>Rafael Jodar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-233</v>
      </c>
      <c r="M312" s="27" t="n">
        <v>1.429185</v>
      </c>
      <c r="N312" s="28" t="n">
        <v>0.6997</v>
      </c>
      <c r="O312" s="28" t="n">
        <v>0.59108</v>
      </c>
      <c r="P312" s="28" t="n">
        <v>0.05</v>
      </c>
      <c r="Q312" s="28" t="n">
        <v>-0.10862</v>
      </c>
      <c r="R312" s="26" t="n">
        <v>0</v>
      </c>
      <c r="S312" s="29" t="n">
        <v>1.25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loss</t>
        </is>
      </c>
      <c r="W312" s="26" t="n">
        <v>1</v>
      </c>
      <c r="X312" s="26" t="n">
        <v>0</v>
      </c>
      <c r="Y312" s="25" t="n"/>
      <c r="Z312" s="26" t="n">
        <v>-233</v>
      </c>
      <c r="AA312" s="28" t="n">
        <v>0.7</v>
      </c>
      <c r="AB312" s="28" t="n">
        <v>0.0003</v>
      </c>
      <c r="AC312" s="30" t="n">
        <v>-1.25</v>
      </c>
      <c r="AD312" s="24" t="inlineStr">
        <is>
          <t>2026-08-13T05:32:41.826255Z</t>
        </is>
      </c>
      <c r="AE312" s="31" t="inlineStr">
        <is>
          <t>Surface-blended Elo on Hard: Brandon Nakashima p=0.409 vs Rafael Jodar. Executable ask 0.7000 (aec-atp-rafjod-branak-2026-08-12).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3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Brandon Nakashima</t>
        </is>
      </c>
      <c r="AQ312" s="24" t="inlineStr">
        <is>
          <t>Brandon Nakashima</t>
        </is>
      </c>
      <c r="AR312" s="24" t="inlineStr">
        <is>
          <t>Brandon Nakashima</t>
        </is>
      </c>
      <c r="AS312" s="24" t="inlineStr">
        <is>
          <t>Rafael Jodar</t>
        </is>
      </c>
      <c r="AT312" s="24" t="inlineStr">
        <is>
          <t>Rafael Jodar</t>
        </is>
      </c>
      <c r="AU312" s="24" t="inlineStr">
        <is>
          <t>Rafael Jodar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3ab056fefe04713e3c294da76c8adb2866b0dc46556ed32322a0426dd344a0e4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3ab056fefe04713e3c294da76c8adb2866b0dc46556ed32322a0426dd344a0e4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3ab056fefe04713e3c294da76c8adb2866b0dc46556ed32322a0426dd344a0e4</t>
        </is>
      </c>
      <c r="BH312" s="24" t="inlineStr">
        <is>
          <t>2026-08-12T21:16:30.094408Z</t>
        </is>
      </c>
      <c r="BI312" s="24" t="inlineStr">
        <is>
          <t>["same_event","same_team_same_day","same_league_same_day"]</t>
        </is>
      </c>
      <c r="BJ312" s="25" t="n"/>
      <c r="BK312" s="26" t="n">
        <v>-233</v>
      </c>
      <c r="BL312" s="27" t="n">
        <v>1.429185</v>
      </c>
      <c r="BM312" s="28" t="n">
        <v>0.6997</v>
      </c>
      <c r="BN312" s="28" t="n"/>
      <c r="BO312" s="28" t="n"/>
      <c r="BP312" s="25" t="n"/>
      <c r="BQ312" s="27" t="n">
        <v>1.429185</v>
      </c>
      <c r="BR312" s="28" t="n">
        <v>0.7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0.6997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c57ea40df1c844c7</t>
        </is>
      </c>
      <c r="B313" s="24" t="inlineStr">
        <is>
          <t>2026-08-12T21:32:23.180840Z</t>
        </is>
      </c>
      <c r="C313" s="24" t="inlineStr">
        <is>
          <t>2026-08-12T23:30Z</t>
        </is>
      </c>
      <c r="D313" s="24" t="inlineStr">
        <is>
          <t>421-2026:181792</t>
        </is>
      </c>
      <c r="E313" s="24" t="inlineStr">
        <is>
          <t>TENNIS</t>
        </is>
      </c>
      <c r="F313" s="24" t="inlineStr">
        <is>
          <t>Ben Shelton</t>
        </is>
      </c>
      <c r="G313" s="24" t="inlineStr">
        <is>
          <t>Learner Tien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-203</v>
      </c>
      <c r="M313" s="27" t="n">
        <v>1.492611</v>
      </c>
      <c r="N313" s="28" t="n">
        <v>0.669967</v>
      </c>
      <c r="O313" s="28" t="n">
        <v>0.598983</v>
      </c>
      <c r="P313" s="28" t="n">
        <v>0.05</v>
      </c>
      <c r="Q313" s="28" t="n">
        <v>-0.07098400000000001</v>
      </c>
      <c r="R313" s="26" t="n">
        <v>0</v>
      </c>
      <c r="S313" s="29" t="n">
        <v>1.25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-203</v>
      </c>
      <c r="AA313" s="28" t="n">
        <v>0.67</v>
      </c>
      <c r="AB313" s="28" t="n">
        <v>3.3e-05</v>
      </c>
      <c r="AC313" s="30" t="n">
        <v>0.6158</v>
      </c>
      <c r="AD313" s="24" t="inlineStr">
        <is>
          <t>2026-08-13T05:32:43.504047Z</t>
        </is>
      </c>
      <c r="AE313" s="31" t="inlineStr">
        <is>
          <t>Surface-blended Elo on Hard: Ben Shelton p=0.599 vs Learner Tien. Executable ask 0.6700 (aec-atp-leatie-benshe-2026-08-13).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3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Ben Shelton</t>
        </is>
      </c>
      <c r="AQ313" s="24" t="inlineStr">
        <is>
          <t>Ben Shelton</t>
        </is>
      </c>
      <c r="AR313" s="24" t="inlineStr">
        <is>
          <t>Ben Shelton</t>
        </is>
      </c>
      <c r="AS313" s="24" t="inlineStr">
        <is>
          <t>Learner Tien</t>
        </is>
      </c>
      <c r="AT313" s="24" t="inlineStr">
        <is>
          <t>Learner Tien</t>
        </is>
      </c>
      <c r="AU313" s="24" t="inlineStr">
        <is>
          <t>Learner Tien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3ab056fefe04713e3c294da76c8adb2866b0dc46556ed32322a0426dd344a0e4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3ab056fefe04713e3c294da76c8adb2866b0dc46556ed32322a0426dd344a0e4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3ab056fefe04713e3c294da76c8adb2866b0dc46556ed32322a0426dd344a0e4</t>
        </is>
      </c>
      <c r="BH313" s="24" t="inlineStr">
        <is>
          <t>2026-08-12T21:16:31.426889Z</t>
        </is>
      </c>
      <c r="BI313" s="24" t="inlineStr">
        <is>
          <t>["same_event","same_team_same_day","same_league_same_day"]</t>
        </is>
      </c>
      <c r="BJ313" s="25" t="n"/>
      <c r="BK313" s="26" t="n">
        <v>-203</v>
      </c>
      <c r="BL313" s="27" t="n">
        <v>1.492611</v>
      </c>
      <c r="BM313" s="28" t="n">
        <v>0.669967</v>
      </c>
      <c r="BN313" s="28" t="n"/>
      <c r="BO313" s="28" t="n"/>
      <c r="BP313" s="25" t="n"/>
      <c r="BQ313" s="27" t="n">
        <v>1.492611</v>
      </c>
      <c r="BR313" s="28" t="n">
        <v>0.67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0.669967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051743ee67e54d9f</t>
        </is>
      </c>
      <c r="B314" s="24" t="inlineStr">
        <is>
          <t>2026-08-13T13:45:46.281726Z</t>
        </is>
      </c>
      <c r="C314" s="24" t="inlineStr">
        <is>
          <t>2026-08-13T16:30Z</t>
        </is>
      </c>
      <c r="D314" s="24" t="inlineStr">
        <is>
          <t>718-2026:184471</t>
        </is>
      </c>
      <c r="E314" s="24" t="inlineStr">
        <is>
          <t>TENNIS</t>
        </is>
      </c>
      <c r="F314" s="24" t="inlineStr">
        <is>
          <t>Nadia Podoroska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144</v>
      </c>
      <c r="M314" s="27" t="n">
        <v>2.44</v>
      </c>
      <c r="N314" s="28" t="n">
        <v>0.409836</v>
      </c>
      <c r="O314" s="28" t="n">
        <v>0.50026</v>
      </c>
      <c r="P314" s="28" t="n">
        <v>0.05</v>
      </c>
      <c r="Q314" s="28" t="n">
        <v>0.090424</v>
      </c>
      <c r="R314" s="26" t="n">
        <v>65</v>
      </c>
      <c r="S314" s="29" t="n">
        <v>1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loss</t>
        </is>
      </c>
      <c r="W314" s="26" t="n">
        <v>0</v>
      </c>
      <c r="X314" s="26" t="n">
        <v>1</v>
      </c>
      <c r="Y314" s="25" t="n"/>
      <c r="Z314" s="26" t="n">
        <v>144</v>
      </c>
      <c r="AA314" s="28" t="n">
        <v>0.41</v>
      </c>
      <c r="AB314" s="28" t="n">
        <v>0.000164</v>
      </c>
      <c r="AC314" s="30" t="n">
        <v>-1</v>
      </c>
      <c r="AD314" s="24" t="inlineStr">
        <is>
          <t>2026-08-13T20:10:26.161175Z</t>
        </is>
      </c>
      <c r="AE314" s="31" t="inlineStr">
        <is>
          <t>Surface-blended Elo on Hard: Nadia Podoroska p=0.500 vs Emiliana Arango. Executable ask 0.4100 (aec-wta-emiara-nadpod-2026-08-13).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3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Nadia Podoroska</t>
        </is>
      </c>
      <c r="AQ314" s="24" t="inlineStr">
        <is>
          <t>Nadia Podoroska</t>
        </is>
      </c>
      <c r="AR314" s="24" t="inlineStr">
        <is>
          <t>Nadia Podoroska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3ab056fefe04713e3c294da76c8adb2866b0dc46556ed32322a0426dd344a0e4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3ab056fefe04713e3c294da76c8adb2866b0dc46556ed32322a0426dd344a0e4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3ab056fefe04713e3c294da76c8adb2866b0dc46556ed32322a0426dd344a0e4</t>
        </is>
      </c>
      <c r="BH314" s="24" t="inlineStr">
        <is>
          <t>2026-08-13T13:44:35.484534Z</t>
        </is>
      </c>
      <c r="BI314" s="24" t="inlineStr">
        <is>
          <t>["same_event","same_team_same_day","same_league_same_day"]</t>
        </is>
      </c>
      <c r="BJ314" s="25" t="n"/>
      <c r="BK314" s="26" t="n">
        <v>144</v>
      </c>
      <c r="BL314" s="27" t="n">
        <v>2.44</v>
      </c>
      <c r="BM314" s="28" t="n">
        <v>0.409836</v>
      </c>
      <c r="BN314" s="28" t="n"/>
      <c r="BO314" s="28" t="n"/>
      <c r="BP314" s="25" t="n"/>
      <c r="BQ314" s="27" t="n">
        <v>2.44</v>
      </c>
      <c r="BR314" s="28" t="n">
        <v>0.41</v>
      </c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0.409836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5560b0d4fc8a480a</t>
        </is>
      </c>
      <c r="B315" s="24" t="inlineStr">
        <is>
          <t>2026-08-13T13:45:46.281726Z</t>
        </is>
      </c>
      <c r="C315" s="24" t="inlineStr">
        <is>
          <t>2026-08-13T16:30Z</t>
        </is>
      </c>
      <c r="D315" s="24" t="inlineStr">
        <is>
          <t>718-2026:184475</t>
        </is>
      </c>
      <c r="E315" s="24" t="inlineStr">
        <is>
          <t>TENNIS</t>
        </is>
      </c>
      <c r="F315" s="24" t="inlineStr">
        <is>
          <t>Polina Kudermetova</t>
        </is>
      </c>
      <c r="G315" s="24" t="inlineStr">
        <is>
          <t>Wang Xiyu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150</v>
      </c>
      <c r="M315" s="27" t="n">
        <v>2.5</v>
      </c>
      <c r="N315" s="28" t="n">
        <v>0.4</v>
      </c>
      <c r="O315" s="28" t="n">
        <v>0.57778</v>
      </c>
      <c r="P315" s="28" t="n">
        <v>0.05</v>
      </c>
      <c r="Q315" s="28" t="n">
        <v>0.17778</v>
      </c>
      <c r="R315" s="26" t="n">
        <v>100</v>
      </c>
      <c r="S315" s="29" t="n">
        <v>1.25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loss</t>
        </is>
      </c>
      <c r="W315" s="26" t="n">
        <v>0</v>
      </c>
      <c r="X315" s="26" t="n">
        <v>1</v>
      </c>
      <c r="Y315" s="25" t="n"/>
      <c r="Z315" s="26" t="n">
        <v>150</v>
      </c>
      <c r="AA315" s="28" t="n">
        <v>0.4</v>
      </c>
      <c r="AB315" s="28" t="n">
        <v>0</v>
      </c>
      <c r="AC315" s="30" t="n">
        <v>-1.25</v>
      </c>
      <c r="AD315" s="24" t="inlineStr">
        <is>
          <t>2026-08-13T19:18:05.207002Z</t>
        </is>
      </c>
      <c r="AE315" s="31" t="inlineStr">
        <is>
          <t>Surface-blended Elo on Hard: Polina Kudermetova p=0.578 vs Wang Xiyu. Executable ask 0.4000 (aec-wta-xiywan-polkud-2026-08-13).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Polina Kudermetova</t>
        </is>
      </c>
      <c r="AQ315" s="24" t="inlineStr">
        <is>
          <t>Polina Kudermetova</t>
        </is>
      </c>
      <c r="AR315" s="24" t="inlineStr">
        <is>
          <t>Polina Kudermetova</t>
        </is>
      </c>
      <c r="AS315" s="24" t="inlineStr">
        <is>
          <t>Wang Xiyu</t>
        </is>
      </c>
      <c r="AT315" s="24" t="inlineStr">
        <is>
          <t>Wang Xiyu</t>
        </is>
      </c>
      <c r="AU315" s="24" t="inlineStr">
        <is>
          <t>Wang Xiyu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3ab056fefe04713e3c294da76c8adb2866b0dc46556ed32322a0426dd344a0e4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3ab056fefe04713e3c294da76c8adb2866b0dc46556ed32322a0426dd344a0e4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3ab056fefe04713e3c294da76c8adb2866b0dc46556ed32322a0426dd344a0e4</t>
        </is>
      </c>
      <c r="BH315" s="24" t="inlineStr">
        <is>
          <t>2026-08-13T13:44:36.206620Z</t>
        </is>
      </c>
      <c r="BI315" s="24" t="inlineStr">
        <is>
          <t>["same_event","same_team_same_day","same_league_same_day"]</t>
        </is>
      </c>
      <c r="BJ315" s="25" t="n"/>
      <c r="BK315" s="26" t="n">
        <v>150</v>
      </c>
      <c r="BL315" s="27" t="n">
        <v>2.5</v>
      </c>
      <c r="BM315" s="28" t="n">
        <v>0.4</v>
      </c>
      <c r="BN315" s="28" t="n"/>
      <c r="BO315" s="28" t="n"/>
      <c r="BP315" s="25" t="n"/>
      <c r="BQ315" s="27" t="n">
        <v>2.5</v>
      </c>
      <c r="BR315" s="28" t="n">
        <v>0.4</v>
      </c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0.4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ff726d2166344f11</t>
        </is>
      </c>
      <c r="B316" s="24" t="inlineStr">
        <is>
          <t>2026-08-13T13:45:46.281726Z</t>
        </is>
      </c>
      <c r="C316" s="24" t="inlineStr">
        <is>
          <t>2026-08-13T16:30Z</t>
        </is>
      </c>
      <c r="D316" s="24" t="inlineStr">
        <is>
          <t>718-2026:184432</t>
        </is>
      </c>
      <c r="E316" s="24" t="inlineStr">
        <is>
          <t>TENNIS</t>
        </is>
      </c>
      <c r="F316" s="24" t="inlineStr">
        <is>
          <t>Nicolas Mejia</t>
        </is>
      </c>
      <c r="G316" s="24" t="inlineStr">
        <is>
          <t>Henrique Rocha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133</v>
      </c>
      <c r="M316" s="27" t="n">
        <v>2.33</v>
      </c>
      <c r="N316" s="28" t="n">
        <v>0.429185</v>
      </c>
      <c r="O316" s="28" t="n">
        <v>0.502184</v>
      </c>
      <c r="P316" s="28" t="n">
        <v>0.05</v>
      </c>
      <c r="Q316" s="28" t="n">
        <v>0.07299899999999999</v>
      </c>
      <c r="R316" s="26" t="n">
        <v>56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win</t>
        </is>
      </c>
      <c r="W316" s="26" t="n">
        <v>1</v>
      </c>
      <c r="X316" s="26" t="n">
        <v>0</v>
      </c>
      <c r="Y316" s="25" t="n"/>
      <c r="Z316" s="26" t="n">
        <v>133</v>
      </c>
      <c r="AA316" s="28" t="n">
        <v>0.43</v>
      </c>
      <c r="AB316" s="28" t="n">
        <v>0.000815</v>
      </c>
      <c r="AC316" s="30" t="n">
        <v>1.33</v>
      </c>
      <c r="AD316" s="24" t="inlineStr">
        <is>
          <t>2026-08-13T23:16:13.428811Z</t>
        </is>
      </c>
      <c r="AE316" s="31" t="inlineStr">
        <is>
          <t>Surface-blended Elo on Hard: Nicolas Mejia p=0.502 vs Henrique Rocha. Executable ask 0.4300 (aec-atp-henroc-nicmej-2026-08-13).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3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Nicolas Mejia</t>
        </is>
      </c>
      <c r="AQ316" s="24" t="inlineStr">
        <is>
          <t>Nicolas Mejia</t>
        </is>
      </c>
      <c r="AR316" s="24" t="inlineStr">
        <is>
          <t>Nicolas Mejia</t>
        </is>
      </c>
      <c r="AS316" s="24" t="inlineStr">
        <is>
          <t>Henrique Rocha</t>
        </is>
      </c>
      <c r="AT316" s="24" t="inlineStr">
        <is>
          <t>Henrique Rocha</t>
        </is>
      </c>
      <c r="AU316" s="24" t="inlineStr">
        <is>
          <t>Henrique Rocha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3ab056fefe04713e3c294da76c8adb2866b0dc46556ed32322a0426dd344a0e4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3ab056fefe04713e3c294da76c8adb2866b0dc46556ed32322a0426dd344a0e4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3ab056fefe04713e3c294da76c8adb2866b0dc46556ed32322a0426dd344a0e4</t>
        </is>
      </c>
      <c r="BH316" s="24" t="inlineStr">
        <is>
          <t>2026-08-13T13:44:54.777576Z</t>
        </is>
      </c>
      <c r="BI316" s="24" t="inlineStr">
        <is>
          <t>["same_event","same_team_same_day","same_league_same_day"]</t>
        </is>
      </c>
      <c r="BJ316" s="25" t="n"/>
      <c r="BK316" s="26" t="n">
        <v>133</v>
      </c>
      <c r="BL316" s="27" t="n">
        <v>2.33</v>
      </c>
      <c r="BM316" s="28" t="n">
        <v>0.429185</v>
      </c>
      <c r="BN316" s="28" t="n"/>
      <c r="BO316" s="28" t="n"/>
      <c r="BP316" s="25" t="n"/>
      <c r="BQ316" s="27" t="n">
        <v>2.33</v>
      </c>
      <c r="BR316" s="28" t="n">
        <v>0.43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0.429185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9d8197b3f2484d2b</t>
        </is>
      </c>
      <c r="B317" s="24" t="inlineStr">
        <is>
          <t>2026-08-13T13:45:46.281726Z</t>
        </is>
      </c>
      <c r="C317" s="24" t="inlineStr">
        <is>
          <t>2026-08-13T16:30Z</t>
        </is>
      </c>
      <c r="D317" s="24" t="inlineStr">
        <is>
          <t>718-2026:184442</t>
        </is>
      </c>
      <c r="E317" s="24" t="inlineStr">
        <is>
          <t>TENNIS</t>
        </is>
      </c>
      <c r="F317" s="24" t="inlineStr">
        <is>
          <t>Mark Lajal</t>
        </is>
      </c>
      <c r="G317" s="24" t="inlineStr">
        <is>
          <t>Aleksandar Vukic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-127</v>
      </c>
      <c r="M317" s="27" t="n">
        <v>1.787402</v>
      </c>
      <c r="N317" s="28" t="n">
        <v>0.5594710000000001</v>
      </c>
      <c r="O317" s="28" t="n">
        <v>0.509432</v>
      </c>
      <c r="P317" s="28" t="n">
        <v>0.05</v>
      </c>
      <c r="Q317" s="28" t="n">
        <v>-0.050039</v>
      </c>
      <c r="R317" s="26" t="n">
        <v>0</v>
      </c>
      <c r="S317" s="29" t="n">
        <v>1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0</v>
      </c>
      <c r="Y317" s="25" t="n"/>
      <c r="Z317" s="26" t="n">
        <v>-127</v>
      </c>
      <c r="AA317" s="28" t="n">
        <v>0.5600000000000001</v>
      </c>
      <c r="AB317" s="28" t="n">
        <v>0.000529</v>
      </c>
      <c r="AC317" s="30" t="n">
        <v>-1</v>
      </c>
      <c r="AD317" s="24" t="inlineStr">
        <is>
          <t>2026-08-13T19:18:06.511766Z</t>
        </is>
      </c>
      <c r="AE317" s="31" t="inlineStr">
        <is>
          <t>Surface-blended Elo on Hard: Mark Lajal p=0.491 vs Aleksandar Vukic. Executable ask 0.5600 (aec-atp-alevuk-marlaj-2026-08-13).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3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Mark Lajal</t>
        </is>
      </c>
      <c r="AQ317" s="24" t="inlineStr">
        <is>
          <t>Mark Lajal</t>
        </is>
      </c>
      <c r="AR317" s="24" t="inlineStr">
        <is>
          <t>Mark Lajal</t>
        </is>
      </c>
      <c r="AS317" s="24" t="inlineStr">
        <is>
          <t>Aleksandar Vukic</t>
        </is>
      </c>
      <c r="AT317" s="24" t="inlineStr">
        <is>
          <t>Aleksandar Vukic</t>
        </is>
      </c>
      <c r="AU317" s="24" t="inlineStr">
        <is>
          <t>Aleksandar Vukic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3ab056fefe04713e3c294da76c8adb2866b0dc46556ed32322a0426dd344a0e4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3ab056fefe04713e3c294da76c8adb2866b0dc46556ed32322a0426dd344a0e4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3ab056fefe04713e3c294da76c8adb2866b0dc46556ed32322a0426dd344a0e4</t>
        </is>
      </c>
      <c r="BH317" s="24" t="inlineStr">
        <is>
          <t>2026-08-13T13:44:55.732393Z</t>
        </is>
      </c>
      <c r="BI317" s="24" t="inlineStr">
        <is>
          <t>["same_event","same_team_same_day","same_league_same_day"]</t>
        </is>
      </c>
      <c r="BJ317" s="25" t="n"/>
      <c r="BK317" s="26" t="n">
        <v>-127</v>
      </c>
      <c r="BL317" s="27" t="n">
        <v>1.787402</v>
      </c>
      <c r="BM317" s="28" t="n">
        <v>0.5594710000000001</v>
      </c>
      <c r="BN317" s="28" t="n"/>
      <c r="BO317" s="28" t="n"/>
      <c r="BP317" s="25" t="n"/>
      <c r="BQ317" s="27" t="n">
        <v>1.787402</v>
      </c>
      <c r="BR317" s="28" t="n">
        <v>0.5600000000000001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0.559471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94a41ee392094508</t>
        </is>
      </c>
      <c r="B318" s="24" t="inlineStr">
        <is>
          <t>2026-08-13T23:18:51.018982Z</t>
        </is>
      </c>
      <c r="C318" s="24" t="inlineStr">
        <is>
          <t>2026-08-14T00:00Z</t>
        </is>
      </c>
      <c r="D318" s="24" t="inlineStr">
        <is>
          <t>421-2026:181845</t>
        </is>
      </c>
      <c r="E318" s="24" t="inlineStr">
        <is>
          <t>TENNIS</t>
        </is>
      </c>
      <c r="F318" s="24" t="inlineStr">
        <is>
          <t>Brandon Nakashima</t>
        </is>
      </c>
      <c r="G318" s="24" t="inlineStr">
        <is>
          <t>Ben Shelton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-223</v>
      </c>
      <c r="M318" s="27" t="n">
        <v>1.44843</v>
      </c>
      <c r="N318" s="28" t="n">
        <v>0.690402</v>
      </c>
      <c r="O318" s="28" t="n">
        <v>0.6813900000000001</v>
      </c>
      <c r="P318" s="28" t="n">
        <v>0.05</v>
      </c>
      <c r="Q318" s="28" t="n">
        <v>-0.009011999999999999</v>
      </c>
      <c r="R318" s="26" t="n">
        <v>15</v>
      </c>
      <c r="S318" s="29" t="n">
        <v>2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win</t>
        </is>
      </c>
      <c r="W318" s="26" t="n">
        <v>0</v>
      </c>
      <c r="X318" s="26" t="n">
        <v>1</v>
      </c>
      <c r="Y318" s="25" t="n"/>
      <c r="Z318" s="26" t="n">
        <v>-223</v>
      </c>
      <c r="AA318" s="28" t="n">
        <v>0.6899999999999999</v>
      </c>
      <c r="AB318" s="28" t="n">
        <v>-0.000402</v>
      </c>
      <c r="AC318" s="30" t="n">
        <v>0.8969</v>
      </c>
      <c r="AD318" s="24" t="inlineStr">
        <is>
          <t>2026-08-14T02:21:21.075892Z</t>
        </is>
      </c>
      <c r="AE318" s="31" t="inlineStr">
        <is>
          <t>Surface-blended Elo on Hard: Brandon Nakashima p=0.319 vs Ben Shelton. Executable ask 0.6900 (aec-atp-benshe-branak-2026-08-13).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3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Brandon Nakashima</t>
        </is>
      </c>
      <c r="AQ318" s="24" t="inlineStr">
        <is>
          <t>Brandon Nakashima</t>
        </is>
      </c>
      <c r="AR318" s="24" t="inlineStr">
        <is>
          <t>Brandon Nakashima</t>
        </is>
      </c>
      <c r="AS318" s="24" t="inlineStr">
        <is>
          <t>Ben Shelton</t>
        </is>
      </c>
      <c r="AT318" s="24" t="inlineStr">
        <is>
          <t>Ben Shelton</t>
        </is>
      </c>
      <c r="AU318" s="24" t="inlineStr">
        <is>
          <t>Ben Shelton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3ab056fefe04713e3c294da76c8adb2866b0dc46556ed32322a0426dd344a0e4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3ab056fefe04713e3c294da76c8adb2866b0dc46556ed32322a0426dd344a0e4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3ab056fefe04713e3c294da76c8adb2866b0dc46556ed32322a0426dd344a0e4</t>
        </is>
      </c>
      <c r="BH318" s="24" t="inlineStr">
        <is>
          <t>2026-08-13T23:18:25.313295Z</t>
        </is>
      </c>
      <c r="BI318" s="24" t="inlineStr">
        <is>
          <t>["same_event","same_team_same_day","same_league_same_day"]</t>
        </is>
      </c>
      <c r="BJ318" s="25" t="n"/>
      <c r="BK318" s="26" t="n">
        <v>-223</v>
      </c>
      <c r="BL318" s="27" t="n">
        <v>1.44843</v>
      </c>
      <c r="BM318" s="28" t="n">
        <v>0.690402</v>
      </c>
      <c r="BN318" s="28" t="n"/>
      <c r="BO318" s="28" t="n"/>
      <c r="BP318" s="25" t="n"/>
      <c r="BQ318" s="27" t="n">
        <v>1.44843</v>
      </c>
      <c r="BR318" s="28" t="n">
        <v>0.6899999999999999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0.690402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a3d344a219d146dd</t>
        </is>
      </c>
      <c r="B319" s="24" t="inlineStr">
        <is>
          <t>2026-08-13T23:18:51.018982Z</t>
        </is>
      </c>
      <c r="C319" s="24" t="inlineStr">
        <is>
          <t>2026-08-14T00:30Z</t>
        </is>
      </c>
      <c r="D319" s="24" t="inlineStr">
        <is>
          <t>718-2026:181981</t>
        </is>
      </c>
      <c r="E319" s="24" t="inlineStr">
        <is>
          <t>TENNIS</t>
        </is>
      </c>
      <c r="F319" s="24" t="inlineStr">
        <is>
          <t>Mattia Bellucci</t>
        </is>
      </c>
      <c r="G319" s="24" t="inlineStr">
        <is>
          <t>Zachary Svajda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-170</v>
      </c>
      <c r="M319" s="27" t="n">
        <v>1.588235</v>
      </c>
      <c r="N319" s="28" t="n">
        <v>0.62963</v>
      </c>
      <c r="O319" s="28" t="n">
        <v>0.577265</v>
      </c>
      <c r="P319" s="28" t="n">
        <v>0.05</v>
      </c>
      <c r="Q319" s="28" t="n">
        <v>-0.052365</v>
      </c>
      <c r="R319" s="26" t="n">
        <v>0</v>
      </c>
      <c r="S319" s="29" t="n">
        <v>1.25</v>
      </c>
      <c r="T319" s="24" t="inlineStr">
        <is>
          <t>tennis-surface-elo-v1</t>
        </is>
      </c>
      <c r="U319" s="24" t="inlineStr">
        <is>
          <t>settled</t>
        </is>
      </c>
      <c r="V319" s="24" t="inlineStr">
        <is>
          <t>loss</t>
        </is>
      </c>
      <c r="W319" s="26" t="n">
        <v>1</v>
      </c>
      <c r="X319" s="26" t="n">
        <v>0</v>
      </c>
      <c r="Y319" s="25" t="n"/>
      <c r="Z319" s="26" t="n">
        <v>-170</v>
      </c>
      <c r="AA319" s="28" t="n">
        <v>0.63</v>
      </c>
      <c r="AB319" s="28" t="n">
        <v>0.00037</v>
      </c>
      <c r="AC319" s="30" t="n">
        <v>-1.25</v>
      </c>
      <c r="AD319" s="24" t="inlineStr">
        <is>
          <t>2026-08-14T05:26:11.849992Z</t>
        </is>
      </c>
      <c r="AE319" s="31" t="inlineStr">
        <is>
          <t>Surface-blended Elo on Hard: Mattia Bellucci p=0.423 vs Zachary Svajda. Executable ask 0.6300 (aec-atp-zacsva-matbel-2026-08-13).</t>
        </is>
      </c>
      <c r="AF319" s="31" t="inlineStr">
        <is>
          <t>Surface-blended Elo model; singles only, WTA+ATP market coverage, not yet locked-holdout qualified -- promoted by explicit operator directive, not genuine walk-forward validation.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3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Mattia Bellucci</t>
        </is>
      </c>
      <c r="AQ319" s="24" t="inlineStr">
        <is>
          <t>Mattia Bellucci</t>
        </is>
      </c>
      <c r="AR319" s="24" t="inlineStr">
        <is>
          <t>Mattia Bellucci</t>
        </is>
      </c>
      <c r="AS319" s="24" t="inlineStr">
        <is>
          <t>Zachary Svajda</t>
        </is>
      </c>
      <c r="AT319" s="24" t="inlineStr">
        <is>
          <t>Zachary Svajda</t>
        </is>
      </c>
      <c r="AU319" s="24" t="inlineStr">
        <is>
          <t>Zachary Svajda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3ab056fefe04713e3c294da76c8adb2866b0dc46556ed32322a0426dd344a0e4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3ab056fefe04713e3c294da76c8adb2866b0dc46556ed32322a0426dd344a0e4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3ab056fefe04713e3c294da76c8adb2866b0dc46556ed32322a0426dd344a0e4</t>
        </is>
      </c>
      <c r="BH319" s="24" t="inlineStr">
        <is>
          <t>2026-08-13T23:18:28.090957Z</t>
        </is>
      </c>
      <c r="BI319" s="24" t="inlineStr">
        <is>
          <t>["same_event","same_team_same_day","same_league_same_day"]</t>
        </is>
      </c>
      <c r="BJ319" s="25" t="n"/>
      <c r="BK319" s="26" t="n">
        <v>-170</v>
      </c>
      <c r="BL319" s="27" t="n">
        <v>1.588235</v>
      </c>
      <c r="BM319" s="28" t="n">
        <v>0.62963</v>
      </c>
      <c r="BN319" s="28" t="n"/>
      <c r="BO319" s="28" t="n"/>
      <c r="BP319" s="25" t="n"/>
      <c r="BQ319" s="27" t="n">
        <v>1.588235</v>
      </c>
      <c r="BR319" s="28" t="n">
        <v>0.63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0.62963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5165cadf7df244af</t>
        </is>
      </c>
      <c r="B320" s="24" t="inlineStr">
        <is>
          <t>2026-08-14T13:56:44.385594Z</t>
        </is>
      </c>
      <c r="C320" s="24" t="inlineStr">
        <is>
          <t>2026-08-14T15:00Z</t>
        </is>
      </c>
      <c r="D320" s="24" t="inlineStr">
        <is>
          <t>718-2026:182376</t>
        </is>
      </c>
      <c r="E320" s="24" t="inlineStr">
        <is>
          <t>TENNIS</t>
        </is>
      </c>
      <c r="F320" s="24" t="inlineStr">
        <is>
          <t>Alina Charaeva</t>
        </is>
      </c>
      <c r="G320" s="24" t="inlineStr">
        <is>
          <t>Nikola Bartunkova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223</v>
      </c>
      <c r="M320" s="27" t="n">
        <v>3.23</v>
      </c>
      <c r="N320" s="28" t="n">
        <v>0.309598</v>
      </c>
      <c r="O320" s="28" t="n">
        <v>0.518576</v>
      </c>
      <c r="P320" s="28" t="n">
        <v>0.05</v>
      </c>
      <c r="Q320" s="28" t="n">
        <v>0.208978</v>
      </c>
      <c r="R320" s="26" t="n">
        <v>100</v>
      </c>
      <c r="S320" s="29" t="n">
        <v>1</v>
      </c>
      <c r="T320" s="24" t="inlineStr">
        <is>
          <t>tennis-surface-elo-v1</t>
        </is>
      </c>
      <c r="U320" s="24" t="inlineStr">
        <is>
          <t>settled</t>
        </is>
      </c>
      <c r="V320" s="24" t="inlineStr">
        <is>
          <t>loss</t>
        </is>
      </c>
      <c r="W320" s="26" t="n">
        <v>0</v>
      </c>
      <c r="X320" s="26" t="n">
        <v>1</v>
      </c>
      <c r="Y320" s="25" t="n"/>
      <c r="Z320" s="26" t="n">
        <v>223</v>
      </c>
      <c r="AA320" s="28" t="n">
        <v>0.31</v>
      </c>
      <c r="AB320" s="28" t="n">
        <v>0.000402</v>
      </c>
      <c r="AC320" s="30" t="n">
        <v>-1</v>
      </c>
      <c r="AD320" s="24" t="inlineStr">
        <is>
          <t>2026-08-14T18:40:22.587324Z</t>
        </is>
      </c>
      <c r="AE320" s="31" t="inlineStr">
        <is>
          <t>Surface-blended Elo on Hard: Alina Charaeva p=0.519 vs Nikola Bartunkova. Executable ask 0.3100 (aec-wta-nikbar-alicha-2026-08-14).</t>
        </is>
      </c>
      <c r="AF320" s="31" t="inlineStr">
        <is>
          <t>Surface-blended Elo model; singles only, WTA+ATP market coverage, not yet locked-holdout qualified -- promoted by explicit operator directive, not genuine walk-forward validation.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3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Alina Charaeva</t>
        </is>
      </c>
      <c r="AQ320" s="24" t="inlineStr">
        <is>
          <t>Alina Charaeva</t>
        </is>
      </c>
      <c r="AR320" s="24" t="inlineStr">
        <is>
          <t>Alina Charaeva</t>
        </is>
      </c>
      <c r="AS320" s="24" t="inlineStr">
        <is>
          <t>Nikola Bartunkova</t>
        </is>
      </c>
      <c r="AT320" s="24" t="inlineStr">
        <is>
          <t>Nikola Bartunkova</t>
        </is>
      </c>
      <c r="AU320" s="24" t="inlineStr">
        <is>
          <t>Nikola Bartunkova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3ab056fefe04713e3c294da76c8adb2866b0dc46556ed32322a0426dd344a0e4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3ab056fefe04713e3c294da76c8adb2866b0dc46556ed32322a0426dd344a0e4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3ab056fefe04713e3c294da76c8adb2866b0dc46556ed32322a0426dd344a0e4</t>
        </is>
      </c>
      <c r="BH320" s="24" t="inlineStr">
        <is>
          <t>2026-08-14T13:55:12.654239Z</t>
        </is>
      </c>
      <c r="BI320" s="24" t="inlineStr">
        <is>
          <t>["same_event","same_team_same_day","same_league_same_day"]</t>
        </is>
      </c>
      <c r="BJ320" s="25" t="n"/>
      <c r="BK320" s="26" t="n">
        <v>223</v>
      </c>
      <c r="BL320" s="27" t="n">
        <v>3.23</v>
      </c>
      <c r="BM320" s="28" t="n">
        <v>0.309598</v>
      </c>
      <c r="BN320" s="28" t="n"/>
      <c r="BO320" s="28" t="n"/>
      <c r="BP320" s="25" t="n"/>
      <c r="BQ320" s="27" t="n">
        <v>3.23</v>
      </c>
      <c r="BR320" s="28" t="n">
        <v>0.31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0.309598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dce4e091373a4c79</t>
        </is>
      </c>
      <c r="B321" s="24" t="inlineStr">
        <is>
          <t>2026-08-14T13:56:44.385594Z</t>
        </is>
      </c>
      <c r="C321" s="24" t="inlineStr">
        <is>
          <t>2026-08-14T15:00Z</t>
        </is>
      </c>
      <c r="D321" s="24" t="inlineStr">
        <is>
          <t>718-2026:182449</t>
        </is>
      </c>
      <c r="E321" s="24" t="inlineStr">
        <is>
          <t>TENNIS</t>
        </is>
      </c>
      <c r="F321" s="24" t="inlineStr">
        <is>
          <t>Lucrezia Stefanini</t>
        </is>
      </c>
      <c r="G321" s="24" t="inlineStr">
        <is>
          <t>Elisabetta Cocciaretto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-203</v>
      </c>
      <c r="M321" s="27" t="n">
        <v>1.492611</v>
      </c>
      <c r="N321" s="28" t="n">
        <v>0.669967</v>
      </c>
      <c r="O321" s="28" t="n">
        <v>0.656816</v>
      </c>
      <c r="P321" s="28" t="n">
        <v>0.05</v>
      </c>
      <c r="Q321" s="28" t="n">
        <v>-0.013151</v>
      </c>
      <c r="R321" s="26" t="n">
        <v>13</v>
      </c>
      <c r="S321" s="29" t="n">
        <v>1.75</v>
      </c>
      <c r="T321" s="24" t="inlineStr">
        <is>
          <t>tennis-surface-elo-v1</t>
        </is>
      </c>
      <c r="U321" s="24" t="inlineStr">
        <is>
          <t>settled</t>
        </is>
      </c>
      <c r="V321" s="24" t="inlineStr">
        <is>
          <t>loss</t>
        </is>
      </c>
      <c r="W321" s="26" t="n">
        <v>1</v>
      </c>
      <c r="X321" s="26" t="n">
        <v>0</v>
      </c>
      <c r="Y321" s="25" t="n"/>
      <c r="Z321" s="26" t="n">
        <v>-203</v>
      </c>
      <c r="AA321" s="28" t="n">
        <v>0.67</v>
      </c>
      <c r="AB321" s="28" t="n">
        <v>3.3e-05</v>
      </c>
      <c r="AC321" s="30" t="n">
        <v>-1.75</v>
      </c>
      <c r="AD321" s="24" t="inlineStr">
        <is>
          <t>2026-08-14T16:59:17.621206Z</t>
        </is>
      </c>
      <c r="AE321" s="31" t="inlineStr">
        <is>
          <t>Surface-blended Elo on Hard: Lucrezia Stefanini p=0.343 vs Elisabetta Cocciaretto. Executable ask 0.6700 (aec-wta-elicoc-lucste-2026-08-14).</t>
        </is>
      </c>
      <c r="AF321" s="31" t="inlineStr">
        <is>
          <t>Surface-blended Elo model; singles only, WTA+ATP market coverage, not yet locked-holdout qualified -- promoted by explicit operator directive, not genuine walk-forward validation.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3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Lucrezia Stefanini</t>
        </is>
      </c>
      <c r="AQ321" s="24" t="inlineStr">
        <is>
          <t>Lucrezia Stefanini</t>
        </is>
      </c>
      <c r="AR321" s="24" t="inlineStr">
        <is>
          <t>Lucrezia Stefanini</t>
        </is>
      </c>
      <c r="AS321" s="24" t="inlineStr">
        <is>
          <t>Elisabetta Cocciaretto</t>
        </is>
      </c>
      <c r="AT321" s="24" t="inlineStr">
        <is>
          <t>Elisabetta Cocciaretto</t>
        </is>
      </c>
      <c r="AU321" s="24" t="inlineStr">
        <is>
          <t>Elisabetta Cocciaretto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3ab056fefe04713e3c294da76c8adb2866b0dc46556ed32322a0426dd344a0e4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3ab056fefe04713e3c294da76c8adb2866b0dc46556ed32322a0426dd344a0e4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3ab056fefe04713e3c294da76c8adb2866b0dc46556ed32322a0426dd344a0e4</t>
        </is>
      </c>
      <c r="BH321" s="24" t="inlineStr">
        <is>
          <t>2026-08-14T13:55:13.291106Z</t>
        </is>
      </c>
      <c r="BI321" s="24" t="inlineStr">
        <is>
          <t>["same_event","same_team_same_day","same_league_same_day"]</t>
        </is>
      </c>
      <c r="BJ321" s="25" t="n"/>
      <c r="BK321" s="26" t="n">
        <v>-203</v>
      </c>
      <c r="BL321" s="27" t="n">
        <v>1.492611</v>
      </c>
      <c r="BM321" s="28" t="n">
        <v>0.669967</v>
      </c>
      <c r="BN321" s="28" t="n"/>
      <c r="BO321" s="28" t="n"/>
      <c r="BP321" s="25" t="n"/>
      <c r="BQ321" s="27" t="n">
        <v>1.492611</v>
      </c>
      <c r="BR321" s="28" t="n">
        <v>0.67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False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0.669967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26bc3393a5f44ccc</t>
        </is>
      </c>
      <c r="B322" s="24" t="inlineStr">
        <is>
          <t>2026-08-14T13:56:44.385594Z</t>
        </is>
      </c>
      <c r="C322" s="24" t="inlineStr">
        <is>
          <t>2026-08-14T16:30Z</t>
        </is>
      </c>
      <c r="D322" s="24" t="inlineStr">
        <is>
          <t>718-2026:182339</t>
        </is>
      </c>
      <c r="E322" s="24" t="inlineStr">
        <is>
          <t>TENNIS</t>
        </is>
      </c>
      <c r="F322" s="24" t="inlineStr">
        <is>
          <t>Harriet Dart</t>
        </is>
      </c>
      <c r="G322" s="24" t="inlineStr">
        <is>
          <t>Peyton Stearns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-213</v>
      </c>
      <c r="M322" s="27" t="n">
        <v>1.469484</v>
      </c>
      <c r="N322" s="28" t="n">
        <v>0.680511</v>
      </c>
      <c r="O322" s="28" t="n">
        <v>0.642475</v>
      </c>
      <c r="P322" s="28" t="n">
        <v>0.05</v>
      </c>
      <c r="Q322" s="28" t="n">
        <v>-0.038036</v>
      </c>
      <c r="R322" s="26" t="n">
        <v>1</v>
      </c>
      <c r="S322" s="29" t="n">
        <v>1.5</v>
      </c>
      <c r="T322" s="24" t="inlineStr">
        <is>
          <t>tennis-surface-elo-v1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-213</v>
      </c>
      <c r="AA322" s="28" t="n">
        <v>0.68</v>
      </c>
      <c r="AB322" s="28" t="n">
        <v>-0.000511</v>
      </c>
      <c r="AC322" s="30" t="n">
        <v>0.7042</v>
      </c>
      <c r="AD322" s="24" t="inlineStr">
        <is>
          <t>2026-08-14T18:48:04.549811Z</t>
        </is>
      </c>
      <c r="AE322" s="31" t="inlineStr">
        <is>
          <t>Surface-blended Elo on Hard: Harriet Dart p=0.358 vs Peyton Stearns. Executable ask 0.6800 (aec-wta-peyste-hardar-2026-08-14).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3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Harriet Dart</t>
        </is>
      </c>
      <c r="AQ322" s="24" t="inlineStr">
        <is>
          <t>Harriet Dart</t>
        </is>
      </c>
      <c r="AR322" s="24" t="inlineStr">
        <is>
          <t>Harriet Dart</t>
        </is>
      </c>
      <c r="AS322" s="24" t="inlineStr">
        <is>
          <t>Peyton Stearns</t>
        </is>
      </c>
      <c r="AT322" s="24" t="inlineStr">
        <is>
          <t>Peyton Stearns</t>
        </is>
      </c>
      <c r="AU322" s="24" t="inlineStr">
        <is>
          <t>Peyton Stearns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3ab056fefe04713e3c294da76c8adb2866b0dc46556ed32322a0426dd344a0e4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3ab056fefe04713e3c294da76c8adb2866b0dc46556ed32322a0426dd344a0e4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3ab056fefe04713e3c294da76c8adb2866b0dc46556ed32322a0426dd344a0e4</t>
        </is>
      </c>
      <c r="BH322" s="24" t="inlineStr">
        <is>
          <t>2026-08-14T13:55:14.308550Z</t>
        </is>
      </c>
      <c r="BI322" s="24" t="inlineStr">
        <is>
          <t>["same_event","same_team_same_day","same_league_same_day"]</t>
        </is>
      </c>
      <c r="BJ322" s="25" t="n"/>
      <c r="BK322" s="26" t="n">
        <v>-213</v>
      </c>
      <c r="BL322" s="27" t="n">
        <v>1.469484</v>
      </c>
      <c r="BM322" s="28" t="n">
        <v>0.680511</v>
      </c>
      <c r="BN322" s="28" t="n"/>
      <c r="BO322" s="28" t="n"/>
      <c r="BP322" s="25" t="n"/>
      <c r="BQ322" s="27" t="n">
        <v>1.469484</v>
      </c>
      <c r="BR322" s="28" t="n">
        <v>0.68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0.680511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412d15bb127d4975</t>
        </is>
      </c>
      <c r="B323" s="24" t="inlineStr">
        <is>
          <t>2026-08-14T13:56:44.385594Z</t>
        </is>
      </c>
      <c r="C323" s="24" t="inlineStr">
        <is>
          <t>2026-08-14T16:30Z</t>
        </is>
      </c>
      <c r="D323" s="24" t="inlineStr">
        <is>
          <t>718-2026:182402</t>
        </is>
      </c>
      <c r="E323" s="24" t="inlineStr">
        <is>
          <t>TENNIS</t>
        </is>
      </c>
      <c r="F323" s="24" t="inlineStr">
        <is>
          <t>Anna Blinkova</t>
        </is>
      </c>
      <c r="G323" s="24" t="inlineStr">
        <is>
          <t>Mananchaya Sawangkaew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-122</v>
      </c>
      <c r="M323" s="27" t="n">
        <v>1.819672</v>
      </c>
      <c r="N323" s="28" t="n">
        <v>0.54955</v>
      </c>
      <c r="O323" s="28" t="n">
        <v>0.591228</v>
      </c>
      <c r="P323" s="28" t="n">
        <v>0.05</v>
      </c>
      <c r="Q323" s="28" t="n">
        <v>0.041678</v>
      </c>
      <c r="R323" s="26" t="n">
        <v>41</v>
      </c>
      <c r="S323" s="29" t="n">
        <v>1.25</v>
      </c>
      <c r="T323" s="24" t="inlineStr">
        <is>
          <t>tennis-surface-elo-v1</t>
        </is>
      </c>
      <c r="U323" s="24" t="inlineStr">
        <is>
          <t>settled</t>
        </is>
      </c>
      <c r="V323" s="24" t="inlineStr">
        <is>
          <t>loss</t>
        </is>
      </c>
      <c r="W323" s="26" t="n">
        <v>1</v>
      </c>
      <c r="X323" s="26" t="n">
        <v>0</v>
      </c>
      <c r="Y323" s="25" t="n"/>
      <c r="Z323" s="26" t="n">
        <v>-122</v>
      </c>
      <c r="AA323" s="28" t="n">
        <v>0.55</v>
      </c>
      <c r="AB323" s="28" t="n">
        <v>0.00045</v>
      </c>
      <c r="AC323" s="30" t="n">
        <v>-1.25</v>
      </c>
      <c r="AD323" s="24" t="inlineStr">
        <is>
          <t>2026-08-14T18:40:24.525924Z</t>
        </is>
      </c>
      <c r="AE323" s="31" t="inlineStr">
        <is>
          <t>Surface-blended Elo on Hard: Anna Blinkova p=0.409 vs Mananchaya Sawangkaew. Executable ask 0.5500 (aec-wta-mansaw-annbli-2026-08-14).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3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Anna Blinkova</t>
        </is>
      </c>
      <c r="AQ323" s="24" t="inlineStr">
        <is>
          <t>Anna Blinkova</t>
        </is>
      </c>
      <c r="AR323" s="24" t="inlineStr">
        <is>
          <t>Anna Blinkova</t>
        </is>
      </c>
      <c r="AS323" s="24" t="inlineStr">
        <is>
          <t>Mananchaya Sawangkaew</t>
        </is>
      </c>
      <c r="AT323" s="24" t="inlineStr">
        <is>
          <t>Mananchaya Sawangkaew</t>
        </is>
      </c>
      <c r="AU323" s="24" t="inlineStr">
        <is>
          <t>Mananchaya Sawangkaew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3ab056fefe04713e3c294da76c8adb2866b0dc46556ed32322a0426dd344a0e4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3ab056fefe04713e3c294da76c8adb2866b0dc46556ed32322a0426dd344a0e4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3ab056fefe04713e3c294da76c8adb2866b0dc46556ed32322a0426dd344a0e4</t>
        </is>
      </c>
      <c r="BH323" s="24" t="inlineStr">
        <is>
          <t>2026-08-14T13:55:15.283612Z</t>
        </is>
      </c>
      <c r="BI323" s="24" t="inlineStr">
        <is>
          <t>["same_event","same_team_same_day","same_league_same_day"]</t>
        </is>
      </c>
      <c r="BJ323" s="25" t="n"/>
      <c r="BK323" s="26" t="n">
        <v>-122</v>
      </c>
      <c r="BL323" s="27" t="n">
        <v>1.819672</v>
      </c>
      <c r="BM323" s="28" t="n">
        <v>0.54955</v>
      </c>
      <c r="BN323" s="28" t="n"/>
      <c r="BO323" s="28" t="n"/>
      <c r="BP323" s="25" t="n"/>
      <c r="BQ323" s="27" t="n">
        <v>1.819672</v>
      </c>
      <c r="BR323" s="28" t="n">
        <v>0.55</v>
      </c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0.54955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bbad96c1d1de4c83</t>
        </is>
      </c>
      <c r="B324" s="24" t="inlineStr">
        <is>
          <t>2026-08-14T13:56:44.385594Z</t>
        </is>
      </c>
      <c r="C324" s="24" t="inlineStr">
        <is>
          <t>2026-08-14T16:30Z</t>
        </is>
      </c>
      <c r="D324" s="24" t="inlineStr">
        <is>
          <t>718-2026:182419</t>
        </is>
      </c>
      <c r="E324" s="24" t="inlineStr">
        <is>
          <t>TENNIS</t>
        </is>
      </c>
      <c r="F324" s="24" t="inlineStr">
        <is>
          <t>Talia Gibson</t>
        </is>
      </c>
      <c r="G324" s="24" t="inlineStr">
        <is>
          <t>Lilli Tagger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-170</v>
      </c>
      <c r="M324" s="27" t="n">
        <v>1.588235</v>
      </c>
      <c r="N324" s="28" t="n">
        <v>0.62963</v>
      </c>
      <c r="O324" s="28" t="n">
        <v>0.580129</v>
      </c>
      <c r="P324" s="28" t="n">
        <v>0.05</v>
      </c>
      <c r="Q324" s="28" t="n">
        <v>-0.049501</v>
      </c>
      <c r="R324" s="26" t="n">
        <v>0</v>
      </c>
      <c r="S324" s="29" t="n">
        <v>1.25</v>
      </c>
      <c r="T324" s="24" t="inlineStr">
        <is>
          <t>tennis-surface-elo-v1</t>
        </is>
      </c>
      <c r="U324" s="24" t="inlineStr">
        <is>
          <t>settled</t>
        </is>
      </c>
      <c r="V324" s="24" t="inlineStr">
        <is>
          <t>loss</t>
        </is>
      </c>
      <c r="W324" s="26" t="n">
        <v>1</v>
      </c>
      <c r="X324" s="26" t="n">
        <v>0</v>
      </c>
      <c r="Y324" s="25" t="n"/>
      <c r="Z324" s="26" t="n">
        <v>-170</v>
      </c>
      <c r="AA324" s="28" t="n">
        <v>0.63</v>
      </c>
      <c r="AB324" s="28" t="n">
        <v>0.00037</v>
      </c>
      <c r="AC324" s="30" t="n">
        <v>-1.25</v>
      </c>
      <c r="AD324" s="24" t="inlineStr">
        <is>
          <t>2026-08-14T20:40:37.281877Z</t>
        </is>
      </c>
      <c r="AE324" s="31" t="inlineStr">
        <is>
          <t>Surface-blended Elo on Hard: Talia Gibson p=0.420 vs Lilli Tagger. Executable ask 0.6300 (aec-wta-liltag-talgib-2026-08-14).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3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Talia Gibson</t>
        </is>
      </c>
      <c r="AQ324" s="24" t="inlineStr">
        <is>
          <t>Talia Gibson</t>
        </is>
      </c>
      <c r="AR324" s="24" t="inlineStr">
        <is>
          <t>Talia Gibson</t>
        </is>
      </c>
      <c r="AS324" s="24" t="inlineStr">
        <is>
          <t>Lilli Tagger</t>
        </is>
      </c>
      <c r="AT324" s="24" t="inlineStr">
        <is>
          <t>Lilli Tagger</t>
        </is>
      </c>
      <c r="AU324" s="24" t="inlineStr">
        <is>
          <t>Lilli Tagger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3ab056fefe04713e3c294da76c8adb2866b0dc46556ed32322a0426dd344a0e4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3ab056fefe04713e3c294da76c8adb2866b0dc46556ed32322a0426dd344a0e4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3ab056fefe04713e3c294da76c8adb2866b0dc46556ed32322a0426dd344a0e4</t>
        </is>
      </c>
      <c r="BH324" s="24" t="inlineStr">
        <is>
          <t>2026-08-14T13:55:16.313409Z</t>
        </is>
      </c>
      <c r="BI324" s="24" t="inlineStr">
        <is>
          <t>["same_event","same_team_same_day","same_league_same_day"]</t>
        </is>
      </c>
      <c r="BJ324" s="25" t="n"/>
      <c r="BK324" s="26" t="n">
        <v>-170</v>
      </c>
      <c r="BL324" s="27" t="n">
        <v>1.588235</v>
      </c>
      <c r="BM324" s="28" t="n">
        <v>0.62963</v>
      </c>
      <c r="BN324" s="28" t="n"/>
      <c r="BO324" s="28" t="n"/>
      <c r="BP324" s="25" t="n"/>
      <c r="BQ324" s="27" t="n">
        <v>1.588235</v>
      </c>
      <c r="BR324" s="28" t="n">
        <v>0.63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0.62963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a9d4bcca29db4726</t>
        </is>
      </c>
      <c r="B325" s="24" t="inlineStr">
        <is>
          <t>2026-08-14T13:56:44.385594Z</t>
        </is>
      </c>
      <c r="C325" s="24" t="inlineStr">
        <is>
          <t>2026-08-14T17:00Z</t>
        </is>
      </c>
      <c r="D325" s="24" t="inlineStr">
        <is>
          <t>718-2026:182395</t>
        </is>
      </c>
      <c r="E325" s="24" t="inlineStr">
        <is>
          <t>TENNIS</t>
        </is>
      </c>
      <c r="F325" s="24" t="inlineStr">
        <is>
          <t>Venus Williams</t>
        </is>
      </c>
      <c r="G325" s="24" t="inlineStr">
        <is>
          <t>Emiliana Arango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-270</v>
      </c>
      <c r="M325" s="27" t="n">
        <v>1.37037</v>
      </c>
      <c r="N325" s="28" t="n">
        <v>0.72973</v>
      </c>
      <c r="O325" s="28" t="n">
        <v>0.695776</v>
      </c>
      <c r="P325" s="28" t="n">
        <v>0.05</v>
      </c>
      <c r="Q325" s="28" t="n">
        <v>-0.033954</v>
      </c>
      <c r="R325" s="26" t="n">
        <v>3</v>
      </c>
      <c r="S325" s="29" t="n">
        <v>2</v>
      </c>
      <c r="T325" s="24" t="inlineStr">
        <is>
          <t>tennis-surface-elo-v1</t>
        </is>
      </c>
      <c r="U325" s="24" t="inlineStr">
        <is>
          <t>settled</t>
        </is>
      </c>
      <c r="V325" s="24" t="inlineStr">
        <is>
          <t>win</t>
        </is>
      </c>
      <c r="W325" s="26" t="n">
        <v>0</v>
      </c>
      <c r="X325" s="26" t="n">
        <v>1</v>
      </c>
      <c r="Y325" s="25" t="n"/>
      <c r="Z325" s="26" t="n">
        <v>-270</v>
      </c>
      <c r="AA325" s="28" t="n">
        <v>0.73</v>
      </c>
      <c r="AB325" s="28" t="n">
        <v>0.00027</v>
      </c>
      <c r="AC325" s="30" t="n">
        <v>0.7407</v>
      </c>
      <c r="AD325" s="24" t="inlineStr">
        <is>
          <t>2026-08-14T18:48:08.017547Z</t>
        </is>
      </c>
      <c r="AE325" s="31" t="inlineStr">
        <is>
          <t>Surface-blended Elo on Hard: Venus Williams p=0.304 vs Emiliana Arango. Executable ask 0.7300 (aec-wta-emiara-venwil-2026-08-14).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3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Venus Williams</t>
        </is>
      </c>
      <c r="AQ325" s="24" t="inlineStr">
        <is>
          <t>Venus Williams</t>
        </is>
      </c>
      <c r="AR325" s="24" t="inlineStr">
        <is>
          <t>Venus Williams</t>
        </is>
      </c>
      <c r="AS325" s="24" t="inlineStr">
        <is>
          <t>Emiliana Arango</t>
        </is>
      </c>
      <c r="AT325" s="24" t="inlineStr">
        <is>
          <t>Emiliana Arango</t>
        </is>
      </c>
      <c r="AU325" s="24" t="inlineStr">
        <is>
          <t>Emiliana Arango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3ab056fefe04713e3c294da76c8adb2866b0dc46556ed32322a0426dd344a0e4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3ab056fefe04713e3c294da76c8adb2866b0dc46556ed32322a0426dd344a0e4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3ab056fefe04713e3c294da76c8adb2866b0dc46556ed32322a0426dd344a0e4</t>
        </is>
      </c>
      <c r="BH325" s="24" t="inlineStr">
        <is>
          <t>2026-08-14T13:55:16.997073Z</t>
        </is>
      </c>
      <c r="BI325" s="24" t="inlineStr">
        <is>
          <t>["same_event","same_team_same_day","same_league_same_day"]</t>
        </is>
      </c>
      <c r="BJ325" s="25" t="n"/>
      <c r="BK325" s="26" t="n">
        <v>-270</v>
      </c>
      <c r="BL325" s="27" t="n">
        <v>1.37037</v>
      </c>
      <c r="BM325" s="28" t="n">
        <v>0.72973</v>
      </c>
      <c r="BN325" s="28" t="n"/>
      <c r="BO325" s="28" t="n"/>
      <c r="BP325" s="25" t="n"/>
      <c r="BQ325" s="27" t="n">
        <v>1.37037</v>
      </c>
      <c r="BR325" s="28" t="n">
        <v>0.73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0.72973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f14b194358e44792</t>
        </is>
      </c>
      <c r="B326" s="24" t="inlineStr">
        <is>
          <t>2026-08-14T13:56:44.385594Z</t>
        </is>
      </c>
      <c r="C326" s="24" t="inlineStr">
        <is>
          <t>2026-08-14T15:00Z</t>
        </is>
      </c>
      <c r="D326" s="24" t="inlineStr">
        <is>
          <t>718-2026:181962</t>
        </is>
      </c>
      <c r="E326" s="24" t="inlineStr">
        <is>
          <t>TENNIS</t>
        </is>
      </c>
      <c r="F326" s="24" t="inlineStr">
        <is>
          <t>Hubert Hurkacz</t>
        </is>
      </c>
      <c r="G326" s="24" t="inlineStr">
        <is>
          <t>Sho Shimabukuro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-335</v>
      </c>
      <c r="M326" s="27" t="n">
        <v>1.298507</v>
      </c>
      <c r="N326" s="28" t="n">
        <v>0.770115</v>
      </c>
      <c r="O326" s="28" t="n">
        <v>0.522995</v>
      </c>
      <c r="P326" s="28" t="n">
        <v>0.05</v>
      </c>
      <c r="Q326" s="28" t="n">
        <v>-0.24712</v>
      </c>
      <c r="R326" s="26" t="n">
        <v>0</v>
      </c>
      <c r="S326" s="29" t="n">
        <v>1</v>
      </c>
      <c r="T326" s="24" t="inlineStr">
        <is>
          <t>tennis-surface-elo-v1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0</v>
      </c>
      <c r="Y326" s="25" t="n"/>
      <c r="Z326" s="26" t="n">
        <v>-335</v>
      </c>
      <c r="AA326" s="28" t="n">
        <v>0.77</v>
      </c>
      <c r="AB326" s="28" t="n">
        <v>-0.000115</v>
      </c>
      <c r="AC326" s="30" t="n">
        <v>0.2985</v>
      </c>
      <c r="AD326" s="24" t="inlineStr">
        <is>
          <t>2026-08-14T16:59:19.233156Z</t>
        </is>
      </c>
      <c r="AE326" s="31" t="inlineStr">
        <is>
          <t>Surface-blended Elo on Hard: Hubert Hurkacz p=0.523 vs Sho Shimabukuro. Executable ask 0.7700 (aec-atp-shoshi-hubhur-2026-08-14).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3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Hubert Hurkacz</t>
        </is>
      </c>
      <c r="AQ326" s="24" t="inlineStr">
        <is>
          <t>Hubert Hurkacz</t>
        </is>
      </c>
      <c r="AR326" s="24" t="inlineStr">
        <is>
          <t>Hubert Hurkacz</t>
        </is>
      </c>
      <c r="AS326" s="24" t="inlineStr">
        <is>
          <t>Sho Shimabukuro</t>
        </is>
      </c>
      <c r="AT326" s="24" t="inlineStr">
        <is>
          <t>Sho Shimabukuro</t>
        </is>
      </c>
      <c r="AU326" s="24" t="inlineStr">
        <is>
          <t>Sho Shimabukuro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3ab056fefe04713e3c294da76c8adb2866b0dc46556ed32322a0426dd344a0e4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3ab056fefe04713e3c294da76c8adb2866b0dc46556ed32322a0426dd344a0e4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3ab056fefe04713e3c294da76c8adb2866b0dc46556ed32322a0426dd344a0e4</t>
        </is>
      </c>
      <c r="BH326" s="24" t="inlineStr">
        <is>
          <t>2026-08-14T13:55:31.080078Z</t>
        </is>
      </c>
      <c r="BI326" s="24" t="inlineStr">
        <is>
          <t>["same_event","same_team_same_day","same_league_same_day"]</t>
        </is>
      </c>
      <c r="BJ326" s="25" t="n"/>
      <c r="BK326" s="26" t="n">
        <v>-335</v>
      </c>
      <c r="BL326" s="27" t="n">
        <v>1.298507</v>
      </c>
      <c r="BM326" s="28" t="n">
        <v>0.770115</v>
      </c>
      <c r="BN326" s="28" t="n"/>
      <c r="BO326" s="28" t="n"/>
      <c r="BP326" s="25" t="n"/>
      <c r="BQ326" s="27" t="n">
        <v>1.298507</v>
      </c>
      <c r="BR326" s="28" t="n">
        <v>0.77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0.770115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623bcf5690ed4d30</t>
        </is>
      </c>
      <c r="B327" s="24" t="inlineStr">
        <is>
          <t>2026-08-14T13:56:44.385594Z</t>
        </is>
      </c>
      <c r="C327" s="24" t="inlineStr">
        <is>
          <t>2026-08-14T15:00Z</t>
        </is>
      </c>
      <c r="D327" s="24" t="inlineStr">
        <is>
          <t>718-2026:181999</t>
        </is>
      </c>
      <c r="E327" s="24" t="inlineStr">
        <is>
          <t>TENNIS</t>
        </is>
      </c>
      <c r="F327" s="24" t="inlineStr">
        <is>
          <t>Quentin Halys</t>
        </is>
      </c>
      <c r="G327" s="24" t="inlineStr">
        <is>
          <t>Vit Kopriva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-245</v>
      </c>
      <c r="M327" s="27" t="n">
        <v>1.408163</v>
      </c>
      <c r="N327" s="28" t="n">
        <v>0.710145</v>
      </c>
      <c r="O327" s="28" t="n">
        <v>0.668619</v>
      </c>
      <c r="P327" s="28" t="n">
        <v>0.05</v>
      </c>
      <c r="Q327" s="28" t="n">
        <v>-0.041526</v>
      </c>
      <c r="R327" s="26" t="n">
        <v>0</v>
      </c>
      <c r="S327" s="29" t="n">
        <v>1.75</v>
      </c>
      <c r="T327" s="24" t="inlineStr">
        <is>
          <t>tennis-surface-elo-v1</t>
        </is>
      </c>
      <c r="U327" s="24" t="inlineStr">
        <is>
          <t>settled</t>
        </is>
      </c>
      <c r="V327" s="24" t="inlineStr">
        <is>
          <t>win</t>
        </is>
      </c>
      <c r="W327" s="26" t="n">
        <v>1</v>
      </c>
      <c r="X327" s="26" t="n">
        <v>0</v>
      </c>
      <c r="Y327" s="25" t="n"/>
      <c r="Z327" s="26" t="n">
        <v>-245</v>
      </c>
      <c r="AA327" s="28" t="n">
        <v>0.71</v>
      </c>
      <c r="AB327" s="28" t="n">
        <v>-0.000145</v>
      </c>
      <c r="AC327" s="30" t="n">
        <v>0.7143</v>
      </c>
      <c r="AD327" s="24" t="inlineStr">
        <is>
          <t>2026-08-14T18:40:26.376014Z</t>
        </is>
      </c>
      <c r="AE327" s="31" t="inlineStr">
        <is>
          <t>Surface-blended Elo on Hard: Quentin Halys p=0.669 vs Vit Kopriva. Executable ask 0.7100 (aec-atp-vitkop-quehal-2026-08-14).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3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Quentin Halys</t>
        </is>
      </c>
      <c r="AQ327" s="24" t="inlineStr">
        <is>
          <t>Quentin Halys</t>
        </is>
      </c>
      <c r="AR327" s="24" t="inlineStr">
        <is>
          <t>Quentin Halys</t>
        </is>
      </c>
      <c r="AS327" s="24" t="inlineStr">
        <is>
          <t>Vit Kopriva</t>
        </is>
      </c>
      <c r="AT327" s="24" t="inlineStr">
        <is>
          <t>Vit Kopriva</t>
        </is>
      </c>
      <c r="AU327" s="24" t="inlineStr">
        <is>
          <t>Vit Kopriva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3ab056fefe04713e3c294da76c8adb2866b0dc46556ed32322a0426dd344a0e4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3ab056fefe04713e3c294da76c8adb2866b0dc46556ed32322a0426dd344a0e4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3ab056fefe04713e3c294da76c8adb2866b0dc46556ed32322a0426dd344a0e4</t>
        </is>
      </c>
      <c r="BH327" s="24" t="inlineStr">
        <is>
          <t>2026-08-14T13:55:32.876926Z</t>
        </is>
      </c>
      <c r="BI327" s="24" t="inlineStr">
        <is>
          <t>["same_event","same_team_same_day","same_league_same_day"]</t>
        </is>
      </c>
      <c r="BJ327" s="25" t="n"/>
      <c r="BK327" s="26" t="n">
        <v>-245</v>
      </c>
      <c r="BL327" s="27" t="n">
        <v>1.408163</v>
      </c>
      <c r="BM327" s="28" t="n">
        <v>0.710145</v>
      </c>
      <c r="BN327" s="28" t="n"/>
      <c r="BO327" s="28" t="n"/>
      <c r="BP327" s="25" t="n"/>
      <c r="BQ327" s="27" t="n">
        <v>1.408163</v>
      </c>
      <c r="BR327" s="28" t="n">
        <v>0.71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0.710145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0c7f979bf9404921</t>
        </is>
      </c>
      <c r="B328" s="24" t="inlineStr">
        <is>
          <t>2026-08-14T17:04:15.064301Z</t>
        </is>
      </c>
      <c r="C328" s="24" t="inlineStr">
        <is>
          <t>2026-08-14T18:00Z</t>
        </is>
      </c>
      <c r="D328" s="24" t="inlineStr">
        <is>
          <t>718-2026:182425</t>
        </is>
      </c>
      <c r="E328" s="24" t="inlineStr">
        <is>
          <t>TENNIS</t>
        </is>
      </c>
      <c r="F328" s="24" t="inlineStr">
        <is>
          <t>Hanne Vandewinkel</t>
        </is>
      </c>
      <c r="G328" s="24" t="inlineStr">
        <is>
          <t>Wang Xinyu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-108</v>
      </c>
      <c r="M328" s="27" t="n">
        <v>1.925926</v>
      </c>
      <c r="N328" s="28" t="n">
        <v>0.519231</v>
      </c>
      <c r="O328" s="28" t="n">
        <v>0.50248</v>
      </c>
      <c r="P328" s="28" t="n">
        <v>0.05</v>
      </c>
      <c r="Q328" s="28" t="n">
        <v>-0.016751</v>
      </c>
      <c r="R328" s="26" t="n">
        <v>12</v>
      </c>
      <c r="S328" s="29" t="n">
        <v>1</v>
      </c>
      <c r="T328" s="24" t="inlineStr">
        <is>
          <t>tennis-surface-elo-v1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1</v>
      </c>
      <c r="Y328" s="25" t="n"/>
      <c r="Z328" s="26" t="n"/>
      <c r="AA328" s="28" t="n"/>
      <c r="AB328" s="28" t="n"/>
      <c r="AC328" s="30" t="n">
        <v>0.9258999999999999</v>
      </c>
      <c r="AD328" s="24" t="inlineStr">
        <is>
          <t>2026-08-14T23:06:44.236839Z</t>
        </is>
      </c>
      <c r="AE328" s="31" t="inlineStr">
        <is>
          <t>Surface-blended Elo on Hard: Hanne Vandewinkel p=0.498 vs Wang Xinyu. Executable ask 0.5200 (aec-wta-xinwan-hanvan-2026-08-14).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3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Hanne Vandewinkel</t>
        </is>
      </c>
      <c r="AQ328" s="24" t="inlineStr">
        <is>
          <t>Hanne Vandewinkel</t>
        </is>
      </c>
      <c r="AR328" s="24" t="inlineStr">
        <is>
          <t>Hanne Vandewinkel</t>
        </is>
      </c>
      <c r="AS328" s="24" t="inlineStr">
        <is>
          <t>Wang Xinyu</t>
        </is>
      </c>
      <c r="AT328" s="24" t="inlineStr">
        <is>
          <t>Wang Xinyu</t>
        </is>
      </c>
      <c r="AU328" s="24" t="inlineStr">
        <is>
          <t>Wang Xinyu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3ab056fefe04713e3c294da76c8adb2866b0dc46556ed32322a0426dd344a0e4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3ab056fefe04713e3c294da76c8adb2866b0dc46556ed32322a0426dd344a0e4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3ab056fefe04713e3c294da76c8adb2866b0dc46556ed32322a0426dd344a0e4</t>
        </is>
      </c>
      <c r="BH328" s="24" t="inlineStr">
        <is>
          <t>2026-08-14T17:03:08.090842Z</t>
        </is>
      </c>
      <c r="BI328" s="24" t="inlineStr">
        <is>
          <t>["same_event","same_team_same_day","same_league_same_day"]</t>
        </is>
      </c>
      <c r="BJ328" s="25" t="n"/>
      <c r="BK328" s="26" t="n">
        <v>-108</v>
      </c>
      <c r="BL328" s="27" t="n">
        <v>1.925926</v>
      </c>
      <c r="BM328" s="28" t="n">
        <v>0.519231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0.519231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cdd37c4e6f03437f</t>
        </is>
      </c>
      <c r="B329" s="24" t="inlineStr">
        <is>
          <t>2026-08-14T17:04:15.064301Z</t>
        </is>
      </c>
      <c r="C329" s="24" t="inlineStr">
        <is>
          <t>2026-08-14T18:30Z</t>
        </is>
      </c>
      <c r="D329" s="24" t="inlineStr">
        <is>
          <t>718-2026:181960</t>
        </is>
      </c>
      <c r="E329" s="24" t="inlineStr">
        <is>
          <t>TENNIS</t>
        </is>
      </c>
      <c r="F329" s="24" t="inlineStr">
        <is>
          <t>Juan Manuel Cerundolo</t>
        </is>
      </c>
      <c r="G329" s="24" t="inlineStr">
        <is>
          <t>Mark Lajal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-108</v>
      </c>
      <c r="M329" s="27" t="n">
        <v>1.925926</v>
      </c>
      <c r="N329" s="28" t="n">
        <v>0.519231</v>
      </c>
      <c r="O329" s="28" t="n">
        <v>0.522002</v>
      </c>
      <c r="P329" s="28" t="n">
        <v>0.05</v>
      </c>
      <c r="Q329" s="28" t="n">
        <v>0.002771</v>
      </c>
      <c r="R329" s="26" t="n">
        <v>21</v>
      </c>
      <c r="S329" s="29" t="n">
        <v>1</v>
      </c>
      <c r="T329" s="24" t="inlineStr">
        <is>
          <t>tennis-surface-elo-v1</t>
        </is>
      </c>
      <c r="U329" s="24" t="inlineStr">
        <is>
          <t>settled</t>
        </is>
      </c>
      <c r="V329" s="24" t="inlineStr">
        <is>
          <t>loss</t>
        </is>
      </c>
      <c r="W329" s="26" t="n">
        <v>1</v>
      </c>
      <c r="X329" s="26" t="n">
        <v>0</v>
      </c>
      <c r="Y329" s="25" t="n"/>
      <c r="Z329" s="26" t="n">
        <v>-108</v>
      </c>
      <c r="AA329" s="28" t="n">
        <v>0.52</v>
      </c>
      <c r="AB329" s="28" t="n">
        <v>0.000769</v>
      </c>
      <c r="AC329" s="30" t="n">
        <v>-1</v>
      </c>
      <c r="AD329" s="24" t="inlineStr">
        <is>
          <t>2026-08-14T20:40:39.478316Z</t>
        </is>
      </c>
      <c r="AE329" s="31" t="inlineStr">
        <is>
          <t>Surface-blended Elo on Hard: Juan Manuel Cerundolo p=0.478 vs Mark Lajal. Executable ask 0.5200 (aec-atp-marlaj-juacer-2026-08-14).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3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PAPER_CALL_LOW_EDGE</t>
        </is>
      </c>
      <c r="AP329" s="24" t="inlineStr">
        <is>
          <t>Juan Manuel Cerundolo</t>
        </is>
      </c>
      <c r="AQ329" s="24" t="inlineStr">
        <is>
          <t>Juan Manuel Cerundolo</t>
        </is>
      </c>
      <c r="AR329" s="24" t="inlineStr">
        <is>
          <t>Juan Manuel Cerundolo</t>
        </is>
      </c>
      <c r="AS329" s="24" t="inlineStr">
        <is>
          <t>Mark Lajal</t>
        </is>
      </c>
      <c r="AT329" s="24" t="inlineStr">
        <is>
          <t>Mark Lajal</t>
        </is>
      </c>
      <c r="AU329" s="24" t="inlineStr">
        <is>
          <t>Mark Lajal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3ab056fefe04713e3c294da76c8adb2866b0dc46556ed32322a0426dd344a0e4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3ab056fefe04713e3c294da76c8adb2866b0dc46556ed32322a0426dd344a0e4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3ab056fefe04713e3c294da76c8adb2866b0dc46556ed32322a0426dd344a0e4</t>
        </is>
      </c>
      <c r="BH329" s="24" t="inlineStr">
        <is>
          <t>2026-08-14T17:03:23.853288Z</t>
        </is>
      </c>
      <c r="BI329" s="24" t="inlineStr">
        <is>
          <t>["same_event","same_team_same_day","same_league_same_day"]</t>
        </is>
      </c>
      <c r="BJ329" s="25" t="n"/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>
        <v>1.925926</v>
      </c>
      <c r="BR329" s="28" t="n">
        <v>0.52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69e391944257403a</t>
        </is>
      </c>
      <c r="B330" s="24" t="inlineStr">
        <is>
          <t>2026-08-15T21:06:05.887387Z</t>
        </is>
      </c>
      <c r="C330" s="24" t="inlineStr">
        <is>
          <t>2026-08-15T21:30Z</t>
        </is>
      </c>
      <c r="D330" s="24" t="inlineStr">
        <is>
          <t>718-2026:181882</t>
        </is>
      </c>
      <c r="E330" s="24" t="inlineStr">
        <is>
          <t>TENNIS</t>
        </is>
      </c>
      <c r="F330" s="24" t="inlineStr">
        <is>
          <t>Matteo Berrettini</t>
        </is>
      </c>
      <c r="G330" s="24" t="inlineStr">
        <is>
          <t>Jiri Lehecka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-186</v>
      </c>
      <c r="M330" s="27" t="n">
        <v>1.537634</v>
      </c>
      <c r="N330" s="28" t="n">
        <v>0.65035</v>
      </c>
      <c r="O330" s="28" t="n">
        <v>0.670091</v>
      </c>
      <c r="P330" s="28" t="n">
        <v>0.05</v>
      </c>
      <c r="Q330" s="28" t="n">
        <v>0.019741</v>
      </c>
      <c r="R330" s="26" t="n">
        <v>30</v>
      </c>
      <c r="S330" s="29" t="n">
        <v>1.75</v>
      </c>
      <c r="T330" s="24" t="inlineStr">
        <is>
          <t>tennis-surface-elo-v1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1</v>
      </c>
      <c r="Y330" s="25" t="n"/>
      <c r="Z330" s="26" t="n">
        <v>-186</v>
      </c>
      <c r="AA330" s="28" t="n">
        <v>0.65</v>
      </c>
      <c r="AB330" s="28" t="n">
        <v>-0.00035</v>
      </c>
      <c r="AC330" s="30" t="n">
        <v>0.9409</v>
      </c>
      <c r="AD330" s="24" t="inlineStr">
        <is>
          <t>2026-08-16T03:14:23.282903Z</t>
        </is>
      </c>
      <c r="AE330" s="31" t="inlineStr">
        <is>
          <t>Surface-blended Elo on Hard: Matteo Berrettini p=0.330 vs Jiri Lehecka. Executable ask 0.6500 (aec-atp-jirleh-matber-2026-08-15).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3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Matteo Berrettini</t>
        </is>
      </c>
      <c r="AQ330" s="24" t="inlineStr">
        <is>
          <t>Matteo Berrettini</t>
        </is>
      </c>
      <c r="AR330" s="24" t="inlineStr">
        <is>
          <t>Matteo Berrettini</t>
        </is>
      </c>
      <c r="AS330" s="24" t="inlineStr">
        <is>
          <t>Jiri Lehecka</t>
        </is>
      </c>
      <c r="AT330" s="24" t="inlineStr">
        <is>
          <t>Jiri Lehecka</t>
        </is>
      </c>
      <c r="AU330" s="24" t="inlineStr">
        <is>
          <t>Jiri Lehecka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3ab056fefe04713e3c294da76c8adb2866b0dc46556ed32322a0426dd344a0e4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3ab056fefe04713e3c294da76c8adb2866b0dc46556ed32322a0426dd344a0e4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3ab056fefe04713e3c294da76c8adb2866b0dc46556ed32322a0426dd344a0e4</t>
        </is>
      </c>
      <c r="BH330" s="24" t="inlineStr">
        <is>
          <t>2026-08-15T21:05:18.977704Z</t>
        </is>
      </c>
      <c r="BI330" s="24" t="inlineStr">
        <is>
          <t>["same_event","same_team_same_day","same_league_same_day"]</t>
        </is>
      </c>
      <c r="BJ330" s="25" t="n"/>
      <c r="BK330" s="26" t="n">
        <v>-186</v>
      </c>
      <c r="BL330" s="27" t="n">
        <v>1.537634</v>
      </c>
      <c r="BM330" s="28" t="n">
        <v>0.65035</v>
      </c>
      <c r="BN330" s="28" t="n"/>
      <c r="BO330" s="28" t="n"/>
      <c r="BP330" s="25" t="n"/>
      <c r="BQ330" s="27" t="n">
        <v>1.537634</v>
      </c>
      <c r="BR330" s="28" t="n">
        <v>0.65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0.65035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780dfa7e32f54ed3</t>
        </is>
      </c>
      <c r="B331" s="24" t="inlineStr">
        <is>
          <t>2026-08-15T21:06:05.887387Z</t>
        </is>
      </c>
      <c r="C331" s="24" t="inlineStr">
        <is>
          <t>2026-08-15T22:00Z</t>
        </is>
      </c>
      <c r="D331" s="24" t="inlineStr">
        <is>
          <t>718-2026:181880</t>
        </is>
      </c>
      <c r="E331" s="24" t="inlineStr">
        <is>
          <t>TENNIS</t>
        </is>
      </c>
      <c r="F331" s="24" t="inlineStr">
        <is>
          <t>Arthur Fils</t>
        </is>
      </c>
      <c r="G331" s="24" t="inlineStr">
        <is>
          <t>Yannick Hanfmann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-335</v>
      </c>
      <c r="M331" s="27" t="n">
        <v>1.298507</v>
      </c>
      <c r="N331" s="28" t="n">
        <v>0.770115</v>
      </c>
      <c r="O331" s="28" t="n">
        <v>0.693229</v>
      </c>
      <c r="P331" s="28" t="n">
        <v>0.05</v>
      </c>
      <c r="Q331" s="28" t="n">
        <v>-0.076886</v>
      </c>
      <c r="R331" s="26" t="n">
        <v>0</v>
      </c>
      <c r="S331" s="29" t="n">
        <v>2</v>
      </c>
      <c r="T331" s="24" t="inlineStr">
        <is>
          <t>tennis-surface-elo-v1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0</v>
      </c>
      <c r="Y331" s="25" t="n"/>
      <c r="Z331" s="26" t="n">
        <v>-335</v>
      </c>
      <c r="AA331" s="28" t="n">
        <v>0.77</v>
      </c>
      <c r="AB331" s="28" t="n">
        <v>-0.000115</v>
      </c>
      <c r="AC331" s="30" t="n">
        <v>0.597</v>
      </c>
      <c r="AD331" s="24" t="inlineStr">
        <is>
          <t>2026-08-16T03:14:24.886492Z</t>
        </is>
      </c>
      <c r="AE331" s="31" t="inlineStr">
        <is>
          <t>Surface-blended Elo on Hard: Arthur Fils p=0.693 vs Yannick Hanfmann. Executable ask 0.7700 (aec-atp-yanhan-artfil-2026-08-15).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3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Arthur Fils</t>
        </is>
      </c>
      <c r="AQ331" s="24" t="inlineStr">
        <is>
          <t>Arthur Fils</t>
        </is>
      </c>
      <c r="AR331" s="24" t="inlineStr">
        <is>
          <t>Arthur Fils</t>
        </is>
      </c>
      <c r="AS331" s="24" t="inlineStr">
        <is>
          <t>Yannick Hanfmann</t>
        </is>
      </c>
      <c r="AT331" s="24" t="inlineStr">
        <is>
          <t>Yannick Hanfmann</t>
        </is>
      </c>
      <c r="AU331" s="24" t="inlineStr">
        <is>
          <t>Yannick Hanfmann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3ab056fefe04713e3c294da76c8adb2866b0dc46556ed32322a0426dd344a0e4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3ab056fefe04713e3c294da76c8adb2866b0dc46556ed32322a0426dd344a0e4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3ab056fefe04713e3c294da76c8adb2866b0dc46556ed32322a0426dd344a0e4</t>
        </is>
      </c>
      <c r="BH331" s="24" t="inlineStr">
        <is>
          <t>2026-08-15T21:05:20.070193Z</t>
        </is>
      </c>
      <c r="BI331" s="24" t="inlineStr">
        <is>
          <t>["same_event","same_team_same_day","same_league_same_day"]</t>
        </is>
      </c>
      <c r="BJ331" s="25" t="n"/>
      <c r="BK331" s="26" t="n">
        <v>-335</v>
      </c>
      <c r="BL331" s="27" t="n">
        <v>1.298507</v>
      </c>
      <c r="BM331" s="28" t="n">
        <v>0.770115</v>
      </c>
      <c r="BN331" s="28" t="n"/>
      <c r="BO331" s="28" t="n"/>
      <c r="BP331" s="25" t="n"/>
      <c r="BQ331" s="27" t="n">
        <v>1.298507</v>
      </c>
      <c r="BR331" s="28" t="n">
        <v>0.77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0.770115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ac866790b2b84951</t>
        </is>
      </c>
      <c r="B332" s="24" t="inlineStr">
        <is>
          <t>2026-08-16T00:11:20.020413Z</t>
        </is>
      </c>
      <c r="C332" s="24" t="inlineStr">
        <is>
          <t>2026-08-16T00:40Z</t>
        </is>
      </c>
      <c r="D332" s="24" t="inlineStr">
        <is>
          <t>718-2026:182382</t>
        </is>
      </c>
      <c r="E332" s="24" t="inlineStr">
        <is>
          <t>TENNIS</t>
        </is>
      </c>
      <c r="F332" s="24" t="inlineStr">
        <is>
          <t>Belinda Bencic</t>
        </is>
      </c>
      <c r="G332" s="24" t="inlineStr">
        <is>
          <t>Lois Boisson</t>
        </is>
      </c>
      <c r="H332" s="24" t="inlineStr">
        <is>
          <t>moneyline</t>
        </is>
      </c>
      <c r="I332" s="24" t="inlineStr">
        <is>
          <t>away</t>
        </is>
      </c>
      <c r="J332" s="25" t="n"/>
      <c r="K332" s="24" t="inlineStr">
        <is>
          <t>polymarket_us</t>
        </is>
      </c>
      <c r="L332" s="26" t="n">
        <v>-456</v>
      </c>
      <c r="M332" s="27" t="n">
        <v>1.219298</v>
      </c>
      <c r="N332" s="28" t="n">
        <v>0.820144</v>
      </c>
      <c r="O332" s="28" t="n">
        <v>0.803109</v>
      </c>
      <c r="P332" s="28" t="n">
        <v>0.05</v>
      </c>
      <c r="Q332" s="28" t="n">
        <v>-0.017035</v>
      </c>
      <c r="R332" s="26" t="n">
        <v>11</v>
      </c>
      <c r="S332" s="29" t="n">
        <v>2</v>
      </c>
      <c r="T332" s="24" t="inlineStr">
        <is>
          <t>tennis-surface-elo-v1</t>
        </is>
      </c>
      <c r="U332" s="24" t="inlineStr">
        <is>
          <t>settled</t>
        </is>
      </c>
      <c r="V332" s="24" t="inlineStr">
        <is>
          <t>loss</t>
        </is>
      </c>
      <c r="W332" s="26" t="n">
        <v>0</v>
      </c>
      <c r="X332" s="26" t="n">
        <v>1</v>
      </c>
      <c r="Y332" s="25" t="n"/>
      <c r="Z332" s="26" t="n">
        <v>-456</v>
      </c>
      <c r="AA332" s="28" t="n">
        <v>0.82</v>
      </c>
      <c r="AB332" s="28" t="n">
        <v>-0.000144</v>
      </c>
      <c r="AC332" s="30" t="n">
        <v>-2</v>
      </c>
      <c r="AD332" s="24" t="inlineStr">
        <is>
          <t>2026-08-16T06:19:53.268326Z</t>
        </is>
      </c>
      <c r="AE332" s="31" t="inlineStr">
        <is>
          <t>Surface-blended Elo on Hard: Belinda Bencic p=0.803 vs Lois Boisson. Executable ask 0.8200 (aec-wta-loiboi-belben-2026-08-14).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3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Belinda Bencic</t>
        </is>
      </c>
      <c r="AQ332" s="24" t="inlineStr">
        <is>
          <t>Belinda Bencic</t>
        </is>
      </c>
      <c r="AR332" s="24" t="inlineStr">
        <is>
          <t>Belinda Bencic</t>
        </is>
      </c>
      <c r="AS332" s="24" t="inlineStr">
        <is>
          <t>Lois Boisson</t>
        </is>
      </c>
      <c r="AT332" s="24" t="inlineStr">
        <is>
          <t>Lois Boisson</t>
        </is>
      </c>
      <c r="AU332" s="24" t="inlineStr">
        <is>
          <t>Lois Boisson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3ab056fefe04713e3c294da76c8adb2866b0dc46556ed32322a0426dd344a0e4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3ab056fefe04713e3c294da76c8adb2866b0dc46556ed32322a0426dd344a0e4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3ab056fefe04713e3c294da76c8adb2866b0dc46556ed32322a0426dd344a0e4</t>
        </is>
      </c>
      <c r="BH332" s="24" t="inlineStr">
        <is>
          <t>2026-08-16T00:10:48.431711Z</t>
        </is>
      </c>
      <c r="BI332" s="24" t="inlineStr">
        <is>
          <t>["same_event","same_team_same_day","same_league_same_day"]</t>
        </is>
      </c>
      <c r="BJ332" s="25" t="n"/>
      <c r="BK332" s="26" t="n">
        <v>-456</v>
      </c>
      <c r="BL332" s="27" t="n">
        <v>1.219298</v>
      </c>
      <c r="BM332" s="28" t="n">
        <v>0.820144</v>
      </c>
      <c r="BN332" s="28" t="n"/>
      <c r="BO332" s="28" t="n"/>
      <c r="BP332" s="25" t="n"/>
      <c r="BQ332" s="27" t="n">
        <v>1.219298</v>
      </c>
      <c r="BR332" s="28" t="n">
        <v>0.82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False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0.820144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808ce811b9f347fa</t>
        </is>
      </c>
      <c r="B333" s="24" t="inlineStr">
        <is>
          <t>2026-08-16T00:11:20.020413Z</t>
        </is>
      </c>
      <c r="C333" s="24" t="inlineStr">
        <is>
          <t>2026-08-16T01:00Z</t>
        </is>
      </c>
      <c r="D333" s="24" t="inlineStr">
        <is>
          <t>718-2026:181917</t>
        </is>
      </c>
      <c r="E333" s="24" t="inlineStr">
        <is>
          <t>TENNIS</t>
        </is>
      </c>
      <c r="F333" s="24" t="inlineStr">
        <is>
          <t>Cameron Norrie</t>
        </is>
      </c>
      <c r="G333" s="24" t="inlineStr">
        <is>
          <t>Alexander Zverev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-376</v>
      </c>
      <c r="M333" s="27" t="n">
        <v>1.265957</v>
      </c>
      <c r="N333" s="28" t="n">
        <v>0.789916</v>
      </c>
      <c r="O333" s="28" t="n">
        <v>0.77199</v>
      </c>
      <c r="P333" s="28" t="n">
        <v>0.05</v>
      </c>
      <c r="Q333" s="28" t="n">
        <v>-0.017926</v>
      </c>
      <c r="R333" s="26" t="n">
        <v>11</v>
      </c>
      <c r="S333" s="29" t="n">
        <v>2</v>
      </c>
      <c r="T333" s="24" t="inlineStr">
        <is>
          <t>tennis-surface-elo-v1</t>
        </is>
      </c>
      <c r="U333" s="24" t="inlineStr">
        <is>
          <t>settled</t>
        </is>
      </c>
      <c r="V333" s="24" t="inlineStr">
        <is>
          <t>win</t>
        </is>
      </c>
      <c r="W333" s="26" t="n">
        <v>0</v>
      </c>
      <c r="X333" s="26" t="n">
        <v>1</v>
      </c>
      <c r="Y333" s="25" t="n"/>
      <c r="Z333" s="26" t="n">
        <v>-376</v>
      </c>
      <c r="AA333" s="28" t="n">
        <v>0.79</v>
      </c>
      <c r="AB333" s="28" t="n">
        <v>8.4e-05</v>
      </c>
      <c r="AC333" s="30" t="n">
        <v>0.5319</v>
      </c>
      <c r="AD333" s="24" t="inlineStr">
        <is>
          <t>2026-08-16T06:19:54.815454Z</t>
        </is>
      </c>
      <c r="AE333" s="31" t="inlineStr">
        <is>
          <t>Surface-blended Elo on Hard: Cameron Norrie p=0.228 vs Alexander Zverev. Executable ask 0.7900 (aec-atp-alezve-camnor-2026-08-14).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3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Cameron Norrie</t>
        </is>
      </c>
      <c r="AQ333" s="24" t="inlineStr">
        <is>
          <t>Cameron Norrie</t>
        </is>
      </c>
      <c r="AR333" s="24" t="inlineStr">
        <is>
          <t>Cameron Norrie</t>
        </is>
      </c>
      <c r="AS333" s="24" t="inlineStr">
        <is>
          <t>Alexander Zverev</t>
        </is>
      </c>
      <c r="AT333" s="24" t="inlineStr">
        <is>
          <t>Alexander Zverev</t>
        </is>
      </c>
      <c r="AU333" s="24" t="inlineStr">
        <is>
          <t>Alexander Zverev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3ab056fefe04713e3c294da76c8adb2866b0dc46556ed32322a0426dd344a0e4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3ab056fefe04713e3c294da76c8adb2866b0dc46556ed32322a0426dd344a0e4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3ab056fefe04713e3c294da76c8adb2866b0dc46556ed32322a0426dd344a0e4</t>
        </is>
      </c>
      <c r="BH333" s="24" t="inlineStr">
        <is>
          <t>2026-08-16T00:10:50.724991Z</t>
        </is>
      </c>
      <c r="BI333" s="24" t="inlineStr">
        <is>
          <t>["same_event","same_team_same_day","same_league_same_day"]</t>
        </is>
      </c>
      <c r="BJ333" s="25" t="n"/>
      <c r="BK333" s="26" t="n">
        <v>-376</v>
      </c>
      <c r="BL333" s="27" t="n">
        <v>1.265957</v>
      </c>
      <c r="BM333" s="28" t="n">
        <v>0.789916</v>
      </c>
      <c r="BN333" s="28" t="n"/>
      <c r="BO333" s="28" t="n"/>
      <c r="BP333" s="25" t="n"/>
      <c r="BQ333" s="27" t="n">
        <v>1.265957</v>
      </c>
      <c r="BR333" s="28" t="n">
        <v>0.79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False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0.789916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b84626956dba43ce</t>
        </is>
      </c>
      <c r="B334" s="24" t="inlineStr">
        <is>
          <t>2026-08-16T14:35:44.017110Z</t>
        </is>
      </c>
      <c r="C334" s="24" t="inlineStr">
        <is>
          <t>2026-08-16T15:00Z</t>
        </is>
      </c>
      <c r="D334" s="24" t="inlineStr">
        <is>
          <t>718-2026:182336</t>
        </is>
      </c>
      <c r="E334" s="24" t="inlineStr">
        <is>
          <t>TENNIS</t>
        </is>
      </c>
      <c r="F334" s="24" t="inlineStr">
        <is>
          <t>Viktorija Golubic</t>
        </is>
      </c>
      <c r="G334" s="24" t="inlineStr">
        <is>
          <t>Janice Tjen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108</v>
      </c>
      <c r="M334" s="27" t="n">
        <v>2.08</v>
      </c>
      <c r="N334" s="28" t="n">
        <v>0.480769</v>
      </c>
      <c r="O334" s="28" t="n">
        <v>0.661023</v>
      </c>
      <c r="P334" s="28" t="n">
        <v>0.05</v>
      </c>
      <c r="Q334" s="28" t="n">
        <v>0.180254</v>
      </c>
      <c r="R334" s="26" t="n">
        <v>100</v>
      </c>
      <c r="S334" s="29" t="n">
        <v>1.75</v>
      </c>
      <c r="T334" s="24" t="inlineStr">
        <is>
          <t>tennis-surface-elo-v1</t>
        </is>
      </c>
      <c r="U334" s="24" t="inlineStr">
        <is>
          <t>settled</t>
        </is>
      </c>
      <c r="V334" s="24" t="inlineStr">
        <is>
          <t>loss</t>
        </is>
      </c>
      <c r="W334" s="26" t="n">
        <v>0</v>
      </c>
      <c r="X334" s="26" t="n">
        <v>1</v>
      </c>
      <c r="Y334" s="25" t="n"/>
      <c r="Z334" s="26" t="n">
        <v>108</v>
      </c>
      <c r="AA334" s="28" t="n">
        <v>0.48</v>
      </c>
      <c r="AB334" s="28" t="n">
        <v>-0.000769</v>
      </c>
      <c r="AC334" s="30" t="n">
        <v>-1.75</v>
      </c>
      <c r="AD334" s="24" t="inlineStr">
        <is>
          <t>2026-08-17T05:24:44.847689Z</t>
        </is>
      </c>
      <c r="AE334" s="31" t="inlineStr">
        <is>
          <t>Surface-blended Elo on Hard: Viktorija Golubic p=0.661 vs Janice Tjen. Executable ask 0.4800 (aec-wta-jantje-vikgol-2026-08-16).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Viktorija Golubic</t>
        </is>
      </c>
      <c r="AQ334" s="24" t="inlineStr">
        <is>
          <t>Viktorija Golubic</t>
        </is>
      </c>
      <c r="AR334" s="24" t="inlineStr">
        <is>
          <t>Viktorija Golubic</t>
        </is>
      </c>
      <c r="AS334" s="24" t="inlineStr">
        <is>
          <t>Janice Tjen</t>
        </is>
      </c>
      <c r="AT334" s="24" t="inlineStr">
        <is>
          <t>Janice Tjen</t>
        </is>
      </c>
      <c r="AU334" s="24" t="inlineStr">
        <is>
          <t>Janice Tjen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3ab056fefe04713e3c294da76c8adb2866b0dc46556ed32322a0426dd344a0e4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3ab056fefe04713e3c294da76c8adb2866b0dc46556ed32322a0426dd344a0e4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3ab056fefe04713e3c294da76c8adb2866b0dc46556ed32322a0426dd344a0e4</t>
        </is>
      </c>
      <c r="BH334" s="24" t="inlineStr">
        <is>
          <t>2026-08-16T14:33:16.521530Z</t>
        </is>
      </c>
      <c r="BI334" s="24" t="inlineStr">
        <is>
          <t>["same_event","same_team_same_day","same_league_same_day"]</t>
        </is>
      </c>
      <c r="BJ334" s="25" t="n"/>
      <c r="BK334" s="26" t="n">
        <v>108</v>
      </c>
      <c r="BL334" s="27" t="n">
        <v>2.08</v>
      </c>
      <c r="BM334" s="28" t="n">
        <v>0.480769</v>
      </c>
      <c r="BN334" s="28" t="n"/>
      <c r="BO334" s="28" t="n"/>
      <c r="BP334" s="25" t="n"/>
      <c r="BQ334" s="27" t="n">
        <v>2.08</v>
      </c>
      <c r="BR334" s="28" t="n">
        <v>0.48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0.480769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f5930d47e1e64899</t>
        </is>
      </c>
      <c r="B335" s="24" t="inlineStr">
        <is>
          <t>2026-08-16T14:35:44.017110Z</t>
        </is>
      </c>
      <c r="C335" s="24" t="inlineStr">
        <is>
          <t>2026-08-16T15:00Z</t>
        </is>
      </c>
      <c r="D335" s="24" t="inlineStr">
        <is>
          <t>718-2026:182341</t>
        </is>
      </c>
      <c r="E335" s="24" t="inlineStr">
        <is>
          <t>TENNIS</t>
        </is>
      </c>
      <c r="F335" s="24" t="inlineStr">
        <is>
          <t>Mirra Andreeva</t>
        </is>
      </c>
      <c r="G335" s="24" t="inlineStr">
        <is>
          <t>Oleksandra Oliynykova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-1150</v>
      </c>
      <c r="M335" s="27" t="n">
        <v>1.086957</v>
      </c>
      <c r="N335" s="28" t="n">
        <v>0.92</v>
      </c>
      <c r="O335" s="28" t="n">
        <v>0.725203</v>
      </c>
      <c r="P335" s="28" t="n">
        <v>0.05</v>
      </c>
      <c r="Q335" s="28" t="n">
        <v>-0.194797</v>
      </c>
      <c r="R335" s="26" t="n">
        <v>0</v>
      </c>
      <c r="S335" s="29" t="n">
        <v>2</v>
      </c>
      <c r="T335" s="24" t="inlineStr">
        <is>
          <t>tennis-surface-elo-v1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-1150</v>
      </c>
      <c r="AA335" s="28" t="n">
        <v>0.92</v>
      </c>
      <c r="AB335" s="28" t="n">
        <v>0</v>
      </c>
      <c r="AC335" s="30" t="n">
        <v>0.1739</v>
      </c>
      <c r="AD335" s="24" t="inlineStr">
        <is>
          <t>2026-08-16T17:39:35.289805Z</t>
        </is>
      </c>
      <c r="AE335" s="31" t="inlineStr">
        <is>
          <t>Surface-blended Elo on Hard: Mirra Andreeva p=0.725 vs Oleksandra Oliynykova. Executable ask 0.9200 (aec-wta-oleoli-mirand-2026-08-16).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3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Mirra Andreeva</t>
        </is>
      </c>
      <c r="AQ335" s="24" t="inlineStr">
        <is>
          <t>Mirra Andreeva</t>
        </is>
      </c>
      <c r="AR335" s="24" t="inlineStr">
        <is>
          <t>Mirra Andreeva</t>
        </is>
      </c>
      <c r="AS335" s="24" t="inlineStr">
        <is>
          <t>Oleksandra Oliynykova</t>
        </is>
      </c>
      <c r="AT335" s="24" t="inlineStr">
        <is>
          <t>Oleksandra Oliynykova</t>
        </is>
      </c>
      <c r="AU335" s="24" t="inlineStr">
        <is>
          <t>Oleksandra Oliynykova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3ab056fefe04713e3c294da76c8adb2866b0dc46556ed32322a0426dd344a0e4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3ab056fefe04713e3c294da76c8adb2866b0dc46556ed32322a0426dd344a0e4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3ab056fefe04713e3c294da76c8adb2866b0dc46556ed32322a0426dd344a0e4</t>
        </is>
      </c>
      <c r="BH335" s="24" t="inlineStr">
        <is>
          <t>2026-08-16T14:33:17.702834Z</t>
        </is>
      </c>
      <c r="BI335" s="24" t="inlineStr">
        <is>
          <t>["same_event","same_team_same_day","same_league_same_day"]</t>
        </is>
      </c>
      <c r="BJ335" s="25" t="n"/>
      <c r="BK335" s="26" t="n">
        <v>-1150</v>
      </c>
      <c r="BL335" s="27" t="n">
        <v>1.086957</v>
      </c>
      <c r="BM335" s="28" t="n">
        <v>0.92</v>
      </c>
      <c r="BN335" s="28" t="n"/>
      <c r="BO335" s="28" t="n"/>
      <c r="BP335" s="25" t="n"/>
      <c r="BQ335" s="27" t="n">
        <v>1.086957</v>
      </c>
      <c r="BR335" s="28" t="n">
        <v>0.92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0.92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5dd33aeb91384dd8</t>
        </is>
      </c>
      <c r="B336" s="24" t="inlineStr">
        <is>
          <t>2026-08-16T14:35:44.017110Z</t>
        </is>
      </c>
      <c r="C336" s="24" t="inlineStr">
        <is>
          <t>2026-08-16T15:00Z</t>
        </is>
      </c>
      <c r="D336" s="24" t="inlineStr">
        <is>
          <t>718-2026:182365</t>
        </is>
      </c>
      <c r="E336" s="24" t="inlineStr">
        <is>
          <t>TENNIS</t>
        </is>
      </c>
      <c r="F336" s="24" t="inlineStr">
        <is>
          <t>Elena Rybakina</t>
        </is>
      </c>
      <c r="G336" s="24" t="inlineStr">
        <is>
          <t>Taylor Townsend</t>
        </is>
      </c>
      <c r="H336" s="24" t="inlineStr">
        <is>
          <t>moneyline</t>
        </is>
      </c>
      <c r="I336" s="24" t="inlineStr">
        <is>
          <t>away</t>
        </is>
      </c>
      <c r="J336" s="25" t="n"/>
      <c r="K336" s="24" t="inlineStr">
        <is>
          <t>polymarket_us</t>
        </is>
      </c>
      <c r="L336" s="26" t="n">
        <v>-317</v>
      </c>
      <c r="M336" s="27" t="n">
        <v>1.315457</v>
      </c>
      <c r="N336" s="28" t="n">
        <v>0.760192</v>
      </c>
      <c r="O336" s="28" t="n">
        <v>0.843799</v>
      </c>
      <c r="P336" s="28" t="n">
        <v>0.05</v>
      </c>
      <c r="Q336" s="28" t="n">
        <v>0.083607</v>
      </c>
      <c r="R336" s="26" t="n">
        <v>62</v>
      </c>
      <c r="S336" s="29" t="n">
        <v>2</v>
      </c>
      <c r="T336" s="24" t="inlineStr">
        <is>
          <t>tennis-surface-elo-v1</t>
        </is>
      </c>
      <c r="U336" s="24" t="inlineStr">
        <is>
          <t>settled</t>
        </is>
      </c>
      <c r="V336" s="24" t="inlineStr">
        <is>
          <t>win</t>
        </is>
      </c>
      <c r="W336" s="26" t="n">
        <v>1</v>
      </c>
      <c r="X336" s="26" t="n">
        <v>0</v>
      </c>
      <c r="Y336" s="25" t="n"/>
      <c r="Z336" s="26" t="n">
        <v>-317</v>
      </c>
      <c r="AA336" s="28" t="n">
        <v>0.76</v>
      </c>
      <c r="AB336" s="28" t="n">
        <v>-0.000192</v>
      </c>
      <c r="AC336" s="30" t="n">
        <v>0.6309</v>
      </c>
      <c r="AD336" s="24" t="inlineStr">
        <is>
          <t>2026-08-16T17:39:37.166062Z</t>
        </is>
      </c>
      <c r="AE336" s="31" t="inlineStr">
        <is>
          <t>Surface-blended Elo on Hard: Elena Rybakina p=0.844 vs Taylor Townsend. Executable ask 0.7600 (aec-wta-taytow-eleryb-2026-08-15).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Elena Rybakina</t>
        </is>
      </c>
      <c r="AQ336" s="24" t="inlineStr">
        <is>
          <t>Elena Rybakina</t>
        </is>
      </c>
      <c r="AR336" s="24" t="inlineStr">
        <is>
          <t>Elena Rybakina</t>
        </is>
      </c>
      <c r="AS336" s="24" t="inlineStr">
        <is>
          <t>Taylor Townsend</t>
        </is>
      </c>
      <c r="AT336" s="24" t="inlineStr">
        <is>
          <t>Taylor Townsend</t>
        </is>
      </c>
      <c r="AU336" s="24" t="inlineStr">
        <is>
          <t>Taylor Townsend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3ab056fefe04713e3c294da76c8adb2866b0dc46556ed32322a0426dd344a0e4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3ab056fefe04713e3c294da76c8adb2866b0dc46556ed32322a0426dd344a0e4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3ab056fefe04713e3c294da76c8adb2866b0dc46556ed32322a0426dd344a0e4</t>
        </is>
      </c>
      <c r="BH336" s="24" t="inlineStr">
        <is>
          <t>2026-08-16T14:33:15.112501Z</t>
        </is>
      </c>
      <c r="BI336" s="24" t="inlineStr">
        <is>
          <t>["same_event","same_team_same_day","same_league_same_day"]</t>
        </is>
      </c>
      <c r="BJ336" s="25" t="n"/>
      <c r="BK336" s="26" t="n">
        <v>-317</v>
      </c>
      <c r="BL336" s="27" t="n">
        <v>1.315457</v>
      </c>
      <c r="BM336" s="28" t="n">
        <v>0.760192</v>
      </c>
      <c r="BN336" s="28" t="n"/>
      <c r="BO336" s="28" t="n"/>
      <c r="BP336" s="25" t="n"/>
      <c r="BQ336" s="27" t="n">
        <v>1.315457</v>
      </c>
      <c r="BR336" s="28" t="n">
        <v>0.76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0.760192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0fb8df7b651742cc</t>
        </is>
      </c>
      <c r="B337" s="24" t="inlineStr">
        <is>
          <t>2026-08-16T14:35:44.017110Z</t>
        </is>
      </c>
      <c r="C337" s="24" t="inlineStr">
        <is>
          <t>2026-08-16T15:00Z</t>
        </is>
      </c>
      <c r="D337" s="24" t="inlineStr">
        <is>
          <t>718-2026:182440</t>
        </is>
      </c>
      <c r="E337" s="24" t="inlineStr">
        <is>
          <t>TENNIS</t>
        </is>
      </c>
      <c r="F337" s="24" t="inlineStr">
        <is>
          <t>Donna Vekic</t>
        </is>
      </c>
      <c r="G337" s="24" t="inlineStr">
        <is>
          <t>Wang Xinyu</t>
        </is>
      </c>
      <c r="H337" s="24" t="inlineStr">
        <is>
          <t>moneyline</t>
        </is>
      </c>
      <c r="I337" s="24" t="inlineStr">
        <is>
          <t>away</t>
        </is>
      </c>
      <c r="J337" s="25" t="n"/>
      <c r="K337" s="24" t="inlineStr">
        <is>
          <t>polymarket_us</t>
        </is>
      </c>
      <c r="L337" s="26" t="n">
        <v>122</v>
      </c>
      <c r="M337" s="27" t="n">
        <v>2.22</v>
      </c>
      <c r="N337" s="28" t="n">
        <v>0.45045</v>
      </c>
      <c r="O337" s="28" t="n">
        <v>0.567542</v>
      </c>
      <c r="P337" s="28" t="n">
        <v>0.05</v>
      </c>
      <c r="Q337" s="28" t="n">
        <v>0.117092</v>
      </c>
      <c r="R337" s="26" t="n">
        <v>79</v>
      </c>
      <c r="S337" s="29" t="n">
        <v>1</v>
      </c>
      <c r="T337" s="24" t="inlineStr">
        <is>
          <t>tennis-surface-elo-v1</t>
        </is>
      </c>
      <c r="U337" s="24" t="inlineStr">
        <is>
          <t>settled</t>
        </is>
      </c>
      <c r="V337" s="24" t="inlineStr">
        <is>
          <t>loss</t>
        </is>
      </c>
      <c r="W337" s="26" t="n">
        <v>0</v>
      </c>
      <c r="X337" s="26" t="n">
        <v>1</v>
      </c>
      <c r="Y337" s="25" t="n"/>
      <c r="Z337" s="26" t="n">
        <v>122</v>
      </c>
      <c r="AA337" s="28" t="n">
        <v>0.45</v>
      </c>
      <c r="AB337" s="28" t="n">
        <v>-0.00045</v>
      </c>
      <c r="AC337" s="30" t="n">
        <v>-1</v>
      </c>
      <c r="AD337" s="24" t="inlineStr">
        <is>
          <t>2026-08-16T17:39:38.745094Z</t>
        </is>
      </c>
      <c r="AE337" s="31" t="inlineStr">
        <is>
          <t>Surface-blended Elo on Hard: Donna Vekic p=0.568 vs Wang Xinyu. Executable ask 0.4500 (aec-wta-xinwan-donvek-2026-08-15).</t>
        </is>
      </c>
      <c r="AF337" s="31" t="inlineStr">
        <is>
          <t>Surface-blended Elo model; singles only, WTA+ATP market coverage, not yet locked-holdout qualified -- promoted by explicit operator directive, not genuine walk-forward validation.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Donna Vekic</t>
        </is>
      </c>
      <c r="AQ337" s="24" t="inlineStr">
        <is>
          <t>Donna Vekic</t>
        </is>
      </c>
      <c r="AR337" s="24" t="inlineStr">
        <is>
          <t>Donna Vekic</t>
        </is>
      </c>
      <c r="AS337" s="24" t="inlineStr">
        <is>
          <t>Wang Xinyu</t>
        </is>
      </c>
      <c r="AT337" s="24" t="inlineStr">
        <is>
          <t>Wang Xinyu</t>
        </is>
      </c>
      <c r="AU337" s="24" t="inlineStr">
        <is>
          <t>Wang Xinyu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3ab056fefe04713e3c294da76c8adb2866b0dc46556ed32322a0426dd344a0e4</t>
        </is>
      </c>
      <c r="BB337" s="24" t="inlineStr">
        <is>
          <t>surface_blended_elo</t>
        </is>
      </c>
      <c r="BC337" s="24" t="inlineStr">
        <is>
          <t>tennis-surface-elo-v1</t>
        </is>
      </c>
      <c r="BD337" s="24" t="inlineStr">
        <is>
          <t>3ab056fefe04713e3c294da76c8adb2866b0dc46556ed32322a0426dd344a0e4</t>
        </is>
      </c>
      <c r="BE337" s="24" t="inlineStr">
        <is>
          <t>tennis-surface-elo-v1</t>
        </is>
      </c>
      <c r="BF337" s="24" t="inlineStr">
        <is>
          <t>1</t>
        </is>
      </c>
      <c r="BG337" s="24" t="inlineStr">
        <is>
          <t>3ab056fefe04713e3c294da76c8adb2866b0dc46556ed32322a0426dd344a0e4</t>
        </is>
      </c>
      <c r="BH337" s="24" t="inlineStr">
        <is>
          <t>2026-08-16T14:33:18.330777Z</t>
        </is>
      </c>
      <c r="BI337" s="24" t="inlineStr">
        <is>
          <t>["same_event","same_team_same_day","same_league_same_day"]</t>
        </is>
      </c>
      <c r="BJ337" s="25" t="n"/>
      <c r="BK337" s="26" t="n">
        <v>122</v>
      </c>
      <c r="BL337" s="27" t="n">
        <v>2.22</v>
      </c>
      <c r="BM337" s="28" t="n">
        <v>0.45045</v>
      </c>
      <c r="BN337" s="28" t="n"/>
      <c r="BO337" s="28" t="n"/>
      <c r="BP337" s="25" t="n"/>
      <c r="BQ337" s="27" t="n">
        <v>2.22</v>
      </c>
      <c r="BR337" s="28" t="n">
        <v>0.45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0.45045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360a41c078844a05</t>
        </is>
      </c>
      <c r="B338" s="24" t="inlineStr">
        <is>
          <t>2026-08-16T14:35:44.017110Z</t>
        </is>
      </c>
      <c r="C338" s="24" t="inlineStr">
        <is>
          <t>2026-08-16T15:00Z</t>
        </is>
      </c>
      <c r="D338" s="24" t="inlineStr">
        <is>
          <t>718-2026:182443</t>
        </is>
      </c>
      <c r="E338" s="24" t="inlineStr">
        <is>
          <t>TENNIS</t>
        </is>
      </c>
      <c r="F338" s="24" t="inlineStr">
        <is>
          <t>Sara Bejlek</t>
        </is>
      </c>
      <c r="G338" s="24" t="inlineStr">
        <is>
          <t>Barbora Krejcikova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-156</v>
      </c>
      <c r="M338" s="27" t="n">
        <v>1.641026</v>
      </c>
      <c r="N338" s="28" t="n">
        <v>0.609375</v>
      </c>
      <c r="O338" s="28" t="n">
        <v>0.572926</v>
      </c>
      <c r="P338" s="28" t="n">
        <v>0.05</v>
      </c>
      <c r="Q338" s="28" t="n">
        <v>-0.036449</v>
      </c>
      <c r="R338" s="26" t="n">
        <v>2</v>
      </c>
      <c r="S338" s="29" t="n">
        <v>1.25</v>
      </c>
      <c r="T338" s="24" t="inlineStr">
        <is>
          <t>tennis-surface-elo-v1</t>
        </is>
      </c>
      <c r="U338" s="24" t="inlineStr">
        <is>
          <t>settled</t>
        </is>
      </c>
      <c r="V338" s="24" t="inlineStr">
        <is>
          <t>loss</t>
        </is>
      </c>
      <c r="W338" s="26" t="n">
        <v>1</v>
      </c>
      <c r="X338" s="26" t="n">
        <v>0</v>
      </c>
      <c r="Y338" s="25" t="n"/>
      <c r="Z338" s="26" t="n">
        <v>-156</v>
      </c>
      <c r="AA338" s="28" t="n">
        <v>0.61</v>
      </c>
      <c r="AB338" s="28" t="n">
        <v>0.000625</v>
      </c>
      <c r="AC338" s="30" t="n">
        <v>-1.25</v>
      </c>
      <c r="AD338" s="24" t="inlineStr">
        <is>
          <t>2026-08-16T17:39:40.403766Z</t>
        </is>
      </c>
      <c r="AE338" s="31" t="inlineStr">
        <is>
          <t>Surface-blended Elo on Hard: Sara Bejlek p=0.427 vs Barbora Krejcikova. Executable ask 0.6100 (aec-wta-barkre-sarbej-2026-08-15).</t>
        </is>
      </c>
      <c r="AF338" s="31" t="inlineStr">
        <is>
          <t>Surface-blended Elo model; singles only, WTA+ATP market coverage, not yet locked-holdout qualified -- promoted by explicit operator directive, not genuine walk-forward validation.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3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Sara Bejlek</t>
        </is>
      </c>
      <c r="AQ338" s="24" t="inlineStr">
        <is>
          <t>Sara Bejlek</t>
        </is>
      </c>
      <c r="AR338" s="24" t="inlineStr">
        <is>
          <t>Sara Bejlek</t>
        </is>
      </c>
      <c r="AS338" s="24" t="inlineStr">
        <is>
          <t>Barbora Krejcikova</t>
        </is>
      </c>
      <c r="AT338" s="24" t="inlineStr">
        <is>
          <t>Barbora Krejcikova</t>
        </is>
      </c>
      <c r="AU338" s="24" t="inlineStr">
        <is>
          <t>Barbora Krejcikova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3ab056fefe04713e3c294da76c8adb2866b0dc46556ed32322a0426dd344a0e4</t>
        </is>
      </c>
      <c r="BB338" s="24" t="inlineStr">
        <is>
          <t>surface_blended_elo</t>
        </is>
      </c>
      <c r="BC338" s="24" t="inlineStr">
        <is>
          <t>tennis-surface-elo-v1</t>
        </is>
      </c>
      <c r="BD338" s="24" t="inlineStr">
        <is>
          <t>3ab056fefe04713e3c294da76c8adb2866b0dc46556ed32322a0426dd344a0e4</t>
        </is>
      </c>
      <c r="BE338" s="24" t="inlineStr">
        <is>
          <t>tennis-surface-elo-v1</t>
        </is>
      </c>
      <c r="BF338" s="24" t="inlineStr">
        <is>
          <t>1</t>
        </is>
      </c>
      <c r="BG338" s="24" t="inlineStr">
        <is>
          <t>3ab056fefe04713e3c294da76c8adb2866b0dc46556ed32322a0426dd344a0e4</t>
        </is>
      </c>
      <c r="BH338" s="24" t="inlineStr">
        <is>
          <t>2026-08-16T14:33:15.812124Z</t>
        </is>
      </c>
      <c r="BI338" s="24" t="inlineStr">
        <is>
          <t>["same_event","same_team_same_day","same_league_same_day"]</t>
        </is>
      </c>
      <c r="BJ338" s="25" t="n"/>
      <c r="BK338" s="26" t="n">
        <v>-156</v>
      </c>
      <c r="BL338" s="27" t="n">
        <v>1.641026</v>
      </c>
      <c r="BM338" s="28" t="n">
        <v>0.609375</v>
      </c>
      <c r="BN338" s="28" t="n"/>
      <c r="BO338" s="28" t="n"/>
      <c r="BP338" s="25" t="n"/>
      <c r="BQ338" s="27" t="n">
        <v>1.641026</v>
      </c>
      <c r="BR338" s="28" t="n">
        <v>0.61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0.609375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cf9322ba5aee42db</t>
        </is>
      </c>
      <c r="B339" s="24" t="inlineStr">
        <is>
          <t>2026-08-16T14:35:44.017110Z</t>
        </is>
      </c>
      <c r="C339" s="24" t="inlineStr">
        <is>
          <t>2026-08-16T16:30Z</t>
        </is>
      </c>
      <c r="D339" s="24" t="inlineStr">
        <is>
          <t>718-2026:182326</t>
        </is>
      </c>
      <c r="E339" s="24" t="inlineStr">
        <is>
          <t>TENNIS</t>
        </is>
      </c>
      <c r="F339" s="24" t="inlineStr">
        <is>
          <t>Emiliana Arango</t>
        </is>
      </c>
      <c r="G339" s="24" t="inlineStr">
        <is>
          <t>Iga Swiatek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-4900</v>
      </c>
      <c r="M339" s="27" t="n">
        <v>1.020408</v>
      </c>
      <c r="N339" s="28" t="n">
        <v>0.98</v>
      </c>
      <c r="O339" s="28" t="n">
        <v>0.889018</v>
      </c>
      <c r="P339" s="28" t="n">
        <v>0.05</v>
      </c>
      <c r="Q339" s="28" t="n">
        <v>-0.09098199999999999</v>
      </c>
      <c r="R339" s="26" t="n">
        <v>0</v>
      </c>
      <c r="S339" s="29" t="n">
        <v>2</v>
      </c>
      <c r="T339" s="24" t="inlineStr">
        <is>
          <t>tennis-surface-elo-v1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-4900</v>
      </c>
      <c r="AA339" s="28" t="n">
        <v>0.98</v>
      </c>
      <c r="AB339" s="28" t="n">
        <v>0</v>
      </c>
      <c r="AC339" s="30" t="n">
        <v>0.0408</v>
      </c>
      <c r="AD339" s="24" t="inlineStr">
        <is>
          <t>2026-08-17T05:24:48.080416Z</t>
        </is>
      </c>
      <c r="AE339" s="31" t="inlineStr">
        <is>
          <t>Surface-blended Elo on Hard: Emiliana Arango p=0.111 vs Iga Swiatek. Executable ask 0.9800 (aec-wta-igaswi-emiara-2026-08-15).</t>
        </is>
      </c>
      <c r="AF339" s="31" t="inlineStr">
        <is>
          <t>Surface-blended Elo model; singles only, WTA+ATP market coverage, not yet locked-holdout qualified -- promoted by explicit operator directive, not genuine walk-forward validation.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3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Emiliana Arango</t>
        </is>
      </c>
      <c r="AQ339" s="24" t="inlineStr">
        <is>
          <t>Emiliana Arango</t>
        </is>
      </c>
      <c r="AR339" s="24" t="inlineStr">
        <is>
          <t>Emiliana Arango</t>
        </is>
      </c>
      <c r="AS339" s="24" t="inlineStr">
        <is>
          <t>Iga Swiatek</t>
        </is>
      </c>
      <c r="AT339" s="24" t="inlineStr">
        <is>
          <t>Iga Swiatek</t>
        </is>
      </c>
      <c r="AU339" s="24" t="inlineStr">
        <is>
          <t>Iga Swiatek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3ab056fefe04713e3c294da76c8adb2866b0dc46556ed32322a0426dd344a0e4</t>
        </is>
      </c>
      <c r="BB339" s="24" t="inlineStr">
        <is>
          <t>surface_blended_elo</t>
        </is>
      </c>
      <c r="BC339" s="24" t="inlineStr">
        <is>
          <t>tennis-surface-elo-v1</t>
        </is>
      </c>
      <c r="BD339" s="24" t="inlineStr">
        <is>
          <t>3ab056fefe04713e3c294da76c8adb2866b0dc46556ed32322a0426dd344a0e4</t>
        </is>
      </c>
      <c r="BE339" s="24" t="inlineStr">
        <is>
          <t>tennis-surface-elo-v1</t>
        </is>
      </c>
      <c r="BF339" s="24" t="inlineStr">
        <is>
          <t>1</t>
        </is>
      </c>
      <c r="BG339" s="24" t="inlineStr">
        <is>
          <t>3ab056fefe04713e3c294da76c8adb2866b0dc46556ed32322a0426dd344a0e4</t>
        </is>
      </c>
      <c r="BH339" s="24" t="inlineStr">
        <is>
          <t>2026-08-16T14:33:20.453678Z</t>
        </is>
      </c>
      <c r="BI339" s="24" t="inlineStr">
        <is>
          <t>["same_event","same_team_same_day","same_league_same_day"]</t>
        </is>
      </c>
      <c r="BJ339" s="25" t="n"/>
      <c r="BK339" s="26" t="n">
        <v>-4900</v>
      </c>
      <c r="BL339" s="27" t="n">
        <v>1.020408</v>
      </c>
      <c r="BM339" s="28" t="n">
        <v>0.98</v>
      </c>
      <c r="BN339" s="28" t="n"/>
      <c r="BO339" s="28" t="n"/>
      <c r="BP339" s="25" t="n"/>
      <c r="BQ339" s="27" t="n">
        <v>1.020408</v>
      </c>
      <c r="BR339" s="28" t="n">
        <v>0.98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0.98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8def9e823afb4be3</t>
        </is>
      </c>
      <c r="B340" s="24" t="inlineStr">
        <is>
          <t>2026-08-16T14:35:44.017110Z</t>
        </is>
      </c>
      <c r="C340" s="24" t="inlineStr">
        <is>
          <t>2026-08-16T16:30Z</t>
        </is>
      </c>
      <c r="D340" s="24" t="inlineStr">
        <is>
          <t>718-2026:182430</t>
        </is>
      </c>
      <c r="E340" s="24" t="inlineStr">
        <is>
          <t>TENNIS</t>
        </is>
      </c>
      <c r="F340" s="24" t="inlineStr">
        <is>
          <t>Madison Keys</t>
        </is>
      </c>
      <c r="G340" s="24" t="inlineStr">
        <is>
          <t>Daria Snigur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-245</v>
      </c>
      <c r="M340" s="27" t="n">
        <v>1.408163</v>
      </c>
      <c r="N340" s="28" t="n">
        <v>0.710145</v>
      </c>
      <c r="O340" s="28" t="n">
        <v>0.57246</v>
      </c>
      <c r="P340" s="28" t="n">
        <v>0.05</v>
      </c>
      <c r="Q340" s="28" t="n">
        <v>-0.137685</v>
      </c>
      <c r="R340" s="26" t="n">
        <v>0</v>
      </c>
      <c r="S340" s="29" t="n">
        <v>1.25</v>
      </c>
      <c r="T340" s="24" t="inlineStr">
        <is>
          <t>tennis-surface-elo-v1</t>
        </is>
      </c>
      <c r="U340" s="24" t="inlineStr">
        <is>
          <t>settled</t>
        </is>
      </c>
      <c r="V340" s="24" t="inlineStr">
        <is>
          <t>win</t>
        </is>
      </c>
      <c r="W340" s="26" t="n">
        <v>1</v>
      </c>
      <c r="X340" s="26" t="n">
        <v>0</v>
      </c>
      <c r="Y340" s="25" t="n"/>
      <c r="Z340" s="26" t="n">
        <v>-245</v>
      </c>
      <c r="AA340" s="28" t="n">
        <v>0.71</v>
      </c>
      <c r="AB340" s="28" t="n">
        <v>-0.000145</v>
      </c>
      <c r="AC340" s="30" t="n">
        <v>0.5102</v>
      </c>
      <c r="AD340" s="24" t="inlineStr">
        <is>
          <t>2026-08-17T05:24:51.877387Z</t>
        </is>
      </c>
      <c r="AE340" s="31" t="inlineStr">
        <is>
          <t>Surface-blended Elo on Hard: Madison Keys p=0.572 vs Daria Snigur. Executable ask 0.7100 (aec-wta-darsni-madkey-2026-08-15).</t>
        </is>
      </c>
      <c r="AF340" s="31" t="inlineStr">
        <is>
          <t>Surface-blended Elo model; singles only, WTA+ATP market coverage, not yet locked-holdout qualified -- promoted by explicit operator directive, not genuine walk-forward validation.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3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Madison Keys</t>
        </is>
      </c>
      <c r="AQ340" s="24" t="inlineStr">
        <is>
          <t>Madison Keys</t>
        </is>
      </c>
      <c r="AR340" s="24" t="inlineStr">
        <is>
          <t>Madison Keys</t>
        </is>
      </c>
      <c r="AS340" s="24" t="inlineStr">
        <is>
          <t>Daria Snigur</t>
        </is>
      </c>
      <c r="AT340" s="24" t="inlineStr">
        <is>
          <t>Daria Snigur</t>
        </is>
      </c>
      <c r="AU340" s="24" t="inlineStr">
        <is>
          <t>Daria Snigur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3ab056fefe04713e3c294da76c8adb2866b0dc46556ed32322a0426dd344a0e4</t>
        </is>
      </c>
      <c r="BB340" s="24" t="inlineStr">
        <is>
          <t>surface_blended_elo</t>
        </is>
      </c>
      <c r="BC340" s="24" t="inlineStr">
        <is>
          <t>tennis-surface-elo-v1</t>
        </is>
      </c>
      <c r="BD340" s="24" t="inlineStr">
        <is>
          <t>3ab056fefe04713e3c294da76c8adb2866b0dc46556ed32322a0426dd344a0e4</t>
        </is>
      </c>
      <c r="BE340" s="24" t="inlineStr">
        <is>
          <t>tennis-surface-elo-v1</t>
        </is>
      </c>
      <c r="BF340" s="24" t="inlineStr">
        <is>
          <t>1</t>
        </is>
      </c>
      <c r="BG340" s="24" t="inlineStr">
        <is>
          <t>3ab056fefe04713e3c294da76c8adb2866b0dc46556ed32322a0426dd344a0e4</t>
        </is>
      </c>
      <c r="BH340" s="24" t="inlineStr">
        <is>
          <t>2026-08-16T14:33:21.864655Z</t>
        </is>
      </c>
      <c r="BI340" s="24" t="inlineStr">
        <is>
          <t>["same_event","same_team_same_day","same_league_same_day"]</t>
        </is>
      </c>
      <c r="BJ340" s="25" t="n"/>
      <c r="BK340" s="26" t="n">
        <v>-245</v>
      </c>
      <c r="BL340" s="27" t="n">
        <v>1.408163</v>
      </c>
      <c r="BM340" s="28" t="n">
        <v>0.710145</v>
      </c>
      <c r="BN340" s="28" t="n"/>
      <c r="BO340" s="28" t="n"/>
      <c r="BP340" s="25" t="n"/>
      <c r="BQ340" s="27" t="n">
        <v>1.408163</v>
      </c>
      <c r="BR340" s="28" t="n">
        <v>0.71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0.710145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0588cf9b75f24314</t>
        </is>
      </c>
      <c r="B341" s="24" t="inlineStr">
        <is>
          <t>2026-08-16T14:35:44.017110Z</t>
        </is>
      </c>
      <c r="C341" s="24" t="inlineStr">
        <is>
          <t>2026-08-16T16:30Z</t>
        </is>
      </c>
      <c r="D341" s="24" t="inlineStr">
        <is>
          <t>718-2026:182437</t>
        </is>
      </c>
      <c r="E341" s="24" t="inlineStr">
        <is>
          <t>TENNIS</t>
        </is>
      </c>
      <c r="F341" s="24" t="inlineStr">
        <is>
          <t>Lucrezia Stefanini</t>
        </is>
      </c>
      <c r="G341" s="24" t="inlineStr">
        <is>
          <t>Marie Bouzkova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-400</v>
      </c>
      <c r="M341" s="27" t="n">
        <v>1.25</v>
      </c>
      <c r="N341" s="28" t="n">
        <v>0.8</v>
      </c>
      <c r="O341" s="28" t="n">
        <v>0.688496</v>
      </c>
      <c r="P341" s="28" t="n">
        <v>0.05</v>
      </c>
      <c r="Q341" s="28" t="n">
        <v>-0.111504</v>
      </c>
      <c r="R341" s="26" t="n">
        <v>0</v>
      </c>
      <c r="S341" s="29" t="n">
        <v>2</v>
      </c>
      <c r="T341" s="24" t="inlineStr">
        <is>
          <t>tennis-surface-elo-v1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>
        <v>-400</v>
      </c>
      <c r="AA341" s="28" t="n">
        <v>0.8</v>
      </c>
      <c r="AB341" s="28" t="n">
        <v>0</v>
      </c>
      <c r="AC341" s="30" t="n">
        <v>0.5</v>
      </c>
      <c r="AD341" s="24" t="inlineStr">
        <is>
          <t>2026-08-17T05:24:55.450893Z</t>
        </is>
      </c>
      <c r="AE341" s="31" t="inlineStr">
        <is>
          <t>Surface-blended Elo on Hard: Lucrezia Stefanini p=0.312 vs Marie Bouzkova. Executable ask 0.8000 (aec-wta-marbou-lucste-2026-08-15).</t>
        </is>
      </c>
      <c r="AF341" s="31" t="inlineStr">
        <is>
          <t>Surface-blended Elo model; singles only, WTA+ATP market coverage, not yet locked-holdout qualified -- promoted by explicit operator directive, not genuine walk-forward validation.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3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Lucrezia Stefanini</t>
        </is>
      </c>
      <c r="AQ341" s="24" t="inlineStr">
        <is>
          <t>Lucrezia Stefanini</t>
        </is>
      </c>
      <c r="AR341" s="24" t="inlineStr">
        <is>
          <t>Lucrezia Stefanini</t>
        </is>
      </c>
      <c r="AS341" s="24" t="inlineStr">
        <is>
          <t>Marie Bouzkova</t>
        </is>
      </c>
      <c r="AT341" s="24" t="inlineStr">
        <is>
          <t>Marie Bouzkova</t>
        </is>
      </c>
      <c r="AU341" s="24" t="inlineStr">
        <is>
          <t>Marie Bouzkova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3ab056fefe04713e3c294da76c8adb2866b0dc46556ed32322a0426dd344a0e4</t>
        </is>
      </c>
      <c r="BB341" s="24" t="inlineStr">
        <is>
          <t>surface_blended_elo</t>
        </is>
      </c>
      <c r="BC341" s="24" t="inlineStr">
        <is>
          <t>tennis-surface-elo-v1</t>
        </is>
      </c>
      <c r="BD341" s="24" t="inlineStr">
        <is>
          <t>3ab056fefe04713e3c294da76c8adb2866b0dc46556ed32322a0426dd344a0e4</t>
        </is>
      </c>
      <c r="BE341" s="24" t="inlineStr">
        <is>
          <t>tennis-surface-elo-v1</t>
        </is>
      </c>
      <c r="BF341" s="24" t="inlineStr">
        <is>
          <t>1</t>
        </is>
      </c>
      <c r="BG341" s="24" t="inlineStr">
        <is>
          <t>3ab056fefe04713e3c294da76c8adb2866b0dc46556ed32322a0426dd344a0e4</t>
        </is>
      </c>
      <c r="BH341" s="24" t="inlineStr">
        <is>
          <t>2026-08-16T14:33:22.917748Z</t>
        </is>
      </c>
      <c r="BI341" s="24" t="inlineStr">
        <is>
          <t>["same_event","same_team_same_day","same_league_same_day"]</t>
        </is>
      </c>
      <c r="BJ341" s="25" t="n"/>
      <c r="BK341" s="26" t="n">
        <v>-400</v>
      </c>
      <c r="BL341" s="27" t="n">
        <v>1.25</v>
      </c>
      <c r="BM341" s="28" t="n">
        <v>0.8</v>
      </c>
      <c r="BN341" s="28" t="n"/>
      <c r="BO341" s="28" t="n"/>
      <c r="BP341" s="25" t="n"/>
      <c r="BQ341" s="27" t="n">
        <v>1.25</v>
      </c>
      <c r="BR341" s="28" t="n">
        <v>0.8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0.8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700b59616548479d</t>
        </is>
      </c>
      <c r="B342" s="24" t="inlineStr">
        <is>
          <t>2026-08-16T14:35:44.017110Z</t>
        </is>
      </c>
      <c r="C342" s="24" t="inlineStr">
        <is>
          <t>2026-08-16T16:30Z</t>
        </is>
      </c>
      <c r="D342" s="24" t="inlineStr">
        <is>
          <t>718-2026:182439</t>
        </is>
      </c>
      <c r="E342" s="24" t="inlineStr">
        <is>
          <t>TENNIS</t>
        </is>
      </c>
      <c r="F342" s="24" t="inlineStr">
        <is>
          <t>Ann Li</t>
        </is>
      </c>
      <c r="G342" s="24" t="inlineStr">
        <is>
          <t>Zhang Shuai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-144</v>
      </c>
      <c r="M342" s="27" t="n">
        <v>1.694444</v>
      </c>
      <c r="N342" s="28" t="n">
        <v>0.590164</v>
      </c>
      <c r="O342" s="28" t="n">
        <v>0.5314950000000001</v>
      </c>
      <c r="P342" s="28" t="n">
        <v>0.05</v>
      </c>
      <c r="Q342" s="28" t="n">
        <v>-0.058669</v>
      </c>
      <c r="R342" s="26" t="n">
        <v>0</v>
      </c>
      <c r="S342" s="29" t="n">
        <v>1</v>
      </c>
      <c r="T342" s="24" t="inlineStr">
        <is>
          <t>tennis-surface-elo-v1</t>
        </is>
      </c>
      <c r="U342" s="24" t="inlineStr">
        <is>
          <t>settled</t>
        </is>
      </c>
      <c r="V342" s="24" t="inlineStr">
        <is>
          <t>win</t>
        </is>
      </c>
      <c r="W342" s="26" t="n">
        <v>1</v>
      </c>
      <c r="X342" s="26" t="n">
        <v>0</v>
      </c>
      <c r="Y342" s="25" t="n"/>
      <c r="Z342" s="26" t="n">
        <v>-144</v>
      </c>
      <c r="AA342" s="28" t="n">
        <v>0.59</v>
      </c>
      <c r="AB342" s="28" t="n">
        <v>-0.000164</v>
      </c>
      <c r="AC342" s="30" t="n">
        <v>0.6944</v>
      </c>
      <c r="AD342" s="24" t="inlineStr">
        <is>
          <t>2026-08-17T05:24:58.922307Z</t>
        </is>
      </c>
      <c r="AE342" s="31" t="inlineStr">
        <is>
          <t>Surface-blended Elo on Hard: Ann Li p=0.531 vs Zhang Shuai. Executable ask 0.5900 (aec-wta-shuzha-annli-2026-08-16).</t>
        </is>
      </c>
      <c r="AF342" s="31" t="inlineStr">
        <is>
          <t>Surface-blended Elo model; singles only, WTA+ATP market coverage, not yet locked-holdout qualified -- promoted by explicit operator directive, not genuine walk-forward validation.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3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Ann Li</t>
        </is>
      </c>
      <c r="AQ342" s="24" t="inlineStr">
        <is>
          <t>Ann Li</t>
        </is>
      </c>
      <c r="AR342" s="24" t="inlineStr">
        <is>
          <t>Ann Li</t>
        </is>
      </c>
      <c r="AS342" s="24" t="inlineStr">
        <is>
          <t>Zhang Shuai</t>
        </is>
      </c>
      <c r="AT342" s="24" t="inlineStr">
        <is>
          <t>Zhang Shuai</t>
        </is>
      </c>
      <c r="AU342" s="24" t="inlineStr">
        <is>
          <t>Zhang Shuai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3ab056fefe04713e3c294da76c8adb2866b0dc46556ed32322a0426dd344a0e4</t>
        </is>
      </c>
      <c r="BB342" s="24" t="inlineStr">
        <is>
          <t>surface_blended_elo</t>
        </is>
      </c>
      <c r="BC342" s="24" t="inlineStr">
        <is>
          <t>tennis-surface-elo-v1</t>
        </is>
      </c>
      <c r="BD342" s="24" t="inlineStr">
        <is>
          <t>3ab056fefe04713e3c294da76c8adb2866b0dc46556ed32322a0426dd344a0e4</t>
        </is>
      </c>
      <c r="BE342" s="24" t="inlineStr">
        <is>
          <t>tennis-surface-elo-v1</t>
        </is>
      </c>
      <c r="BF342" s="24" t="inlineStr">
        <is>
          <t>1</t>
        </is>
      </c>
      <c r="BG342" s="24" t="inlineStr">
        <is>
          <t>3ab056fefe04713e3c294da76c8adb2866b0dc46556ed32322a0426dd344a0e4</t>
        </is>
      </c>
      <c r="BH342" s="24" t="inlineStr">
        <is>
          <t>2026-08-16T14:33:19.819142Z</t>
        </is>
      </c>
      <c r="BI342" s="24" t="inlineStr">
        <is>
          <t>["same_event","same_team_same_day","same_league_same_day"]</t>
        </is>
      </c>
      <c r="BJ342" s="25" t="n"/>
      <c r="BK342" s="26" t="n">
        <v>-144</v>
      </c>
      <c r="BL342" s="27" t="n">
        <v>1.694444</v>
      </c>
      <c r="BM342" s="28" t="n">
        <v>0.590164</v>
      </c>
      <c r="BN342" s="28" t="n"/>
      <c r="BO342" s="28" t="n"/>
      <c r="BP342" s="25" t="n"/>
      <c r="BQ342" s="27" t="n">
        <v>1.694444</v>
      </c>
      <c r="BR342" s="28" t="n">
        <v>0.59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0.590164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289412ca589447f4</t>
        </is>
      </c>
      <c r="B343" s="24" t="inlineStr">
        <is>
          <t>2026-08-16T14:35:44.017110Z</t>
        </is>
      </c>
      <c r="C343" s="24" t="inlineStr">
        <is>
          <t>2026-08-16T15:00Z</t>
        </is>
      </c>
      <c r="D343" s="24" t="inlineStr">
        <is>
          <t>718-2026:181887</t>
        </is>
      </c>
      <c r="E343" s="24" t="inlineStr">
        <is>
          <t>TENNIS</t>
        </is>
      </c>
      <c r="F343" s="24" t="inlineStr">
        <is>
          <t>Michael Zheng</t>
        </is>
      </c>
      <c r="G343" s="24" t="inlineStr">
        <is>
          <t>Ugo Humbert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-108</v>
      </c>
      <c r="M343" s="27" t="n">
        <v>1.925926</v>
      </c>
      <c r="N343" s="28" t="n">
        <v>0.519231</v>
      </c>
      <c r="O343" s="28" t="n">
        <v>0.608246</v>
      </c>
      <c r="P343" s="28" t="n">
        <v>0.05</v>
      </c>
      <c r="Q343" s="28" t="n">
        <v>0.089015</v>
      </c>
      <c r="R343" s="26" t="n">
        <v>65</v>
      </c>
      <c r="S343" s="29" t="n">
        <v>1.5</v>
      </c>
      <c r="T343" s="24" t="inlineStr">
        <is>
          <t>tennis-surface-elo-v1</t>
        </is>
      </c>
      <c r="U343" s="24" t="inlineStr">
        <is>
          <t>settled</t>
        </is>
      </c>
      <c r="V343" s="24" t="inlineStr">
        <is>
          <t>loss</t>
        </is>
      </c>
      <c r="W343" s="26" t="n">
        <v>1</v>
      </c>
      <c r="X343" s="26" t="n">
        <v>0</v>
      </c>
      <c r="Y343" s="25" t="n"/>
      <c r="Z343" s="26" t="n">
        <v>-108</v>
      </c>
      <c r="AA343" s="28" t="n">
        <v>0.52</v>
      </c>
      <c r="AB343" s="28" t="n">
        <v>0.000769</v>
      </c>
      <c r="AC343" s="30" t="n">
        <v>-1.5</v>
      </c>
      <c r="AD343" s="24" t="inlineStr">
        <is>
          <t>2026-08-16T17:39:42.264675Z</t>
        </is>
      </c>
      <c r="AE343" s="31" t="inlineStr">
        <is>
          <t>Surface-blended Elo on Hard: Michael Zheng p=0.392 vs Ugo Humbert. Executable ask 0.5200 (aec-atp-ugohum-miczhe-2026-08-15).</t>
        </is>
      </c>
      <c r="AF343" s="31" t="inlineStr">
        <is>
          <t>Surface-blended Elo model; singles only, WTA+ATP market coverage, not yet locked-holdout qualified -- promoted by explicit operator directive, not genuine walk-forward validation.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Michael Zheng</t>
        </is>
      </c>
      <c r="AQ343" s="24" t="inlineStr">
        <is>
          <t>Michael Zheng</t>
        </is>
      </c>
      <c r="AR343" s="24" t="inlineStr">
        <is>
          <t>Michael Zheng</t>
        </is>
      </c>
      <c r="AS343" s="24" t="inlineStr">
        <is>
          <t>Ugo Humbert</t>
        </is>
      </c>
      <c r="AT343" s="24" t="inlineStr">
        <is>
          <t>Ugo Humbert</t>
        </is>
      </c>
      <c r="AU343" s="24" t="inlineStr">
        <is>
          <t>Ugo Humbert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3ab056fefe04713e3c294da76c8adb2866b0dc46556ed32322a0426dd344a0e4</t>
        </is>
      </c>
      <c r="BB343" s="24" t="inlineStr">
        <is>
          <t>surface_blended_elo</t>
        </is>
      </c>
      <c r="BC343" s="24" t="inlineStr">
        <is>
          <t>tennis-surface-elo-v1</t>
        </is>
      </c>
      <c r="BD343" s="24" t="inlineStr">
        <is>
          <t>3ab056fefe04713e3c294da76c8adb2866b0dc46556ed32322a0426dd344a0e4</t>
        </is>
      </c>
      <c r="BE343" s="24" t="inlineStr">
        <is>
          <t>tennis-surface-elo-v1</t>
        </is>
      </c>
      <c r="BF343" s="24" t="inlineStr">
        <is>
          <t>1</t>
        </is>
      </c>
      <c r="BG343" s="24" t="inlineStr">
        <is>
          <t>3ab056fefe04713e3c294da76c8adb2866b0dc46556ed32322a0426dd344a0e4</t>
        </is>
      </c>
      <c r="BH343" s="24" t="inlineStr">
        <is>
          <t>2026-08-16T14:33:34.826929Z</t>
        </is>
      </c>
      <c r="BI343" s="24" t="inlineStr">
        <is>
          <t>["same_event","same_team_same_day","same_league_same_day"]</t>
        </is>
      </c>
      <c r="BJ343" s="25" t="n"/>
      <c r="BK343" s="26" t="n">
        <v>-108</v>
      </c>
      <c r="BL343" s="27" t="n">
        <v>1.925926</v>
      </c>
      <c r="BM343" s="28" t="n">
        <v>0.519231</v>
      </c>
      <c r="BN343" s="28" t="n"/>
      <c r="BO343" s="28" t="n"/>
      <c r="BP343" s="25" t="n"/>
      <c r="BQ343" s="27" t="n">
        <v>1.925926</v>
      </c>
      <c r="BR343" s="28" t="n">
        <v>0.52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0.519231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3b96f02f9eb848b4</t>
        </is>
      </c>
      <c r="B344" s="24" t="inlineStr">
        <is>
          <t>2026-08-16T14:35:44.017110Z</t>
        </is>
      </c>
      <c r="C344" s="24" t="inlineStr">
        <is>
          <t>2026-08-16T15:00Z</t>
        </is>
      </c>
      <c r="D344" s="24" t="inlineStr">
        <is>
          <t>718-2026:181894</t>
        </is>
      </c>
      <c r="E344" s="24" t="inlineStr">
        <is>
          <t>TENNIS</t>
        </is>
      </c>
      <c r="F344" s="24" t="inlineStr">
        <is>
          <t>Daniil Medvedev</t>
        </is>
      </c>
      <c r="G344" s="24" t="inlineStr">
        <is>
          <t>Marco Trungelliti</t>
        </is>
      </c>
      <c r="H344" s="24" t="inlineStr">
        <is>
          <t>moneyline</t>
        </is>
      </c>
      <c r="I344" s="24" t="inlineStr">
        <is>
          <t>away</t>
        </is>
      </c>
      <c r="J344" s="25" t="n"/>
      <c r="K344" s="24" t="inlineStr">
        <is>
          <t>polymarket_us</t>
        </is>
      </c>
      <c r="L344" s="26" t="n">
        <v>-525</v>
      </c>
      <c r="M344" s="27" t="n">
        <v>1.190476</v>
      </c>
      <c r="N344" s="28" t="n">
        <v>0.84</v>
      </c>
      <c r="O344" s="28" t="n">
        <v>0.800528</v>
      </c>
      <c r="P344" s="28" t="n">
        <v>0.05</v>
      </c>
      <c r="Q344" s="28" t="n">
        <v>-0.039472</v>
      </c>
      <c r="R344" s="26" t="n">
        <v>0</v>
      </c>
      <c r="S344" s="29" t="n">
        <v>2</v>
      </c>
      <c r="T344" s="24" t="inlineStr">
        <is>
          <t>tennis-surface-elo-v1</t>
        </is>
      </c>
      <c r="U344" s="24" t="inlineStr">
        <is>
          <t>settled</t>
        </is>
      </c>
      <c r="V344" s="24" t="inlineStr">
        <is>
          <t>win</t>
        </is>
      </c>
      <c r="W344" s="26" t="n">
        <v>1</v>
      </c>
      <c r="X344" s="26" t="n">
        <v>0</v>
      </c>
      <c r="Y344" s="25" t="n"/>
      <c r="Z344" s="26" t="n">
        <v>-525</v>
      </c>
      <c r="AA344" s="28" t="n">
        <v>0.84</v>
      </c>
      <c r="AB344" s="28" t="n">
        <v>0</v>
      </c>
      <c r="AC344" s="30" t="n">
        <v>0.381</v>
      </c>
      <c r="AD344" s="24" t="inlineStr">
        <is>
          <t>2026-08-16T17:39:43.847122Z</t>
        </is>
      </c>
      <c r="AE344" s="31" t="inlineStr">
        <is>
          <t>Surface-blended Elo on Hard: Daniil Medvedev p=0.801 vs Marco Trungelliti. Executable ask 0.8400 (aec-atp-martru-danmed-2026-08-15).</t>
        </is>
      </c>
      <c r="AF344" s="31" t="inlineStr">
        <is>
          <t>Surface-blended Elo model; singles only, WTA+ATP market coverage, not yet locked-holdout qualified -- promoted by explicit operator directive, not genuine walk-forward validation.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3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Daniil Medvedev</t>
        </is>
      </c>
      <c r="AQ344" s="24" t="inlineStr">
        <is>
          <t>Daniil Medvedev</t>
        </is>
      </c>
      <c r="AR344" s="24" t="inlineStr">
        <is>
          <t>Daniil Medvedev</t>
        </is>
      </c>
      <c r="AS344" s="24" t="inlineStr">
        <is>
          <t>Marco Trungelliti</t>
        </is>
      </c>
      <c r="AT344" s="24" t="inlineStr">
        <is>
          <t>Marco Trungelliti</t>
        </is>
      </c>
      <c r="AU344" s="24" t="inlineStr">
        <is>
          <t>Marco Trungelliti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3ab056fefe04713e3c294da76c8adb2866b0dc46556ed32322a0426dd344a0e4</t>
        </is>
      </c>
      <c r="BB344" s="24" t="inlineStr">
        <is>
          <t>surface_blended_elo</t>
        </is>
      </c>
      <c r="BC344" s="24" t="inlineStr">
        <is>
          <t>tennis-surface-elo-v1</t>
        </is>
      </c>
      <c r="BD344" s="24" t="inlineStr">
        <is>
          <t>3ab056fefe04713e3c294da76c8adb2866b0dc46556ed32322a0426dd344a0e4</t>
        </is>
      </c>
      <c r="BE344" s="24" t="inlineStr">
        <is>
          <t>tennis-surface-elo-v1</t>
        </is>
      </c>
      <c r="BF344" s="24" t="inlineStr">
        <is>
          <t>1</t>
        </is>
      </c>
      <c r="BG344" s="24" t="inlineStr">
        <is>
          <t>3ab056fefe04713e3c294da76c8adb2866b0dc46556ed32322a0426dd344a0e4</t>
        </is>
      </c>
      <c r="BH344" s="24" t="inlineStr">
        <is>
          <t>2026-08-16T14:33:36.463120Z</t>
        </is>
      </c>
      <c r="BI344" s="24" t="inlineStr">
        <is>
          <t>["same_event","same_team_same_day","same_league_same_day"]</t>
        </is>
      </c>
      <c r="BJ344" s="25" t="n"/>
      <c r="BK344" s="26" t="n">
        <v>-525</v>
      </c>
      <c r="BL344" s="27" t="n">
        <v>1.190476</v>
      </c>
      <c r="BM344" s="28" t="n">
        <v>0.84</v>
      </c>
      <c r="BN344" s="28" t="n"/>
      <c r="BO344" s="28" t="n"/>
      <c r="BP344" s="25" t="n"/>
      <c r="BQ344" s="27" t="n">
        <v>1.190476</v>
      </c>
      <c r="BR344" s="28" t="n">
        <v>0.84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0.84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484ec153ef55457f</t>
        </is>
      </c>
      <c r="B345" s="24" t="inlineStr">
        <is>
          <t>2026-08-16T14:35:44.017110Z</t>
        </is>
      </c>
      <c r="C345" s="24" t="inlineStr">
        <is>
          <t>2026-08-16T15:00Z</t>
        </is>
      </c>
      <c r="D345" s="24" t="inlineStr">
        <is>
          <t>718-2026:181906</t>
        </is>
      </c>
      <c r="E345" s="24" t="inlineStr">
        <is>
          <t>TENNIS</t>
        </is>
      </c>
      <c r="F345" s="24" t="inlineStr">
        <is>
          <t>Casper Ruud</t>
        </is>
      </c>
      <c r="G345" s="24" t="inlineStr">
        <is>
          <t>Christopher O'Connell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-335</v>
      </c>
      <c r="M345" s="27" t="n">
        <v>1.298507</v>
      </c>
      <c r="N345" s="28" t="n">
        <v>0.770115</v>
      </c>
      <c r="O345" s="28" t="n">
        <v>0.681276</v>
      </c>
      <c r="P345" s="28" t="n">
        <v>0.05</v>
      </c>
      <c r="Q345" s="28" t="n">
        <v>-0.088839</v>
      </c>
      <c r="R345" s="26" t="n">
        <v>0</v>
      </c>
      <c r="S345" s="29" t="n">
        <v>2</v>
      </c>
      <c r="T345" s="24" t="inlineStr">
        <is>
          <t>tennis-surface-elo-v1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-335</v>
      </c>
      <c r="AA345" s="28" t="n">
        <v>0.77</v>
      </c>
      <c r="AB345" s="28" t="n">
        <v>-0.000115</v>
      </c>
      <c r="AC345" s="30" t="n">
        <v>-2</v>
      </c>
      <c r="AD345" s="24" t="inlineStr">
        <is>
          <t>2026-08-16T17:39:45.704970Z</t>
        </is>
      </c>
      <c r="AE345" s="31" t="inlineStr">
        <is>
          <t>Surface-blended Elo on Hard: Casper Ruud p=0.681 vs Christopher O'Connell. Executable ask 0.7700 (aec-atp-chroco-casruu-2026-08-16).</t>
        </is>
      </c>
      <c r="AF345" s="31" t="inlineStr">
        <is>
          <t>Surface-blended Elo model; singles only, WTA+ATP market coverage, not yet locked-holdout qualified -- promoted by explicit operator directive, not genuine walk-forward validation.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3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PAPER_CALL_LOW_EDGE</t>
        </is>
      </c>
      <c r="AP345" s="24" t="inlineStr">
        <is>
          <t>Casper Ruud</t>
        </is>
      </c>
      <c r="AQ345" s="24" t="inlineStr">
        <is>
          <t>Casper Ruud</t>
        </is>
      </c>
      <c r="AR345" s="24" t="inlineStr">
        <is>
          <t>Casper Ruud</t>
        </is>
      </c>
      <c r="AS345" s="24" t="inlineStr">
        <is>
          <t>Christopher O'Connell</t>
        </is>
      </c>
      <c r="AT345" s="24" t="inlineStr">
        <is>
          <t>Christopher O'Connell</t>
        </is>
      </c>
      <c r="AU345" s="24" t="inlineStr">
        <is>
          <t>Christopher O'Connell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3ab056fefe04713e3c294da76c8adb2866b0dc46556ed32322a0426dd344a0e4</t>
        </is>
      </c>
      <c r="BB345" s="24" t="inlineStr">
        <is>
          <t>surface_blended_elo</t>
        </is>
      </c>
      <c r="BC345" s="24" t="inlineStr">
        <is>
          <t>tennis-surface-elo-v1</t>
        </is>
      </c>
      <c r="BD345" s="24" t="inlineStr">
        <is>
          <t>3ab056fefe04713e3c294da76c8adb2866b0dc46556ed32322a0426dd344a0e4</t>
        </is>
      </c>
      <c r="BE345" s="24" t="inlineStr">
        <is>
          <t>tennis-surface-elo-v1</t>
        </is>
      </c>
      <c r="BF345" s="24" t="inlineStr">
        <is>
          <t>1</t>
        </is>
      </c>
      <c r="BG345" s="24" t="inlineStr">
        <is>
          <t>3ab056fefe04713e3c294da76c8adb2866b0dc46556ed32322a0426dd344a0e4</t>
        </is>
      </c>
      <c r="BH345" s="24" t="inlineStr">
        <is>
          <t>2026-08-16T14:33:37.903295Z</t>
        </is>
      </c>
      <c r="BI345" s="24" t="inlineStr">
        <is>
          <t>["same_event","same_team_same_day","same_league_same_day"]</t>
        </is>
      </c>
      <c r="BJ345" s="25" t="n"/>
      <c r="BK345" s="26" t="n">
        <v>-335</v>
      </c>
      <c r="BL345" s="27" t="n">
        <v>1.298507</v>
      </c>
      <c r="BM345" s="28" t="n">
        <v>0.770115</v>
      </c>
      <c r="BN345" s="28" t="n"/>
      <c r="BO345" s="28" t="n"/>
      <c r="BP345" s="25" t="n"/>
      <c r="BQ345" s="27" t="n">
        <v>1.298507</v>
      </c>
      <c r="BR345" s="28" t="n">
        <v>0.77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0.770115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df62e30f4f5f44d4</t>
        </is>
      </c>
      <c r="B346" s="24" t="inlineStr">
        <is>
          <t>2026-08-16T14:35:44.017110Z</t>
        </is>
      </c>
      <c r="C346" s="24" t="inlineStr">
        <is>
          <t>2026-08-16T16:30Z</t>
        </is>
      </c>
      <c r="D346" s="24" t="inlineStr">
        <is>
          <t>718-2026:181908</t>
        </is>
      </c>
      <c r="E346" s="24" t="inlineStr">
        <is>
          <t>TENNIS</t>
        </is>
      </c>
      <c r="F346" s="24" t="inlineStr">
        <is>
          <t>Felix Auger-Aliassime</t>
        </is>
      </c>
      <c r="G346" s="24" t="inlineStr">
        <is>
          <t>Stefanos Tsitsipas</t>
        </is>
      </c>
      <c r="H346" s="24" t="inlineStr">
        <is>
          <t>moneyline</t>
        </is>
      </c>
      <c r="I346" s="24" t="inlineStr">
        <is>
          <t>away</t>
        </is>
      </c>
      <c r="J346" s="25" t="n"/>
      <c r="K346" s="24" t="inlineStr">
        <is>
          <t>polymarket_us</t>
        </is>
      </c>
      <c r="L346" s="26" t="n">
        <v>-127</v>
      </c>
      <c r="M346" s="27" t="n">
        <v>1.787402</v>
      </c>
      <c r="N346" s="28" t="n">
        <v>0.5594710000000001</v>
      </c>
      <c r="O346" s="28" t="n">
        <v>0.699835</v>
      </c>
      <c r="P346" s="28" t="n">
        <v>0.05</v>
      </c>
      <c r="Q346" s="28" t="n">
        <v>0.140364</v>
      </c>
      <c r="R346" s="26" t="n">
        <v>90</v>
      </c>
      <c r="S346" s="29" t="n">
        <v>2</v>
      </c>
      <c r="T346" s="24" t="inlineStr">
        <is>
          <t>tennis-surface-elo-v1</t>
        </is>
      </c>
      <c r="U346" s="24" t="inlineStr">
        <is>
          <t>settled</t>
        </is>
      </c>
      <c r="V346" s="24" t="inlineStr">
        <is>
          <t>win</t>
        </is>
      </c>
      <c r="W346" s="26" t="n">
        <v>1</v>
      </c>
      <c r="X346" s="26" t="n">
        <v>0</v>
      </c>
      <c r="Y346" s="25" t="n"/>
      <c r="Z346" s="26" t="n">
        <v>-127</v>
      </c>
      <c r="AA346" s="28" t="n">
        <v>0.5600000000000001</v>
      </c>
      <c r="AB346" s="28" t="n">
        <v>0.000529</v>
      </c>
      <c r="AC346" s="30" t="n">
        <v>1.5748</v>
      </c>
      <c r="AD346" s="24" t="inlineStr">
        <is>
          <t>2026-08-17T05:25:02.628091Z</t>
        </is>
      </c>
      <c r="AE346" s="31" t="inlineStr">
        <is>
          <t>Surface-blended Elo on Hard: Felix Auger-Aliassime p=0.700 vs Stefanos Tsitsipas. Executable ask 0.5600 (aec-atp-stetsi-felaug-2026-08-15).</t>
        </is>
      </c>
      <c r="AF346" s="31" t="inlineStr">
        <is>
          <t>Surface-blended Elo model; singles only, WTA+ATP market coverage, not yet locked-holdout qualified -- promoted by explicit operator directive, not genuine walk-forward validation.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Felix Auger-Aliassime</t>
        </is>
      </c>
      <c r="AQ346" s="24" t="inlineStr">
        <is>
          <t>Felix Auger-Aliassime</t>
        </is>
      </c>
      <c r="AR346" s="24" t="inlineStr">
        <is>
          <t>Felix Auger-Aliassime</t>
        </is>
      </c>
      <c r="AS346" s="24" t="inlineStr">
        <is>
          <t>Stefanos Tsitsipas</t>
        </is>
      </c>
      <c r="AT346" s="24" t="inlineStr">
        <is>
          <t>Stefanos Tsitsipas</t>
        </is>
      </c>
      <c r="AU346" s="24" t="inlineStr">
        <is>
          <t>Stefanos Tsitsipas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3ab056fefe04713e3c294da76c8adb2866b0dc46556ed32322a0426dd344a0e4</t>
        </is>
      </c>
      <c r="BB346" s="24" t="inlineStr">
        <is>
          <t>surface_blended_elo</t>
        </is>
      </c>
      <c r="BC346" s="24" t="inlineStr">
        <is>
          <t>tennis-surface-elo-v1</t>
        </is>
      </c>
      <c r="BD346" s="24" t="inlineStr">
        <is>
          <t>3ab056fefe04713e3c294da76c8adb2866b0dc46556ed32322a0426dd344a0e4</t>
        </is>
      </c>
      <c r="BE346" s="24" t="inlineStr">
        <is>
          <t>tennis-surface-elo-v1</t>
        </is>
      </c>
      <c r="BF346" s="24" t="inlineStr">
        <is>
          <t>1</t>
        </is>
      </c>
      <c r="BG346" s="24" t="inlineStr">
        <is>
          <t>3ab056fefe04713e3c294da76c8adb2866b0dc46556ed32322a0426dd344a0e4</t>
        </is>
      </c>
      <c r="BH346" s="24" t="inlineStr">
        <is>
          <t>2026-08-16T14:33:38.615489Z</t>
        </is>
      </c>
      <c r="BI346" s="24" t="inlineStr">
        <is>
          <t>["same_event","same_team_same_day","same_league_same_day"]</t>
        </is>
      </c>
      <c r="BJ346" s="25" t="n"/>
      <c r="BK346" s="26" t="n">
        <v>-127</v>
      </c>
      <c r="BL346" s="27" t="n">
        <v>1.787402</v>
      </c>
      <c r="BM346" s="28" t="n">
        <v>0.5594710000000001</v>
      </c>
      <c r="BN346" s="28" t="n"/>
      <c r="BO346" s="28" t="n"/>
      <c r="BP346" s="25" t="n"/>
      <c r="BQ346" s="27" t="n">
        <v>1.787402</v>
      </c>
      <c r="BR346" s="28" t="n">
        <v>0.5600000000000001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0.559471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b6e56b586c6b48a6</t>
        </is>
      </c>
      <c r="B347" s="24" t="inlineStr">
        <is>
          <t>2026-08-16T14:35:44.017110Z</t>
        </is>
      </c>
      <c r="C347" s="24" t="inlineStr">
        <is>
          <t>2026-08-16T16:30Z</t>
        </is>
      </c>
      <c r="D347" s="24" t="inlineStr">
        <is>
          <t>718-2026:181921</t>
        </is>
      </c>
      <c r="E347" s="24" t="inlineStr">
        <is>
          <t>TENNIS</t>
        </is>
      </c>
      <c r="F347" s="24" t="inlineStr">
        <is>
          <t>Lorenzo Musetti</t>
        </is>
      </c>
      <c r="G347" s="24" t="inlineStr">
        <is>
          <t>Daniel Altmaier</t>
        </is>
      </c>
      <c r="H347" s="24" t="inlineStr">
        <is>
          <t>moneyline</t>
        </is>
      </c>
      <c r="I347" s="24" t="inlineStr">
        <is>
          <t>away</t>
        </is>
      </c>
      <c r="J347" s="25" t="n"/>
      <c r="K347" s="24" t="inlineStr">
        <is>
          <t>polymarket_us</t>
        </is>
      </c>
      <c r="L347" s="26" t="n">
        <v>-376</v>
      </c>
      <c r="M347" s="27" t="n">
        <v>1.265957</v>
      </c>
      <c r="N347" s="28" t="n">
        <v>0.789916</v>
      </c>
      <c r="O347" s="28" t="n">
        <v>0.756107</v>
      </c>
      <c r="P347" s="28" t="n">
        <v>0.05</v>
      </c>
      <c r="Q347" s="28" t="n">
        <v>-0.033809</v>
      </c>
      <c r="R347" s="26" t="n">
        <v>3</v>
      </c>
      <c r="S347" s="29" t="n">
        <v>2</v>
      </c>
      <c r="T347" s="24" t="inlineStr">
        <is>
          <t>tennis-surface-elo-v1</t>
        </is>
      </c>
      <c r="U347" s="24" t="inlineStr">
        <is>
          <t>settled</t>
        </is>
      </c>
      <c r="V347" s="24" t="inlineStr">
        <is>
          <t>win</t>
        </is>
      </c>
      <c r="W347" s="26" t="n">
        <v>1</v>
      </c>
      <c r="X347" s="26" t="n">
        <v>0</v>
      </c>
      <c r="Y347" s="25" t="n"/>
      <c r="Z347" s="26" t="n">
        <v>-376</v>
      </c>
      <c r="AA347" s="28" t="n">
        <v>0.79</v>
      </c>
      <c r="AB347" s="28" t="n">
        <v>8.4e-05</v>
      </c>
      <c r="AC347" s="30" t="n">
        <v>0.5319</v>
      </c>
      <c r="AD347" s="24" t="inlineStr">
        <is>
          <t>2026-08-17T05:25:05.884584Z</t>
        </is>
      </c>
      <c r="AE347" s="31" t="inlineStr">
        <is>
          <t>Surface-blended Elo on Hard: Lorenzo Musetti p=0.756 vs Daniel Altmaier. Executable ask 0.7900 (aec-atp-danalt-lormus-2026-08-15).</t>
        </is>
      </c>
      <c r="AF347" s="31" t="inlineStr">
        <is>
          <t>Surface-blended Elo model; singles only, WTA+ATP market coverage, not yet locked-holdout qualified -- promoted by explicit operator directive, not genuine walk-forward validation.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3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Lorenzo Musetti</t>
        </is>
      </c>
      <c r="AQ347" s="24" t="inlineStr">
        <is>
          <t>Lorenzo Musetti</t>
        </is>
      </c>
      <c r="AR347" s="24" t="inlineStr">
        <is>
          <t>Lorenzo Musetti</t>
        </is>
      </c>
      <c r="AS347" s="24" t="inlineStr">
        <is>
          <t>Daniel Altmaier</t>
        </is>
      </c>
      <c r="AT347" s="24" t="inlineStr">
        <is>
          <t>Daniel Altmaier</t>
        </is>
      </c>
      <c r="AU347" s="24" t="inlineStr">
        <is>
          <t>Daniel Altmaier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3ab056fefe04713e3c294da76c8adb2866b0dc46556ed32322a0426dd344a0e4</t>
        </is>
      </c>
      <c r="BB347" s="24" t="inlineStr">
        <is>
          <t>surface_blended_elo</t>
        </is>
      </c>
      <c r="BC347" s="24" t="inlineStr">
        <is>
          <t>tennis-surface-elo-v1</t>
        </is>
      </c>
      <c r="BD347" s="24" t="inlineStr">
        <is>
          <t>3ab056fefe04713e3c294da76c8adb2866b0dc46556ed32322a0426dd344a0e4</t>
        </is>
      </c>
      <c r="BE347" s="24" t="inlineStr">
        <is>
          <t>tennis-surface-elo-v1</t>
        </is>
      </c>
      <c r="BF347" s="24" t="inlineStr">
        <is>
          <t>1</t>
        </is>
      </c>
      <c r="BG347" s="24" t="inlineStr">
        <is>
          <t>3ab056fefe04713e3c294da76c8adb2866b0dc46556ed32322a0426dd344a0e4</t>
        </is>
      </c>
      <c r="BH347" s="24" t="inlineStr">
        <is>
          <t>2026-08-16T14:33:42.199144Z</t>
        </is>
      </c>
      <c r="BI347" s="24" t="inlineStr">
        <is>
          <t>["same_event","same_team_same_day","same_league_same_day"]</t>
        </is>
      </c>
      <c r="BJ347" s="25" t="n"/>
      <c r="BK347" s="26" t="n">
        <v>-376</v>
      </c>
      <c r="BL347" s="27" t="n">
        <v>1.265957</v>
      </c>
      <c r="BM347" s="28" t="n">
        <v>0.789916</v>
      </c>
      <c r="BN347" s="28" t="n"/>
      <c r="BO347" s="28" t="n"/>
      <c r="BP347" s="25" t="n"/>
      <c r="BQ347" s="27" t="n">
        <v>1.265957</v>
      </c>
      <c r="BR347" s="28" t="n">
        <v>0.79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0.789916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6ce5ef94ce594c91</t>
        </is>
      </c>
      <c r="B348" s="24" t="inlineStr">
        <is>
          <t>2026-08-16T14:35:44.017110Z</t>
        </is>
      </c>
      <c r="C348" s="24" t="inlineStr">
        <is>
          <t>2026-08-16T16:30Z</t>
        </is>
      </c>
      <c r="D348" s="24" t="inlineStr">
        <is>
          <t>718-2026:181930</t>
        </is>
      </c>
      <c r="E348" s="24" t="inlineStr">
        <is>
          <t>TENNIS</t>
        </is>
      </c>
      <c r="F348" s="24" t="inlineStr">
        <is>
          <t>Botic Van De Zandschulp</t>
        </is>
      </c>
      <c r="G348" s="24" t="inlineStr">
        <is>
          <t>Joao Fonseca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-233</v>
      </c>
      <c r="M348" s="27" t="n">
        <v>1.429185</v>
      </c>
      <c r="N348" s="28" t="n">
        <v>0.6997</v>
      </c>
      <c r="O348" s="28" t="n">
        <v>0.656419</v>
      </c>
      <c r="P348" s="28" t="n">
        <v>0.05</v>
      </c>
      <c r="Q348" s="28" t="n">
        <v>-0.043281</v>
      </c>
      <c r="R348" s="26" t="n">
        <v>0</v>
      </c>
      <c r="S348" s="29" t="n">
        <v>1.75</v>
      </c>
      <c r="T348" s="24" t="inlineStr">
        <is>
          <t>tennis-surface-elo-v1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1</v>
      </c>
      <c r="Y348" s="25" t="n"/>
      <c r="Z348" s="26" t="n">
        <v>-233</v>
      </c>
      <c r="AA348" s="28" t="n">
        <v>0.7</v>
      </c>
      <c r="AB348" s="28" t="n">
        <v>0.0003</v>
      </c>
      <c r="AC348" s="30" t="n">
        <v>0.7511</v>
      </c>
      <c r="AD348" s="24" t="inlineStr">
        <is>
          <t>2026-08-17T05:25:09.600811Z</t>
        </is>
      </c>
      <c r="AE348" s="31" t="inlineStr">
        <is>
          <t>Surface-blended Elo on Hard: Botic Van De Zandschulp p=0.344 vs Joao Fonseca. Executable ask 0.7000 (aec-atp-joafon-botzan-2026-08-16).</t>
        </is>
      </c>
      <c r="AF348" s="31" t="inlineStr">
        <is>
          <t>Surface-blended Elo model; singles only, WTA+ATP market coverage, not yet locked-holdout qualified -- promoted by explicit operator directive, not genuine walk-forward validation.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3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Botic Van De Zandschulp</t>
        </is>
      </c>
      <c r="AQ348" s="24" t="inlineStr">
        <is>
          <t>Botic Van De Zandschulp</t>
        </is>
      </c>
      <c r="AR348" s="24" t="inlineStr">
        <is>
          <t>Botic Van De Zandschulp</t>
        </is>
      </c>
      <c r="AS348" s="24" t="inlineStr">
        <is>
          <t>Joao Fonseca</t>
        </is>
      </c>
      <c r="AT348" s="24" t="inlineStr">
        <is>
          <t>Joao Fonseca</t>
        </is>
      </c>
      <c r="AU348" s="24" t="inlineStr">
        <is>
          <t>Joao Fonseca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3ab056fefe04713e3c294da76c8adb2866b0dc46556ed32322a0426dd344a0e4</t>
        </is>
      </c>
      <c r="BB348" s="24" t="inlineStr">
        <is>
          <t>surface_blended_elo</t>
        </is>
      </c>
      <c r="BC348" s="24" t="inlineStr">
        <is>
          <t>tennis-surface-elo-v1</t>
        </is>
      </c>
      <c r="BD348" s="24" t="inlineStr">
        <is>
          <t>3ab056fefe04713e3c294da76c8adb2866b0dc46556ed32322a0426dd344a0e4</t>
        </is>
      </c>
      <c r="BE348" s="24" t="inlineStr">
        <is>
          <t>tennis-surface-elo-v1</t>
        </is>
      </c>
      <c r="BF348" s="24" t="inlineStr">
        <is>
          <t>1</t>
        </is>
      </c>
      <c r="BG348" s="24" t="inlineStr">
        <is>
          <t>3ab056fefe04713e3c294da76c8adb2866b0dc46556ed32322a0426dd344a0e4</t>
        </is>
      </c>
      <c r="BH348" s="24" t="inlineStr">
        <is>
          <t>2026-08-16T14:33:39.834877Z</t>
        </is>
      </c>
      <c r="BI348" s="24" t="inlineStr">
        <is>
          <t>["same_event","same_team_same_day","same_league_same_day"]</t>
        </is>
      </c>
      <c r="BJ348" s="25" t="n"/>
      <c r="BK348" s="26" t="n">
        <v>-233</v>
      </c>
      <c r="BL348" s="27" t="n">
        <v>1.429185</v>
      </c>
      <c r="BM348" s="28" t="n">
        <v>0.6997</v>
      </c>
      <c r="BN348" s="28" t="n"/>
      <c r="BO348" s="28" t="n"/>
      <c r="BP348" s="25" t="n"/>
      <c r="BQ348" s="27" t="n">
        <v>1.429185</v>
      </c>
      <c r="BR348" s="28" t="n">
        <v>0.7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0.6997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02c8d53025794f53</t>
        </is>
      </c>
      <c r="B349" s="24" t="inlineStr">
        <is>
          <t>2026-08-16T14:35:44.017110Z</t>
        </is>
      </c>
      <c r="C349" s="24" t="inlineStr">
        <is>
          <t>2026-08-16T16:30Z</t>
        </is>
      </c>
      <c r="D349" s="24" t="inlineStr">
        <is>
          <t>718-2026:181934</t>
        </is>
      </c>
      <c r="E349" s="24" t="inlineStr">
        <is>
          <t>TENNIS</t>
        </is>
      </c>
      <c r="F349" s="24" t="inlineStr">
        <is>
          <t>Juan Manuel Cerundolo</t>
        </is>
      </c>
      <c r="G349" s="24" t="inlineStr">
        <is>
          <t>Arthur Rinderknech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-156</v>
      </c>
      <c r="M349" s="27" t="n">
        <v>1.641026</v>
      </c>
      <c r="N349" s="28" t="n">
        <v>0.609375</v>
      </c>
      <c r="O349" s="28" t="n">
        <v>0.610212</v>
      </c>
      <c r="P349" s="28" t="n">
        <v>0.05</v>
      </c>
      <c r="Q349" s="28" t="n">
        <v>0.000837</v>
      </c>
      <c r="R349" s="26" t="n">
        <v>20</v>
      </c>
      <c r="S349" s="29" t="n">
        <v>1.5</v>
      </c>
      <c r="T349" s="24" t="inlineStr">
        <is>
          <t>tennis-surface-elo-v1</t>
        </is>
      </c>
      <c r="U349" s="24" t="inlineStr">
        <is>
          <t>settled</t>
        </is>
      </c>
      <c r="V349" s="24" t="inlineStr">
        <is>
          <t>loss</t>
        </is>
      </c>
      <c r="W349" s="26" t="n">
        <v>1</v>
      </c>
      <c r="X349" s="26" t="n">
        <v>0</v>
      </c>
      <c r="Y349" s="25" t="n"/>
      <c r="Z349" s="26" t="n">
        <v>-156</v>
      </c>
      <c r="AA349" s="28" t="n">
        <v>0.61</v>
      </c>
      <c r="AB349" s="28" t="n">
        <v>0.000625</v>
      </c>
      <c r="AC349" s="30" t="n">
        <v>-1.5</v>
      </c>
      <c r="AD349" s="24" t="inlineStr">
        <is>
          <t>2026-08-17T05:25:13.423462Z</t>
        </is>
      </c>
      <c r="AE349" s="31" t="inlineStr">
        <is>
          <t>Surface-blended Elo on Hard: Juan Manuel Cerundolo p=0.390 vs Arthur Rinderknech. Executable ask 0.6100 (aec-atp-artrin-juacer-2026-08-15).</t>
        </is>
      </c>
      <c r="AF349" s="31" t="inlineStr">
        <is>
          <t>Surface-blended Elo model; singles only, WTA+ATP market coverage, not yet locked-holdout qualified -- promoted by explicit operator directive, not genuine walk-forward validation.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3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Juan Manuel Cerundolo</t>
        </is>
      </c>
      <c r="AQ349" s="24" t="inlineStr">
        <is>
          <t>Juan Manuel Cerundolo</t>
        </is>
      </c>
      <c r="AR349" s="24" t="inlineStr">
        <is>
          <t>Juan Manuel Cerundolo</t>
        </is>
      </c>
      <c r="AS349" s="24" t="inlineStr">
        <is>
          <t>Arthur Rinderknech</t>
        </is>
      </c>
      <c r="AT349" s="24" t="inlineStr">
        <is>
          <t>Arthur Rinderknech</t>
        </is>
      </c>
      <c r="AU349" s="24" t="inlineStr">
        <is>
          <t>Arthur Rinderknech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3ab056fefe04713e3c294da76c8adb2866b0dc46556ed32322a0426dd344a0e4</t>
        </is>
      </c>
      <c r="BB349" s="24" t="inlineStr">
        <is>
          <t>surface_blended_elo</t>
        </is>
      </c>
      <c r="BC349" s="24" t="inlineStr">
        <is>
          <t>tennis-surface-elo-v1</t>
        </is>
      </c>
      <c r="BD349" s="24" t="inlineStr">
        <is>
          <t>3ab056fefe04713e3c294da76c8adb2866b0dc46556ed32322a0426dd344a0e4</t>
        </is>
      </c>
      <c r="BE349" s="24" t="inlineStr">
        <is>
          <t>tennis-surface-elo-v1</t>
        </is>
      </c>
      <c r="BF349" s="24" t="inlineStr">
        <is>
          <t>1</t>
        </is>
      </c>
      <c r="BG349" s="24" t="inlineStr">
        <is>
          <t>3ab056fefe04713e3c294da76c8adb2866b0dc46556ed32322a0426dd344a0e4</t>
        </is>
      </c>
      <c r="BH349" s="24" t="inlineStr">
        <is>
          <t>2026-08-16T14:33:40.728068Z</t>
        </is>
      </c>
      <c r="BI349" s="24" t="inlineStr">
        <is>
          <t>["same_event","same_team_same_day","same_league_same_day"]</t>
        </is>
      </c>
      <c r="BJ349" s="25" t="n"/>
      <c r="BK349" s="26" t="n">
        <v>-156</v>
      </c>
      <c r="BL349" s="27" t="n">
        <v>1.641026</v>
      </c>
      <c r="BM349" s="28" t="n">
        <v>0.609375</v>
      </c>
      <c r="BN349" s="28" t="n"/>
      <c r="BO349" s="28" t="n"/>
      <c r="BP349" s="25" t="n"/>
      <c r="BQ349" s="27" t="n">
        <v>1.641026</v>
      </c>
      <c r="BR349" s="28" t="n">
        <v>0.61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0.609375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f5cc448513e24467</t>
        </is>
      </c>
      <c r="B350" s="24" t="inlineStr">
        <is>
          <t>2026-08-16T17:44:11.146468Z</t>
        </is>
      </c>
      <c r="C350" s="24" t="inlineStr">
        <is>
          <t>2026-08-16T18:00Z</t>
        </is>
      </c>
      <c r="D350" s="24" t="inlineStr">
        <is>
          <t>718-2026:182354</t>
        </is>
      </c>
      <c r="E350" s="24" t="inlineStr">
        <is>
          <t>TENNIS</t>
        </is>
      </c>
      <c r="F350" s="24" t="inlineStr">
        <is>
          <t>Sofia Kenin</t>
        </is>
      </c>
      <c r="G350" s="24" t="inlineStr">
        <is>
          <t>Marta Kostyuk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-900</v>
      </c>
      <c r="M350" s="27" t="n">
        <v>1.111111</v>
      </c>
      <c r="N350" s="28" t="n">
        <v>0.9</v>
      </c>
      <c r="O350" s="28" t="n">
        <v>0.874113</v>
      </c>
      <c r="P350" s="28" t="n">
        <v>0.05</v>
      </c>
      <c r="Q350" s="28" t="n">
        <v>-0.025887</v>
      </c>
      <c r="R350" s="26" t="n">
        <v>7</v>
      </c>
      <c r="S350" s="29" t="n">
        <v>2</v>
      </c>
      <c r="T350" s="24" t="inlineStr">
        <is>
          <t>tennis-surface-elo-v1</t>
        </is>
      </c>
      <c r="U350" s="24" t="inlineStr">
        <is>
          <t>settled</t>
        </is>
      </c>
      <c r="V350" s="24" t="inlineStr">
        <is>
          <t>win</t>
        </is>
      </c>
      <c r="W350" s="26" t="n">
        <v>0</v>
      </c>
      <c r="X350" s="26" t="n">
        <v>1</v>
      </c>
      <c r="Y350" s="25" t="n"/>
      <c r="Z350" s="26" t="n">
        <v>-900</v>
      </c>
      <c r="AA350" s="28" t="n">
        <v>0.9</v>
      </c>
      <c r="AB350" s="28" t="n">
        <v>0</v>
      </c>
      <c r="AC350" s="30" t="n">
        <v>0.2222</v>
      </c>
      <c r="AD350" s="24" t="inlineStr">
        <is>
          <t>2026-08-17T05:25:55.526444Z</t>
        </is>
      </c>
      <c r="AE350" s="31" t="inlineStr">
        <is>
          <t>Surface-blended Elo on Hard: Sofia Kenin p=0.126 vs Marta Kostyuk. Executable ask 0.9000 (aec-wta-markos-sofken-2026-08-16).</t>
        </is>
      </c>
      <c r="AF350" s="31" t="inlineStr">
        <is>
          <t>Surface-blended Elo model; singles only, WTA+ATP market coverage, not yet locked-holdout qualified -- promoted by explicit operator directive, not genuine walk-forward validation.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3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Sofia Kenin</t>
        </is>
      </c>
      <c r="AQ350" s="24" t="inlineStr">
        <is>
          <t>Sofia Kenin</t>
        </is>
      </c>
      <c r="AR350" s="24" t="inlineStr">
        <is>
          <t>Sofia Kenin</t>
        </is>
      </c>
      <c r="AS350" s="24" t="inlineStr">
        <is>
          <t>Marta Kostyuk</t>
        </is>
      </c>
      <c r="AT350" s="24" t="inlineStr">
        <is>
          <t>Marta Kostyuk</t>
        </is>
      </c>
      <c r="AU350" s="24" t="inlineStr">
        <is>
          <t>Marta Kostyuk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3ab056fefe04713e3c294da76c8adb2866b0dc46556ed32322a0426dd344a0e4</t>
        </is>
      </c>
      <c r="BB350" s="24" t="inlineStr">
        <is>
          <t>surface_blended_elo</t>
        </is>
      </c>
      <c r="BC350" s="24" t="inlineStr">
        <is>
          <t>tennis-surface-elo-v1</t>
        </is>
      </c>
      <c r="BD350" s="24" t="inlineStr">
        <is>
          <t>3ab056fefe04713e3c294da76c8adb2866b0dc46556ed32322a0426dd344a0e4</t>
        </is>
      </c>
      <c r="BE350" s="24" t="inlineStr">
        <is>
          <t>tennis-surface-elo-v1</t>
        </is>
      </c>
      <c r="BF350" s="24" t="inlineStr">
        <is>
          <t>1</t>
        </is>
      </c>
      <c r="BG350" s="24" t="inlineStr">
        <is>
          <t>3ab056fefe04713e3c294da76c8adb2866b0dc46556ed32322a0426dd344a0e4</t>
        </is>
      </c>
      <c r="BH350" s="24" t="inlineStr">
        <is>
          <t>2026-08-16T17:42:48.693650Z</t>
        </is>
      </c>
      <c r="BI350" s="24" t="inlineStr">
        <is>
          <t>["same_event","same_team_same_day","same_league_same_day"]</t>
        </is>
      </c>
      <c r="BJ350" s="25" t="n"/>
      <c r="BK350" s="26" t="n">
        <v>-900</v>
      </c>
      <c r="BL350" s="27" t="n">
        <v>1.111111</v>
      </c>
      <c r="BM350" s="28" t="n">
        <v>0.9</v>
      </c>
      <c r="BN350" s="28" t="n"/>
      <c r="BO350" s="28" t="n"/>
      <c r="BP350" s="25" t="n"/>
      <c r="BQ350" s="27" t="n">
        <v>1.111111</v>
      </c>
      <c r="BR350" s="28" t="n">
        <v>0.9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0.9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1c7ad3029f5b4fe0</t>
        </is>
      </c>
      <c r="B351" s="24" t="inlineStr">
        <is>
          <t>2026-08-16T17:44:11.146468Z</t>
        </is>
      </c>
      <c r="C351" s="24" t="inlineStr">
        <is>
          <t>2026-08-16T18:00Z</t>
        </is>
      </c>
      <c r="D351" s="24" t="inlineStr">
        <is>
          <t>718-2026:182448</t>
        </is>
      </c>
      <c r="E351" s="24" t="inlineStr">
        <is>
          <t>TENNIS</t>
        </is>
      </c>
      <c r="F351" s="24" t="inlineStr">
        <is>
          <t>Ekaterina Alexandrova</t>
        </is>
      </c>
      <c r="G351" s="24" t="inlineStr">
        <is>
          <t>Anna Blinkova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-285</v>
      </c>
      <c r="M351" s="27" t="n">
        <v>1.350877</v>
      </c>
      <c r="N351" s="28" t="n">
        <v>0.74026</v>
      </c>
      <c r="O351" s="28" t="n">
        <v>0.654307</v>
      </c>
      <c r="P351" s="28" t="n">
        <v>0.05</v>
      </c>
      <c r="Q351" s="28" t="n">
        <v>-0.085953</v>
      </c>
      <c r="R351" s="26" t="n">
        <v>0</v>
      </c>
      <c r="S351" s="29" t="n">
        <v>1.75</v>
      </c>
      <c r="T351" s="24" t="inlineStr">
        <is>
          <t>tennis-surface-elo-v1</t>
        </is>
      </c>
      <c r="U351" s="24" t="inlineStr">
        <is>
          <t>settled</t>
        </is>
      </c>
      <c r="V351" s="24" t="inlineStr">
        <is>
          <t>win</t>
        </is>
      </c>
      <c r="W351" s="26" t="n">
        <v>1</v>
      </c>
      <c r="X351" s="26" t="n">
        <v>0</v>
      </c>
      <c r="Y351" s="25" t="n"/>
      <c r="Z351" s="26" t="n">
        <v>-285</v>
      </c>
      <c r="AA351" s="28" t="n">
        <v>0.74</v>
      </c>
      <c r="AB351" s="28" t="n">
        <v>-0.00026</v>
      </c>
      <c r="AC351" s="30" t="n">
        <v>0.614</v>
      </c>
      <c r="AD351" s="24" t="inlineStr">
        <is>
          <t>2026-08-17T05:25:59.131714Z</t>
        </is>
      </c>
      <c r="AE351" s="31" t="inlineStr">
        <is>
          <t>Surface-blended Elo on Hard: Ekaterina Alexandrova p=0.654 vs Anna Blinkova. Executable ask 0.7400 (aec-wta-annbli-ekaale-2026-08-15).</t>
        </is>
      </c>
      <c r="AF351" s="31" t="inlineStr">
        <is>
          <t>Surface-blended Elo model; singles only, WTA+ATP market coverage, not yet locked-holdout qualified -- promoted by explicit operator directive, not genuine walk-forward validation.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3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Ekaterina Alexandrova</t>
        </is>
      </c>
      <c r="AQ351" s="24" t="inlineStr">
        <is>
          <t>Ekaterina Alexandrova</t>
        </is>
      </c>
      <c r="AR351" s="24" t="inlineStr">
        <is>
          <t>Ekaterina Alexandrova</t>
        </is>
      </c>
      <c r="AS351" s="24" t="inlineStr">
        <is>
          <t>Anna Blinkova</t>
        </is>
      </c>
      <c r="AT351" s="24" t="inlineStr">
        <is>
          <t>Anna Blinkova</t>
        </is>
      </c>
      <c r="AU351" s="24" t="inlineStr">
        <is>
          <t>Anna Blinkova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3ab056fefe04713e3c294da76c8adb2866b0dc46556ed32322a0426dd344a0e4</t>
        </is>
      </c>
      <c r="BB351" s="24" t="inlineStr">
        <is>
          <t>surface_blended_elo</t>
        </is>
      </c>
      <c r="BC351" s="24" t="inlineStr">
        <is>
          <t>tennis-surface-elo-v1</t>
        </is>
      </c>
      <c r="BD351" s="24" t="inlineStr">
        <is>
          <t>3ab056fefe04713e3c294da76c8adb2866b0dc46556ed32322a0426dd344a0e4</t>
        </is>
      </c>
      <c r="BE351" s="24" t="inlineStr">
        <is>
          <t>tennis-surface-elo-v1</t>
        </is>
      </c>
      <c r="BF351" s="24" t="inlineStr">
        <is>
          <t>1</t>
        </is>
      </c>
      <c r="BG351" s="24" t="inlineStr">
        <is>
          <t>3ab056fefe04713e3c294da76c8adb2866b0dc46556ed32322a0426dd344a0e4</t>
        </is>
      </c>
      <c r="BH351" s="24" t="inlineStr">
        <is>
          <t>2026-08-16T17:42:50.864651Z</t>
        </is>
      </c>
      <c r="BI351" s="24" t="inlineStr">
        <is>
          <t>["same_event","same_team_same_day","same_league_same_day"]</t>
        </is>
      </c>
      <c r="BJ351" s="25" t="n"/>
      <c r="BK351" s="26" t="n">
        <v>-285</v>
      </c>
      <c r="BL351" s="27" t="n">
        <v>1.350877</v>
      </c>
      <c r="BM351" s="28" t="n">
        <v>0.74026</v>
      </c>
      <c r="BN351" s="28" t="n"/>
      <c r="BO351" s="28" t="n"/>
      <c r="BP351" s="25" t="n"/>
      <c r="BQ351" s="27" t="n">
        <v>1.350877</v>
      </c>
      <c r="BR351" s="28" t="n">
        <v>0.74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0.74026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a821c217f99f4361</t>
        </is>
      </c>
      <c r="B352" s="24" t="inlineStr">
        <is>
          <t>2026-08-16T17:44:11.146468Z</t>
        </is>
      </c>
      <c r="C352" s="24" t="inlineStr">
        <is>
          <t>2026-08-16T19:00Z</t>
        </is>
      </c>
      <c r="D352" s="24" t="inlineStr">
        <is>
          <t>718-2026:182414</t>
        </is>
      </c>
      <c r="E352" s="24" t="inlineStr">
        <is>
          <t>TENNIS</t>
        </is>
      </c>
      <c r="F352" s="24" t="inlineStr">
        <is>
          <t>Talia Gibson</t>
        </is>
      </c>
      <c r="G352" s="24" t="inlineStr">
        <is>
          <t>Aryna Sabalenka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-669</v>
      </c>
      <c r="M352" s="27" t="n">
        <v>1.149477</v>
      </c>
      <c r="N352" s="28" t="n">
        <v>0.869961</v>
      </c>
      <c r="O352" s="28" t="n">
        <v>0.898178</v>
      </c>
      <c r="P352" s="28" t="n">
        <v>0.05</v>
      </c>
      <c r="Q352" s="28" t="n">
        <v>0.028217</v>
      </c>
      <c r="R352" s="26" t="n">
        <v>34</v>
      </c>
      <c r="S352" s="29" t="n">
        <v>2</v>
      </c>
      <c r="T352" s="24" t="inlineStr">
        <is>
          <t>tennis-surface-elo-v1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1</v>
      </c>
      <c r="Y352" s="25" t="n"/>
      <c r="Z352" s="26" t="n">
        <v>-669</v>
      </c>
      <c r="AA352" s="28" t="n">
        <v>0.87</v>
      </c>
      <c r="AB352" s="28" t="n">
        <v>3.9e-05</v>
      </c>
      <c r="AC352" s="30" t="n">
        <v>0.299</v>
      </c>
      <c r="AD352" s="24" t="inlineStr">
        <is>
          <t>2026-08-17T05:26:02.941265Z</t>
        </is>
      </c>
      <c r="AE352" s="31" t="inlineStr">
        <is>
          <t>Surface-blended Elo on Hard: Talia Gibson p=0.102 vs Aryna Sabalenka. Executable ask 0.8700 (aec-wta-arysab-talgib-2026-08-16).</t>
        </is>
      </c>
      <c r="AF352" s="31" t="inlineStr">
        <is>
          <t>Surface-blended Elo model; singles only, WTA+ATP market coverage, not yet locked-holdout qualified -- promoted by explicit operator directive, not genuine walk-forward validation.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3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Talia Gibson</t>
        </is>
      </c>
      <c r="AQ352" s="24" t="inlineStr">
        <is>
          <t>Talia Gibson</t>
        </is>
      </c>
      <c r="AR352" s="24" t="inlineStr">
        <is>
          <t>Talia Gibson</t>
        </is>
      </c>
      <c r="AS352" s="24" t="inlineStr">
        <is>
          <t>Aryna Sabalenka</t>
        </is>
      </c>
      <c r="AT352" s="24" t="inlineStr">
        <is>
          <t>Aryna Sabalenka</t>
        </is>
      </c>
      <c r="AU352" s="24" t="inlineStr">
        <is>
          <t>Aryna Sabalenka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3ab056fefe04713e3c294da76c8adb2866b0dc46556ed32322a0426dd344a0e4</t>
        </is>
      </c>
      <c r="BB352" s="24" t="inlineStr">
        <is>
          <t>surface_blended_elo</t>
        </is>
      </c>
      <c r="BC352" s="24" t="inlineStr">
        <is>
          <t>tennis-surface-elo-v1</t>
        </is>
      </c>
      <c r="BD352" s="24" t="inlineStr">
        <is>
          <t>3ab056fefe04713e3c294da76c8adb2866b0dc46556ed32322a0426dd344a0e4</t>
        </is>
      </c>
      <c r="BE352" s="24" t="inlineStr">
        <is>
          <t>tennis-surface-elo-v1</t>
        </is>
      </c>
      <c r="BF352" s="24" t="inlineStr">
        <is>
          <t>1</t>
        </is>
      </c>
      <c r="BG352" s="24" t="inlineStr">
        <is>
          <t>3ab056fefe04713e3c294da76c8adb2866b0dc46556ed32322a0426dd344a0e4</t>
        </is>
      </c>
      <c r="BH352" s="24" t="inlineStr">
        <is>
          <t>2026-08-16T17:42:51.967029Z</t>
        </is>
      </c>
      <c r="BI352" s="24" t="inlineStr">
        <is>
          <t>["same_event","same_team_same_day","same_league_same_day"]</t>
        </is>
      </c>
      <c r="BJ352" s="25" t="n"/>
      <c r="BK352" s="26" t="n">
        <v>-669</v>
      </c>
      <c r="BL352" s="27" t="n">
        <v>1.149477</v>
      </c>
      <c r="BM352" s="28" t="n">
        <v>0.869961</v>
      </c>
      <c r="BN352" s="28" t="n"/>
      <c r="BO352" s="28" t="n"/>
      <c r="BP352" s="25" t="n"/>
      <c r="BQ352" s="27" t="n">
        <v>1.149477</v>
      </c>
      <c r="BR352" s="28" t="n">
        <v>0.87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0.869961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9baef958eb0c4bea</t>
        </is>
      </c>
      <c r="B353" s="24" t="inlineStr">
        <is>
          <t>2026-08-16T17:44:11.146468Z</t>
        </is>
      </c>
      <c r="C353" s="24" t="inlineStr">
        <is>
          <t>2026-08-16T19:30Z</t>
        </is>
      </c>
      <c r="D353" s="24" t="inlineStr">
        <is>
          <t>718-2026:182352</t>
        </is>
      </c>
      <c r="E353" s="24" t="inlineStr">
        <is>
          <t>TENNIS</t>
        </is>
      </c>
      <c r="F353" s="24" t="inlineStr">
        <is>
          <t>Iva Jovic</t>
        </is>
      </c>
      <c r="G353" s="24" t="inlineStr">
        <is>
          <t>Tamara Korpatsch</t>
        </is>
      </c>
      <c r="H353" s="24" t="inlineStr">
        <is>
          <t>moneyline</t>
        </is>
      </c>
      <c r="I353" s="24" t="inlineStr">
        <is>
          <t>away</t>
        </is>
      </c>
      <c r="J353" s="25" t="n"/>
      <c r="K353" s="24" t="inlineStr">
        <is>
          <t>polymarket_us</t>
        </is>
      </c>
      <c r="L353" s="26" t="n">
        <v>-900</v>
      </c>
      <c r="M353" s="27" t="n">
        <v>1.111111</v>
      </c>
      <c r="N353" s="28" t="n">
        <v>0.9</v>
      </c>
      <c r="O353" s="28" t="n">
        <v>0.710836</v>
      </c>
      <c r="P353" s="28" t="n">
        <v>0.05</v>
      </c>
      <c r="Q353" s="28" t="n">
        <v>-0.189164</v>
      </c>
      <c r="R353" s="26" t="n">
        <v>0</v>
      </c>
      <c r="S353" s="29" t="n">
        <v>2</v>
      </c>
      <c r="T353" s="24" t="inlineStr">
        <is>
          <t>tennis-surface-elo-v1</t>
        </is>
      </c>
      <c r="U353" s="24" t="inlineStr">
        <is>
          <t>settled</t>
        </is>
      </c>
      <c r="V353" s="24" t="inlineStr">
        <is>
          <t>win</t>
        </is>
      </c>
      <c r="W353" s="26" t="n">
        <v>1</v>
      </c>
      <c r="X353" s="26" t="n">
        <v>0</v>
      </c>
      <c r="Y353" s="25" t="n"/>
      <c r="Z353" s="26" t="n">
        <v>-900</v>
      </c>
      <c r="AA353" s="28" t="n">
        <v>0.9</v>
      </c>
      <c r="AB353" s="28" t="n">
        <v>0</v>
      </c>
      <c r="AC353" s="30" t="n">
        <v>0.2222</v>
      </c>
      <c r="AD353" s="24" t="inlineStr">
        <is>
          <t>2026-08-17T05:26:06.544930Z</t>
        </is>
      </c>
      <c r="AE353" s="31" t="inlineStr">
        <is>
          <t>Surface-blended Elo on Hard: Iva Jovic p=0.711 vs Tamara Korpatsch. Executable ask 0.9000 (aec-wta-tamkor-ivajov-2026-08-15).</t>
        </is>
      </c>
      <c r="AF353" s="31" t="inlineStr">
        <is>
          <t>Surface-blended Elo model; singles only, WTA+ATP market coverage, not yet locked-holdout qualified -- promoted by explicit operator directive, not genuine walk-forward validation.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3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PAPER_CALL_LOW_EDGE</t>
        </is>
      </c>
      <c r="AP353" s="24" t="inlineStr">
        <is>
          <t>Iva Jovic</t>
        </is>
      </c>
      <c r="AQ353" s="24" t="inlineStr">
        <is>
          <t>Iva Jovic</t>
        </is>
      </c>
      <c r="AR353" s="24" t="inlineStr">
        <is>
          <t>Iva Jovic</t>
        </is>
      </c>
      <c r="AS353" s="24" t="inlineStr">
        <is>
          <t>Tamara Korpatsch</t>
        </is>
      </c>
      <c r="AT353" s="24" t="inlineStr">
        <is>
          <t>Tamara Korpatsch</t>
        </is>
      </c>
      <c r="AU353" s="24" t="inlineStr">
        <is>
          <t>Tamara Korpatsch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3ab056fefe04713e3c294da76c8adb2866b0dc46556ed32322a0426dd344a0e4</t>
        </is>
      </c>
      <c r="BB353" s="24" t="inlineStr">
        <is>
          <t>surface_blended_elo</t>
        </is>
      </c>
      <c r="BC353" s="24" t="inlineStr">
        <is>
          <t>tennis-surface-elo-v1</t>
        </is>
      </c>
      <c r="BD353" s="24" t="inlineStr">
        <is>
          <t>3ab056fefe04713e3c294da76c8adb2866b0dc46556ed32322a0426dd344a0e4</t>
        </is>
      </c>
      <c r="BE353" s="24" t="inlineStr">
        <is>
          <t>tennis-surface-elo-v1</t>
        </is>
      </c>
      <c r="BF353" s="24" t="inlineStr">
        <is>
          <t>1</t>
        </is>
      </c>
      <c r="BG353" s="24" t="inlineStr">
        <is>
          <t>3ab056fefe04713e3c294da76c8adb2866b0dc46556ed32322a0426dd344a0e4</t>
        </is>
      </c>
      <c r="BH353" s="24" t="inlineStr">
        <is>
          <t>2026-08-16T17:42:53.761756Z</t>
        </is>
      </c>
      <c r="BI353" s="24" t="inlineStr">
        <is>
          <t>["same_event","same_team_same_day","same_league_same_day"]</t>
        </is>
      </c>
      <c r="BJ353" s="25" t="n"/>
      <c r="BK353" s="26" t="n">
        <v>-900</v>
      </c>
      <c r="BL353" s="27" t="n">
        <v>1.111111</v>
      </c>
      <c r="BM353" s="28" t="n">
        <v>0.9</v>
      </c>
      <c r="BN353" s="28" t="n"/>
      <c r="BO353" s="28" t="n"/>
      <c r="BP353" s="25" t="n"/>
      <c r="BQ353" s="27" t="n">
        <v>1.111111</v>
      </c>
      <c r="BR353" s="28" t="n">
        <v>0.9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0.9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38c5fd122cbc4195</t>
        </is>
      </c>
      <c r="B354" s="24" t="inlineStr">
        <is>
          <t>2026-08-16T17:44:11.146468Z</t>
        </is>
      </c>
      <c r="C354" s="24" t="inlineStr">
        <is>
          <t>2026-08-16T20:00Z</t>
        </is>
      </c>
      <c r="D354" s="24" t="inlineStr">
        <is>
          <t>718-2026:182429</t>
        </is>
      </c>
      <c r="E354" s="24" t="inlineStr">
        <is>
          <t>TENNIS</t>
        </is>
      </c>
      <c r="F354" s="24" t="inlineStr">
        <is>
          <t>Wang Xiyu</t>
        </is>
      </c>
      <c r="G354" s="24" t="inlineStr">
        <is>
          <t>Leylah Fernandez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-144</v>
      </c>
      <c r="M354" s="27" t="n">
        <v>1.694444</v>
      </c>
      <c r="N354" s="28" t="n">
        <v>0.590164</v>
      </c>
      <c r="O354" s="28" t="n">
        <v>0.57296</v>
      </c>
      <c r="P354" s="28" t="n">
        <v>0.05</v>
      </c>
      <c r="Q354" s="28" t="n">
        <v>-0.017204</v>
      </c>
      <c r="R354" s="26" t="n">
        <v>11</v>
      </c>
      <c r="S354" s="29" t="n">
        <v>1.25</v>
      </c>
      <c r="T354" s="24" t="inlineStr">
        <is>
          <t>tennis-surface-elo-v1</t>
        </is>
      </c>
      <c r="U354" s="24" t="inlineStr">
        <is>
          <t>settled</t>
        </is>
      </c>
      <c r="V354" s="24" t="inlineStr">
        <is>
          <t>loss</t>
        </is>
      </c>
      <c r="W354" s="26" t="n">
        <v>1</v>
      </c>
      <c r="X354" s="26" t="n">
        <v>0</v>
      </c>
      <c r="Y354" s="25" t="n"/>
      <c r="Z354" s="26" t="n">
        <v>-144</v>
      </c>
      <c r="AA354" s="28" t="n">
        <v>0.59</v>
      </c>
      <c r="AB354" s="28" t="n">
        <v>-0.000164</v>
      </c>
      <c r="AC354" s="30" t="n">
        <v>-1.25</v>
      </c>
      <c r="AD354" s="24" t="inlineStr">
        <is>
          <t>2026-08-17T05:26:10.133642Z</t>
        </is>
      </c>
      <c r="AE354" s="31" t="inlineStr">
        <is>
          <t>Surface-blended Elo on Hard: Wang Xiyu p=0.427 vs Leylah Fernandez. Executable ask 0.5900 (aec-wta-leyfer-xiywan-2026-08-16).</t>
        </is>
      </c>
      <c r="AF354" s="31" t="inlineStr">
        <is>
          <t>Surface-blended Elo model; singles only, WTA+ATP market coverage, not yet locked-holdout qualified -- promoted by explicit operator directive, not genuine walk-forward validation.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3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Wang Xiyu</t>
        </is>
      </c>
      <c r="AQ354" s="24" t="inlineStr">
        <is>
          <t>Wang Xiyu</t>
        </is>
      </c>
      <c r="AR354" s="24" t="inlineStr">
        <is>
          <t>Wang Xiyu</t>
        </is>
      </c>
      <c r="AS354" s="24" t="inlineStr">
        <is>
          <t>Leylah Fernandez</t>
        </is>
      </c>
      <c r="AT354" s="24" t="inlineStr">
        <is>
          <t>Leylah Fernandez</t>
        </is>
      </c>
      <c r="AU354" s="24" t="inlineStr">
        <is>
          <t>Leylah Fernandez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3ab056fefe04713e3c294da76c8adb2866b0dc46556ed32322a0426dd344a0e4</t>
        </is>
      </c>
      <c r="BB354" s="24" t="inlineStr">
        <is>
          <t>surface_blended_elo</t>
        </is>
      </c>
      <c r="BC354" s="24" t="inlineStr">
        <is>
          <t>tennis-surface-elo-v1</t>
        </is>
      </c>
      <c r="BD354" s="24" t="inlineStr">
        <is>
          <t>3ab056fefe04713e3c294da76c8adb2866b0dc46556ed32322a0426dd344a0e4</t>
        </is>
      </c>
      <c r="BE354" s="24" t="inlineStr">
        <is>
          <t>tennis-surface-elo-v1</t>
        </is>
      </c>
      <c r="BF354" s="24" t="inlineStr">
        <is>
          <t>1</t>
        </is>
      </c>
      <c r="BG354" s="24" t="inlineStr">
        <is>
          <t>3ab056fefe04713e3c294da76c8adb2866b0dc46556ed32322a0426dd344a0e4</t>
        </is>
      </c>
      <c r="BH354" s="24" t="inlineStr">
        <is>
          <t>2026-08-16T17:42:52.636753Z</t>
        </is>
      </c>
      <c r="BI354" s="24" t="inlineStr">
        <is>
          <t>["same_event","same_team_same_day","same_league_same_day"]</t>
        </is>
      </c>
      <c r="BJ354" s="25" t="n"/>
      <c r="BK354" s="26" t="n">
        <v>-144</v>
      </c>
      <c r="BL354" s="27" t="n">
        <v>1.694444</v>
      </c>
      <c r="BM354" s="28" t="n">
        <v>0.590164</v>
      </c>
      <c r="BN354" s="28" t="n"/>
      <c r="BO354" s="28" t="n"/>
      <c r="BP354" s="25" t="n"/>
      <c r="BQ354" s="27" t="n">
        <v>1.694444</v>
      </c>
      <c r="BR354" s="28" t="n">
        <v>0.59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0.590164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85a86c23d4674d38</t>
        </is>
      </c>
      <c r="B355" s="24" t="inlineStr">
        <is>
          <t>2026-08-16T17:44:11.146468Z</t>
        </is>
      </c>
      <c r="C355" s="24" t="inlineStr">
        <is>
          <t>2026-08-16T21:00Z</t>
        </is>
      </c>
      <c r="D355" s="24" t="inlineStr">
        <is>
          <t>718-2026:182363</t>
        </is>
      </c>
      <c r="E355" s="24" t="inlineStr">
        <is>
          <t>TENNIS</t>
        </is>
      </c>
      <c r="F355" s="24" t="inlineStr">
        <is>
          <t>Anastasia Potapova</t>
        </is>
      </c>
      <c r="G355" s="24" t="inlineStr">
        <is>
          <t>Sloane Stephens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-194</v>
      </c>
      <c r="M355" s="27" t="n">
        <v>1.515464</v>
      </c>
      <c r="N355" s="28" t="n">
        <v>0.659864</v>
      </c>
      <c r="O355" s="28" t="n">
        <v>0.742704</v>
      </c>
      <c r="P355" s="28" t="n">
        <v>0.05</v>
      </c>
      <c r="Q355" s="28" t="n">
        <v>0.08284</v>
      </c>
      <c r="R355" s="26" t="n">
        <v>61</v>
      </c>
      <c r="S355" s="29" t="n">
        <v>2</v>
      </c>
      <c r="T355" s="24" t="inlineStr">
        <is>
          <t>tennis-surface-elo-v1</t>
        </is>
      </c>
      <c r="U355" s="24" t="inlineStr">
        <is>
          <t>settled</t>
        </is>
      </c>
      <c r="V355" s="24" t="inlineStr">
        <is>
          <t>loss</t>
        </is>
      </c>
      <c r="W355" s="26" t="n">
        <v>0</v>
      </c>
      <c r="X355" s="26" t="n">
        <v>1</v>
      </c>
      <c r="Y355" s="25" t="n"/>
      <c r="Z355" s="26" t="n">
        <v>-194</v>
      </c>
      <c r="AA355" s="28" t="n">
        <v>0.66</v>
      </c>
      <c r="AB355" s="28" t="n">
        <v>0.000136</v>
      </c>
      <c r="AC355" s="30" t="n">
        <v>-2</v>
      </c>
      <c r="AD355" s="24" t="inlineStr">
        <is>
          <t>2026-08-17T05:26:13.761460Z</t>
        </is>
      </c>
      <c r="AE355" s="31" t="inlineStr">
        <is>
          <t>Surface-blended Elo on Hard: Anastasia Potapova p=0.743 vs Sloane Stephens. Executable ask 0.6600 (aec-wta-sloste-anapot-2026-08-16).</t>
        </is>
      </c>
      <c r="AF355" s="31" t="inlineStr">
        <is>
          <t>Surface-blended Elo model; singles only, WTA+ATP market coverage, not yet locked-holdout qualified -- promoted by explicit operator directive, not genuine walk-forward validation.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3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Anastasia Potapova</t>
        </is>
      </c>
      <c r="AQ355" s="24" t="inlineStr">
        <is>
          <t>Anastasia Potapova</t>
        </is>
      </c>
      <c r="AR355" s="24" t="inlineStr">
        <is>
          <t>Anastasia Potapova</t>
        </is>
      </c>
      <c r="AS355" s="24" t="inlineStr">
        <is>
          <t>Sloane Stephens</t>
        </is>
      </c>
      <c r="AT355" s="24" t="inlineStr">
        <is>
          <t>Sloane Stephens</t>
        </is>
      </c>
      <c r="AU355" s="24" t="inlineStr">
        <is>
          <t>Sloane Stephens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3ab056fefe04713e3c294da76c8adb2866b0dc46556ed32322a0426dd344a0e4</t>
        </is>
      </c>
      <c r="BB355" s="24" t="inlineStr">
        <is>
          <t>surface_blended_elo</t>
        </is>
      </c>
      <c r="BC355" s="24" t="inlineStr">
        <is>
          <t>tennis-surface-elo-v1</t>
        </is>
      </c>
      <c r="BD355" s="24" t="inlineStr">
        <is>
          <t>3ab056fefe04713e3c294da76c8adb2866b0dc46556ed32322a0426dd344a0e4</t>
        </is>
      </c>
      <c r="BE355" s="24" t="inlineStr">
        <is>
          <t>tennis-surface-elo-v1</t>
        </is>
      </c>
      <c r="BF355" s="24" t="inlineStr">
        <is>
          <t>1</t>
        </is>
      </c>
      <c r="BG355" s="24" t="inlineStr">
        <is>
          <t>3ab056fefe04713e3c294da76c8adb2866b0dc46556ed32322a0426dd344a0e4</t>
        </is>
      </c>
      <c r="BH355" s="24" t="inlineStr">
        <is>
          <t>2026-08-16T17:42:54.600351Z</t>
        </is>
      </c>
      <c r="BI355" s="24" t="inlineStr">
        <is>
          <t>["same_event","same_team_same_day","same_league_same_day"]</t>
        </is>
      </c>
      <c r="BJ355" s="25" t="n"/>
      <c r="BK355" s="26" t="n">
        <v>-194</v>
      </c>
      <c r="BL355" s="27" t="n">
        <v>1.515464</v>
      </c>
      <c r="BM355" s="28" t="n">
        <v>0.659864</v>
      </c>
      <c r="BN355" s="28" t="n"/>
      <c r="BO355" s="28" t="n"/>
      <c r="BP355" s="25" t="n"/>
      <c r="BQ355" s="27" t="n">
        <v>1.515464</v>
      </c>
      <c r="BR355" s="28" t="n">
        <v>0.66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0.659864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2b2964a137ba499f</t>
        </is>
      </c>
      <c r="B356" s="24" t="inlineStr">
        <is>
          <t>2026-08-16T17:44:11.146468Z</t>
        </is>
      </c>
      <c r="C356" s="24" t="inlineStr">
        <is>
          <t>2026-08-16T23:00Z</t>
        </is>
      </c>
      <c r="D356" s="24" t="inlineStr">
        <is>
          <t>718-2026:182433</t>
        </is>
      </c>
      <c r="E356" s="24" t="inlineStr">
        <is>
          <t>TENNIS</t>
        </is>
      </c>
      <c r="F356" s="24" t="inlineStr">
        <is>
          <t>Liudmila Samsonova</t>
        </is>
      </c>
      <c r="G356" s="24" t="inlineStr">
        <is>
          <t>Coco Gauff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-300</v>
      </c>
      <c r="M356" s="27" t="n">
        <v>1.333333</v>
      </c>
      <c r="N356" s="28" t="n">
        <v>0.75</v>
      </c>
      <c r="O356" s="28" t="n">
        <v>0.826366</v>
      </c>
      <c r="P356" s="28" t="n">
        <v>0.05</v>
      </c>
      <c r="Q356" s="28" t="n">
        <v>0.076366</v>
      </c>
      <c r="R356" s="26" t="n">
        <v>58</v>
      </c>
      <c r="S356" s="29" t="n">
        <v>2</v>
      </c>
      <c r="T356" s="24" t="inlineStr">
        <is>
          <t>tennis-surface-elo-v1</t>
        </is>
      </c>
      <c r="U356" s="24" t="inlineStr">
        <is>
          <t>settled</t>
        </is>
      </c>
      <c r="V356" s="24" t="inlineStr">
        <is>
          <t>win</t>
        </is>
      </c>
      <c r="W356" s="26" t="n">
        <v>0</v>
      </c>
      <c r="X356" s="26" t="n">
        <v>1</v>
      </c>
      <c r="Y356" s="25" t="n"/>
      <c r="Z356" s="26" t="n">
        <v>-300</v>
      </c>
      <c r="AA356" s="28" t="n">
        <v>0.75</v>
      </c>
      <c r="AB356" s="28" t="n">
        <v>0</v>
      </c>
      <c r="AC356" s="30" t="n">
        <v>0.6667</v>
      </c>
      <c r="AD356" s="24" t="inlineStr">
        <is>
          <t>2026-08-17T05:26:16.762074Z</t>
        </is>
      </c>
      <c r="AE356" s="31" t="inlineStr">
        <is>
          <t>Surface-blended Elo on Hard: Liudmila Samsonova p=0.174 vs Coco Gauff. Executable ask 0.7500 (aec-wta-cocgau-liusam-2026-08-16).</t>
        </is>
      </c>
      <c r="AF356" s="31" t="inlineStr">
        <is>
          <t>Surface-blended Elo model; singles only, WTA+ATP market coverage, not yet locked-holdout qualified -- promoted by explicit operator directive, not genuine walk-forward validation.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Liudmila Samsonova</t>
        </is>
      </c>
      <c r="AQ356" s="24" t="inlineStr">
        <is>
          <t>Liudmila Samsonova</t>
        </is>
      </c>
      <c r="AR356" s="24" t="inlineStr">
        <is>
          <t>Liudmila Samsonova</t>
        </is>
      </c>
      <c r="AS356" s="24" t="inlineStr">
        <is>
          <t>Coco Gauff</t>
        </is>
      </c>
      <c r="AT356" s="24" t="inlineStr">
        <is>
          <t>Coco Gauff</t>
        </is>
      </c>
      <c r="AU356" s="24" t="inlineStr">
        <is>
          <t>Coco Gauff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3ab056fefe04713e3c294da76c8adb2866b0dc46556ed32322a0426dd344a0e4</t>
        </is>
      </c>
      <c r="BB356" s="24" t="inlineStr">
        <is>
          <t>surface_blended_elo</t>
        </is>
      </c>
      <c r="BC356" s="24" t="inlineStr">
        <is>
          <t>tennis-surface-elo-v1</t>
        </is>
      </c>
      <c r="BD356" s="24" t="inlineStr">
        <is>
          <t>3ab056fefe04713e3c294da76c8adb2866b0dc46556ed32322a0426dd344a0e4</t>
        </is>
      </c>
      <c r="BE356" s="24" t="inlineStr">
        <is>
          <t>tennis-surface-elo-v1</t>
        </is>
      </c>
      <c r="BF356" s="24" t="inlineStr">
        <is>
          <t>1</t>
        </is>
      </c>
      <c r="BG356" s="24" t="inlineStr">
        <is>
          <t>3ab056fefe04713e3c294da76c8adb2866b0dc46556ed32322a0426dd344a0e4</t>
        </is>
      </c>
      <c r="BH356" s="24" t="inlineStr">
        <is>
          <t>2026-08-16T17:42:55.209721Z</t>
        </is>
      </c>
      <c r="BI356" s="24" t="inlineStr">
        <is>
          <t>["same_event","same_team_same_day","same_league_same_day"]</t>
        </is>
      </c>
      <c r="BJ356" s="25" t="n"/>
      <c r="BK356" s="26" t="n">
        <v>-300</v>
      </c>
      <c r="BL356" s="27" t="n">
        <v>1.333333</v>
      </c>
      <c r="BM356" s="28" t="n">
        <v>0.75</v>
      </c>
      <c r="BN356" s="28" t="n"/>
      <c r="BO356" s="28" t="n"/>
      <c r="BP356" s="25" t="n"/>
      <c r="BQ356" s="27" t="n">
        <v>1.333333</v>
      </c>
      <c r="BR356" s="28" t="n">
        <v>0.75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0.75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2a04ae8eb74c4144</t>
        </is>
      </c>
      <c r="B357" s="24" t="inlineStr">
        <is>
          <t>2026-08-16T17:44:11.146468Z</t>
        </is>
      </c>
      <c r="C357" s="24" t="inlineStr">
        <is>
          <t>2026-08-17T00:30Z</t>
        </is>
      </c>
      <c r="D357" s="24" t="inlineStr">
        <is>
          <t>718-2026:182435</t>
        </is>
      </c>
      <c r="E357" s="24" t="inlineStr">
        <is>
          <t>TENNIS</t>
        </is>
      </c>
      <c r="F357" s="24" t="inlineStr">
        <is>
          <t>Elina Svitolina</t>
        </is>
      </c>
      <c r="G357" s="24" t="inlineStr">
        <is>
          <t>Tereza Valentova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-270</v>
      </c>
      <c r="M357" s="27" t="n">
        <v>1.37037</v>
      </c>
      <c r="N357" s="28" t="n">
        <v>0.72973</v>
      </c>
      <c r="O357" s="28" t="n">
        <v>0.729625</v>
      </c>
      <c r="P357" s="28" t="n">
        <v>0.05</v>
      </c>
      <c r="Q357" s="28" t="n">
        <v>-0.000105</v>
      </c>
      <c r="R357" s="26" t="n">
        <v>20</v>
      </c>
      <c r="S357" s="29" t="n">
        <v>2</v>
      </c>
      <c r="T357" s="24" t="inlineStr">
        <is>
          <t>tennis-surface-elo-v1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-270</v>
      </c>
      <c r="AA357" s="28" t="n">
        <v>0.73</v>
      </c>
      <c r="AB357" s="28" t="n">
        <v>0.00027</v>
      </c>
      <c r="AC357" s="30" t="n">
        <v>0.7407</v>
      </c>
      <c r="AD357" s="24" t="inlineStr">
        <is>
          <t>2026-08-17T05:26:19.889330Z</t>
        </is>
      </c>
      <c r="AE357" s="31" t="inlineStr">
        <is>
          <t>Surface-blended Elo on Hard: Elina Svitolina p=0.730 vs Tereza Valentova. Executable ask 0.7300 (aec-wta-terval-elisvi-2026-08-15).</t>
        </is>
      </c>
      <c r="AF357" s="31" t="inlineStr">
        <is>
          <t>Surface-blended Elo model; singles only, WTA+ATP market coverage, not yet locked-holdout qualified -- promoted by explicit operator directive, not genuine walk-forward validation.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3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Elina Svitolina</t>
        </is>
      </c>
      <c r="AQ357" s="24" t="inlineStr">
        <is>
          <t>Elina Svitolina</t>
        </is>
      </c>
      <c r="AR357" s="24" t="inlineStr">
        <is>
          <t>Elina Svitolina</t>
        </is>
      </c>
      <c r="AS357" s="24" t="inlineStr">
        <is>
          <t>Tereza Valentova</t>
        </is>
      </c>
      <c r="AT357" s="24" t="inlineStr">
        <is>
          <t>Tereza Valentova</t>
        </is>
      </c>
      <c r="AU357" s="24" t="inlineStr">
        <is>
          <t>Tereza Valentova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3ab056fefe04713e3c294da76c8adb2866b0dc46556ed32322a0426dd344a0e4</t>
        </is>
      </c>
      <c r="BB357" s="24" t="inlineStr">
        <is>
          <t>surface_blended_elo</t>
        </is>
      </c>
      <c r="BC357" s="24" t="inlineStr">
        <is>
          <t>tennis-surface-elo-v1</t>
        </is>
      </c>
      <c r="BD357" s="24" t="inlineStr">
        <is>
          <t>3ab056fefe04713e3c294da76c8adb2866b0dc46556ed32322a0426dd344a0e4</t>
        </is>
      </c>
      <c r="BE357" s="24" t="inlineStr">
        <is>
          <t>tennis-surface-elo-v1</t>
        </is>
      </c>
      <c r="BF357" s="24" t="inlineStr">
        <is>
          <t>1</t>
        </is>
      </c>
      <c r="BG357" s="24" t="inlineStr">
        <is>
          <t>3ab056fefe04713e3c294da76c8adb2866b0dc46556ed32322a0426dd344a0e4</t>
        </is>
      </c>
      <c r="BH357" s="24" t="inlineStr">
        <is>
          <t>2026-08-16T17:42:56.113495Z</t>
        </is>
      </c>
      <c r="BI357" s="24" t="inlineStr">
        <is>
          <t>["same_event","same_team_same_day","same_league_same_day"]</t>
        </is>
      </c>
      <c r="BJ357" s="25" t="n"/>
      <c r="BK357" s="26" t="n">
        <v>-270</v>
      </c>
      <c r="BL357" s="27" t="n">
        <v>1.37037</v>
      </c>
      <c r="BM357" s="28" t="n">
        <v>0.72973</v>
      </c>
      <c r="BN357" s="28" t="n"/>
      <c r="BO357" s="28" t="n"/>
      <c r="BP357" s="25" t="n"/>
      <c r="BQ357" s="27" t="n">
        <v>1.37037</v>
      </c>
      <c r="BR357" s="28" t="n">
        <v>0.73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0.72973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cb340ccab6de4bc2</t>
        </is>
      </c>
      <c r="B358" s="24" t="inlineStr">
        <is>
          <t>2026-08-16T17:44:11.146468Z</t>
        </is>
      </c>
      <c r="C358" s="24" t="inlineStr">
        <is>
          <t>2026-08-16T18:00Z</t>
        </is>
      </c>
      <c r="D358" s="24" t="inlineStr">
        <is>
          <t>718-2026:181893</t>
        </is>
      </c>
      <c r="E358" s="24" t="inlineStr">
        <is>
          <t>TENNIS</t>
        </is>
      </c>
      <c r="F358" s="24" t="inlineStr">
        <is>
          <t>Aleksandar Kovacevic</t>
        </is>
      </c>
      <c r="G358" s="24" t="inlineStr">
        <is>
          <t>Brandon Nakashima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-285</v>
      </c>
      <c r="M358" s="27" t="n">
        <v>1.350877</v>
      </c>
      <c r="N358" s="28" t="n">
        <v>0.74026</v>
      </c>
      <c r="O358" s="28" t="n">
        <v>0.792744</v>
      </c>
      <c r="P358" s="28" t="n">
        <v>0.05</v>
      </c>
      <c r="Q358" s="28" t="n">
        <v>0.052484</v>
      </c>
      <c r="R358" s="26" t="n">
        <v>46</v>
      </c>
      <c r="S358" s="29" t="n">
        <v>2</v>
      </c>
      <c r="T358" s="24" t="inlineStr">
        <is>
          <t>tennis-surface-elo-v1</t>
        </is>
      </c>
      <c r="U358" s="24" t="inlineStr">
        <is>
          <t>settled</t>
        </is>
      </c>
      <c r="V358" s="24" t="inlineStr">
        <is>
          <t>win</t>
        </is>
      </c>
      <c r="W358" s="26" t="n">
        <v>0</v>
      </c>
      <c r="X358" s="26" t="n">
        <v>1</v>
      </c>
      <c r="Y358" s="25" t="n"/>
      <c r="Z358" s="26" t="n">
        <v>-285</v>
      </c>
      <c r="AA358" s="28" t="n">
        <v>0.74</v>
      </c>
      <c r="AB358" s="28" t="n">
        <v>-0.00026</v>
      </c>
      <c r="AC358" s="30" t="n">
        <v>0.7018</v>
      </c>
      <c r="AD358" s="24" t="inlineStr">
        <is>
          <t>2026-08-17T05:26:23.485491Z</t>
        </is>
      </c>
      <c r="AE358" s="31" t="inlineStr">
        <is>
          <t>Surface-blended Elo on Hard: Aleksandar Kovacevic p=0.207 vs Brandon Nakashima. Executable ask 0.7400 (aec-atp-branak-alekov-2026-08-16).</t>
        </is>
      </c>
      <c r="AF358" s="31" t="inlineStr">
        <is>
          <t>Surface-blended Elo model; singles only, WTA+ATP market coverage, not yet locked-holdout qualified -- promoted by explicit operator directive, not genuine walk-forward validation.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model_qualified</t>
        </is>
      </c>
      <c r="AL358" s="26" t="n">
        <v>3</v>
      </c>
      <c r="AM358" s="24" t="inlineStr">
        <is>
          <t>QUALIFIED_SHADOW_CALL</t>
        </is>
      </c>
      <c r="AN358" s="24" t="inlineStr">
        <is>
          <t>CALL</t>
        </is>
      </c>
      <c r="AO358" s="24" t="inlineStr">
        <is>
          <t>QUALIFIED</t>
        </is>
      </c>
      <c r="AP358" s="24" t="inlineStr">
        <is>
          <t>Aleksandar Kovacevic</t>
        </is>
      </c>
      <c r="AQ358" s="24" t="inlineStr">
        <is>
          <t>Aleksandar Kovacevic</t>
        </is>
      </c>
      <c r="AR358" s="24" t="inlineStr">
        <is>
          <t>Aleksandar Kovacevic</t>
        </is>
      </c>
      <c r="AS358" s="24" t="inlineStr">
        <is>
          <t>Brandon Nakashima</t>
        </is>
      </c>
      <c r="AT358" s="24" t="inlineStr">
        <is>
          <t>Brandon Nakashima</t>
        </is>
      </c>
      <c r="AU358" s="24" t="inlineStr">
        <is>
          <t>Brandon Nakashima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3ab056fefe04713e3c294da76c8adb2866b0dc46556ed32322a0426dd344a0e4</t>
        </is>
      </c>
      <c r="BB358" s="24" t="inlineStr">
        <is>
          <t>surface_blended_elo</t>
        </is>
      </c>
      <c r="BC358" s="24" t="inlineStr">
        <is>
          <t>tennis-surface-elo-v1</t>
        </is>
      </c>
      <c r="BD358" s="24" t="inlineStr">
        <is>
          <t>3ab056fefe04713e3c294da76c8adb2866b0dc46556ed32322a0426dd344a0e4</t>
        </is>
      </c>
      <c r="BE358" s="24" t="inlineStr">
        <is>
          <t>tennis-surface-elo-v1</t>
        </is>
      </c>
      <c r="BF358" s="24" t="inlineStr">
        <is>
          <t>1</t>
        </is>
      </c>
      <c r="BG358" s="24" t="inlineStr">
        <is>
          <t>3ab056fefe04713e3c294da76c8adb2866b0dc46556ed32322a0426dd344a0e4</t>
        </is>
      </c>
      <c r="BH358" s="24" t="inlineStr">
        <is>
          <t>2026-08-16T17:43:02.499615Z</t>
        </is>
      </c>
      <c r="BI358" s="24" t="inlineStr">
        <is>
          <t>["same_event","same_team_same_day","same_league_same_day"]</t>
        </is>
      </c>
      <c r="BJ358" s="25" t="n"/>
      <c r="BK358" s="26" t="n">
        <v>-285</v>
      </c>
      <c r="BL358" s="27" t="n">
        <v>1.350877</v>
      </c>
      <c r="BM358" s="28" t="n">
        <v>0.74026</v>
      </c>
      <c r="BN358" s="28" t="n"/>
      <c r="BO358" s="28" t="n"/>
      <c r="BP358" s="25" t="n"/>
      <c r="BQ358" s="27" t="n">
        <v>1.350877</v>
      </c>
      <c r="BR358" s="28" t="n">
        <v>0.74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0.74026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6cc875681b924c89</t>
        </is>
      </c>
      <c r="B359" s="24" t="inlineStr">
        <is>
          <t>2026-08-16T17:44:11.146468Z</t>
        </is>
      </c>
      <c r="C359" s="24" t="inlineStr">
        <is>
          <t>2026-08-16T18:00Z</t>
        </is>
      </c>
      <c r="D359" s="24" t="inlineStr">
        <is>
          <t>718-2026:181914</t>
        </is>
      </c>
      <c r="E359" s="24" t="inlineStr">
        <is>
          <t>TENNIS</t>
        </is>
      </c>
      <c r="F359" s="24" t="inlineStr">
        <is>
          <t>Francisco Cerundolo</t>
        </is>
      </c>
      <c r="G359" s="24" t="inlineStr">
        <is>
          <t>Nuno Borges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122</v>
      </c>
      <c r="M359" s="27" t="n">
        <v>2.22</v>
      </c>
      <c r="N359" s="28" t="n">
        <v>0.45045</v>
      </c>
      <c r="O359" s="28" t="n">
        <v>0.64866</v>
      </c>
      <c r="P359" s="28" t="n">
        <v>0.05</v>
      </c>
      <c r="Q359" s="28" t="n">
        <v>0.19821</v>
      </c>
      <c r="R359" s="26" t="n">
        <v>100</v>
      </c>
      <c r="S359" s="29" t="n">
        <v>1.75</v>
      </c>
      <c r="T359" s="24" t="inlineStr">
        <is>
          <t>tennis-surface-elo-v1</t>
        </is>
      </c>
      <c r="U359" s="24" t="inlineStr">
        <is>
          <t>settled</t>
        </is>
      </c>
      <c r="V359" s="24" t="inlineStr">
        <is>
          <t>loss</t>
        </is>
      </c>
      <c r="W359" s="26" t="n">
        <v>0</v>
      </c>
      <c r="X359" s="26" t="n">
        <v>1</v>
      </c>
      <c r="Y359" s="25" t="n"/>
      <c r="Z359" s="26" t="n">
        <v>122</v>
      </c>
      <c r="AA359" s="28" t="n">
        <v>0.45</v>
      </c>
      <c r="AB359" s="28" t="n">
        <v>-0.00045</v>
      </c>
      <c r="AC359" s="30" t="n">
        <v>-1.75</v>
      </c>
      <c r="AD359" s="24" t="inlineStr">
        <is>
          <t>2026-08-17T05:26:26.666667Z</t>
        </is>
      </c>
      <c r="AE359" s="31" t="inlineStr">
        <is>
          <t>Surface-blended Elo on Hard: Francisco Cerundolo p=0.649 vs Nuno Borges. Executable ask 0.4500 (aec-atp-nunbor-fracer-2026-08-16).</t>
        </is>
      </c>
      <c r="AF359" s="31" t="inlineStr">
        <is>
          <t>Surface-blended Elo model; singles only, WTA+ATP market coverage, not yet locked-holdout qualified -- promoted by explicit operator directive, not genuine walk-forward validation.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Francisco Cerundolo</t>
        </is>
      </c>
      <c r="AQ359" s="24" t="inlineStr">
        <is>
          <t>Francisco Cerundolo</t>
        </is>
      </c>
      <c r="AR359" s="24" t="inlineStr">
        <is>
          <t>Francisco Cerundolo</t>
        </is>
      </c>
      <c r="AS359" s="24" t="inlineStr">
        <is>
          <t>Nuno Borges</t>
        </is>
      </c>
      <c r="AT359" s="24" t="inlineStr">
        <is>
          <t>Nuno Borges</t>
        </is>
      </c>
      <c r="AU359" s="24" t="inlineStr">
        <is>
          <t>Nuno Borges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3ab056fefe04713e3c294da76c8adb2866b0dc46556ed32322a0426dd344a0e4</t>
        </is>
      </c>
      <c r="BB359" s="24" t="inlineStr">
        <is>
          <t>surface_blended_elo</t>
        </is>
      </c>
      <c r="BC359" s="24" t="inlineStr">
        <is>
          <t>tennis-surface-elo-v1</t>
        </is>
      </c>
      <c r="BD359" s="24" t="inlineStr">
        <is>
          <t>3ab056fefe04713e3c294da76c8adb2866b0dc46556ed32322a0426dd344a0e4</t>
        </is>
      </c>
      <c r="BE359" s="24" t="inlineStr">
        <is>
          <t>tennis-surface-elo-v1</t>
        </is>
      </c>
      <c r="BF359" s="24" t="inlineStr">
        <is>
          <t>1</t>
        </is>
      </c>
      <c r="BG359" s="24" t="inlineStr">
        <is>
          <t>3ab056fefe04713e3c294da76c8adb2866b0dc46556ed32322a0426dd344a0e4</t>
        </is>
      </c>
      <c r="BH359" s="24" t="inlineStr">
        <is>
          <t>2026-08-16T17:43:01.511245Z</t>
        </is>
      </c>
      <c r="BI359" s="24" t="inlineStr">
        <is>
          <t>["same_event","same_team_same_day","same_league_same_day"]</t>
        </is>
      </c>
      <c r="BJ359" s="25" t="n"/>
      <c r="BK359" s="26" t="n">
        <v>122</v>
      </c>
      <c r="BL359" s="27" t="n">
        <v>2.22</v>
      </c>
      <c r="BM359" s="28" t="n">
        <v>0.45045</v>
      </c>
      <c r="BN359" s="28" t="n"/>
      <c r="BO359" s="28" t="n"/>
      <c r="BP359" s="25" t="n"/>
      <c r="BQ359" s="27" t="n">
        <v>2.22</v>
      </c>
      <c r="BR359" s="28" t="n">
        <v>0.45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0.45045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715fe978cd8f4526</t>
        </is>
      </c>
      <c r="B360" s="24" t="inlineStr">
        <is>
          <t>2026-08-16T17:44:11.146468Z</t>
        </is>
      </c>
      <c r="C360" s="24" t="inlineStr">
        <is>
          <t>2026-08-16T18:15Z</t>
        </is>
      </c>
      <c r="D360" s="24" t="inlineStr">
        <is>
          <t>718-2026:181927</t>
        </is>
      </c>
      <c r="E360" s="24" t="inlineStr">
        <is>
          <t>TENNIS</t>
        </is>
      </c>
      <c r="F360" s="24" t="inlineStr">
        <is>
          <t>Alex Michelsen</t>
        </is>
      </c>
      <c r="G360" s="24" t="inlineStr">
        <is>
          <t>Taylor Fritz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-170</v>
      </c>
      <c r="M360" s="27" t="n">
        <v>1.588235</v>
      </c>
      <c r="N360" s="28" t="n">
        <v>0.62963</v>
      </c>
      <c r="O360" s="28" t="n">
        <v>0.615111</v>
      </c>
      <c r="P360" s="28" t="n">
        <v>0.05</v>
      </c>
      <c r="Q360" s="28" t="n">
        <v>-0.014519</v>
      </c>
      <c r="R360" s="26" t="n">
        <v>13</v>
      </c>
      <c r="S360" s="29" t="n">
        <v>1.5</v>
      </c>
      <c r="T360" s="24" t="inlineStr">
        <is>
          <t>tennis-surface-elo-v1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1</v>
      </c>
      <c r="Y360" s="25" t="n"/>
      <c r="Z360" s="26" t="n">
        <v>-170</v>
      </c>
      <c r="AA360" s="28" t="n">
        <v>0.63</v>
      </c>
      <c r="AB360" s="28" t="n">
        <v>0.00037</v>
      </c>
      <c r="AC360" s="30" t="n">
        <v>0.8824</v>
      </c>
      <c r="AD360" s="24" t="inlineStr">
        <is>
          <t>2026-08-17T05:26:29.798656Z</t>
        </is>
      </c>
      <c r="AE360" s="31" t="inlineStr">
        <is>
          <t>Surface-blended Elo on Hard: Alex Michelsen p=0.385 vs Taylor Fritz. Executable ask 0.6300 (aec-atp-tayfri-alemic-2026-08-15).</t>
        </is>
      </c>
      <c r="AF360" s="31" t="inlineStr">
        <is>
          <t>Surface-blended Elo model; singles only, WTA+ATP market coverage, not yet locked-holdout qualified -- promoted by explicit operator directive, not genuine walk-forward validation.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3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Alex Michelsen</t>
        </is>
      </c>
      <c r="AQ360" s="24" t="inlineStr">
        <is>
          <t>Alex Michelsen</t>
        </is>
      </c>
      <c r="AR360" s="24" t="inlineStr">
        <is>
          <t>Alex Michelsen</t>
        </is>
      </c>
      <c r="AS360" s="24" t="inlineStr">
        <is>
          <t>Taylor Fritz</t>
        </is>
      </c>
      <c r="AT360" s="24" t="inlineStr">
        <is>
          <t>Taylor Fritz</t>
        </is>
      </c>
      <c r="AU360" s="24" t="inlineStr">
        <is>
          <t>Taylor Fritz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3ab056fefe04713e3c294da76c8adb2866b0dc46556ed32322a0426dd344a0e4</t>
        </is>
      </c>
      <c r="BB360" s="24" t="inlineStr">
        <is>
          <t>surface_blended_elo</t>
        </is>
      </c>
      <c r="BC360" s="24" t="inlineStr">
        <is>
          <t>tennis-surface-elo-v1</t>
        </is>
      </c>
      <c r="BD360" s="24" t="inlineStr">
        <is>
          <t>3ab056fefe04713e3c294da76c8adb2866b0dc46556ed32322a0426dd344a0e4</t>
        </is>
      </c>
      <c r="BE360" s="24" t="inlineStr">
        <is>
          <t>tennis-surface-elo-v1</t>
        </is>
      </c>
      <c r="BF360" s="24" t="inlineStr">
        <is>
          <t>1</t>
        </is>
      </c>
      <c r="BG360" s="24" t="inlineStr">
        <is>
          <t>3ab056fefe04713e3c294da76c8adb2866b0dc46556ed32322a0426dd344a0e4</t>
        </is>
      </c>
      <c r="BH360" s="24" t="inlineStr">
        <is>
          <t>2026-08-16T17:43:00.437999Z</t>
        </is>
      </c>
      <c r="BI360" s="24" t="inlineStr">
        <is>
          <t>["same_event","same_team_same_day","same_league_same_day"]</t>
        </is>
      </c>
      <c r="BJ360" s="25" t="n"/>
      <c r="BK360" s="26" t="n">
        <v>-170</v>
      </c>
      <c r="BL360" s="27" t="n">
        <v>1.588235</v>
      </c>
      <c r="BM360" s="28" t="n">
        <v>0.62963</v>
      </c>
      <c r="BN360" s="28" t="n"/>
      <c r="BO360" s="28" t="n"/>
      <c r="BP360" s="25" t="n"/>
      <c r="BQ360" s="27" t="n">
        <v>1.588235</v>
      </c>
      <c r="BR360" s="28" t="n">
        <v>0.63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0.62963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ba465cf91c674a89</t>
        </is>
      </c>
      <c r="B361" s="24" t="inlineStr">
        <is>
          <t>2026-08-16T17:44:11.146468Z</t>
        </is>
      </c>
      <c r="C361" s="24" t="inlineStr">
        <is>
          <t>2026-08-16T19:30Z</t>
        </is>
      </c>
      <c r="D361" s="24" t="inlineStr">
        <is>
          <t>718-2026:181928</t>
        </is>
      </c>
      <c r="E361" s="24" t="inlineStr">
        <is>
          <t>TENNIS</t>
        </is>
      </c>
      <c r="F361" s="24" t="inlineStr">
        <is>
          <t>Sebastian Baez</t>
        </is>
      </c>
      <c r="G361" s="24" t="inlineStr">
        <is>
          <t>Learner Tien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-300</v>
      </c>
      <c r="M361" s="27" t="n">
        <v>1.333333</v>
      </c>
      <c r="N361" s="28" t="n">
        <v>0.75</v>
      </c>
      <c r="O361" s="28" t="n">
        <v>0.729302</v>
      </c>
      <c r="P361" s="28" t="n">
        <v>0.05</v>
      </c>
      <c r="Q361" s="28" t="n">
        <v>-0.020698</v>
      </c>
      <c r="R361" s="26" t="n">
        <v>10</v>
      </c>
      <c r="S361" s="29" t="n">
        <v>2</v>
      </c>
      <c r="T361" s="24" t="inlineStr">
        <is>
          <t>tennis-surface-elo-v1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1</v>
      </c>
      <c r="Y361" s="25" t="n"/>
      <c r="Z361" s="26" t="n">
        <v>-300</v>
      </c>
      <c r="AA361" s="28" t="n">
        <v>0.75</v>
      </c>
      <c r="AB361" s="28" t="n">
        <v>0</v>
      </c>
      <c r="AC361" s="30" t="n">
        <v>0.6667</v>
      </c>
      <c r="AD361" s="24" t="inlineStr">
        <is>
          <t>2026-08-17T05:26:33.424132Z</t>
        </is>
      </c>
      <c r="AE361" s="31" t="inlineStr">
        <is>
          <t>Surface-blended Elo on Hard: Sebastian Baez p=0.271 vs Learner Tien. Executable ask 0.7500 (aec-atp-leatie-sebbae-2026-08-15).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3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Sebastian Baez</t>
        </is>
      </c>
      <c r="AQ361" s="24" t="inlineStr">
        <is>
          <t>Sebastian Baez</t>
        </is>
      </c>
      <c r="AR361" s="24" t="inlineStr">
        <is>
          <t>Sebastian Baez</t>
        </is>
      </c>
      <c r="AS361" s="24" t="inlineStr">
        <is>
          <t>Learner Tien</t>
        </is>
      </c>
      <c r="AT361" s="24" t="inlineStr">
        <is>
          <t>Learner Tien</t>
        </is>
      </c>
      <c r="AU361" s="24" t="inlineStr">
        <is>
          <t>Learner Tien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3ab056fefe04713e3c294da76c8adb2866b0dc46556ed32322a0426dd344a0e4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3ab056fefe04713e3c294da76c8adb2866b0dc46556ed32322a0426dd344a0e4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3ab056fefe04713e3c294da76c8adb2866b0dc46556ed32322a0426dd344a0e4</t>
        </is>
      </c>
      <c r="BH361" s="24" t="inlineStr">
        <is>
          <t>2026-08-16T17:43:04.637317Z</t>
        </is>
      </c>
      <c r="BI361" s="24" t="inlineStr">
        <is>
          <t>["same_event","same_team_same_day","same_league_same_day"]</t>
        </is>
      </c>
      <c r="BJ361" s="25" t="n"/>
      <c r="BK361" s="26" t="n">
        <v>-300</v>
      </c>
      <c r="BL361" s="27" t="n">
        <v>1.333333</v>
      </c>
      <c r="BM361" s="28" t="n">
        <v>0.75</v>
      </c>
      <c r="BN361" s="28" t="n"/>
      <c r="BO361" s="28" t="n"/>
      <c r="BP361" s="25" t="n"/>
      <c r="BQ361" s="27" t="n">
        <v>1.333333</v>
      </c>
      <c r="BR361" s="28" t="n">
        <v>0.75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0.75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92441326a2664b87</t>
        </is>
      </c>
      <c r="B362" s="24" t="inlineStr">
        <is>
          <t>2026-08-16T17:44:11.146468Z</t>
        </is>
      </c>
      <c r="C362" s="24" t="inlineStr">
        <is>
          <t>2026-08-16T19:30Z</t>
        </is>
      </c>
      <c r="D362" s="24" t="inlineStr">
        <is>
          <t>718-2026:181931</t>
        </is>
      </c>
      <c r="E362" s="24" t="inlineStr">
        <is>
          <t>TENNIS</t>
        </is>
      </c>
      <c r="F362" s="24" t="inlineStr">
        <is>
          <t>Zizou Bergs</t>
        </is>
      </c>
      <c r="G362" s="24" t="inlineStr">
        <is>
          <t>Daniel Merida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-117</v>
      </c>
      <c r="M362" s="27" t="n">
        <v>1.854701</v>
      </c>
      <c r="N362" s="28" t="n">
        <v>0.539171</v>
      </c>
      <c r="O362" s="28" t="n">
        <v>0.5985009999999999</v>
      </c>
      <c r="P362" s="28" t="n">
        <v>0.05</v>
      </c>
      <c r="Q362" s="28" t="n">
        <v>0.05933</v>
      </c>
      <c r="R362" s="26" t="n">
        <v>50</v>
      </c>
      <c r="S362" s="29" t="n">
        <v>1.25</v>
      </c>
      <c r="T362" s="24" t="inlineStr">
        <is>
          <t>tennis-surface-elo-v1</t>
        </is>
      </c>
      <c r="U362" s="24" t="inlineStr">
        <is>
          <t>settled</t>
        </is>
      </c>
      <c r="V362" s="24" t="inlineStr">
        <is>
          <t>win</t>
        </is>
      </c>
      <c r="W362" s="26" t="n">
        <v>0</v>
      </c>
      <c r="X362" s="26" t="n">
        <v>1</v>
      </c>
      <c r="Y362" s="25" t="n"/>
      <c r="Z362" s="26" t="n">
        <v>-117</v>
      </c>
      <c r="AA362" s="28" t="n">
        <v>0.54</v>
      </c>
      <c r="AB362" s="28" t="n">
        <v>0.000829</v>
      </c>
      <c r="AC362" s="30" t="n">
        <v>1.0684</v>
      </c>
      <c r="AD362" s="24" t="inlineStr">
        <is>
          <t>2026-08-17T05:26:36.966547Z</t>
        </is>
      </c>
      <c r="AE362" s="31" t="inlineStr">
        <is>
          <t>Surface-blended Elo on Hard: Zizou Bergs p=0.401 vs Daniel Merida. Executable ask 0.5400 (aec-atp-danagu-zizber-2026-08-16).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model_qualified</t>
        </is>
      </c>
      <c r="AL362" s="26" t="n">
        <v>3</v>
      </c>
      <c r="AM362" s="24" t="inlineStr">
        <is>
          <t>QUALIFIED_SHADOW_CALL</t>
        </is>
      </c>
      <c r="AN362" s="24" t="inlineStr">
        <is>
          <t>CALL</t>
        </is>
      </c>
      <c r="AO362" s="24" t="inlineStr">
        <is>
          <t>QUALIFIED</t>
        </is>
      </c>
      <c r="AP362" s="24" t="inlineStr">
        <is>
          <t>Zizou Bergs</t>
        </is>
      </c>
      <c r="AQ362" s="24" t="inlineStr">
        <is>
          <t>Zizou Bergs</t>
        </is>
      </c>
      <c r="AR362" s="24" t="inlineStr">
        <is>
          <t>Zizou Bergs</t>
        </is>
      </c>
      <c r="AS362" s="24" t="inlineStr">
        <is>
          <t>Daniel Merida</t>
        </is>
      </c>
      <c r="AT362" s="24" t="inlineStr">
        <is>
          <t>Daniel Merida</t>
        </is>
      </c>
      <c r="AU362" s="24" t="inlineStr">
        <is>
          <t>Daniel Merida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3ab056fefe04713e3c294da76c8adb2866b0dc46556ed32322a0426dd344a0e4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3ab056fefe04713e3c294da76c8adb2866b0dc46556ed32322a0426dd344a0e4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3ab056fefe04713e3c294da76c8adb2866b0dc46556ed32322a0426dd344a0e4</t>
        </is>
      </c>
      <c r="BH362" s="24" t="inlineStr">
        <is>
          <t>2026-08-16T17:43:04.084353Z</t>
        </is>
      </c>
      <c r="BI362" s="24" t="inlineStr">
        <is>
          <t>["same_event","same_team_same_day","same_league_same_day"]</t>
        </is>
      </c>
      <c r="BJ362" s="25" t="n"/>
      <c r="BK362" s="26" t="n">
        <v>-117</v>
      </c>
      <c r="BL362" s="27" t="n">
        <v>1.854701</v>
      </c>
      <c r="BM362" s="28" t="n">
        <v>0.539171</v>
      </c>
      <c r="BN362" s="28" t="n"/>
      <c r="BO362" s="28" t="n"/>
      <c r="BP362" s="25" t="n"/>
      <c r="BQ362" s="27" t="n">
        <v>1.854701</v>
      </c>
      <c r="BR362" s="28" t="n">
        <v>0.54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0.539171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ecff791dc5544cba</t>
        </is>
      </c>
      <c r="B363" s="24" t="inlineStr">
        <is>
          <t>2026-08-16T17:44:11.146468Z</t>
        </is>
      </c>
      <c r="C363" s="24" t="inlineStr">
        <is>
          <t>2026-08-16T23:00Z</t>
        </is>
      </c>
      <c r="D363" s="24" t="inlineStr">
        <is>
          <t>718-2026:181903</t>
        </is>
      </c>
      <c r="E363" s="24" t="inlineStr">
        <is>
          <t>TENNIS</t>
        </is>
      </c>
      <c r="F363" s="24" t="inlineStr">
        <is>
          <t>Jaime Faria</t>
        </is>
      </c>
      <c r="G363" s="24" t="inlineStr">
        <is>
          <t>Ben Shelton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-488</v>
      </c>
      <c r="M363" s="27" t="n">
        <v>1.204918</v>
      </c>
      <c r="N363" s="28" t="n">
        <v>0.829932</v>
      </c>
      <c r="O363" s="28" t="n">
        <v>0.81681</v>
      </c>
      <c r="P363" s="28" t="n">
        <v>0.05</v>
      </c>
      <c r="Q363" s="28" t="n">
        <v>-0.013122</v>
      </c>
      <c r="R363" s="26" t="n">
        <v>13</v>
      </c>
      <c r="S363" s="29" t="n">
        <v>2</v>
      </c>
      <c r="T363" s="24" t="inlineStr">
        <is>
          <t>tennis-surface-elo-v1</t>
        </is>
      </c>
      <c r="U363" s="24" t="inlineStr">
        <is>
          <t>settled</t>
        </is>
      </c>
      <c r="V363" s="24" t="inlineStr">
        <is>
          <t>loss</t>
        </is>
      </c>
      <c r="W363" s="26" t="n">
        <v>1</v>
      </c>
      <c r="X363" s="26" t="n">
        <v>0</v>
      </c>
      <c r="Y363" s="25" t="n"/>
      <c r="Z363" s="26" t="n">
        <v>-488</v>
      </c>
      <c r="AA363" s="28" t="n">
        <v>0.83</v>
      </c>
      <c r="AB363" s="28" t="n">
        <v>6.8e-05</v>
      </c>
      <c r="AC363" s="30" t="n">
        <v>-2</v>
      </c>
      <c r="AD363" s="24" t="inlineStr">
        <is>
          <t>2026-08-17T05:26:40.100628Z</t>
        </is>
      </c>
      <c r="AE363" s="31" t="inlineStr">
        <is>
          <t>Surface-blended Elo on Hard: Jaime Faria p=0.183 vs Ben Shelton. Executable ask 0.8300 (aec-atp-benshe-jaifar-2026-08-16).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review_required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3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Jaime Faria</t>
        </is>
      </c>
      <c r="AQ363" s="24" t="inlineStr">
        <is>
          <t>Jaime Faria</t>
        </is>
      </c>
      <c r="AR363" s="24" t="inlineStr">
        <is>
          <t>Jaime Faria</t>
        </is>
      </c>
      <c r="AS363" s="24" t="inlineStr">
        <is>
          <t>Ben Shelton</t>
        </is>
      </c>
      <c r="AT363" s="24" t="inlineStr">
        <is>
          <t>Ben Shelton</t>
        </is>
      </c>
      <c r="AU363" s="24" t="inlineStr">
        <is>
          <t>Ben Shelton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3ab056fefe04713e3c294da76c8adb2866b0dc46556ed32322a0426dd344a0e4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3ab056fefe04713e3c294da76c8adb2866b0dc46556ed32322a0426dd344a0e4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3ab056fefe04713e3c294da76c8adb2866b0dc46556ed32322a0426dd344a0e4</t>
        </is>
      </c>
      <c r="BH363" s="24" t="inlineStr">
        <is>
          <t>2026-08-16T17:43:06.634346Z</t>
        </is>
      </c>
      <c r="BI363" s="24" t="inlineStr">
        <is>
          <t>["same_event","same_team_same_day","same_league_same_day"]</t>
        </is>
      </c>
      <c r="BJ363" s="25" t="n"/>
      <c r="BK363" s="26" t="n">
        <v>-488</v>
      </c>
      <c r="BL363" s="27" t="n">
        <v>1.204918</v>
      </c>
      <c r="BM363" s="28" t="n">
        <v>0.829932</v>
      </c>
      <c r="BN363" s="28" t="n"/>
      <c r="BO363" s="28" t="n"/>
      <c r="BP363" s="25" t="n"/>
      <c r="BQ363" s="27" t="n">
        <v>1.204918</v>
      </c>
      <c r="BR363" s="28" t="n">
        <v>0.83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0.829932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44bad228bdf54e40</t>
        </is>
      </c>
      <c r="B364" s="24" t="inlineStr">
        <is>
          <t>2026-08-16T17:44:11.146468Z</t>
        </is>
      </c>
      <c r="C364" s="24" t="inlineStr">
        <is>
          <t>2026-08-17T00:30Z</t>
        </is>
      </c>
      <c r="D364" s="24" t="inlineStr">
        <is>
          <t>718-2026:181936</t>
        </is>
      </c>
      <c r="E364" s="24" t="inlineStr">
        <is>
          <t>TENNIS</t>
        </is>
      </c>
      <c r="F364" s="24" t="inlineStr">
        <is>
          <t>Frances Tiafoe</t>
        </is>
      </c>
      <c r="G364" s="24" t="inlineStr">
        <is>
          <t>Lorenzo Sonego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-163</v>
      </c>
      <c r="M364" s="27" t="n">
        <v>1.613497</v>
      </c>
      <c r="N364" s="28" t="n">
        <v>0.619772</v>
      </c>
      <c r="O364" s="28" t="n">
        <v>0.7210839999999999</v>
      </c>
      <c r="P364" s="28" t="n">
        <v>0.05</v>
      </c>
      <c r="Q364" s="28" t="n">
        <v>0.101312</v>
      </c>
      <c r="R364" s="26" t="n">
        <v>71</v>
      </c>
      <c r="S364" s="29" t="n">
        <v>2</v>
      </c>
      <c r="T364" s="24" t="inlineStr">
        <is>
          <t>tennis-surface-elo-v1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0</v>
      </c>
      <c r="Y364" s="25" t="n"/>
      <c r="Z364" s="26" t="n">
        <v>-163</v>
      </c>
      <c r="AA364" s="28" t="n">
        <v>0.62</v>
      </c>
      <c r="AB364" s="28" t="n">
        <v>0.000228</v>
      </c>
      <c r="AC364" s="30" t="n">
        <v>1.227</v>
      </c>
      <c r="AD364" s="24" t="inlineStr">
        <is>
          <t>2026-08-17T05:26:43.854569Z</t>
        </is>
      </c>
      <c r="AE364" s="31" t="inlineStr">
        <is>
          <t>Surface-blended Elo on Hard: Frances Tiafoe p=0.721 vs Lorenzo Sonego. Executable ask 0.6200 (aec-atp-lorson-fratia-2026-08-15).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3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Frances Tiafoe</t>
        </is>
      </c>
      <c r="AQ364" s="24" t="inlineStr">
        <is>
          <t>Frances Tiafoe</t>
        </is>
      </c>
      <c r="AR364" s="24" t="inlineStr">
        <is>
          <t>Frances Tiafoe</t>
        </is>
      </c>
      <c r="AS364" s="24" t="inlineStr">
        <is>
          <t>Lorenzo Sonego</t>
        </is>
      </c>
      <c r="AT364" s="24" t="inlineStr">
        <is>
          <t>Lorenzo Sonego</t>
        </is>
      </c>
      <c r="AU364" s="24" t="inlineStr">
        <is>
          <t>Lorenzo Sonego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3ab056fefe04713e3c294da76c8adb2866b0dc46556ed32322a0426dd344a0e4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3ab056fefe04713e3c294da76c8adb2866b0dc46556ed32322a0426dd344a0e4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3ab056fefe04713e3c294da76c8adb2866b0dc46556ed32322a0426dd344a0e4</t>
        </is>
      </c>
      <c r="BH364" s="24" t="inlineStr">
        <is>
          <t>2026-08-16T17:43:07.722272Z</t>
        </is>
      </c>
      <c r="BI364" s="24" t="inlineStr">
        <is>
          <t>["same_event","same_team_same_day","same_league_same_day"]</t>
        </is>
      </c>
      <c r="BJ364" s="25" t="n"/>
      <c r="BK364" s="26" t="n">
        <v>-163</v>
      </c>
      <c r="BL364" s="27" t="n">
        <v>1.613497</v>
      </c>
      <c r="BM364" s="28" t="n">
        <v>0.619772</v>
      </c>
      <c r="BN364" s="28" t="n"/>
      <c r="BO364" s="28" t="n"/>
      <c r="BP364" s="25" t="n"/>
      <c r="BQ364" s="27" t="n">
        <v>1.613497</v>
      </c>
      <c r="BR364" s="28" t="n">
        <v>0.62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0.619772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b48f50be48db408d</t>
        </is>
      </c>
      <c r="B365" s="24" t="inlineStr">
        <is>
          <t>2026-08-17T08:39:31.988406Z</t>
        </is>
      </c>
      <c r="C365" s="24" t="inlineStr">
        <is>
          <t>2026-08-17T15:00Z</t>
        </is>
      </c>
      <c r="D365" s="24" t="inlineStr">
        <is>
          <t>718-2026:182333</t>
        </is>
      </c>
      <c r="E365" s="24" t="inlineStr">
        <is>
          <t>TENNIS</t>
        </is>
      </c>
      <c r="F365" s="24" t="inlineStr">
        <is>
          <t>Lois Boisson</t>
        </is>
      </c>
      <c r="G365" s="24" t="inlineStr">
        <is>
          <t>Diane Parry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104</v>
      </c>
      <c r="M365" s="27" t="n">
        <v>2.04</v>
      </c>
      <c r="N365" s="28" t="n">
        <v>0.490196</v>
      </c>
      <c r="O365" s="28" t="n">
        <v>0.521275</v>
      </c>
      <c r="P365" s="28" t="n">
        <v>0.05</v>
      </c>
      <c r="Q365" s="28" t="n">
        <v>0.031079</v>
      </c>
      <c r="R365" s="26" t="n">
        <v>36</v>
      </c>
      <c r="S365" s="29" t="n">
        <v>1</v>
      </c>
      <c r="T365" s="24" t="inlineStr">
        <is>
          <t>tennis-surface-elo-v1</t>
        </is>
      </c>
      <c r="U365" s="24" t="inlineStr">
        <is>
          <t>settled</t>
        </is>
      </c>
      <c r="V365" s="24" t="inlineStr">
        <is>
          <t>win</t>
        </is>
      </c>
      <c r="W365" s="26" t="n">
        <v>0</v>
      </c>
      <c r="X365" s="26" t="n">
        <v>1</v>
      </c>
      <c r="Y365" s="25" t="n"/>
      <c r="Z365" s="26" t="n">
        <v>104</v>
      </c>
      <c r="AA365" s="28" t="n">
        <v>0.49</v>
      </c>
      <c r="AB365" s="28" t="n">
        <v>-0.000196</v>
      </c>
      <c r="AC365" s="30" t="n">
        <v>1.04</v>
      </c>
      <c r="AD365" s="24" t="inlineStr">
        <is>
          <t>2026-08-18T15:11:36.589726Z</t>
        </is>
      </c>
      <c r="AE365" s="31" t="inlineStr">
        <is>
          <t>Surface-blended Elo on Hard: Lois Boisson p=0.479 vs Diane Parry. Executable ask 0.4900 (aec-wta-diapar-loiboi-2026-08-17).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3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Lois Boisson</t>
        </is>
      </c>
      <c r="AQ365" s="24" t="inlineStr">
        <is>
          <t>Lois Boisson</t>
        </is>
      </c>
      <c r="AR365" s="24" t="inlineStr">
        <is>
          <t>Lois Boisson</t>
        </is>
      </c>
      <c r="AS365" s="24" t="inlineStr">
        <is>
          <t>Diane Parry</t>
        </is>
      </c>
      <c r="AT365" s="24" t="inlineStr">
        <is>
          <t>Diane Parry</t>
        </is>
      </c>
      <c r="AU365" s="24" t="inlineStr">
        <is>
          <t>Diane Parry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3ab056fefe04713e3c294da76c8adb2866b0dc46556ed32322a0426dd344a0e4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3ab056fefe04713e3c294da76c8adb2866b0dc46556ed32322a0426dd344a0e4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3ab056fefe04713e3c294da76c8adb2866b0dc46556ed32322a0426dd344a0e4</t>
        </is>
      </c>
      <c r="BH365" s="24" t="inlineStr">
        <is>
          <t>2026-08-17T08:38:17.341626Z</t>
        </is>
      </c>
      <c r="BI365" s="24" t="inlineStr">
        <is>
          <t>["same_event","same_team_same_day","same_league_same_day"]</t>
        </is>
      </c>
      <c r="BJ365" s="25" t="n"/>
      <c r="BK365" s="26" t="n">
        <v>104</v>
      </c>
      <c r="BL365" s="27" t="n">
        <v>2.04</v>
      </c>
      <c r="BM365" s="28" t="n">
        <v>0.490196</v>
      </c>
      <c r="BN365" s="28" t="n"/>
      <c r="BO365" s="28" t="n"/>
      <c r="BP365" s="25" t="n"/>
      <c r="BQ365" s="27" t="n">
        <v>2.04</v>
      </c>
      <c r="BR365" s="28" t="n">
        <v>0.49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0.490196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1489bdc3d3064797</t>
        </is>
      </c>
      <c r="B366" s="24" t="inlineStr">
        <is>
          <t>2026-08-17T08:39:31.988406Z</t>
        </is>
      </c>
      <c r="C366" s="24" t="inlineStr">
        <is>
          <t>2026-08-17T15:00Z</t>
        </is>
      </c>
      <c r="D366" s="24" t="inlineStr">
        <is>
          <t>718-2026:182335</t>
        </is>
      </c>
      <c r="E366" s="24" t="inlineStr">
        <is>
          <t>TENNIS</t>
        </is>
      </c>
      <c r="F366" s="24" t="inlineStr">
        <is>
          <t>Maria Sakkari</t>
        </is>
      </c>
      <c r="G366" s="24" t="inlineStr">
        <is>
          <t>Iga Swiatek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-669</v>
      </c>
      <c r="M366" s="27" t="n">
        <v>1.149477</v>
      </c>
      <c r="N366" s="28" t="n">
        <v>0.869961</v>
      </c>
      <c r="O366" s="28" t="n">
        <v>0.7872670000000001</v>
      </c>
      <c r="P366" s="28" t="n">
        <v>0.05</v>
      </c>
      <c r="Q366" s="28" t="n">
        <v>-0.082694</v>
      </c>
      <c r="R366" s="26" t="n">
        <v>0</v>
      </c>
      <c r="S366" s="29" t="n">
        <v>2</v>
      </c>
      <c r="T366" s="24" t="inlineStr">
        <is>
          <t>tennis-surface-elo-v1</t>
        </is>
      </c>
      <c r="U366" s="24" t="inlineStr">
        <is>
          <t>settled</t>
        </is>
      </c>
      <c r="V366" s="24" t="inlineStr">
        <is>
          <t>win</t>
        </is>
      </c>
      <c r="W366" s="26" t="n">
        <v>0</v>
      </c>
      <c r="X366" s="26" t="n">
        <v>1</v>
      </c>
      <c r="Y366" s="25" t="n"/>
      <c r="Z366" s="26" t="n">
        <v>-669</v>
      </c>
      <c r="AA366" s="28" t="n">
        <v>0.87</v>
      </c>
      <c r="AB366" s="28" t="n">
        <v>3.9e-05</v>
      </c>
      <c r="AC366" s="30" t="n">
        <v>0.299</v>
      </c>
      <c r="AD366" s="24" t="inlineStr">
        <is>
          <t>2026-08-18T15:11:38.466157Z</t>
        </is>
      </c>
      <c r="AE366" s="31" t="inlineStr">
        <is>
          <t>Surface-blended Elo on Hard: Maria Sakkari p=0.213 vs Iga Swiatek. Executable ask 0.8700 (aec-wta-igaswi-marsak-2026-08-17).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3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Maria Sakkari</t>
        </is>
      </c>
      <c r="AQ366" s="24" t="inlineStr">
        <is>
          <t>Maria Sakkari</t>
        </is>
      </c>
      <c r="AR366" s="24" t="inlineStr">
        <is>
          <t>Maria Sakkari</t>
        </is>
      </c>
      <c r="AS366" s="24" t="inlineStr">
        <is>
          <t>Iga Swiatek</t>
        </is>
      </c>
      <c r="AT366" s="24" t="inlineStr">
        <is>
          <t>Iga Swiatek</t>
        </is>
      </c>
      <c r="AU366" s="24" t="inlineStr">
        <is>
          <t>Iga Swiatek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3ab056fefe04713e3c294da76c8adb2866b0dc46556ed32322a0426dd344a0e4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3ab056fefe04713e3c294da76c8adb2866b0dc46556ed32322a0426dd344a0e4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3ab056fefe04713e3c294da76c8adb2866b0dc46556ed32322a0426dd344a0e4</t>
        </is>
      </c>
      <c r="BH366" s="24" t="inlineStr">
        <is>
          <t>2026-08-17T08:38:16.488205Z</t>
        </is>
      </c>
      <c r="BI366" s="24" t="inlineStr">
        <is>
          <t>["same_event","same_team_same_day","same_league_same_day"]</t>
        </is>
      </c>
      <c r="BJ366" s="25" t="n"/>
      <c r="BK366" s="26" t="n">
        <v>-669</v>
      </c>
      <c r="BL366" s="27" t="n">
        <v>1.149477</v>
      </c>
      <c r="BM366" s="28" t="n">
        <v>0.869961</v>
      </c>
      <c r="BN366" s="28" t="n"/>
      <c r="BO366" s="28" t="n"/>
      <c r="BP366" s="25" t="n"/>
      <c r="BQ366" s="27" t="n">
        <v>1.149477</v>
      </c>
      <c r="BR366" s="28" t="n">
        <v>0.87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False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0.869961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5c208a8447ba439f</t>
        </is>
      </c>
      <c r="B367" s="24" t="inlineStr">
        <is>
          <t>2026-08-17T08:39:31.988406Z</t>
        </is>
      </c>
      <c r="C367" s="24" t="inlineStr">
        <is>
          <t>2026-08-17T16:30Z</t>
        </is>
      </c>
      <c r="D367" s="24" t="inlineStr">
        <is>
          <t>718-2026:182329</t>
        </is>
      </c>
      <c r="E367" s="24" t="inlineStr">
        <is>
          <t>TENNIS</t>
        </is>
      </c>
      <c r="F367" s="24" t="inlineStr">
        <is>
          <t>Maja Chwalinska</t>
        </is>
      </c>
      <c r="G367" s="24" t="inlineStr">
        <is>
          <t>Diana Shnaider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-335</v>
      </c>
      <c r="M367" s="27" t="n">
        <v>1.298507</v>
      </c>
      <c r="N367" s="28" t="n">
        <v>0.770115</v>
      </c>
      <c r="O367" s="28" t="n">
        <v>0.577786</v>
      </c>
      <c r="P367" s="28" t="n">
        <v>0.05</v>
      </c>
      <c r="Q367" s="28" t="n">
        <v>-0.192329</v>
      </c>
      <c r="R367" s="26" t="n">
        <v>0</v>
      </c>
      <c r="S367" s="29" t="n">
        <v>1.25</v>
      </c>
      <c r="T367" s="24" t="inlineStr">
        <is>
          <t>tennis-surface-elo-v1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1</v>
      </c>
      <c r="Y367" s="25" t="n"/>
      <c r="Z367" s="26" t="n">
        <v>-335</v>
      </c>
      <c r="AA367" s="28" t="n">
        <v>0.77</v>
      </c>
      <c r="AB367" s="28" t="n">
        <v>-0.000115</v>
      </c>
      <c r="AC367" s="30" t="n">
        <v>0.3731</v>
      </c>
      <c r="AD367" s="24" t="inlineStr">
        <is>
          <t>2026-08-18T15:11:40.363117Z</t>
        </is>
      </c>
      <c r="AE367" s="31" t="inlineStr">
        <is>
          <t>Surface-blended Elo on Hard: Maja Chwalinska p=0.422 vs Diana Shnaider. Executable ask 0.7700 (aec-wta-diashn-majchw-2026-08-17).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3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Maja Chwalinska</t>
        </is>
      </c>
      <c r="AQ367" s="24" t="inlineStr">
        <is>
          <t>Maja Chwalinska</t>
        </is>
      </c>
      <c r="AR367" s="24" t="inlineStr">
        <is>
          <t>Maja Chwalinska</t>
        </is>
      </c>
      <c r="AS367" s="24" t="inlineStr">
        <is>
          <t>Diana Shnaider</t>
        </is>
      </c>
      <c r="AT367" s="24" t="inlineStr">
        <is>
          <t>Diana Shnaider</t>
        </is>
      </c>
      <c r="AU367" s="24" t="inlineStr">
        <is>
          <t>Diana Shnaider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3ab056fefe04713e3c294da76c8adb2866b0dc46556ed32322a0426dd344a0e4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3ab056fefe04713e3c294da76c8adb2866b0dc46556ed32322a0426dd344a0e4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3ab056fefe04713e3c294da76c8adb2866b0dc46556ed32322a0426dd344a0e4</t>
        </is>
      </c>
      <c r="BH367" s="24" t="inlineStr">
        <is>
          <t>2026-08-17T08:38:20.017033Z</t>
        </is>
      </c>
      <c r="BI367" s="24" t="inlineStr">
        <is>
          <t>["same_event","same_team_same_day","same_league_same_day"]</t>
        </is>
      </c>
      <c r="BJ367" s="25" t="n"/>
      <c r="BK367" s="26" t="n">
        <v>-335</v>
      </c>
      <c r="BL367" s="27" t="n">
        <v>1.298507</v>
      </c>
      <c r="BM367" s="28" t="n">
        <v>0.770115</v>
      </c>
      <c r="BN367" s="28" t="n"/>
      <c r="BO367" s="28" t="n"/>
      <c r="BP367" s="25" t="n"/>
      <c r="BQ367" s="27" t="n">
        <v>1.298507</v>
      </c>
      <c r="BR367" s="28" t="n">
        <v>0.77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0.770115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f4ccfed22d144303</t>
        </is>
      </c>
      <c r="B368" s="24" t="inlineStr">
        <is>
          <t>2026-08-17T08:39:31.988406Z</t>
        </is>
      </c>
      <c r="C368" s="24" t="inlineStr">
        <is>
          <t>2026-08-17T16:30Z</t>
        </is>
      </c>
      <c r="D368" s="24" t="inlineStr">
        <is>
          <t>718-2026:182332</t>
        </is>
      </c>
      <c r="E368" s="24" t="inlineStr">
        <is>
          <t>TENNIS</t>
        </is>
      </c>
      <c r="F368" s="24" t="inlineStr">
        <is>
          <t>Elena Rybakina</t>
        </is>
      </c>
      <c r="G368" s="24" t="inlineStr">
        <is>
          <t>Magdalena Frech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-669</v>
      </c>
      <c r="M368" s="27" t="n">
        <v>1.149477</v>
      </c>
      <c r="N368" s="28" t="n">
        <v>0.869961</v>
      </c>
      <c r="O368" s="28" t="n">
        <v>0.911857</v>
      </c>
      <c r="P368" s="28" t="n">
        <v>0.05</v>
      </c>
      <c r="Q368" s="28" t="n">
        <v>0.041896</v>
      </c>
      <c r="R368" s="26" t="n">
        <v>41</v>
      </c>
      <c r="S368" s="29" t="n">
        <v>2</v>
      </c>
      <c r="T368" s="24" t="inlineStr">
        <is>
          <t>tennis-surface-elo-v1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0</v>
      </c>
      <c r="Y368" s="25" t="n"/>
      <c r="Z368" s="26" t="n">
        <v>-669</v>
      </c>
      <c r="AA368" s="28" t="n">
        <v>0.87</v>
      </c>
      <c r="AB368" s="28" t="n">
        <v>3.9e-05</v>
      </c>
      <c r="AC368" s="30" t="n">
        <v>0.299</v>
      </c>
      <c r="AD368" s="24" t="inlineStr">
        <is>
          <t>2026-08-18T15:11:42.245246Z</t>
        </is>
      </c>
      <c r="AE368" s="31" t="inlineStr">
        <is>
          <t>Surface-blended Elo on Hard: Elena Rybakina p=0.912 vs Magdalena Frech. Executable ask 0.8700 (aec-wta-magfre-eleryb-2026-08-17).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3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Elena Rybakina</t>
        </is>
      </c>
      <c r="AQ368" s="24" t="inlineStr">
        <is>
          <t>Elena Rybakina</t>
        </is>
      </c>
      <c r="AR368" s="24" t="inlineStr">
        <is>
          <t>Elena Rybakina</t>
        </is>
      </c>
      <c r="AS368" s="24" t="inlineStr">
        <is>
          <t>Magdalena Frech</t>
        </is>
      </c>
      <c r="AT368" s="24" t="inlineStr">
        <is>
          <t>Magdalena Frech</t>
        </is>
      </c>
      <c r="AU368" s="24" t="inlineStr">
        <is>
          <t>Magdalena Frech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3ab056fefe04713e3c294da76c8adb2866b0dc46556ed32322a0426dd344a0e4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3ab056fefe04713e3c294da76c8adb2866b0dc46556ed32322a0426dd344a0e4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3ab056fefe04713e3c294da76c8adb2866b0dc46556ed32322a0426dd344a0e4</t>
        </is>
      </c>
      <c r="BH368" s="24" t="inlineStr">
        <is>
          <t>2026-08-17T08:38:19.035594Z</t>
        </is>
      </c>
      <c r="BI368" s="24" t="inlineStr">
        <is>
          <t>["same_event","same_team_same_day","same_league_same_day"]</t>
        </is>
      </c>
      <c r="BJ368" s="25" t="n"/>
      <c r="BK368" s="26" t="n">
        <v>-669</v>
      </c>
      <c r="BL368" s="27" t="n">
        <v>1.149477</v>
      </c>
      <c r="BM368" s="28" t="n">
        <v>0.869961</v>
      </c>
      <c r="BN368" s="28" t="n"/>
      <c r="BO368" s="28" t="n"/>
      <c r="BP368" s="25" t="n"/>
      <c r="BQ368" s="27" t="n">
        <v>1.149477</v>
      </c>
      <c r="BR368" s="28" t="n">
        <v>0.87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0.869961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6b489e9742f0455e</t>
        </is>
      </c>
      <c r="B369" s="24" t="inlineStr">
        <is>
          <t>2026-08-17T08:39:31.988406Z</t>
        </is>
      </c>
      <c r="C369" s="24" t="inlineStr">
        <is>
          <t>2026-08-17T16:30Z</t>
        </is>
      </c>
      <c r="D369" s="24" t="inlineStr">
        <is>
          <t>718-2026:182371</t>
        </is>
      </c>
      <c r="E369" s="24" t="inlineStr">
        <is>
          <t>TENNIS</t>
        </is>
      </c>
      <c r="F369" s="24" t="inlineStr">
        <is>
          <t>Anna Kalinskaya</t>
        </is>
      </c>
      <c r="G369" s="24" t="inlineStr">
        <is>
          <t>Sorana Cirstea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-104</v>
      </c>
      <c r="M369" s="27" t="n">
        <v>1.961538</v>
      </c>
      <c r="N369" s="28" t="n">
        <v>0.509804</v>
      </c>
      <c r="O369" s="28" t="n">
        <v>0.565212</v>
      </c>
      <c r="P369" s="28" t="n">
        <v>0.05</v>
      </c>
      <c r="Q369" s="28" t="n">
        <v>0.055408</v>
      </c>
      <c r="R369" s="26" t="n">
        <v>48</v>
      </c>
      <c r="S369" s="29" t="n">
        <v>1</v>
      </c>
      <c r="T369" s="24" t="inlineStr">
        <is>
          <t>tennis-surface-elo-v1</t>
        </is>
      </c>
      <c r="U369" s="24" t="inlineStr">
        <is>
          <t>settled</t>
        </is>
      </c>
      <c r="V369" s="24" t="inlineStr">
        <is>
          <t>win</t>
        </is>
      </c>
      <c r="W369" s="26" t="n">
        <v>0</v>
      </c>
      <c r="X369" s="26" t="n">
        <v>1</v>
      </c>
      <c r="Y369" s="25" t="n"/>
      <c r="Z369" s="26" t="n">
        <v>-104</v>
      </c>
      <c r="AA369" s="28" t="n">
        <v>0.51</v>
      </c>
      <c r="AB369" s="28" t="n">
        <v>0.000196</v>
      </c>
      <c r="AC369" s="30" t="n">
        <v>0.9615</v>
      </c>
      <c r="AD369" s="24" t="inlineStr">
        <is>
          <t>2026-08-18T15:11:44.120088Z</t>
        </is>
      </c>
      <c r="AE369" s="31" t="inlineStr">
        <is>
          <t>Surface-blended Elo on Hard: Anna Kalinskaya p=0.435 vs Sorana Cirstea. Executable ask 0.5100 (aec-wta-sorcir-annkal-2026-08-17).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3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Anna Kalinskaya</t>
        </is>
      </c>
      <c r="AQ369" s="24" t="inlineStr">
        <is>
          <t>Anna Kalinskaya</t>
        </is>
      </c>
      <c r="AR369" s="24" t="inlineStr">
        <is>
          <t>Anna Kalinskaya</t>
        </is>
      </c>
      <c r="AS369" s="24" t="inlineStr">
        <is>
          <t>Sorana Cirstea</t>
        </is>
      </c>
      <c r="AT369" s="24" t="inlineStr">
        <is>
          <t>Sorana Cirstea</t>
        </is>
      </c>
      <c r="AU369" s="24" t="inlineStr">
        <is>
          <t>Sorana Cirstea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3ab056fefe04713e3c294da76c8adb2866b0dc46556ed32322a0426dd344a0e4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3ab056fefe04713e3c294da76c8adb2866b0dc46556ed32322a0426dd344a0e4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3ab056fefe04713e3c294da76c8adb2866b0dc46556ed32322a0426dd344a0e4</t>
        </is>
      </c>
      <c r="BH369" s="24" t="inlineStr">
        <is>
          <t>2026-08-17T08:38:18.207366Z</t>
        </is>
      </c>
      <c r="BI369" s="24" t="inlineStr">
        <is>
          <t>["same_event","same_team_same_day","same_league_same_day"]</t>
        </is>
      </c>
      <c r="BJ369" s="25" t="n"/>
      <c r="BK369" s="26" t="n">
        <v>-104</v>
      </c>
      <c r="BL369" s="27" t="n">
        <v>1.961538</v>
      </c>
      <c r="BM369" s="28" t="n">
        <v>0.509804</v>
      </c>
      <c r="BN369" s="28" t="n"/>
      <c r="BO369" s="28" t="n"/>
      <c r="BP369" s="25" t="n"/>
      <c r="BQ369" s="27" t="n">
        <v>1.961538</v>
      </c>
      <c r="BR369" s="28" t="n">
        <v>0.51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0.509804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c7484dd160b94bac</t>
        </is>
      </c>
      <c r="B370" s="24" t="inlineStr">
        <is>
          <t>2026-08-17T08:39:31.988406Z</t>
        </is>
      </c>
      <c r="C370" s="24" t="inlineStr">
        <is>
          <t>2026-08-17T18:00Z</t>
        </is>
      </c>
      <c r="D370" s="24" t="inlineStr">
        <is>
          <t>718-2026:182342</t>
        </is>
      </c>
      <c r="E370" s="24" t="inlineStr">
        <is>
          <t>TENNIS</t>
        </is>
      </c>
      <c r="F370" s="24" t="inlineStr">
        <is>
          <t>Clara Tauson</t>
        </is>
      </c>
      <c r="G370" s="24" t="inlineStr">
        <is>
          <t>Linda Noskova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-223</v>
      </c>
      <c r="M370" s="27" t="n">
        <v>1.44843</v>
      </c>
      <c r="N370" s="28" t="n">
        <v>0.690402</v>
      </c>
      <c r="O370" s="28" t="n">
        <v>0.70788</v>
      </c>
      <c r="P370" s="28" t="n">
        <v>0.05</v>
      </c>
      <c r="Q370" s="28" t="n">
        <v>0.017478</v>
      </c>
      <c r="R370" s="26" t="n">
        <v>29</v>
      </c>
      <c r="S370" s="29" t="n">
        <v>2</v>
      </c>
      <c r="T370" s="24" t="inlineStr">
        <is>
          <t>tennis-surface-elo-v1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-223</v>
      </c>
      <c r="AA370" s="28" t="n">
        <v>0.6899999999999999</v>
      </c>
      <c r="AB370" s="28" t="n">
        <v>-0.000402</v>
      </c>
      <c r="AC370" s="30" t="n">
        <v>0.8969</v>
      </c>
      <c r="AD370" s="24" t="inlineStr">
        <is>
          <t>2026-08-18T15:11:45.703413Z</t>
        </is>
      </c>
      <c r="AE370" s="31" t="inlineStr">
        <is>
          <t>Surface-blended Elo on Hard: Clara Tauson p=0.292 vs Linda Noskova. Executable ask 0.6900 (aec-wta-linnos-clatau-2026-08-17).</t>
        </is>
      </c>
      <c r="AF370" s="31" t="inlineStr">
        <is>
          <t>Surface-blended Elo model; singles only, WTA+ATP market coverage, not yet locked-holdout qualified -- promoted by explicit operator directive, not genuine walk-forward validation.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3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Clara Tauson</t>
        </is>
      </c>
      <c r="AQ370" s="24" t="inlineStr">
        <is>
          <t>Clara Tauson</t>
        </is>
      </c>
      <c r="AR370" s="24" t="inlineStr">
        <is>
          <t>Clara Tauson</t>
        </is>
      </c>
      <c r="AS370" s="24" t="inlineStr">
        <is>
          <t>Linda Noskova</t>
        </is>
      </c>
      <c r="AT370" s="24" t="inlineStr">
        <is>
          <t>Linda Noskova</t>
        </is>
      </c>
      <c r="AU370" s="24" t="inlineStr">
        <is>
          <t>Linda Noskova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3ab056fefe04713e3c294da76c8adb2866b0dc46556ed32322a0426dd344a0e4</t>
        </is>
      </c>
      <c r="BB370" s="24" t="inlineStr">
        <is>
          <t>surface_blended_elo</t>
        </is>
      </c>
      <c r="BC370" s="24" t="inlineStr">
        <is>
          <t>tennis-surface-elo-v1</t>
        </is>
      </c>
      <c r="BD370" s="24" t="inlineStr">
        <is>
          <t>3ab056fefe04713e3c294da76c8adb2866b0dc46556ed32322a0426dd344a0e4</t>
        </is>
      </c>
      <c r="BE370" s="24" t="inlineStr">
        <is>
          <t>tennis-surface-elo-v1</t>
        </is>
      </c>
      <c r="BF370" s="24" t="inlineStr">
        <is>
          <t>1</t>
        </is>
      </c>
      <c r="BG370" s="24" t="inlineStr">
        <is>
          <t>3ab056fefe04713e3c294da76c8adb2866b0dc46556ed32322a0426dd344a0e4</t>
        </is>
      </c>
      <c r="BH370" s="24" t="inlineStr">
        <is>
          <t>2026-08-17T08:38:20.836458Z</t>
        </is>
      </c>
      <c r="BI370" s="24" t="inlineStr">
        <is>
          <t>["same_event","same_team_same_day","same_league_same_day"]</t>
        </is>
      </c>
      <c r="BJ370" s="25" t="n"/>
      <c r="BK370" s="26" t="n">
        <v>-223</v>
      </c>
      <c r="BL370" s="27" t="n">
        <v>1.44843</v>
      </c>
      <c r="BM370" s="28" t="n">
        <v>0.690402</v>
      </c>
      <c r="BN370" s="28" t="n"/>
      <c r="BO370" s="28" t="n"/>
      <c r="BP370" s="25" t="n"/>
      <c r="BQ370" s="27" t="n">
        <v>1.44843</v>
      </c>
      <c r="BR370" s="28" t="n">
        <v>0.6899999999999999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0.690402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2c2112a5e0334bf3</t>
        </is>
      </c>
      <c r="B371" s="24" t="inlineStr">
        <is>
          <t>2026-08-17T08:39:31.988406Z</t>
        </is>
      </c>
      <c r="C371" s="24" t="inlineStr">
        <is>
          <t>2026-08-17T19:00Z</t>
        </is>
      </c>
      <c r="D371" s="24" t="inlineStr">
        <is>
          <t>718-2026:182338</t>
        </is>
      </c>
      <c r="E371" s="24" t="inlineStr">
        <is>
          <t>TENNIS</t>
        </is>
      </c>
      <c r="F371" s="24" t="inlineStr">
        <is>
          <t>Jessica Pegula</t>
        </is>
      </c>
      <c r="G371" s="24" t="inlineStr">
        <is>
          <t>Emma Navarro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-426</v>
      </c>
      <c r="M371" s="27" t="n">
        <v>1.234742</v>
      </c>
      <c r="N371" s="28" t="n">
        <v>0.809886</v>
      </c>
      <c r="O371" s="28" t="n">
        <v>0.812671</v>
      </c>
      <c r="P371" s="28" t="n">
        <v>0.05</v>
      </c>
      <c r="Q371" s="28" t="n">
        <v>0.002785</v>
      </c>
      <c r="R371" s="26" t="n">
        <v>21</v>
      </c>
      <c r="S371" s="29" t="n">
        <v>2</v>
      </c>
      <c r="T371" s="24" t="inlineStr">
        <is>
          <t>tennis-surface-elo-v1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-426</v>
      </c>
      <c r="AA371" s="28" t="n">
        <v>0.8100000000000001</v>
      </c>
      <c r="AB371" s="28" t="n">
        <v>0.000114</v>
      </c>
      <c r="AC371" s="30" t="n">
        <v>0.4695</v>
      </c>
      <c r="AD371" s="24" t="inlineStr">
        <is>
          <t>2026-08-18T15:11:47.588360Z</t>
        </is>
      </c>
      <c r="AE371" s="31" t="inlineStr">
        <is>
          <t>Surface-blended Elo on Hard: Jessica Pegula p=0.813 vs Emma Navarro. Executable ask 0.8100 (aec-wta-emmnav-jespeg-2026-08-16).</t>
        </is>
      </c>
      <c r="AF371" s="31" t="inlineStr">
        <is>
          <t>Surface-blended Elo model; singles only, WTA+ATP market coverage, not yet locked-holdout qualified -- promoted by explicit operator directive, not genuine walk-forward validation.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3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Jessica Pegula</t>
        </is>
      </c>
      <c r="AQ371" s="24" t="inlineStr">
        <is>
          <t>Jessica Pegula</t>
        </is>
      </c>
      <c r="AR371" s="24" t="inlineStr">
        <is>
          <t>Jessica Pegula</t>
        </is>
      </c>
      <c r="AS371" s="24" t="inlineStr">
        <is>
          <t>Emma Navarro</t>
        </is>
      </c>
      <c r="AT371" s="24" t="inlineStr">
        <is>
          <t>Emma Navarro</t>
        </is>
      </c>
      <c r="AU371" s="24" t="inlineStr">
        <is>
          <t>Emma Navarro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3ab056fefe04713e3c294da76c8adb2866b0dc46556ed32322a0426dd344a0e4</t>
        </is>
      </c>
      <c r="BB371" s="24" t="inlineStr">
        <is>
          <t>surface_blended_elo</t>
        </is>
      </c>
      <c r="BC371" s="24" t="inlineStr">
        <is>
          <t>tennis-surface-elo-v1</t>
        </is>
      </c>
      <c r="BD371" s="24" t="inlineStr">
        <is>
          <t>3ab056fefe04713e3c294da76c8adb2866b0dc46556ed32322a0426dd344a0e4</t>
        </is>
      </c>
      <c r="BE371" s="24" t="inlineStr">
        <is>
          <t>tennis-surface-elo-v1</t>
        </is>
      </c>
      <c r="BF371" s="24" t="inlineStr">
        <is>
          <t>1</t>
        </is>
      </c>
      <c r="BG371" s="24" t="inlineStr">
        <is>
          <t>3ab056fefe04713e3c294da76c8adb2866b0dc46556ed32322a0426dd344a0e4</t>
        </is>
      </c>
      <c r="BH371" s="24" t="inlineStr">
        <is>
          <t>2026-08-17T08:38:21.737197Z</t>
        </is>
      </c>
      <c r="BI371" s="24" t="inlineStr">
        <is>
          <t>["same_event","same_team_same_day","same_league_same_day"]</t>
        </is>
      </c>
      <c r="BJ371" s="25" t="n"/>
      <c r="BK371" s="26" t="n">
        <v>-426</v>
      </c>
      <c r="BL371" s="27" t="n">
        <v>1.234742</v>
      </c>
      <c r="BM371" s="28" t="n">
        <v>0.809886</v>
      </c>
      <c r="BN371" s="28" t="n"/>
      <c r="BO371" s="28" t="n"/>
      <c r="BP371" s="25" t="n"/>
      <c r="BQ371" s="27" t="n">
        <v>1.234742</v>
      </c>
      <c r="BR371" s="28" t="n">
        <v>0.8100000000000001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0.809886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bc1f7f39dab843e2</t>
        </is>
      </c>
      <c r="B372" s="24" t="inlineStr">
        <is>
          <t>2026-08-17T08:39:31.988406Z</t>
        </is>
      </c>
      <c r="C372" s="24" t="inlineStr">
        <is>
          <t>2026-08-17T15:00Z</t>
        </is>
      </c>
      <c r="D372" s="24" t="inlineStr">
        <is>
          <t>718-2026:181922</t>
        </is>
      </c>
      <c r="E372" s="24" t="inlineStr">
        <is>
          <t>TENNIS</t>
        </is>
      </c>
      <c r="F372" s="24" t="inlineStr">
        <is>
          <t>Martin Landaluce</t>
        </is>
      </c>
      <c r="G372" s="24" t="inlineStr">
        <is>
          <t>Thiago Agustin Tirante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-133</v>
      </c>
      <c r="M372" s="27" t="n">
        <v>1.75188</v>
      </c>
      <c r="N372" s="28" t="n">
        <v>0.570815</v>
      </c>
      <c r="O372" s="28" t="n">
        <v>0.622451</v>
      </c>
      <c r="P372" s="28" t="n">
        <v>0.05</v>
      </c>
      <c r="Q372" s="28" t="n">
        <v>0.051636</v>
      </c>
      <c r="R372" s="26" t="n">
        <v>46</v>
      </c>
      <c r="S372" s="29" t="n">
        <v>1.5</v>
      </c>
      <c r="T372" s="24" t="inlineStr">
        <is>
          <t>tennis-surface-elo-v1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1</v>
      </c>
      <c r="Y372" s="25" t="n"/>
      <c r="Z372" s="26" t="n">
        <v>-133</v>
      </c>
      <c r="AA372" s="28" t="n">
        <v>0.57</v>
      </c>
      <c r="AB372" s="28" t="n">
        <v>-0.000815</v>
      </c>
      <c r="AC372" s="30" t="n">
        <v>1.1278</v>
      </c>
      <c r="AD372" s="24" t="inlineStr">
        <is>
          <t>2026-08-18T15:11:49.508124Z</t>
        </is>
      </c>
      <c r="AE372" s="31" t="inlineStr">
        <is>
          <t>Surface-blended Elo on Hard: Martin Landaluce p=0.378 vs Thiago Agustin Tirante. Executable ask 0.5700 (aec-atp-thitir-marlan-2026-08-17).</t>
        </is>
      </c>
      <c r="AF372" s="31" t="inlineStr">
        <is>
          <t>Surface-blended Elo model; singles only, WTA+ATP market coverage, not yet locked-holdout qualified -- promoted by explicit operator directive, not genuine walk-forward validation.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3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Martin Landaluce</t>
        </is>
      </c>
      <c r="AQ372" s="24" t="inlineStr">
        <is>
          <t>Martin Landaluce</t>
        </is>
      </c>
      <c r="AR372" s="24" t="inlineStr">
        <is>
          <t>Martin Landaluce</t>
        </is>
      </c>
      <c r="AS372" s="24" t="inlineStr">
        <is>
          <t>Thiago Agustin Tirante</t>
        </is>
      </c>
      <c r="AT372" s="24" t="inlineStr">
        <is>
          <t>Thiago Agustin Tirante</t>
        </is>
      </c>
      <c r="AU372" s="24" t="inlineStr">
        <is>
          <t>Thiago Agustin Tirante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3ab056fefe04713e3c294da76c8adb2866b0dc46556ed32322a0426dd344a0e4</t>
        </is>
      </c>
      <c r="BB372" s="24" t="inlineStr">
        <is>
          <t>surface_blended_elo</t>
        </is>
      </c>
      <c r="BC372" s="24" t="inlineStr">
        <is>
          <t>tennis-surface-elo-v1</t>
        </is>
      </c>
      <c r="BD372" s="24" t="inlineStr">
        <is>
          <t>3ab056fefe04713e3c294da76c8adb2866b0dc46556ed32322a0426dd344a0e4</t>
        </is>
      </c>
      <c r="BE372" s="24" t="inlineStr">
        <is>
          <t>tennis-surface-elo-v1</t>
        </is>
      </c>
      <c r="BF372" s="24" t="inlineStr">
        <is>
          <t>1</t>
        </is>
      </c>
      <c r="BG372" s="24" t="inlineStr">
        <is>
          <t>3ab056fefe04713e3c294da76c8adb2866b0dc46556ed32322a0426dd344a0e4</t>
        </is>
      </c>
      <c r="BH372" s="24" t="inlineStr">
        <is>
          <t>2026-08-17T08:38:24.771179Z</t>
        </is>
      </c>
      <c r="BI372" s="24" t="inlineStr">
        <is>
          <t>["same_event","same_team_same_day","same_league_same_day"]</t>
        </is>
      </c>
      <c r="BJ372" s="25" t="n"/>
      <c r="BK372" s="26" t="n">
        <v>-133</v>
      </c>
      <c r="BL372" s="27" t="n">
        <v>1.75188</v>
      </c>
      <c r="BM372" s="28" t="n">
        <v>0.570815</v>
      </c>
      <c r="BN372" s="28" t="n"/>
      <c r="BO372" s="28" t="n"/>
      <c r="BP372" s="25" t="n"/>
      <c r="BQ372" s="27" t="n">
        <v>1.75188</v>
      </c>
      <c r="BR372" s="28" t="n">
        <v>0.57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0.570815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460775fc1e784281</t>
        </is>
      </c>
      <c r="B373" s="24" t="inlineStr">
        <is>
          <t>2026-08-17T08:39:31.988406Z</t>
        </is>
      </c>
      <c r="C373" s="24" t="inlineStr">
        <is>
          <t>2026-08-17T15:00Z</t>
        </is>
      </c>
      <c r="D373" s="24" t="inlineStr">
        <is>
          <t>718-2026:181925</t>
        </is>
      </c>
      <c r="E373" s="24" t="inlineStr">
        <is>
          <t>TENNIS</t>
        </is>
      </c>
      <c r="F373" s="24" t="inlineStr">
        <is>
          <t>Flavio Cobolli</t>
        </is>
      </c>
      <c r="G373" s="24" t="inlineStr">
        <is>
          <t>Alexander Blockx</t>
        </is>
      </c>
      <c r="H373" s="24" t="inlineStr">
        <is>
          <t>moneyline</t>
        </is>
      </c>
      <c r="I373" s="24" t="inlineStr">
        <is>
          <t>away</t>
        </is>
      </c>
      <c r="J373" s="25" t="n"/>
      <c r="K373" s="24" t="inlineStr">
        <is>
          <t>polymarket_us</t>
        </is>
      </c>
      <c r="L373" s="26" t="n">
        <v>108</v>
      </c>
      <c r="M373" s="27" t="n">
        <v>2.08</v>
      </c>
      <c r="N373" s="28" t="n">
        <v>0.480769</v>
      </c>
      <c r="O373" s="28" t="n">
        <v>0.584203</v>
      </c>
      <c r="P373" s="28" t="n">
        <v>0.05</v>
      </c>
      <c r="Q373" s="28" t="n">
        <v>0.103434</v>
      </c>
      <c r="R373" s="26" t="n">
        <v>72</v>
      </c>
      <c r="S373" s="29" t="n">
        <v>1.25</v>
      </c>
      <c r="T373" s="24" t="inlineStr">
        <is>
          <t>tennis-surface-elo-v1</t>
        </is>
      </c>
      <c r="U373" s="24" t="inlineStr">
        <is>
          <t>settled</t>
        </is>
      </c>
      <c r="V373" s="24" t="inlineStr">
        <is>
          <t>win</t>
        </is>
      </c>
      <c r="W373" s="26" t="n">
        <v>1</v>
      </c>
      <c r="X373" s="26" t="n">
        <v>0</v>
      </c>
      <c r="Y373" s="25" t="n"/>
      <c r="Z373" s="26" t="n">
        <v>108</v>
      </c>
      <c r="AA373" s="28" t="n">
        <v>0.48</v>
      </c>
      <c r="AB373" s="28" t="n">
        <v>-0.000769</v>
      </c>
      <c r="AC373" s="30" t="n">
        <v>1.35</v>
      </c>
      <c r="AD373" s="24" t="inlineStr">
        <is>
          <t>2026-08-18T15:11:51.111504Z</t>
        </is>
      </c>
      <c r="AE373" s="31" t="inlineStr">
        <is>
          <t>Surface-blended Elo on Hard: Flavio Cobolli p=0.584 vs Alexander Blockx. Executable ask 0.4800 (aec-atp-aleblo-flacob-2026-08-16).</t>
        </is>
      </c>
      <c r="AF373" s="31" t="inlineStr">
        <is>
          <t>Surface-blended Elo model; singles only, WTA+ATP market coverage, not yet locked-holdout qualified -- promoted by explicit operator directive, not genuine walk-forward validation.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3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Flavio Cobolli</t>
        </is>
      </c>
      <c r="AQ373" s="24" t="inlineStr">
        <is>
          <t>Flavio Cobolli</t>
        </is>
      </c>
      <c r="AR373" s="24" t="inlineStr">
        <is>
          <t>Flavio Cobolli</t>
        </is>
      </c>
      <c r="AS373" s="24" t="inlineStr">
        <is>
          <t>Alexander Blockx</t>
        </is>
      </c>
      <c r="AT373" s="24" t="inlineStr">
        <is>
          <t>Alexander Blockx</t>
        </is>
      </c>
      <c r="AU373" s="24" t="inlineStr">
        <is>
          <t>Alexander Blockx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3ab056fefe04713e3c294da76c8adb2866b0dc46556ed32322a0426dd344a0e4</t>
        </is>
      </c>
      <c r="BB373" s="24" t="inlineStr">
        <is>
          <t>surface_blended_elo</t>
        </is>
      </c>
      <c r="BC373" s="24" t="inlineStr">
        <is>
          <t>tennis-surface-elo-v1</t>
        </is>
      </c>
      <c r="BD373" s="24" t="inlineStr">
        <is>
          <t>3ab056fefe04713e3c294da76c8adb2866b0dc46556ed32322a0426dd344a0e4</t>
        </is>
      </c>
      <c r="BE373" s="24" t="inlineStr">
        <is>
          <t>tennis-surface-elo-v1</t>
        </is>
      </c>
      <c r="BF373" s="24" t="inlineStr">
        <is>
          <t>1</t>
        </is>
      </c>
      <c r="BG373" s="24" t="inlineStr">
        <is>
          <t>3ab056fefe04713e3c294da76c8adb2866b0dc46556ed32322a0426dd344a0e4</t>
        </is>
      </c>
      <c r="BH373" s="24" t="inlineStr">
        <is>
          <t>2026-08-17T08:38:23.875765Z</t>
        </is>
      </c>
      <c r="BI373" s="24" t="inlineStr">
        <is>
          <t>["same_event","same_team_same_day","same_league_same_day"]</t>
        </is>
      </c>
      <c r="BJ373" s="25" t="n"/>
      <c r="BK373" s="26" t="n">
        <v>108</v>
      </c>
      <c r="BL373" s="27" t="n">
        <v>2.08</v>
      </c>
      <c r="BM373" s="28" t="n">
        <v>0.480769</v>
      </c>
      <c r="BN373" s="28" t="n"/>
      <c r="BO373" s="28" t="n"/>
      <c r="BP373" s="25" t="n"/>
      <c r="BQ373" s="27" t="n">
        <v>2.08</v>
      </c>
      <c r="BR373" s="28" t="n">
        <v>0.48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0.480769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1af7617e6d024b6a</t>
        </is>
      </c>
      <c r="B374" s="24" t="inlineStr">
        <is>
          <t>2026-08-17T08:39:31.988406Z</t>
        </is>
      </c>
      <c r="C374" s="24" t="inlineStr">
        <is>
          <t>2026-08-17T16:30Z</t>
        </is>
      </c>
      <c r="D374" s="24" t="inlineStr">
        <is>
          <t>718-2026:181912</t>
        </is>
      </c>
      <c r="E374" s="24" t="inlineStr">
        <is>
          <t>TENNIS</t>
        </is>
      </c>
      <c r="F374" s="24" t="inlineStr">
        <is>
          <t>Alex de Minaur</t>
        </is>
      </c>
      <c r="G374" s="24" t="inlineStr">
        <is>
          <t>Arthur Fery</t>
        </is>
      </c>
      <c r="H374" s="24" t="inlineStr">
        <is>
          <t>moneyline</t>
        </is>
      </c>
      <c r="I374" s="24" t="inlineStr">
        <is>
          <t>away</t>
        </is>
      </c>
      <c r="J374" s="25" t="n"/>
      <c r="K374" s="24" t="inlineStr">
        <is>
          <t>polymarket_us</t>
        </is>
      </c>
      <c r="L374" s="26" t="n">
        <v>-400</v>
      </c>
      <c r="M374" s="27" t="n">
        <v>1.25</v>
      </c>
      <c r="N374" s="28" t="n">
        <v>0.8</v>
      </c>
      <c r="O374" s="28" t="n">
        <v>0.71336</v>
      </c>
      <c r="P374" s="28" t="n">
        <v>0.05</v>
      </c>
      <c r="Q374" s="28" t="n">
        <v>-0.08663999999999999</v>
      </c>
      <c r="R374" s="26" t="n">
        <v>0</v>
      </c>
      <c r="S374" s="29" t="n">
        <v>2</v>
      </c>
      <c r="T374" s="24" t="inlineStr">
        <is>
          <t>tennis-surface-elo-v1</t>
        </is>
      </c>
      <c r="U374" s="24" t="inlineStr">
        <is>
          <t>settled</t>
        </is>
      </c>
      <c r="V374" s="24" t="inlineStr">
        <is>
          <t>win</t>
        </is>
      </c>
      <c r="W374" s="26" t="n">
        <v>1</v>
      </c>
      <c r="X374" s="26" t="n">
        <v>0</v>
      </c>
      <c r="Y374" s="25" t="n"/>
      <c r="Z374" s="26" t="n">
        <v>-400</v>
      </c>
      <c r="AA374" s="28" t="n">
        <v>0.8</v>
      </c>
      <c r="AB374" s="28" t="n">
        <v>0</v>
      </c>
      <c r="AC374" s="30" t="n">
        <v>0.5</v>
      </c>
      <c r="AD374" s="24" t="inlineStr">
        <is>
          <t>2026-08-18T15:11:52.744356Z</t>
        </is>
      </c>
      <c r="AE374" s="31" t="inlineStr">
        <is>
          <t>Surface-blended Elo on Hard: Alex de Minaur p=0.713 vs Arthur Fery. Executable ask 0.8000 (aec-atp-artfer-alemin-2026-08-17).</t>
        </is>
      </c>
      <c r="AF374" s="31" t="inlineStr">
        <is>
          <t>Surface-blended Elo model; singles only, WTA+ATP market coverage, not yet locked-holdout qualified -- promoted by explicit operator directive, not genuine walk-forward validation.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3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Alex de Minaur</t>
        </is>
      </c>
      <c r="AQ374" s="24" t="inlineStr">
        <is>
          <t>Alex de Minaur</t>
        </is>
      </c>
      <c r="AR374" s="24" t="inlineStr">
        <is>
          <t>Alex de Minaur</t>
        </is>
      </c>
      <c r="AS374" s="24" t="inlineStr">
        <is>
          <t>Arthur Fery</t>
        </is>
      </c>
      <c r="AT374" s="24" t="inlineStr">
        <is>
          <t>Arthur Fery</t>
        </is>
      </c>
      <c r="AU374" s="24" t="inlineStr">
        <is>
          <t>Arthur Fery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3ab056fefe04713e3c294da76c8adb2866b0dc46556ed32322a0426dd344a0e4</t>
        </is>
      </c>
      <c r="BB374" s="24" t="inlineStr">
        <is>
          <t>surface_blended_elo</t>
        </is>
      </c>
      <c r="BC374" s="24" t="inlineStr">
        <is>
          <t>tennis-surface-elo-v1</t>
        </is>
      </c>
      <c r="BD374" s="24" t="inlineStr">
        <is>
          <t>3ab056fefe04713e3c294da76c8adb2866b0dc46556ed32322a0426dd344a0e4</t>
        </is>
      </c>
      <c r="BE374" s="24" t="inlineStr">
        <is>
          <t>tennis-surface-elo-v1</t>
        </is>
      </c>
      <c r="BF374" s="24" t="inlineStr">
        <is>
          <t>1</t>
        </is>
      </c>
      <c r="BG374" s="24" t="inlineStr">
        <is>
          <t>3ab056fefe04713e3c294da76c8adb2866b0dc46556ed32322a0426dd344a0e4</t>
        </is>
      </c>
      <c r="BH374" s="24" t="inlineStr">
        <is>
          <t>2026-08-17T08:38:26.850825Z</t>
        </is>
      </c>
      <c r="BI374" s="24" t="inlineStr">
        <is>
          <t>["same_event","same_team_same_day","same_league_same_day"]</t>
        </is>
      </c>
      <c r="BJ374" s="25" t="n"/>
      <c r="BK374" s="26" t="n">
        <v>-400</v>
      </c>
      <c r="BL374" s="27" t="n">
        <v>1.25</v>
      </c>
      <c r="BM374" s="28" t="n">
        <v>0.8</v>
      </c>
      <c r="BN374" s="28" t="n"/>
      <c r="BO374" s="28" t="n"/>
      <c r="BP374" s="25" t="n"/>
      <c r="BQ374" s="27" t="n">
        <v>1.25</v>
      </c>
      <c r="BR374" s="28" t="n">
        <v>0.8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0.8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14b951baa5a04c7c</t>
        </is>
      </c>
      <c r="B375" s="24" t="inlineStr">
        <is>
          <t>2026-08-17T08:39:31.988406Z</t>
        </is>
      </c>
      <c r="C375" s="24" t="inlineStr">
        <is>
          <t>2026-08-17T18:00Z</t>
        </is>
      </c>
      <c r="D375" s="24" t="inlineStr">
        <is>
          <t>718-2026:181888</t>
        </is>
      </c>
      <c r="E375" s="24" t="inlineStr">
        <is>
          <t>TENNIS</t>
        </is>
      </c>
      <c r="F375" s="24" t="inlineStr">
        <is>
          <t>Alejandro Tabilo</t>
        </is>
      </c>
      <c r="G375" s="24" t="inlineStr">
        <is>
          <t>Rafael Jodar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-213</v>
      </c>
      <c r="M375" s="27" t="n">
        <v>1.469484</v>
      </c>
      <c r="N375" s="28" t="n">
        <v>0.680511</v>
      </c>
      <c r="O375" s="28" t="n">
        <v>0.705422</v>
      </c>
      <c r="P375" s="28" t="n">
        <v>0.05</v>
      </c>
      <c r="Q375" s="28" t="n">
        <v>0.024911</v>
      </c>
      <c r="R375" s="26" t="n">
        <v>32</v>
      </c>
      <c r="S375" s="29" t="n">
        <v>2</v>
      </c>
      <c r="T375" s="24" t="inlineStr">
        <is>
          <t>tennis-surface-elo-v1</t>
        </is>
      </c>
      <c r="U375" s="24" t="inlineStr">
        <is>
          <t>settled</t>
        </is>
      </c>
      <c r="V375" s="24" t="inlineStr">
        <is>
          <t>win</t>
        </is>
      </c>
      <c r="W375" s="26" t="n">
        <v>0</v>
      </c>
      <c r="X375" s="26" t="n">
        <v>1</v>
      </c>
      <c r="Y375" s="25" t="n"/>
      <c r="Z375" s="26" t="n">
        <v>-213</v>
      </c>
      <c r="AA375" s="28" t="n">
        <v>0.68</v>
      </c>
      <c r="AB375" s="28" t="n">
        <v>-0.000511</v>
      </c>
      <c r="AC375" s="30" t="n">
        <v>0.9389999999999999</v>
      </c>
      <c r="AD375" s="24" t="inlineStr">
        <is>
          <t>2026-08-18T15:11:54.642474Z</t>
        </is>
      </c>
      <c r="AE375" s="31" t="inlineStr">
        <is>
          <t>Surface-blended Elo on Hard: Alejandro Tabilo p=0.295 vs Rafael Jodar. Executable ask 0.6800 (aec-atp-rafjod-aletab-2026-08-17).</t>
        </is>
      </c>
      <c r="AF375" s="31" t="inlineStr">
        <is>
          <t>Surface-blended Elo model; singles only, WTA+ATP market coverage, not yet locked-holdout qualified -- promoted by explicit operator directive, not genuine walk-forward validation.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3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Alejandro Tabilo</t>
        </is>
      </c>
      <c r="AQ375" s="24" t="inlineStr">
        <is>
          <t>Alejandro Tabilo</t>
        </is>
      </c>
      <c r="AR375" s="24" t="inlineStr">
        <is>
          <t>Alejandro Tabilo</t>
        </is>
      </c>
      <c r="AS375" s="24" t="inlineStr">
        <is>
          <t>Rafael Jodar</t>
        </is>
      </c>
      <c r="AT375" s="24" t="inlineStr">
        <is>
          <t>Rafael Jodar</t>
        </is>
      </c>
      <c r="AU375" s="24" t="inlineStr">
        <is>
          <t>Rafael Jodar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3ab056fefe04713e3c294da76c8adb2866b0dc46556ed32322a0426dd344a0e4</t>
        </is>
      </c>
      <c r="BB375" s="24" t="inlineStr">
        <is>
          <t>surface_blended_elo</t>
        </is>
      </c>
      <c r="BC375" s="24" t="inlineStr">
        <is>
          <t>tennis-surface-elo-v1</t>
        </is>
      </c>
      <c r="BD375" s="24" t="inlineStr">
        <is>
          <t>3ab056fefe04713e3c294da76c8adb2866b0dc46556ed32322a0426dd344a0e4</t>
        </is>
      </c>
      <c r="BE375" s="24" t="inlineStr">
        <is>
          <t>tennis-surface-elo-v1</t>
        </is>
      </c>
      <c r="BF375" s="24" t="inlineStr">
        <is>
          <t>1</t>
        </is>
      </c>
      <c r="BG375" s="24" t="inlineStr">
        <is>
          <t>3ab056fefe04713e3c294da76c8adb2866b0dc46556ed32322a0426dd344a0e4</t>
        </is>
      </c>
      <c r="BH375" s="24" t="inlineStr">
        <is>
          <t>2026-08-17T08:38:28.667580Z</t>
        </is>
      </c>
      <c r="BI375" s="24" t="inlineStr">
        <is>
          <t>["same_event","same_team_same_day","same_league_same_day"]</t>
        </is>
      </c>
      <c r="BJ375" s="25" t="n"/>
      <c r="BK375" s="26" t="n">
        <v>-213</v>
      </c>
      <c r="BL375" s="27" t="n">
        <v>1.469484</v>
      </c>
      <c r="BM375" s="28" t="n">
        <v>0.680511</v>
      </c>
      <c r="BN375" s="28" t="n"/>
      <c r="BO375" s="28" t="n"/>
      <c r="BP375" s="25" t="n"/>
      <c r="BQ375" s="27" t="n">
        <v>1.469484</v>
      </c>
      <c r="BR375" s="28" t="n">
        <v>0.68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0.680511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8708531c76084f01</t>
        </is>
      </c>
      <c r="B376" s="24" t="inlineStr">
        <is>
          <t>2026-08-17T08:39:31.988406Z</t>
        </is>
      </c>
      <c r="C376" s="24" t="inlineStr">
        <is>
          <t>2026-08-17T18:00Z</t>
        </is>
      </c>
      <c r="D376" s="24" t="inlineStr">
        <is>
          <t>718-2026:181929</t>
        </is>
      </c>
      <c r="E376" s="24" t="inlineStr">
        <is>
          <t>TENNIS</t>
        </is>
      </c>
      <c r="F376" s="24" t="inlineStr">
        <is>
          <t>Jakub Mensik</t>
        </is>
      </c>
      <c r="G376" s="24" t="inlineStr">
        <is>
          <t>Rinky Hijikata</t>
        </is>
      </c>
      <c r="H376" s="24" t="inlineStr">
        <is>
          <t>moneyline</t>
        </is>
      </c>
      <c r="I376" s="24" t="inlineStr">
        <is>
          <t>away</t>
        </is>
      </c>
      <c r="J376" s="25" t="n"/>
      <c r="K376" s="24" t="inlineStr">
        <is>
          <t>polymarket_us</t>
        </is>
      </c>
      <c r="L376" s="26" t="n">
        <v>-317</v>
      </c>
      <c r="M376" s="27" t="n">
        <v>1.315457</v>
      </c>
      <c r="N376" s="28" t="n">
        <v>0.760192</v>
      </c>
      <c r="O376" s="28" t="n">
        <v>0.612337</v>
      </c>
      <c r="P376" s="28" t="n">
        <v>0.05</v>
      </c>
      <c r="Q376" s="28" t="n">
        <v>-0.147855</v>
      </c>
      <c r="R376" s="26" t="n">
        <v>0</v>
      </c>
      <c r="S376" s="29" t="n">
        <v>1.5</v>
      </c>
      <c r="T376" s="24" t="inlineStr">
        <is>
          <t>tennis-surface-elo-v1</t>
        </is>
      </c>
      <c r="U376" s="24" t="inlineStr">
        <is>
          <t>settled</t>
        </is>
      </c>
      <c r="V376" s="24" t="inlineStr">
        <is>
          <t>win</t>
        </is>
      </c>
      <c r="W376" s="26" t="n">
        <v>1</v>
      </c>
      <c r="X376" s="26" t="n">
        <v>0</v>
      </c>
      <c r="Y376" s="25" t="n"/>
      <c r="Z376" s="26" t="n">
        <v>-317</v>
      </c>
      <c r="AA376" s="28" t="n">
        <v>0.76</v>
      </c>
      <c r="AB376" s="28" t="n">
        <v>-0.000192</v>
      </c>
      <c r="AC376" s="30" t="n">
        <v>0.4732</v>
      </c>
      <c r="AD376" s="24" t="inlineStr">
        <is>
          <t>2026-08-18T15:11:56.535287Z</t>
        </is>
      </c>
      <c r="AE376" s="31" t="inlineStr">
        <is>
          <t>Surface-blended Elo on Hard: Jakub Mensik p=0.612 vs Rinky Hijikata. Executable ask 0.7600 (aec-atp-rinhij-jakmen-2026-08-17).</t>
        </is>
      </c>
      <c r="AF376" s="31" t="inlineStr">
        <is>
          <t>Surface-blended Elo model; singles only, WTA+ATP market coverage, not yet locked-holdout qualified -- promoted by explicit operator directive, not genuine walk-forward validation.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3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Jakub Mensik</t>
        </is>
      </c>
      <c r="AQ376" s="24" t="inlineStr">
        <is>
          <t>Jakub Mensik</t>
        </is>
      </c>
      <c r="AR376" s="24" t="inlineStr">
        <is>
          <t>Jakub Mensik</t>
        </is>
      </c>
      <c r="AS376" s="24" t="inlineStr">
        <is>
          <t>Rinky Hijikata</t>
        </is>
      </c>
      <c r="AT376" s="24" t="inlineStr">
        <is>
          <t>Rinky Hijikata</t>
        </is>
      </c>
      <c r="AU376" s="24" t="inlineStr">
        <is>
          <t>Rinky Hijikata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3ab056fefe04713e3c294da76c8adb2866b0dc46556ed32322a0426dd344a0e4</t>
        </is>
      </c>
      <c r="BB376" s="24" t="inlineStr">
        <is>
          <t>surface_blended_elo</t>
        </is>
      </c>
      <c r="BC376" s="24" t="inlineStr">
        <is>
          <t>tennis-surface-elo-v1</t>
        </is>
      </c>
      <c r="BD376" s="24" t="inlineStr">
        <is>
          <t>3ab056fefe04713e3c294da76c8adb2866b0dc46556ed32322a0426dd344a0e4</t>
        </is>
      </c>
      <c r="BE376" s="24" t="inlineStr">
        <is>
          <t>tennis-surface-elo-v1</t>
        </is>
      </c>
      <c r="BF376" s="24" t="inlineStr">
        <is>
          <t>1</t>
        </is>
      </c>
      <c r="BG376" s="24" t="inlineStr">
        <is>
          <t>3ab056fefe04713e3c294da76c8adb2866b0dc46556ed32322a0426dd344a0e4</t>
        </is>
      </c>
      <c r="BH376" s="24" t="inlineStr">
        <is>
          <t>2026-08-17T08:38:27.820148Z</t>
        </is>
      </c>
      <c r="BI376" s="24" t="inlineStr">
        <is>
          <t>["same_event","same_team_same_day","same_league_same_day"]</t>
        </is>
      </c>
      <c r="BJ376" s="25" t="n"/>
      <c r="BK376" s="26" t="n">
        <v>-317</v>
      </c>
      <c r="BL376" s="27" t="n">
        <v>1.315457</v>
      </c>
      <c r="BM376" s="28" t="n">
        <v>0.760192</v>
      </c>
      <c r="BN376" s="28" t="n"/>
      <c r="BO376" s="28" t="n"/>
      <c r="BP376" s="25" t="n"/>
      <c r="BQ376" s="27" t="n">
        <v>1.315457</v>
      </c>
      <c r="BR376" s="28" t="n">
        <v>0.76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False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0.760192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0a500221831d4ca2</t>
        </is>
      </c>
      <c r="B377" s="24" t="inlineStr">
        <is>
          <t>2026-08-17T08:39:31.988406Z</t>
        </is>
      </c>
      <c r="C377" s="24" t="inlineStr">
        <is>
          <t>2026-08-17T19:30Z</t>
        </is>
      </c>
      <c r="D377" s="24" t="inlineStr">
        <is>
          <t>718-2026:181904</t>
        </is>
      </c>
      <c r="E377" s="24" t="inlineStr">
        <is>
          <t>TENNIS</t>
        </is>
      </c>
      <c r="F377" s="24" t="inlineStr">
        <is>
          <t>Arthur Fils</t>
        </is>
      </c>
      <c r="G377" s="24" t="inlineStr">
        <is>
          <t>Jiri Lehecka</t>
        </is>
      </c>
      <c r="H377" s="24" t="inlineStr">
        <is>
          <t>moneyline</t>
        </is>
      </c>
      <c r="I377" s="24" t="inlineStr">
        <is>
          <t>away</t>
        </is>
      </c>
      <c r="J377" s="25" t="n"/>
      <c r="K377" s="24" t="inlineStr">
        <is>
          <t>polymarket_us</t>
        </is>
      </c>
      <c r="L377" s="26" t="n">
        <v>-150</v>
      </c>
      <c r="M377" s="27" t="n">
        <v>1.666667</v>
      </c>
      <c r="N377" s="28" t="n">
        <v>0.6</v>
      </c>
      <c r="O377" s="28" t="n">
        <v>0.571836</v>
      </c>
      <c r="P377" s="28" t="n">
        <v>0.05</v>
      </c>
      <c r="Q377" s="28" t="n">
        <v>-0.028164</v>
      </c>
      <c r="R377" s="26" t="n">
        <v>6</v>
      </c>
      <c r="S377" s="29" t="n">
        <v>1.25</v>
      </c>
      <c r="T377" s="24" t="inlineStr">
        <is>
          <t>tennis-surface-elo-v1</t>
        </is>
      </c>
      <c r="U377" s="24" t="inlineStr">
        <is>
          <t>settled</t>
        </is>
      </c>
      <c r="V377" s="24" t="inlineStr">
        <is>
          <t>win</t>
        </is>
      </c>
      <c r="W377" s="26" t="n">
        <v>1</v>
      </c>
      <c r="X377" s="26" t="n">
        <v>0</v>
      </c>
      <c r="Y377" s="25" t="n"/>
      <c r="Z377" s="26" t="n">
        <v>-150</v>
      </c>
      <c r="AA377" s="28" t="n">
        <v>0.6</v>
      </c>
      <c r="AB377" s="28" t="n">
        <v>0</v>
      </c>
      <c r="AC377" s="30" t="n">
        <v>0.8333</v>
      </c>
      <c r="AD377" s="24" t="inlineStr">
        <is>
          <t>2026-08-18T15:11:58.428220Z</t>
        </is>
      </c>
      <c r="AE377" s="31" t="inlineStr">
        <is>
          <t>Surface-blended Elo on Hard: Arthur Fils p=0.572 vs Jiri Lehecka. Executable ask 0.6000 (aec-atp-jirleh-artfil-2026-08-17).</t>
        </is>
      </c>
      <c r="AF377" s="31" t="inlineStr">
        <is>
          <t>Surface-blended Elo model; singles only, WTA+ATP market coverage, not yet locked-holdout qualified -- promoted by explicit operator directive, not genuine walk-forward validation.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3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Arthur Fils</t>
        </is>
      </c>
      <c r="AQ377" s="24" t="inlineStr">
        <is>
          <t>Arthur Fils</t>
        </is>
      </c>
      <c r="AR377" s="24" t="inlineStr">
        <is>
          <t>Arthur Fils</t>
        </is>
      </c>
      <c r="AS377" s="24" t="inlineStr">
        <is>
          <t>Jiri Lehecka</t>
        </is>
      </c>
      <c r="AT377" s="24" t="inlineStr">
        <is>
          <t>Jiri Lehecka</t>
        </is>
      </c>
      <c r="AU377" s="24" t="inlineStr">
        <is>
          <t>Jiri Lehecka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3ab056fefe04713e3c294da76c8adb2866b0dc46556ed32322a0426dd344a0e4</t>
        </is>
      </c>
      <c r="BB377" s="24" t="inlineStr">
        <is>
          <t>surface_blended_elo</t>
        </is>
      </c>
      <c r="BC377" s="24" t="inlineStr">
        <is>
          <t>tennis-surface-elo-v1</t>
        </is>
      </c>
      <c r="BD377" s="24" t="inlineStr">
        <is>
          <t>3ab056fefe04713e3c294da76c8adb2866b0dc46556ed32322a0426dd344a0e4</t>
        </is>
      </c>
      <c r="BE377" s="24" t="inlineStr">
        <is>
          <t>tennis-surface-elo-v1</t>
        </is>
      </c>
      <c r="BF377" s="24" t="inlineStr">
        <is>
          <t>1</t>
        </is>
      </c>
      <c r="BG377" s="24" t="inlineStr">
        <is>
          <t>3ab056fefe04713e3c294da76c8adb2866b0dc46556ed32322a0426dd344a0e4</t>
        </is>
      </c>
      <c r="BH377" s="24" t="inlineStr">
        <is>
          <t>2026-08-17T08:38:29.485786Z</t>
        </is>
      </c>
      <c r="BI377" s="24" t="inlineStr">
        <is>
          <t>["same_event","same_team_same_day","same_league_same_day"]</t>
        </is>
      </c>
      <c r="BJ377" s="25" t="n"/>
      <c r="BK377" s="26" t="n">
        <v>-150</v>
      </c>
      <c r="BL377" s="27" t="n">
        <v>1.666667</v>
      </c>
      <c r="BM377" s="28" t="n">
        <v>0.6</v>
      </c>
      <c r="BN377" s="28" t="n"/>
      <c r="BO377" s="28" t="n"/>
      <c r="BP377" s="25" t="n"/>
      <c r="BQ377" s="27" t="n">
        <v>1.666667</v>
      </c>
      <c r="BR377" s="28" t="n">
        <v>0.6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a862b65160ac4973</t>
        </is>
      </c>
      <c r="B378" s="24" t="inlineStr">
        <is>
          <t>2026-08-18T15:14:41.670499Z</t>
        </is>
      </c>
      <c r="C378" s="24" t="inlineStr">
        <is>
          <t>2026-08-18T16:00Z</t>
        </is>
      </c>
      <c r="D378" s="24" t="inlineStr">
        <is>
          <t>718-2026:182325</t>
        </is>
      </c>
      <c r="E378" s="24" t="inlineStr">
        <is>
          <t>TENNIS</t>
        </is>
      </c>
      <c r="F378" s="24" t="inlineStr">
        <is>
          <t>Mirra Andreeva</t>
        </is>
      </c>
      <c r="G378" s="24" t="inlineStr">
        <is>
          <t>Janice Tjen</t>
        </is>
      </c>
      <c r="H378" s="24" t="inlineStr">
        <is>
          <t>moneyline</t>
        </is>
      </c>
      <c r="I378" s="24" t="inlineStr">
        <is>
          <t>away</t>
        </is>
      </c>
      <c r="J378" s="25" t="n"/>
      <c r="K378" s="24" t="inlineStr">
        <is>
          <t>polymarket_us</t>
        </is>
      </c>
      <c r="L378" s="26" t="n">
        <v>-614</v>
      </c>
      <c r="M378" s="27" t="n">
        <v>1.162866</v>
      </c>
      <c r="N378" s="28" t="n">
        <v>0.859944</v>
      </c>
      <c r="O378" s="28" t="n">
        <v>0.821883</v>
      </c>
      <c r="P378" s="28" t="n">
        <v>0.05</v>
      </c>
      <c r="Q378" s="28" t="n">
        <v>-0.038061</v>
      </c>
      <c r="R378" s="26" t="n">
        <v>1</v>
      </c>
      <c r="S378" s="29" t="n">
        <v>2</v>
      </c>
      <c r="T378" s="24" t="inlineStr">
        <is>
          <t>tennis-surface-elo-v1</t>
        </is>
      </c>
      <c r="U378" s="24" t="inlineStr">
        <is>
          <t>settled</t>
        </is>
      </c>
      <c r="V378" s="24" t="inlineStr">
        <is>
          <t>win</t>
        </is>
      </c>
      <c r="W378" s="26" t="n">
        <v>1</v>
      </c>
      <c r="X378" s="26" t="n">
        <v>0</v>
      </c>
      <c r="Y378" s="25" t="n"/>
      <c r="Z378" s="26" t="n">
        <v>-614</v>
      </c>
      <c r="AA378" s="28" t="n">
        <v>0.86</v>
      </c>
      <c r="AB378" s="28" t="n">
        <v>5.6e-05</v>
      </c>
      <c r="AC378" s="30" t="n">
        <v>0.3257</v>
      </c>
      <c r="AD378" s="24" t="inlineStr">
        <is>
          <t>2026-08-18T21:37:55.661399Z</t>
        </is>
      </c>
      <c r="AE378" s="31" t="inlineStr">
        <is>
          <t>Surface-blended Elo on Hard: Mirra Andreeva p=0.822 vs Janice Tjen. Executable ask 0.8600 (aec-wta-jantje-mirand-2026-08-17).</t>
        </is>
      </c>
      <c r="AF378" s="31" t="inlineStr">
        <is>
          <t>Surface-blended Elo model; singles only, WTA+ATP market coverage, not yet locked-holdout qualified -- promoted by explicit operator directive, not genuine walk-forward validation.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3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Mirra Andreeva</t>
        </is>
      </c>
      <c r="AQ378" s="24" t="inlineStr">
        <is>
          <t>Mirra Andreeva</t>
        </is>
      </c>
      <c r="AR378" s="24" t="inlineStr">
        <is>
          <t>Mirra Andreeva</t>
        </is>
      </c>
      <c r="AS378" s="24" t="inlineStr">
        <is>
          <t>Janice Tjen</t>
        </is>
      </c>
      <c r="AT378" s="24" t="inlineStr">
        <is>
          <t>Janice Tjen</t>
        </is>
      </c>
      <c r="AU378" s="24" t="inlineStr">
        <is>
          <t>Janice Tjen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3ab056fefe04713e3c294da76c8adb2866b0dc46556ed32322a0426dd344a0e4</t>
        </is>
      </c>
      <c r="BB378" s="24" t="inlineStr">
        <is>
          <t>surface_blended_elo</t>
        </is>
      </c>
      <c r="BC378" s="24" t="inlineStr">
        <is>
          <t>tennis-surface-elo-v1</t>
        </is>
      </c>
      <c r="BD378" s="24" t="inlineStr">
        <is>
          <t>3ab056fefe04713e3c294da76c8adb2866b0dc46556ed32322a0426dd344a0e4</t>
        </is>
      </c>
      <c r="BE378" s="24" t="inlineStr">
        <is>
          <t>tennis-surface-elo-v1</t>
        </is>
      </c>
      <c r="BF378" s="24" t="inlineStr">
        <is>
          <t>1</t>
        </is>
      </c>
      <c r="BG378" s="24" t="inlineStr">
        <is>
          <t>3ab056fefe04713e3c294da76c8adb2866b0dc46556ed32322a0426dd344a0e4</t>
        </is>
      </c>
      <c r="BH378" s="24" t="inlineStr">
        <is>
          <t>2026-08-18T15:14:07.650411Z</t>
        </is>
      </c>
      <c r="BI378" s="24" t="inlineStr">
        <is>
          <t>["same_event","same_team_same_day","same_league_same_day"]</t>
        </is>
      </c>
      <c r="BJ378" s="25" t="n"/>
      <c r="BK378" s="26" t="n">
        <v>-614</v>
      </c>
      <c r="BL378" s="27" t="n">
        <v>1.162866</v>
      </c>
      <c r="BM378" s="28" t="n">
        <v>0.859944</v>
      </c>
      <c r="BN378" s="28" t="n"/>
      <c r="BO378" s="28" t="n"/>
      <c r="BP378" s="25" t="n"/>
      <c r="BQ378" s="27" t="n">
        <v>1.162866</v>
      </c>
      <c r="BR378" s="28" t="n">
        <v>0.86</v>
      </c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0.859944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1a702b80480b4dfe</t>
        </is>
      </c>
      <c r="B379" s="24" t="inlineStr">
        <is>
          <t>2026-08-18T15:14:41.670499Z</t>
        </is>
      </c>
      <c r="C379" s="24" t="inlineStr">
        <is>
          <t>2026-08-18T18:00Z</t>
        </is>
      </c>
      <c r="D379" s="24" t="inlineStr">
        <is>
          <t>718-2026:182328</t>
        </is>
      </c>
      <c r="E379" s="24" t="inlineStr">
        <is>
          <t>TENNIS</t>
        </is>
      </c>
      <c r="F379" s="24" t="inlineStr">
        <is>
          <t>Elina Svitolina</t>
        </is>
      </c>
      <c r="G379" s="24" t="inlineStr">
        <is>
          <t>Wang Xiyu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-317</v>
      </c>
      <c r="M379" s="27" t="n">
        <v>1.315457</v>
      </c>
      <c r="N379" s="28" t="n">
        <v>0.760192</v>
      </c>
      <c r="O379" s="28" t="n">
        <v>0.80975</v>
      </c>
      <c r="P379" s="28" t="n">
        <v>0.05</v>
      </c>
      <c r="Q379" s="28" t="n">
        <v>0.049558</v>
      </c>
      <c r="R379" s="26" t="n">
        <v>45</v>
      </c>
      <c r="S379" s="29" t="n">
        <v>2</v>
      </c>
      <c r="T379" s="24" t="inlineStr">
        <is>
          <t>tennis-surface-elo-v1</t>
        </is>
      </c>
      <c r="U379" s="24" t="inlineStr">
        <is>
          <t>settled</t>
        </is>
      </c>
      <c r="V379" s="24" t="inlineStr">
        <is>
          <t>loss</t>
        </is>
      </c>
      <c r="W379" s="26" t="n">
        <v>0</v>
      </c>
      <c r="X379" s="26" t="n">
        <v>1</v>
      </c>
      <c r="Y379" s="25" t="n"/>
      <c r="Z379" s="26" t="n">
        <v>-317</v>
      </c>
      <c r="AA379" s="28" t="n">
        <v>0.76</v>
      </c>
      <c r="AB379" s="28" t="n">
        <v>-0.000192</v>
      </c>
      <c r="AC379" s="30" t="n">
        <v>-2</v>
      </c>
      <c r="AD379" s="24" t="inlineStr">
        <is>
          <t>2026-08-18T18:17:40.918244Z</t>
        </is>
      </c>
      <c r="AE379" s="31" t="inlineStr">
        <is>
          <t>Surface-blended Elo on Hard: Elina Svitolina p=0.810 vs Wang Xiyu. Executable ask 0.7600 (aec-wta-xiywan-elisvi-2026-08-18).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3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Elina Svitolina</t>
        </is>
      </c>
      <c r="AQ379" s="24" t="inlineStr">
        <is>
          <t>Elina Svitolina</t>
        </is>
      </c>
      <c r="AR379" s="24" t="inlineStr">
        <is>
          <t>Elina Svitolina</t>
        </is>
      </c>
      <c r="AS379" s="24" t="inlineStr">
        <is>
          <t>Wang Xiyu</t>
        </is>
      </c>
      <c r="AT379" s="24" t="inlineStr">
        <is>
          <t>Wang Xiyu</t>
        </is>
      </c>
      <c r="AU379" s="24" t="inlineStr">
        <is>
          <t>Wang Xiyu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3ab056fefe04713e3c294da76c8adb2866b0dc46556ed32322a0426dd344a0e4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3ab056fefe04713e3c294da76c8adb2866b0dc46556ed32322a0426dd344a0e4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3ab056fefe04713e3c294da76c8adb2866b0dc46556ed32322a0426dd344a0e4</t>
        </is>
      </c>
      <c r="BH379" s="24" t="inlineStr">
        <is>
          <t>2026-08-18T15:14:07.935430Z</t>
        </is>
      </c>
      <c r="BI379" s="24" t="inlineStr">
        <is>
          <t>["same_event","same_team_same_day","same_league_same_day"]</t>
        </is>
      </c>
      <c r="BJ379" s="25" t="n"/>
      <c r="BK379" s="26" t="n">
        <v>-317</v>
      </c>
      <c r="BL379" s="27" t="n">
        <v>1.315457</v>
      </c>
      <c r="BM379" s="28" t="n">
        <v>0.760192</v>
      </c>
      <c r="BN379" s="28" t="n"/>
      <c r="BO379" s="28" t="n"/>
      <c r="BP379" s="25" t="n"/>
      <c r="BQ379" s="27" t="n">
        <v>1.315457</v>
      </c>
      <c r="BR379" s="28" t="n">
        <v>0.76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0.760192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7d5596a4f604469e</t>
        </is>
      </c>
      <c r="B380" s="24" t="inlineStr">
        <is>
          <t>2026-08-18T15:14:41.670499Z</t>
        </is>
      </c>
      <c r="C380" s="24" t="inlineStr">
        <is>
          <t>2026-08-18T16:30Z</t>
        </is>
      </c>
      <c r="D380" s="24" t="inlineStr">
        <is>
          <t>718-2026:181885</t>
        </is>
      </c>
      <c r="E380" s="24" t="inlineStr">
        <is>
          <t>TENNIS</t>
        </is>
      </c>
      <c r="F380" s="24" t="inlineStr">
        <is>
          <t>Lorenzo Musetti</t>
        </is>
      </c>
      <c r="G380" s="24" t="inlineStr">
        <is>
          <t>Michael Zheng</t>
        </is>
      </c>
      <c r="H380" s="24" t="inlineStr">
        <is>
          <t>moneyline</t>
        </is>
      </c>
      <c r="I380" s="24" t="inlineStr">
        <is>
          <t>away</t>
        </is>
      </c>
      <c r="J380" s="25" t="n"/>
      <c r="K380" s="24" t="inlineStr">
        <is>
          <t>polymarket_us</t>
        </is>
      </c>
      <c r="L380" s="26" t="n">
        <v>-186</v>
      </c>
      <c r="M380" s="27" t="n">
        <v>1.537634</v>
      </c>
      <c r="N380" s="28" t="n">
        <v>0.65035</v>
      </c>
      <c r="O380" s="28" t="n">
        <v>0.683547</v>
      </c>
      <c r="P380" s="28" t="n">
        <v>0.05</v>
      </c>
      <c r="Q380" s="28" t="n">
        <v>0.033197</v>
      </c>
      <c r="R380" s="26" t="n">
        <v>37</v>
      </c>
      <c r="S380" s="29" t="n">
        <v>2</v>
      </c>
      <c r="T380" s="24" t="inlineStr">
        <is>
          <t>tennis-surface-elo-v1</t>
        </is>
      </c>
      <c r="U380" s="24" t="inlineStr">
        <is>
          <t>settled</t>
        </is>
      </c>
      <c r="V380" s="24" t="inlineStr">
        <is>
          <t>win</t>
        </is>
      </c>
      <c r="W380" s="26" t="n">
        <v>1</v>
      </c>
      <c r="X380" s="26" t="n">
        <v>0</v>
      </c>
      <c r="Y380" s="25" t="n"/>
      <c r="Z380" s="26" t="n">
        <v>-186</v>
      </c>
      <c r="AA380" s="28" t="n">
        <v>0.65</v>
      </c>
      <c r="AB380" s="28" t="n">
        <v>-0.00035</v>
      </c>
      <c r="AC380" s="30" t="n">
        <v>1.0753</v>
      </c>
      <c r="AD380" s="24" t="inlineStr">
        <is>
          <t>2026-08-18T18:17:42.881314Z</t>
        </is>
      </c>
      <c r="AE380" s="31" t="inlineStr">
        <is>
          <t>Surface-blended Elo on Hard: Lorenzo Musetti p=0.684 vs Michael Zheng. Executable ask 0.6500 (aec-atp-miczhe-lormus-2026-08-18).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3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Lorenzo Musetti</t>
        </is>
      </c>
      <c r="AQ380" s="24" t="inlineStr">
        <is>
          <t>Lorenzo Musetti</t>
        </is>
      </c>
      <c r="AR380" s="24" t="inlineStr">
        <is>
          <t>Lorenzo Musetti</t>
        </is>
      </c>
      <c r="AS380" s="24" t="inlineStr">
        <is>
          <t>Michael Zheng</t>
        </is>
      </c>
      <c r="AT380" s="24" t="inlineStr">
        <is>
          <t>Michael Zheng</t>
        </is>
      </c>
      <c r="AU380" s="24" t="inlineStr">
        <is>
          <t>Michael Zheng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3ab056fefe04713e3c294da76c8adb2866b0dc46556ed32322a0426dd344a0e4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3ab056fefe04713e3c294da76c8adb2866b0dc46556ed32322a0426dd344a0e4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3ab056fefe04713e3c294da76c8adb2866b0dc46556ed32322a0426dd344a0e4</t>
        </is>
      </c>
      <c r="BH380" s="24" t="inlineStr">
        <is>
          <t>2026-08-18T15:14:09.447331Z</t>
        </is>
      </c>
      <c r="BI380" s="24" t="inlineStr">
        <is>
          <t>["same_event","same_team_same_day","same_league_same_day"]</t>
        </is>
      </c>
      <c r="BJ380" s="25" t="n"/>
      <c r="BK380" s="26" t="n">
        <v>-186</v>
      </c>
      <c r="BL380" s="27" t="n">
        <v>1.537634</v>
      </c>
      <c r="BM380" s="28" t="n">
        <v>0.65035</v>
      </c>
      <c r="BN380" s="28" t="n"/>
      <c r="BO380" s="28" t="n"/>
      <c r="BP380" s="25" t="n"/>
      <c r="BQ380" s="27" t="n">
        <v>1.537634</v>
      </c>
      <c r="BR380" s="28" t="n">
        <v>0.65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0.65035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2bebeac0f8844ee3</t>
        </is>
      </c>
      <c r="B381" s="24" t="inlineStr">
        <is>
          <t>2026-08-18T15:14:41.670499Z</t>
        </is>
      </c>
      <c r="C381" s="24" t="inlineStr">
        <is>
          <t>2026-08-18T16:30Z</t>
        </is>
      </c>
      <c r="D381" s="24" t="inlineStr">
        <is>
          <t>718-2026:181913</t>
        </is>
      </c>
      <c r="E381" s="24" t="inlineStr">
        <is>
          <t>TENNIS</t>
        </is>
      </c>
      <c r="F381" s="24" t="inlineStr">
        <is>
          <t>Daniel Merida</t>
        </is>
      </c>
      <c r="G381" s="24" t="inlineStr">
        <is>
          <t>Taylor Fritz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-426</v>
      </c>
      <c r="M381" s="27" t="n">
        <v>1.234742</v>
      </c>
      <c r="N381" s="28" t="n">
        <v>0.809886</v>
      </c>
      <c r="O381" s="28" t="n">
        <v>0.614617</v>
      </c>
      <c r="P381" s="28" t="n">
        <v>0.05</v>
      </c>
      <c r="Q381" s="28" t="n">
        <v>-0.195269</v>
      </c>
      <c r="R381" s="26" t="n">
        <v>0</v>
      </c>
      <c r="S381" s="29" t="n">
        <v>1.5</v>
      </c>
      <c r="T381" s="24" t="inlineStr">
        <is>
          <t>tennis-surface-elo-v1</t>
        </is>
      </c>
      <c r="U381" s="24" t="inlineStr">
        <is>
          <t>settled</t>
        </is>
      </c>
      <c r="V381" s="24" t="inlineStr">
        <is>
          <t>win</t>
        </is>
      </c>
      <c r="W381" s="26" t="n">
        <v>0</v>
      </c>
      <c r="X381" s="26" t="n">
        <v>1</v>
      </c>
      <c r="Y381" s="25" t="n"/>
      <c r="Z381" s="26" t="n">
        <v>-426</v>
      </c>
      <c r="AA381" s="28" t="n">
        <v>0.8100000000000001</v>
      </c>
      <c r="AB381" s="28" t="n">
        <v>0.000114</v>
      </c>
      <c r="AC381" s="30" t="n">
        <v>0.3521</v>
      </c>
      <c r="AD381" s="24" t="inlineStr">
        <is>
          <t>2026-08-18T18:17:44.868447Z</t>
        </is>
      </c>
      <c r="AE381" s="31" t="inlineStr">
        <is>
          <t>Surface-blended Elo on Hard: Daniel Merida p=0.385 vs Taylor Fritz. Executable ask 0.8100 (aec-atp-tayfri-danagu-2026-08-17).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3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Daniel Merida</t>
        </is>
      </c>
      <c r="AQ381" s="24" t="inlineStr">
        <is>
          <t>Daniel Merida</t>
        </is>
      </c>
      <c r="AR381" s="24" t="inlineStr">
        <is>
          <t>Daniel Merida</t>
        </is>
      </c>
      <c r="AS381" s="24" t="inlineStr">
        <is>
          <t>Taylor Fritz</t>
        </is>
      </c>
      <c r="AT381" s="24" t="inlineStr">
        <is>
          <t>Taylor Fritz</t>
        </is>
      </c>
      <c r="AU381" s="24" t="inlineStr">
        <is>
          <t>Taylor Fritz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3ab056fefe04713e3c294da76c8adb2866b0dc46556ed32322a0426dd344a0e4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3ab056fefe04713e3c294da76c8adb2866b0dc46556ed32322a0426dd344a0e4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3ab056fefe04713e3c294da76c8adb2866b0dc46556ed32322a0426dd344a0e4</t>
        </is>
      </c>
      <c r="BH381" s="24" t="inlineStr">
        <is>
          <t>2026-08-18T15:14:09.221410Z</t>
        </is>
      </c>
      <c r="BI381" s="24" t="inlineStr">
        <is>
          <t>["same_event","same_team_same_day","same_league_same_day"]</t>
        </is>
      </c>
      <c r="BJ381" s="25" t="n"/>
      <c r="BK381" s="26" t="n">
        <v>-426</v>
      </c>
      <c r="BL381" s="27" t="n">
        <v>1.234742</v>
      </c>
      <c r="BM381" s="28" t="n">
        <v>0.809886</v>
      </c>
      <c r="BN381" s="28" t="n"/>
      <c r="BO381" s="28" t="n"/>
      <c r="BP381" s="25" t="n"/>
      <c r="BQ381" s="27" t="n">
        <v>1.234742</v>
      </c>
      <c r="BR381" s="28" t="n">
        <v>0.8100000000000001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0.809886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422c56716b0c4094</t>
        </is>
      </c>
      <c r="B382" s="24" t="inlineStr">
        <is>
          <t>2026-08-18T18:20:00.990620Z</t>
        </is>
      </c>
      <c r="C382" s="24" t="inlineStr">
        <is>
          <t>2026-08-18T19:00Z</t>
        </is>
      </c>
      <c r="D382" s="24" t="inlineStr">
        <is>
          <t>718-2026:182323</t>
        </is>
      </c>
      <c r="E382" s="24" t="inlineStr">
        <is>
          <t>TENNIS</t>
        </is>
      </c>
      <c r="F382" s="24" t="inlineStr">
        <is>
          <t>Ann Li</t>
        </is>
      </c>
      <c r="G382" s="24" t="inlineStr">
        <is>
          <t>Coco Gauff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-669</v>
      </c>
      <c r="M382" s="27" t="n">
        <v>1.149477</v>
      </c>
      <c r="N382" s="28" t="n">
        <v>0.869961</v>
      </c>
      <c r="O382" s="28" t="n">
        <v>0.813106</v>
      </c>
      <c r="P382" s="28" t="n">
        <v>0.05</v>
      </c>
      <c r="Q382" s="28" t="n">
        <v>-0.056855</v>
      </c>
      <c r="R382" s="26" t="n">
        <v>0</v>
      </c>
      <c r="S382" s="29" t="n">
        <v>2</v>
      </c>
      <c r="T382" s="24" t="inlineStr">
        <is>
          <t>tennis-surface-elo-v1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-669</v>
      </c>
      <c r="AA382" s="28" t="n">
        <v>0.87</v>
      </c>
      <c r="AB382" s="28" t="n">
        <v>3.9e-05</v>
      </c>
      <c r="AC382" s="30" t="n">
        <v>0.299</v>
      </c>
      <c r="AD382" s="24" t="inlineStr">
        <is>
          <t>2026-08-18T21:37:57.622377Z</t>
        </is>
      </c>
      <c r="AE382" s="31" t="inlineStr">
        <is>
          <t>Surface-blended Elo on Hard: Ann Li p=0.187 vs Coco Gauff. Executable ask 0.8700 (aec-wta-cocgau-annli-2026-08-18).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3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Ann Li</t>
        </is>
      </c>
      <c r="AQ382" s="24" t="inlineStr">
        <is>
          <t>Ann Li</t>
        </is>
      </c>
      <c r="AR382" s="24" t="inlineStr">
        <is>
          <t>Ann Li</t>
        </is>
      </c>
      <c r="AS382" s="24" t="inlineStr">
        <is>
          <t>Coco Gauff</t>
        </is>
      </c>
      <c r="AT382" s="24" t="inlineStr">
        <is>
          <t>Coco Gauff</t>
        </is>
      </c>
      <c r="AU382" s="24" t="inlineStr">
        <is>
          <t>Coco Gauff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3ab056fefe04713e3c294da76c8adb2866b0dc46556ed32322a0426dd344a0e4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3ab056fefe04713e3c294da76c8adb2866b0dc46556ed32322a0426dd344a0e4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3ab056fefe04713e3c294da76c8adb2866b0dc46556ed32322a0426dd344a0e4</t>
        </is>
      </c>
      <c r="BH382" s="24" t="inlineStr">
        <is>
          <t>2026-08-18T18:18:56.979308Z</t>
        </is>
      </c>
      <c r="BI382" s="24" t="inlineStr">
        <is>
          <t>["same_event","same_team_same_day","same_league_same_day"]</t>
        </is>
      </c>
      <c r="BJ382" s="25" t="n"/>
      <c r="BK382" s="26" t="n">
        <v>-669</v>
      </c>
      <c r="BL382" s="27" t="n">
        <v>1.149477</v>
      </c>
      <c r="BM382" s="28" t="n">
        <v>0.869961</v>
      </c>
      <c r="BN382" s="28" t="n"/>
      <c r="BO382" s="28" t="n"/>
      <c r="BP382" s="25" t="n"/>
      <c r="BQ382" s="27" t="n">
        <v>1.149477</v>
      </c>
      <c r="BR382" s="28" t="n">
        <v>0.87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0.869961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08f6e82f1b214e5e</t>
        </is>
      </c>
      <c r="B383" s="24" t="inlineStr">
        <is>
          <t>2026-08-18T18:20:00.990620Z</t>
        </is>
      </c>
      <c r="C383" s="24" t="inlineStr">
        <is>
          <t>2026-08-18T19:00Z</t>
        </is>
      </c>
      <c r="D383" s="24" t="inlineStr">
        <is>
          <t>718-2026:182343</t>
        </is>
      </c>
      <c r="E383" s="24" t="inlineStr">
        <is>
          <t>TENNIS</t>
        </is>
      </c>
      <c r="F383" s="24" t="inlineStr">
        <is>
          <t>Sloane Stephens</t>
        </is>
      </c>
      <c r="G383" s="24" t="inlineStr">
        <is>
          <t>Marta Kostyuk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-669</v>
      </c>
      <c r="M383" s="27" t="n">
        <v>1.149477</v>
      </c>
      <c r="N383" s="28" t="n">
        <v>0.869961</v>
      </c>
      <c r="O383" s="28" t="n">
        <v>0.864416</v>
      </c>
      <c r="P383" s="28" t="n">
        <v>0.05</v>
      </c>
      <c r="Q383" s="28" t="n">
        <v>-0.005545</v>
      </c>
      <c r="R383" s="26" t="n">
        <v>17</v>
      </c>
      <c r="S383" s="29" t="n">
        <v>2</v>
      </c>
      <c r="T383" s="24" t="inlineStr">
        <is>
          <t>tennis-surface-elo-v1</t>
        </is>
      </c>
      <c r="U383" s="24" t="inlineStr">
        <is>
          <t>settled</t>
        </is>
      </c>
      <c r="V383" s="24" t="inlineStr">
        <is>
          <t>win</t>
        </is>
      </c>
      <c r="W383" s="26" t="n">
        <v>0</v>
      </c>
      <c r="X383" s="26" t="n">
        <v>1</v>
      </c>
      <c r="Y383" s="25" t="n"/>
      <c r="Z383" s="26" t="n">
        <v>-669</v>
      </c>
      <c r="AA383" s="28" t="n">
        <v>0.87</v>
      </c>
      <c r="AB383" s="28" t="n">
        <v>3.9e-05</v>
      </c>
      <c r="AC383" s="30" t="n">
        <v>0.299</v>
      </c>
      <c r="AD383" s="24" t="inlineStr">
        <is>
          <t>2026-08-18T21:37:59.578615Z</t>
        </is>
      </c>
      <c r="AE383" s="31" t="inlineStr">
        <is>
          <t>Surface-blended Elo on Hard: Sloane Stephens p=0.136 vs Marta Kostyuk. Executable ask 0.8700 (aec-wta-markos-sloste-2026-08-18).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3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Sloane Stephens</t>
        </is>
      </c>
      <c r="AQ383" s="24" t="inlineStr">
        <is>
          <t>Sloane Stephens</t>
        </is>
      </c>
      <c r="AR383" s="24" t="inlineStr">
        <is>
          <t>Sloane Stephens</t>
        </is>
      </c>
      <c r="AS383" s="24" t="inlineStr">
        <is>
          <t>Marta Kostyuk</t>
        </is>
      </c>
      <c r="AT383" s="24" t="inlineStr">
        <is>
          <t>Marta Kostyuk</t>
        </is>
      </c>
      <c r="AU383" s="24" t="inlineStr">
        <is>
          <t>Marta Kostyuk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3ab056fefe04713e3c294da76c8adb2866b0dc46556ed32322a0426dd344a0e4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3ab056fefe04713e3c294da76c8adb2866b0dc46556ed32322a0426dd344a0e4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3ab056fefe04713e3c294da76c8adb2866b0dc46556ed32322a0426dd344a0e4</t>
        </is>
      </c>
      <c r="BH383" s="24" t="inlineStr">
        <is>
          <t>2026-08-18T18:18:57.212663Z</t>
        </is>
      </c>
      <c r="BI383" s="24" t="inlineStr">
        <is>
          <t>["same_event","same_team_same_day","same_league_same_day"]</t>
        </is>
      </c>
      <c r="BJ383" s="25" t="n"/>
      <c r="BK383" s="26" t="n">
        <v>-669</v>
      </c>
      <c r="BL383" s="27" t="n">
        <v>1.149477</v>
      </c>
      <c r="BM383" s="28" t="n">
        <v>0.869961</v>
      </c>
      <c r="BN383" s="28" t="n"/>
      <c r="BO383" s="28" t="n"/>
      <c r="BP383" s="25" t="n"/>
      <c r="BQ383" s="27" t="n">
        <v>1.149477</v>
      </c>
      <c r="BR383" s="28" t="n">
        <v>0.87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0.869961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fc89e9819e1b46f7</t>
        </is>
      </c>
      <c r="B384" s="24" t="inlineStr">
        <is>
          <t>2026-08-18T18:20:00.990620Z</t>
        </is>
      </c>
      <c r="C384" s="24" t="inlineStr">
        <is>
          <t>2026-08-18T20:30Z</t>
        </is>
      </c>
      <c r="D384" s="24" t="inlineStr">
        <is>
          <t>718-2026:182355</t>
        </is>
      </c>
      <c r="E384" s="24" t="inlineStr">
        <is>
          <t>TENNIS</t>
        </is>
      </c>
      <c r="F384" s="24" t="inlineStr">
        <is>
          <t>Ekaterina Alexandrova</t>
        </is>
      </c>
      <c r="G384" s="24" t="inlineStr">
        <is>
          <t>Sara Bejlek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-108</v>
      </c>
      <c r="M384" s="27" t="n">
        <v>1.925926</v>
      </c>
      <c r="N384" s="28" t="n">
        <v>0.519231</v>
      </c>
      <c r="O384" s="28" t="n">
        <v>0.539726</v>
      </c>
      <c r="P384" s="28" t="n">
        <v>0.05</v>
      </c>
      <c r="Q384" s="28" t="n">
        <v>0.020495</v>
      </c>
      <c r="R384" s="26" t="n">
        <v>30</v>
      </c>
      <c r="S384" s="29" t="n">
        <v>1</v>
      </c>
      <c r="T384" s="24" t="inlineStr">
        <is>
          <t>tennis-surface-elo-v1</t>
        </is>
      </c>
      <c r="U384" s="24" t="inlineStr">
        <is>
          <t>settled</t>
        </is>
      </c>
      <c r="V384" s="24" t="inlineStr">
        <is>
          <t>loss</t>
        </is>
      </c>
      <c r="W384" s="26" t="n">
        <v>0</v>
      </c>
      <c r="X384" s="26" t="n">
        <v>1</v>
      </c>
      <c r="Y384" s="25" t="n"/>
      <c r="Z384" s="26" t="n">
        <v>-108</v>
      </c>
      <c r="AA384" s="28" t="n">
        <v>0.52</v>
      </c>
      <c r="AB384" s="28" t="n">
        <v>0.000769</v>
      </c>
      <c r="AC384" s="30" t="n">
        <v>-1</v>
      </c>
      <c r="AD384" s="24" t="inlineStr">
        <is>
          <t>2026-08-19T00:42:40.365115Z</t>
        </is>
      </c>
      <c r="AE384" s="31" t="inlineStr">
        <is>
          <t>Surface-blended Elo on Hard: Ekaterina Alexandrova p=0.540 vs Sara Bejlek. Executable ask 0.5200 (aec-wta-sarbej-ekaale-2026-08-17).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review_required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3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Ekaterina Alexandrova</t>
        </is>
      </c>
      <c r="AQ384" s="24" t="inlineStr">
        <is>
          <t>Ekaterina Alexandrova</t>
        </is>
      </c>
      <c r="AR384" s="24" t="inlineStr">
        <is>
          <t>Ekaterina Alexandrova</t>
        </is>
      </c>
      <c r="AS384" s="24" t="inlineStr">
        <is>
          <t>Sara Bejlek</t>
        </is>
      </c>
      <c r="AT384" s="24" t="inlineStr">
        <is>
          <t>Sara Bejlek</t>
        </is>
      </c>
      <c r="AU384" s="24" t="inlineStr">
        <is>
          <t>Sara Bejlek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3ab056fefe04713e3c294da76c8adb2866b0dc46556ed32322a0426dd344a0e4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3ab056fefe04713e3c294da76c8adb2866b0dc46556ed32322a0426dd344a0e4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3ab056fefe04713e3c294da76c8adb2866b0dc46556ed32322a0426dd344a0e4</t>
        </is>
      </c>
      <c r="BH384" s="24" t="inlineStr">
        <is>
          <t>2026-08-18T18:18:57.365901Z</t>
        </is>
      </c>
      <c r="BI384" s="24" t="inlineStr">
        <is>
          <t>["same_event","same_team_same_day","same_league_same_day"]</t>
        </is>
      </c>
      <c r="BJ384" s="25" t="n"/>
      <c r="BK384" s="26" t="n">
        <v>-108</v>
      </c>
      <c r="BL384" s="27" t="n">
        <v>1.925926</v>
      </c>
      <c r="BM384" s="28" t="n">
        <v>0.519231</v>
      </c>
      <c r="BN384" s="28" t="n"/>
      <c r="BO384" s="28" t="n"/>
      <c r="BP384" s="25" t="n"/>
      <c r="BQ384" s="27" t="n">
        <v>1.925926</v>
      </c>
      <c r="BR384" s="28" t="n">
        <v>0.52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0.519231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12a205422c7e4451</t>
        </is>
      </c>
      <c r="B385" s="24" t="inlineStr">
        <is>
          <t>2026-08-18T18:20:00.990620Z</t>
        </is>
      </c>
      <c r="C385" s="24" t="inlineStr">
        <is>
          <t>2026-08-18T18:30Z</t>
        </is>
      </c>
      <c r="D385" s="24" t="inlineStr">
        <is>
          <t>718-2026:181900</t>
        </is>
      </c>
      <c r="E385" s="24" t="inlineStr">
        <is>
          <t>TENNIS</t>
        </is>
      </c>
      <c r="F385" s="24" t="inlineStr">
        <is>
          <t>Daniil Medvedev</t>
        </is>
      </c>
      <c r="G385" s="24" t="inlineStr">
        <is>
          <t>Brandon Nakashima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-138</v>
      </c>
      <c r="M385" s="27" t="n">
        <v>1.724638</v>
      </c>
      <c r="N385" s="28" t="n">
        <v>0.579832</v>
      </c>
      <c r="O385" s="28" t="n">
        <v>0.596532</v>
      </c>
      <c r="P385" s="28" t="n">
        <v>0.05</v>
      </c>
      <c r="Q385" s="28" t="n">
        <v>0.0167</v>
      </c>
      <c r="R385" s="26" t="n">
        <v>28</v>
      </c>
      <c r="S385" s="29" t="n">
        <v>1.25</v>
      </c>
      <c r="T385" s="24" t="inlineStr">
        <is>
          <t>tennis-surface-elo-v1</t>
        </is>
      </c>
      <c r="U385" s="24" t="inlineStr">
        <is>
          <t>settled</t>
        </is>
      </c>
      <c r="V385" s="24" t="inlineStr">
        <is>
          <t>loss</t>
        </is>
      </c>
      <c r="W385" s="26" t="n">
        <v>0</v>
      </c>
      <c r="X385" s="26" t="n">
        <v>1</v>
      </c>
      <c r="Y385" s="25" t="n"/>
      <c r="Z385" s="26" t="n">
        <v>-138</v>
      </c>
      <c r="AA385" s="28" t="n">
        <v>0.58</v>
      </c>
      <c r="AB385" s="28" t="n">
        <v>0.000168</v>
      </c>
      <c r="AC385" s="30" t="n">
        <v>-1.25</v>
      </c>
      <c r="AD385" s="24" t="inlineStr">
        <is>
          <t>2026-08-18T22:09:57.221208Z</t>
        </is>
      </c>
      <c r="AE385" s="31" t="inlineStr">
        <is>
          <t>Surface-blended Elo on Hard: Daniil Medvedev p=0.597 vs Brandon Nakashima. Executable ask 0.5800 (aec-atp-branak-danmed-2026-08-18).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3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Daniil Medvedev</t>
        </is>
      </c>
      <c r="AQ385" s="24" t="inlineStr">
        <is>
          <t>Daniil Medvedev</t>
        </is>
      </c>
      <c r="AR385" s="24" t="inlineStr">
        <is>
          <t>Daniil Medvedev</t>
        </is>
      </c>
      <c r="AS385" s="24" t="inlineStr">
        <is>
          <t>Brandon Nakashima</t>
        </is>
      </c>
      <c r="AT385" s="24" t="inlineStr">
        <is>
          <t>Brandon Nakashima</t>
        </is>
      </c>
      <c r="AU385" s="24" t="inlineStr">
        <is>
          <t>Brandon Nakashima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3ab056fefe04713e3c294da76c8adb2866b0dc46556ed32322a0426dd344a0e4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3ab056fefe04713e3c294da76c8adb2866b0dc46556ed32322a0426dd344a0e4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3ab056fefe04713e3c294da76c8adb2866b0dc46556ed32322a0426dd344a0e4</t>
        </is>
      </c>
      <c r="BH385" s="24" t="inlineStr">
        <is>
          <t>2026-08-18T18:18:57.925845Z</t>
        </is>
      </c>
      <c r="BI385" s="24" t="inlineStr">
        <is>
          <t>["same_event","same_team_same_day","same_league_same_day"]</t>
        </is>
      </c>
      <c r="BJ385" s="25" t="n"/>
      <c r="BK385" s="26" t="n">
        <v>-138</v>
      </c>
      <c r="BL385" s="27" t="n">
        <v>1.724638</v>
      </c>
      <c r="BM385" s="28" t="n">
        <v>0.579832</v>
      </c>
      <c r="BN385" s="28" t="n"/>
      <c r="BO385" s="28" t="n"/>
      <c r="BP385" s="25" t="n"/>
      <c r="BQ385" s="27" t="n">
        <v>1.724638</v>
      </c>
      <c r="BR385" s="28" t="n">
        <v>0.58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0.579832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8d0cceaa0987488a</t>
        </is>
      </c>
      <c r="B386" s="24" t="inlineStr">
        <is>
          <t>2026-08-18T18:20:00.990620Z</t>
        </is>
      </c>
      <c r="C386" s="24" t="inlineStr">
        <is>
          <t>2026-08-18T21:00Z</t>
        </is>
      </c>
      <c r="D386" s="24" t="inlineStr">
        <is>
          <t>718-2026:181879</t>
        </is>
      </c>
      <c r="E386" s="24" t="inlineStr">
        <is>
          <t>TENNIS</t>
        </is>
      </c>
      <c r="F386" s="24" t="inlineStr">
        <is>
          <t>Adam Walton</t>
        </is>
      </c>
      <c r="G386" s="24" t="inlineStr">
        <is>
          <t>Jaime Faria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-144</v>
      </c>
      <c r="M386" s="27" t="n">
        <v>1.694444</v>
      </c>
      <c r="N386" s="28" t="n">
        <v>0.590164</v>
      </c>
      <c r="O386" s="28" t="n">
        <v>0.623497</v>
      </c>
      <c r="P386" s="28" t="n">
        <v>0.05</v>
      </c>
      <c r="Q386" s="28" t="n">
        <v>0.033333</v>
      </c>
      <c r="R386" s="26" t="n">
        <v>37</v>
      </c>
      <c r="S386" s="29" t="n">
        <v>1.5</v>
      </c>
      <c r="T386" s="24" t="inlineStr">
        <is>
          <t>tennis-surface-elo-v1</t>
        </is>
      </c>
      <c r="U386" s="24" t="inlineStr">
        <is>
          <t>settled</t>
        </is>
      </c>
      <c r="V386" s="24" t="inlineStr">
        <is>
          <t>win</t>
        </is>
      </c>
      <c r="W386" s="26" t="n">
        <v>0</v>
      </c>
      <c r="X386" s="26" t="n">
        <v>1</v>
      </c>
      <c r="Y386" s="25" t="n"/>
      <c r="Z386" s="26" t="n">
        <v>-144</v>
      </c>
      <c r="AA386" s="28" t="n">
        <v>0.59</v>
      </c>
      <c r="AB386" s="28" t="n">
        <v>-0.000164</v>
      </c>
      <c r="AC386" s="30" t="n">
        <v>1.0417</v>
      </c>
      <c r="AD386" s="24" t="inlineStr">
        <is>
          <t>2026-08-19T00:42:42.542845Z</t>
        </is>
      </c>
      <c r="AE386" s="31" t="inlineStr">
        <is>
          <t>Surface-blended Elo on Hard: Adam Walton p=0.377 vs Jaime Faria. Executable ask 0.5900 (aec-atp-jaifar-adawal-2026-08-18).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3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Adam Walton</t>
        </is>
      </c>
      <c r="AQ386" s="24" t="inlineStr">
        <is>
          <t>Adam Walton</t>
        </is>
      </c>
      <c r="AR386" s="24" t="inlineStr">
        <is>
          <t>Adam Walton</t>
        </is>
      </c>
      <c r="AS386" s="24" t="inlineStr">
        <is>
          <t>Jaime Faria</t>
        </is>
      </c>
      <c r="AT386" s="24" t="inlineStr">
        <is>
          <t>Jaime Faria</t>
        </is>
      </c>
      <c r="AU386" s="24" t="inlineStr">
        <is>
          <t>Jaime Faria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3ab056fefe04713e3c294da76c8adb2866b0dc46556ed32322a0426dd344a0e4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3ab056fefe04713e3c294da76c8adb2866b0dc46556ed32322a0426dd344a0e4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3ab056fefe04713e3c294da76c8adb2866b0dc46556ed32322a0426dd344a0e4</t>
        </is>
      </c>
      <c r="BH386" s="24" t="inlineStr">
        <is>
          <t>2026-08-18T18:18:58.095000Z</t>
        </is>
      </c>
      <c r="BI386" s="24" t="inlineStr">
        <is>
          <t>["same_event","same_team_same_day","same_league_same_day"]</t>
        </is>
      </c>
      <c r="BJ386" s="25" t="n"/>
      <c r="BK386" s="26" t="n">
        <v>-144</v>
      </c>
      <c r="BL386" s="27" t="n">
        <v>1.694444</v>
      </c>
      <c r="BM386" s="28" t="n">
        <v>0.590164</v>
      </c>
      <c r="BN386" s="28" t="n"/>
      <c r="BO386" s="28" t="n"/>
      <c r="BP386" s="25" t="n"/>
      <c r="BQ386" s="27" t="n">
        <v>1.694444</v>
      </c>
      <c r="BR386" s="28" t="n">
        <v>0.59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0.590164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81924ffa6e83426c</t>
        </is>
      </c>
      <c r="B387" s="24" t="inlineStr">
        <is>
          <t>2026-08-18T22:12:44.244649Z</t>
        </is>
      </c>
      <c r="C387" s="24" t="inlineStr">
        <is>
          <t>2026-08-18T23:00Z</t>
        </is>
      </c>
      <c r="D387" s="24" t="inlineStr">
        <is>
          <t>718-2026:182356</t>
        </is>
      </c>
      <c r="E387" s="24" t="inlineStr">
        <is>
          <t>TENNIS</t>
        </is>
      </c>
      <c r="F387" s="24" t="inlineStr">
        <is>
          <t>Wang Xinyu</t>
        </is>
      </c>
      <c r="G387" s="24" t="inlineStr">
        <is>
          <t>Aryna Sabalenka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-1011</v>
      </c>
      <c r="M387" s="27" t="n">
        <v>1.098912</v>
      </c>
      <c r="N387" s="28" t="n">
        <v>0.909991</v>
      </c>
      <c r="O387" s="28" t="n">
        <v>0.897942</v>
      </c>
      <c r="P387" s="28" t="n">
        <v>0.05</v>
      </c>
      <c r="Q387" s="28" t="n">
        <v>-0.012049</v>
      </c>
      <c r="R387" s="26" t="n">
        <v>14</v>
      </c>
      <c r="S387" s="29" t="n">
        <v>2</v>
      </c>
      <c r="T387" s="24" t="inlineStr">
        <is>
          <t>tennis-surface-elo-v1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-1011</v>
      </c>
      <c r="AA387" s="28" t="n">
        <v>0.91</v>
      </c>
      <c r="AB387" s="28" t="n">
        <v>9e-06</v>
      </c>
      <c r="AC387" s="30" t="n">
        <v>0.1978</v>
      </c>
      <c r="AD387" s="24" t="inlineStr">
        <is>
          <t>2026-08-19T00:42:45.043311Z</t>
        </is>
      </c>
      <c r="AE387" s="31" t="inlineStr">
        <is>
          <t>Surface-blended Elo on Hard: Wang Xinyu p=0.102 vs Aryna Sabalenka. Executable ask 0.9100 (aec-wta-arysab-xinwan-2026-08-18).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3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Wang Xinyu</t>
        </is>
      </c>
      <c r="AQ387" s="24" t="inlineStr">
        <is>
          <t>Wang Xinyu</t>
        </is>
      </c>
      <c r="AR387" s="24" t="inlineStr">
        <is>
          <t>Wang Xinyu</t>
        </is>
      </c>
      <c r="AS387" s="24" t="inlineStr">
        <is>
          <t>Aryna Sabalenka</t>
        </is>
      </c>
      <c r="AT387" s="24" t="inlineStr">
        <is>
          <t>Aryna Sabalenka</t>
        </is>
      </c>
      <c r="AU387" s="24" t="inlineStr">
        <is>
          <t>Aryna Sabalenka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3ab056fefe04713e3c294da76c8adb2866b0dc46556ed32322a0426dd344a0e4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3ab056fefe04713e3c294da76c8adb2866b0dc46556ed32322a0426dd344a0e4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3ab056fefe04713e3c294da76c8adb2866b0dc46556ed32322a0426dd344a0e4</t>
        </is>
      </c>
      <c r="BH387" s="24" t="inlineStr">
        <is>
          <t>2026-08-18T22:11:42.283875Z</t>
        </is>
      </c>
      <c r="BI387" s="24" t="inlineStr">
        <is>
          <t>["same_event","same_team_same_day","same_league_same_day"]</t>
        </is>
      </c>
      <c r="BJ387" s="25" t="n"/>
      <c r="BK387" s="26" t="n">
        <v>-1011</v>
      </c>
      <c r="BL387" s="27" t="n">
        <v>1.098912</v>
      </c>
      <c r="BM387" s="28" t="n">
        <v>0.909991</v>
      </c>
      <c r="BN387" s="28" t="n"/>
      <c r="BO387" s="28" t="n"/>
      <c r="BP387" s="25" t="n"/>
      <c r="BQ387" s="27" t="n">
        <v>1.098912</v>
      </c>
      <c r="BR387" s="28" t="n">
        <v>0.91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0.909991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98f4c35a5e924aad</t>
        </is>
      </c>
      <c r="B388" s="24" t="inlineStr">
        <is>
          <t>2026-08-18T22:12:44.244649Z</t>
        </is>
      </c>
      <c r="C388" s="24" t="inlineStr">
        <is>
          <t>2026-08-19T00:30Z</t>
        </is>
      </c>
      <c r="D388" s="24" t="inlineStr">
        <is>
          <t>718-2026:182340</t>
        </is>
      </c>
      <c r="E388" s="24" t="inlineStr">
        <is>
          <t>TENNIS</t>
        </is>
      </c>
      <c r="F388" s="24" t="inlineStr">
        <is>
          <t>Iva Jovic</t>
        </is>
      </c>
      <c r="G388" s="24" t="inlineStr">
        <is>
          <t>Marie Bouzkova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-178</v>
      </c>
      <c r="M388" s="27" t="n">
        <v>1.561798</v>
      </c>
      <c r="N388" s="28" t="n">
        <v>0.640288</v>
      </c>
      <c r="O388" s="28" t="n">
        <v>0.582234</v>
      </c>
      <c r="P388" s="28" t="n">
        <v>0.05</v>
      </c>
      <c r="Q388" s="28" t="n">
        <v>-0.058054</v>
      </c>
      <c r="R388" s="26" t="n">
        <v>0</v>
      </c>
      <c r="S388" s="29" t="n">
        <v>1.25</v>
      </c>
      <c r="T388" s="24" t="inlineStr">
        <is>
          <t>tennis-surface-elo-v1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1</v>
      </c>
      <c r="Y388" s="25" t="n"/>
      <c r="Z388" s="26" t="n">
        <v>-178</v>
      </c>
      <c r="AA388" s="28" t="n">
        <v>0.64</v>
      </c>
      <c r="AB388" s="28" t="n">
        <v>-0.000288</v>
      </c>
      <c r="AC388" s="30" t="n">
        <v>-1.25</v>
      </c>
      <c r="AD388" s="24" t="inlineStr">
        <is>
          <t>2026-08-19T03:47:28.459887Z</t>
        </is>
      </c>
      <c r="AE388" s="31" t="inlineStr">
        <is>
          <t>Surface-blended Elo on Hard: Iva Jovic p=0.582 vs Marie Bouzkova. Executable ask 0.6400 (aec-wta-marbou-ivajov-2026-08-17).</t>
        </is>
      </c>
      <c r="AF388" s="31" t="inlineStr">
        <is>
          <t>Surface-blended Elo model; singles only, WTA+ATP market coverage, not yet locked-holdout qualified -- promoted by explicit operator directive, not genuine walk-forward validation.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3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Iva Jovic</t>
        </is>
      </c>
      <c r="AQ388" s="24" t="inlineStr">
        <is>
          <t>Iva Jovic</t>
        </is>
      </c>
      <c r="AR388" s="24" t="inlineStr">
        <is>
          <t>Iva Jovic</t>
        </is>
      </c>
      <c r="AS388" s="24" t="inlineStr">
        <is>
          <t>Marie Bouzkova</t>
        </is>
      </c>
      <c r="AT388" s="24" t="inlineStr">
        <is>
          <t>Marie Bouzkova</t>
        </is>
      </c>
      <c r="AU388" s="24" t="inlineStr">
        <is>
          <t>Marie Bouzkova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3ab056fefe04713e3c294da76c8adb2866b0dc46556ed32322a0426dd344a0e4</t>
        </is>
      </c>
      <c r="BB388" s="24" t="inlineStr">
        <is>
          <t>surface_blended_elo</t>
        </is>
      </c>
      <c r="BC388" s="24" t="inlineStr">
        <is>
          <t>tennis-surface-elo-v1</t>
        </is>
      </c>
      <c r="BD388" s="24" t="inlineStr">
        <is>
          <t>3ab056fefe04713e3c294da76c8adb2866b0dc46556ed32322a0426dd344a0e4</t>
        </is>
      </c>
      <c r="BE388" s="24" t="inlineStr">
        <is>
          <t>tennis-surface-elo-v1</t>
        </is>
      </c>
      <c r="BF388" s="24" t="inlineStr">
        <is>
          <t>1</t>
        </is>
      </c>
      <c r="BG388" s="24" t="inlineStr">
        <is>
          <t>3ab056fefe04713e3c294da76c8adb2866b0dc46556ed32322a0426dd344a0e4</t>
        </is>
      </c>
      <c r="BH388" s="24" t="inlineStr">
        <is>
          <t>2026-08-18T22:11:42.680287Z</t>
        </is>
      </c>
      <c r="BI388" s="24" t="inlineStr">
        <is>
          <t>["same_event","same_team_same_day","same_league_same_day"]</t>
        </is>
      </c>
      <c r="BJ388" s="25" t="n"/>
      <c r="BK388" s="26" t="n">
        <v>-178</v>
      </c>
      <c r="BL388" s="27" t="n">
        <v>1.561798</v>
      </c>
      <c r="BM388" s="28" t="n">
        <v>0.640288</v>
      </c>
      <c r="BN388" s="28" t="n"/>
      <c r="BO388" s="28" t="n"/>
      <c r="BP388" s="25" t="n"/>
      <c r="BQ388" s="27" t="n">
        <v>1.561798</v>
      </c>
      <c r="BR388" s="28" t="n">
        <v>0.64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0.640288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1431ea997fdf4ead</t>
        </is>
      </c>
      <c r="B389" s="24" t="inlineStr">
        <is>
          <t>2026-08-18T22:12:44.244649Z</t>
        </is>
      </c>
      <c r="C389" s="24" t="inlineStr">
        <is>
          <t>2026-08-18T23:00Z</t>
        </is>
      </c>
      <c r="D389" s="24" t="inlineStr">
        <is>
          <t>718-2026:181919</t>
        </is>
      </c>
      <c r="E389" s="24" t="inlineStr">
        <is>
          <t>TENNIS</t>
        </is>
      </c>
      <c r="F389" s="24" t="inlineStr">
        <is>
          <t>Felix Auger-Aliassime</t>
        </is>
      </c>
      <c r="G389" s="24" t="inlineStr">
        <is>
          <t>Juan Manuel Cerundolo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-456</v>
      </c>
      <c r="M389" s="27" t="n">
        <v>1.219298</v>
      </c>
      <c r="N389" s="28" t="n">
        <v>0.820144</v>
      </c>
      <c r="O389" s="28" t="n">
        <v>0.808405</v>
      </c>
      <c r="P389" s="28" t="n">
        <v>0.05</v>
      </c>
      <c r="Q389" s="28" t="n">
        <v>-0.011739</v>
      </c>
      <c r="R389" s="26" t="n">
        <v>14</v>
      </c>
      <c r="S389" s="29" t="n">
        <v>2</v>
      </c>
      <c r="T389" s="24" t="inlineStr">
        <is>
          <t>tennis-surface-elo-v1</t>
        </is>
      </c>
      <c r="U389" s="24" t="inlineStr">
        <is>
          <t>settled</t>
        </is>
      </c>
      <c r="V389" s="24" t="inlineStr">
        <is>
          <t>win</t>
        </is>
      </c>
      <c r="W389" s="26" t="n">
        <v>1</v>
      </c>
      <c r="X389" s="26" t="n">
        <v>0</v>
      </c>
      <c r="Y389" s="25" t="n"/>
      <c r="Z389" s="26" t="n">
        <v>-456</v>
      </c>
      <c r="AA389" s="28" t="n">
        <v>0.82</v>
      </c>
      <c r="AB389" s="28" t="n">
        <v>-0.000144</v>
      </c>
      <c r="AC389" s="30" t="n">
        <v>0.4386</v>
      </c>
      <c r="AD389" s="24" t="inlineStr">
        <is>
          <t>2026-08-19T00:42:47.282758Z</t>
        </is>
      </c>
      <c r="AE389" s="31" t="inlineStr">
        <is>
          <t>Surface-blended Elo on Hard: Felix Auger-Aliassime p=0.808 vs Juan Manuel Cerundolo. Executable ask 0.8200 (aec-atp-juacer-felaug-2026-08-18).</t>
        </is>
      </c>
      <c r="AF389" s="31" t="inlineStr">
        <is>
          <t>Surface-blended Elo model; singles only, WTA+ATP market coverage, not yet locked-holdout qualified -- promoted by explicit operator directive, not genuine walk-forward validation.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3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Felix Auger-Aliassime</t>
        </is>
      </c>
      <c r="AQ389" s="24" t="inlineStr">
        <is>
          <t>Felix Auger-Aliassime</t>
        </is>
      </c>
      <c r="AR389" s="24" t="inlineStr">
        <is>
          <t>Felix Auger-Aliassime</t>
        </is>
      </c>
      <c r="AS389" s="24" t="inlineStr">
        <is>
          <t>Juan Manuel Cerundolo</t>
        </is>
      </c>
      <c r="AT389" s="24" t="inlineStr">
        <is>
          <t>Juan Manuel Cerundolo</t>
        </is>
      </c>
      <c r="AU389" s="24" t="inlineStr">
        <is>
          <t>Juan Manuel Cerundolo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3ab056fefe04713e3c294da76c8adb2866b0dc46556ed32322a0426dd344a0e4</t>
        </is>
      </c>
      <c r="BB389" s="24" t="inlineStr">
        <is>
          <t>surface_blended_elo</t>
        </is>
      </c>
      <c r="BC389" s="24" t="inlineStr">
        <is>
          <t>tennis-surface-elo-v1</t>
        </is>
      </c>
      <c r="BD389" s="24" t="inlineStr">
        <is>
          <t>3ab056fefe04713e3c294da76c8adb2866b0dc46556ed32322a0426dd344a0e4</t>
        </is>
      </c>
      <c r="BE389" s="24" t="inlineStr">
        <is>
          <t>tennis-surface-elo-v1</t>
        </is>
      </c>
      <c r="BF389" s="24" t="inlineStr">
        <is>
          <t>1</t>
        </is>
      </c>
      <c r="BG389" s="24" t="inlineStr">
        <is>
          <t>3ab056fefe04713e3c294da76c8adb2866b0dc46556ed32322a0426dd344a0e4</t>
        </is>
      </c>
      <c r="BH389" s="24" t="inlineStr">
        <is>
          <t>2026-08-18T22:11:42.988472Z</t>
        </is>
      </c>
      <c r="BI389" s="24" t="inlineStr">
        <is>
          <t>["same_event","same_team_same_day","same_league_same_day"]</t>
        </is>
      </c>
      <c r="BJ389" s="25" t="n"/>
      <c r="BK389" s="26" t="n">
        <v>-456</v>
      </c>
      <c r="BL389" s="27" t="n">
        <v>1.219298</v>
      </c>
      <c r="BM389" s="28" t="n">
        <v>0.820144</v>
      </c>
      <c r="BN389" s="28" t="n"/>
      <c r="BO389" s="28" t="n"/>
      <c r="BP389" s="25" t="n"/>
      <c r="BQ389" s="27" t="n">
        <v>1.219298</v>
      </c>
      <c r="BR389" s="28" t="n">
        <v>0.82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0.820144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b92fc2e5077a4636</t>
        </is>
      </c>
      <c r="B390" s="24" t="inlineStr">
        <is>
          <t>2026-08-18T22:12:44.244649Z</t>
        </is>
      </c>
      <c r="C390" s="24" t="inlineStr">
        <is>
          <t>2026-08-19T00:30Z</t>
        </is>
      </c>
      <c r="D390" s="24" t="inlineStr">
        <is>
          <t>718-2026:181890</t>
        </is>
      </c>
      <c r="E390" s="24" t="inlineStr">
        <is>
          <t>TENNIS</t>
        </is>
      </c>
      <c r="F390" s="24" t="inlineStr">
        <is>
          <t>Frances Tiafoe</t>
        </is>
      </c>
      <c r="G390" s="24" t="inlineStr">
        <is>
          <t>Learner Tien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-117</v>
      </c>
      <c r="M390" s="27" t="n">
        <v>1.854701</v>
      </c>
      <c r="N390" s="28" t="n">
        <v>0.539171</v>
      </c>
      <c r="O390" s="28" t="n">
        <v>0.551484</v>
      </c>
      <c r="P390" s="28" t="n">
        <v>0.05</v>
      </c>
      <c r="Q390" s="28" t="n">
        <v>0.012313</v>
      </c>
      <c r="R390" s="26" t="n">
        <v>26</v>
      </c>
      <c r="S390" s="29" t="n">
        <v>1</v>
      </c>
      <c r="T390" s="24" t="inlineStr">
        <is>
          <t>tennis-surface-elo-v1</t>
        </is>
      </c>
      <c r="U390" s="24" t="inlineStr">
        <is>
          <t>settled</t>
        </is>
      </c>
      <c r="V390" s="24" t="inlineStr">
        <is>
          <t>loss</t>
        </is>
      </c>
      <c r="W390" s="26" t="n">
        <v>1</v>
      </c>
      <c r="X390" s="26" t="n">
        <v>0</v>
      </c>
      <c r="Y390" s="25" t="n"/>
      <c r="Z390" s="26" t="n">
        <v>-117</v>
      </c>
      <c r="AA390" s="28" t="n">
        <v>0.54</v>
      </c>
      <c r="AB390" s="28" t="n">
        <v>0.000829</v>
      </c>
      <c r="AC390" s="30" t="n">
        <v>-1</v>
      </c>
      <c r="AD390" s="24" t="inlineStr">
        <is>
          <t>2026-08-19T03:47:30.385263Z</t>
        </is>
      </c>
      <c r="AE390" s="31" t="inlineStr">
        <is>
          <t>Surface-blended Elo on Hard: Frances Tiafoe p=0.449 vs Learner Tien. Executable ask 0.5400 (aec-atp-leatie-fratia-2026-08-18).</t>
        </is>
      </c>
      <c r="AF390" s="31" t="inlineStr">
        <is>
          <t>Surface-blended Elo model; singles only, WTA+ATP market coverage, not yet locked-holdout qualified -- promoted by explicit operator directive, not genuine walk-forward validation.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3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Frances Tiafoe</t>
        </is>
      </c>
      <c r="AQ390" s="24" t="inlineStr">
        <is>
          <t>Frances Tiafoe</t>
        </is>
      </c>
      <c r="AR390" s="24" t="inlineStr">
        <is>
          <t>Frances Tiafoe</t>
        </is>
      </c>
      <c r="AS390" s="24" t="inlineStr">
        <is>
          <t>Learner Tien</t>
        </is>
      </c>
      <c r="AT390" s="24" t="inlineStr">
        <is>
          <t>Learner Tien</t>
        </is>
      </c>
      <c r="AU390" s="24" t="inlineStr">
        <is>
          <t>Learner Tien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3ab056fefe04713e3c294da76c8adb2866b0dc46556ed32322a0426dd344a0e4</t>
        </is>
      </c>
      <c r="BB390" s="24" t="inlineStr">
        <is>
          <t>surface_blended_elo</t>
        </is>
      </c>
      <c r="BC390" s="24" t="inlineStr">
        <is>
          <t>tennis-surface-elo-v1</t>
        </is>
      </c>
      <c r="BD390" s="24" t="inlineStr">
        <is>
          <t>3ab056fefe04713e3c294da76c8adb2866b0dc46556ed32322a0426dd344a0e4</t>
        </is>
      </c>
      <c r="BE390" s="24" t="inlineStr">
        <is>
          <t>tennis-surface-elo-v1</t>
        </is>
      </c>
      <c r="BF390" s="24" t="inlineStr">
        <is>
          <t>1</t>
        </is>
      </c>
      <c r="BG390" s="24" t="inlineStr">
        <is>
          <t>3ab056fefe04713e3c294da76c8adb2866b0dc46556ed32322a0426dd344a0e4</t>
        </is>
      </c>
      <c r="BH390" s="24" t="inlineStr">
        <is>
          <t>2026-08-18T22:11:43.118455Z</t>
        </is>
      </c>
      <c r="BI390" s="24" t="inlineStr">
        <is>
          <t>["same_event","same_team_same_day","same_league_same_day"]</t>
        </is>
      </c>
      <c r="BJ390" s="25" t="n"/>
      <c r="BK390" s="26" t="n">
        <v>-117</v>
      </c>
      <c r="BL390" s="27" t="n">
        <v>1.854701</v>
      </c>
      <c r="BM390" s="28" t="n">
        <v>0.539171</v>
      </c>
      <c r="BN390" s="28" t="n"/>
      <c r="BO390" s="28" t="n"/>
      <c r="BP390" s="25" t="n"/>
      <c r="BQ390" s="27" t="n">
        <v>1.854701</v>
      </c>
      <c r="BR390" s="28" t="n">
        <v>0.54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0.539171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d8f696d40aee4718</t>
        </is>
      </c>
      <c r="B391" s="24" t="inlineStr">
        <is>
          <t>2026-08-19T13:42:27.078104Z</t>
        </is>
      </c>
      <c r="C391" s="24" t="inlineStr">
        <is>
          <t>2026-08-19T15:00Z</t>
        </is>
      </c>
      <c r="D391" s="24" t="inlineStr">
        <is>
          <t>718-2026:181896</t>
        </is>
      </c>
      <c r="E391" s="24" t="inlineStr">
        <is>
          <t>TENNIS</t>
        </is>
      </c>
      <c r="F391" s="24" t="inlineStr">
        <is>
          <t>Flavio Cobolli</t>
        </is>
      </c>
      <c r="G391" s="24" t="inlineStr">
        <is>
          <t>Rafael Jodar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-285</v>
      </c>
      <c r="M391" s="27" t="n">
        <v>1.350877</v>
      </c>
      <c r="N391" s="28" t="n">
        <v>0.74026</v>
      </c>
      <c r="O391" s="28" t="n">
        <v>0.61578</v>
      </c>
      <c r="P391" s="28" t="n">
        <v>0.05</v>
      </c>
      <c r="Q391" s="28" t="n">
        <v>-0.12448</v>
      </c>
      <c r="R391" s="26" t="n">
        <v>0</v>
      </c>
      <c r="S391" s="29" t="n">
        <v>1.5</v>
      </c>
      <c r="T391" s="24" t="inlineStr">
        <is>
          <t>tennis-surface-elo-v1</t>
        </is>
      </c>
      <c r="U391" s="24" t="inlineStr">
        <is>
          <t>settled</t>
        </is>
      </c>
      <c r="V391" s="24" t="inlineStr">
        <is>
          <t>loss</t>
        </is>
      </c>
      <c r="W391" s="26" t="n">
        <v>1</v>
      </c>
      <c r="X391" s="26" t="n">
        <v>0</v>
      </c>
      <c r="Y391" s="25" t="n"/>
      <c r="Z391" s="26" t="n">
        <v>-285</v>
      </c>
      <c r="AA391" s="28" t="n">
        <v>0.74</v>
      </c>
      <c r="AB391" s="28" t="n">
        <v>-0.00026</v>
      </c>
      <c r="AC391" s="30" t="n">
        <v>-1.5</v>
      </c>
      <c r="AD391" s="24" t="inlineStr">
        <is>
          <t>2026-08-19T19:52:21.297567Z</t>
        </is>
      </c>
      <c r="AE391" s="31" t="inlineStr">
        <is>
          <t>Surface-blended Elo on Hard: Flavio Cobolli p=0.384 vs Rafael Jodar. Executable ask 0.7400 (aec-atp-rafjod-flacob-2026-08-19).</t>
        </is>
      </c>
      <c r="AF391" s="31" t="inlineStr">
        <is>
          <t>Surface-blended Elo model; singles only, WTA+ATP market coverage, not yet locked-holdout qualified -- promoted by explicit operator directive, not genuine walk-forward validation.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3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PAPER_CALL_LOW_EDGE</t>
        </is>
      </c>
      <c r="AP391" s="24" t="inlineStr">
        <is>
          <t>Flavio Cobolli</t>
        </is>
      </c>
      <c r="AQ391" s="24" t="inlineStr">
        <is>
          <t>Flavio Cobolli</t>
        </is>
      </c>
      <c r="AR391" s="24" t="inlineStr">
        <is>
          <t>Flavio Cobolli</t>
        </is>
      </c>
      <c r="AS391" s="24" t="inlineStr">
        <is>
          <t>Rafael Jodar</t>
        </is>
      </c>
      <c r="AT391" s="24" t="inlineStr">
        <is>
          <t>Rafael Jodar</t>
        </is>
      </c>
      <c r="AU391" s="24" t="inlineStr">
        <is>
          <t>Rafael Jodar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3ab056fefe04713e3c294da76c8adb2866b0dc46556ed32322a0426dd344a0e4</t>
        </is>
      </c>
      <c r="BB391" s="24" t="inlineStr">
        <is>
          <t>surface_blended_elo</t>
        </is>
      </c>
      <c r="BC391" s="24" t="inlineStr">
        <is>
          <t>tennis-surface-elo-v1</t>
        </is>
      </c>
      <c r="BD391" s="24" t="inlineStr">
        <is>
          <t>3ab056fefe04713e3c294da76c8adb2866b0dc46556ed32322a0426dd344a0e4</t>
        </is>
      </c>
      <c r="BE391" s="24" t="inlineStr">
        <is>
          <t>tennis-surface-elo-v1</t>
        </is>
      </c>
      <c r="BF391" s="24" t="inlineStr">
        <is>
          <t>1</t>
        </is>
      </c>
      <c r="BG391" s="24" t="inlineStr">
        <is>
          <t>3ab056fefe04713e3c294da76c8adb2866b0dc46556ed32322a0426dd344a0e4</t>
        </is>
      </c>
      <c r="BH391" s="24" t="inlineStr">
        <is>
          <t>2026-08-19T13:41:09.897266Z</t>
        </is>
      </c>
      <c r="BI391" s="24" t="inlineStr">
        <is>
          <t>["same_event","same_team_same_day","same_league_same_day"]</t>
        </is>
      </c>
      <c r="BJ391" s="25" t="n"/>
      <c r="BK391" s="26" t="n">
        <v>-285</v>
      </c>
      <c r="BL391" s="27" t="n">
        <v>1.350877</v>
      </c>
      <c r="BM391" s="28" t="n">
        <v>0.74026</v>
      </c>
      <c r="BN391" s="28" t="n"/>
      <c r="BO391" s="28" t="n"/>
      <c r="BP391" s="25" t="n"/>
      <c r="BQ391" s="27" t="n">
        <v>1.350877</v>
      </c>
      <c r="BR391" s="28" t="n">
        <v>0.74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0.74026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02c34d428b57402c</t>
        </is>
      </c>
      <c r="B392" s="24" t="inlineStr">
        <is>
          <t>2026-08-19T13:42:27.078104Z</t>
        </is>
      </c>
      <c r="C392" s="24" t="inlineStr">
        <is>
          <t>2026-08-19T16:30Z</t>
        </is>
      </c>
      <c r="D392" s="24" t="inlineStr">
        <is>
          <t>718-2026:181878</t>
        </is>
      </c>
      <c r="E392" s="24" t="inlineStr">
        <is>
          <t>TENNIS</t>
        </is>
      </c>
      <c r="F392" s="24" t="inlineStr">
        <is>
          <t>Jakub Mensik</t>
        </is>
      </c>
      <c r="G392" s="24" t="inlineStr">
        <is>
          <t>Thiago Agustin Tirante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-194</v>
      </c>
      <c r="M392" s="27" t="n">
        <v>1.515464</v>
      </c>
      <c r="N392" s="28" t="n">
        <v>0.659864</v>
      </c>
      <c r="O392" s="28" t="n">
        <v>0.5846519999999999</v>
      </c>
      <c r="P392" s="28" t="n">
        <v>0.05</v>
      </c>
      <c r="Q392" s="28" t="n">
        <v>-0.075212</v>
      </c>
      <c r="R392" s="26" t="n">
        <v>0</v>
      </c>
      <c r="S392" s="29" t="n">
        <v>1.25</v>
      </c>
      <c r="T392" s="24" t="inlineStr">
        <is>
          <t>tennis-surface-elo-v1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1</v>
      </c>
      <c r="Y392" s="25" t="n"/>
      <c r="Z392" s="26" t="n">
        <v>-194</v>
      </c>
      <c r="AA392" s="28" t="n">
        <v>0.66</v>
      </c>
      <c r="AB392" s="28" t="n">
        <v>0.000136</v>
      </c>
      <c r="AC392" s="30" t="n">
        <v>-1.25</v>
      </c>
      <c r="AD392" s="24" t="inlineStr">
        <is>
          <t>2026-08-19T19:52:23.255648Z</t>
        </is>
      </c>
      <c r="AE392" s="31" t="inlineStr">
        <is>
          <t>Surface-blended Elo on Hard: Jakub Mensik p=0.585 vs Thiago Agustin Tirante. Executable ask 0.6600 (aec-atp-thitir-jakmen-2026-08-19).</t>
        </is>
      </c>
      <c r="AF392" s="31" t="inlineStr">
        <is>
          <t>Surface-blended Elo model; singles only, WTA+ATP market coverage, not yet locked-holdout qualified -- promoted by explicit operator directive, not genuine walk-forward validation.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3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Jakub Mensik</t>
        </is>
      </c>
      <c r="AQ392" s="24" t="inlineStr">
        <is>
          <t>Jakub Mensik</t>
        </is>
      </c>
      <c r="AR392" s="24" t="inlineStr">
        <is>
          <t>Jakub Mensik</t>
        </is>
      </c>
      <c r="AS392" s="24" t="inlineStr">
        <is>
          <t>Thiago Agustin Tirante</t>
        </is>
      </c>
      <c r="AT392" s="24" t="inlineStr">
        <is>
          <t>Thiago Agustin Tirante</t>
        </is>
      </c>
      <c r="AU392" s="24" t="inlineStr">
        <is>
          <t>Thiago Agustin Tirante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3ab056fefe04713e3c294da76c8adb2866b0dc46556ed32322a0426dd344a0e4</t>
        </is>
      </c>
      <c r="BB392" s="24" t="inlineStr">
        <is>
          <t>surface_blended_elo</t>
        </is>
      </c>
      <c r="BC392" s="24" t="inlineStr">
        <is>
          <t>tennis-surface-elo-v1</t>
        </is>
      </c>
      <c r="BD392" s="24" t="inlineStr">
        <is>
          <t>3ab056fefe04713e3c294da76c8adb2866b0dc46556ed32322a0426dd344a0e4</t>
        </is>
      </c>
      <c r="BE392" s="24" t="inlineStr">
        <is>
          <t>tennis-surface-elo-v1</t>
        </is>
      </c>
      <c r="BF392" s="24" t="inlineStr">
        <is>
          <t>1</t>
        </is>
      </c>
      <c r="BG392" s="24" t="inlineStr">
        <is>
          <t>3ab056fefe04713e3c294da76c8adb2866b0dc46556ed32322a0426dd344a0e4</t>
        </is>
      </c>
      <c r="BH392" s="24" t="inlineStr">
        <is>
          <t>2026-08-19T13:41:10.212887Z</t>
        </is>
      </c>
      <c r="BI392" s="24" t="inlineStr">
        <is>
          <t>["same_event","same_team_same_day","same_league_same_day"]</t>
        </is>
      </c>
      <c r="BJ392" s="25" t="n"/>
      <c r="BK392" s="26" t="n">
        <v>-194</v>
      </c>
      <c r="BL392" s="27" t="n">
        <v>1.515464</v>
      </c>
      <c r="BM392" s="28" t="n">
        <v>0.659864</v>
      </c>
      <c r="BN392" s="28" t="n"/>
      <c r="BO392" s="28" t="n"/>
      <c r="BP392" s="25" t="n"/>
      <c r="BQ392" s="27" t="n">
        <v>1.515464</v>
      </c>
      <c r="BR392" s="28" t="n">
        <v>0.66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0.659864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2ac91ae4b86444da</t>
        </is>
      </c>
      <c r="B393" s="24" t="inlineStr">
        <is>
          <t>2026-08-19T16:48:58.903835Z</t>
        </is>
      </c>
      <c r="C393" s="24" t="inlineStr">
        <is>
          <t>2026-08-19T19:00Z</t>
        </is>
      </c>
      <c r="D393" s="24" t="inlineStr">
        <is>
          <t>718-2026:182324</t>
        </is>
      </c>
      <c r="E393" s="24" t="inlineStr">
        <is>
          <t>TENNIS</t>
        </is>
      </c>
      <c r="F393" s="24" t="inlineStr">
        <is>
          <t>Marie Bouzkova</t>
        </is>
      </c>
      <c r="G393" s="24" t="inlineStr">
        <is>
          <t>Coco Gauff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-355</v>
      </c>
      <c r="M393" s="27" t="n">
        <v>1.28169</v>
      </c>
      <c r="N393" s="28" t="n">
        <v>0.78022</v>
      </c>
      <c r="O393" s="28" t="n">
        <v>0.747448</v>
      </c>
      <c r="P393" s="28" t="n">
        <v>0.05</v>
      </c>
      <c r="Q393" s="28" t="n">
        <v>-0.032772</v>
      </c>
      <c r="R393" s="26" t="n">
        <v>4</v>
      </c>
      <c r="S393" s="29" t="n">
        <v>2</v>
      </c>
      <c r="T393" s="24" t="inlineStr">
        <is>
          <t>tennis-surface-elo-v1</t>
        </is>
      </c>
      <c r="U393" s="24" t="inlineStr">
        <is>
          <t>settled</t>
        </is>
      </c>
      <c r="V393" s="24" t="inlineStr">
        <is>
          <t>win</t>
        </is>
      </c>
      <c r="W393" s="26" t="n">
        <v>0</v>
      </c>
      <c r="X393" s="26" t="n">
        <v>1</v>
      </c>
      <c r="Y393" s="25" t="n"/>
      <c r="Z393" s="26" t="n">
        <v>-355</v>
      </c>
      <c r="AA393" s="28" t="n">
        <v>0.78</v>
      </c>
      <c r="AB393" s="28" t="n">
        <v>-0.00022</v>
      </c>
      <c r="AC393" s="30" t="n">
        <v>0.5634</v>
      </c>
      <c r="AD393" s="24" t="inlineStr">
        <is>
          <t>2026-08-20T02:28:52.286782Z</t>
        </is>
      </c>
      <c r="AE393" s="31" t="inlineStr">
        <is>
          <t>Surface-blended Elo on Hard: Marie Bouzkova p=0.253 vs Coco Gauff. Executable ask 0.7800 (aec-wta-cocgau-marbou-2026-08-19).</t>
        </is>
      </c>
      <c r="AF393" s="31" t="inlineStr">
        <is>
          <t>Surface-blended Elo model; singles only, WTA+ATP market coverage, not yet locked-holdout qualified -- promoted by explicit operator directive, not genuine walk-forward validation.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3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PAPER_CALL_LOW_EDGE</t>
        </is>
      </c>
      <c r="AP393" s="24" t="inlineStr">
        <is>
          <t>Marie Bouzkova</t>
        </is>
      </c>
      <c r="AQ393" s="24" t="inlineStr">
        <is>
          <t>Marie Bouzkova</t>
        </is>
      </c>
      <c r="AR393" s="24" t="inlineStr">
        <is>
          <t>Marie Bouzkova</t>
        </is>
      </c>
      <c r="AS393" s="24" t="inlineStr">
        <is>
          <t>Coco Gauff</t>
        </is>
      </c>
      <c r="AT393" s="24" t="inlineStr">
        <is>
          <t>Coco Gauff</t>
        </is>
      </c>
      <c r="AU393" s="24" t="inlineStr">
        <is>
          <t>Coco Gauff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3ab056fefe04713e3c294da76c8adb2866b0dc46556ed32322a0426dd344a0e4</t>
        </is>
      </c>
      <c r="BB393" s="24" t="inlineStr">
        <is>
          <t>surface_blended_elo</t>
        </is>
      </c>
      <c r="BC393" s="24" t="inlineStr">
        <is>
          <t>tennis-surface-elo-v1</t>
        </is>
      </c>
      <c r="BD393" s="24" t="inlineStr">
        <is>
          <t>3ab056fefe04713e3c294da76c8adb2866b0dc46556ed32322a0426dd344a0e4</t>
        </is>
      </c>
      <c r="BE393" s="24" t="inlineStr">
        <is>
          <t>tennis-surface-elo-v1</t>
        </is>
      </c>
      <c r="BF393" s="24" t="inlineStr">
        <is>
          <t>1</t>
        </is>
      </c>
      <c r="BG393" s="24" t="inlineStr">
        <is>
          <t>3ab056fefe04713e3c294da76c8adb2866b0dc46556ed32322a0426dd344a0e4</t>
        </is>
      </c>
      <c r="BH393" s="24" t="inlineStr">
        <is>
          <t>2026-08-19T16:47:42.318730Z</t>
        </is>
      </c>
      <c r="BI393" s="24" t="inlineStr">
        <is>
          <t>["same_event","same_team_same_day","same_league_same_day"]</t>
        </is>
      </c>
      <c r="BJ393" s="25" t="n"/>
      <c r="BK393" s="26" t="n">
        <v>-355</v>
      </c>
      <c r="BL393" s="27" t="n">
        <v>1.28169</v>
      </c>
      <c r="BM393" s="28" t="n">
        <v>0.78022</v>
      </c>
      <c r="BN393" s="28" t="n"/>
      <c r="BO393" s="28" t="n"/>
      <c r="BP393" s="25" t="n"/>
      <c r="BQ393" s="27" t="n">
        <v>1.28169</v>
      </c>
      <c r="BR393" s="28" t="n">
        <v>0.78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0.78022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baa8fe81e0974e63</t>
        </is>
      </c>
      <c r="B394" s="24" t="inlineStr">
        <is>
          <t>2026-08-19T16:48:58.903835Z</t>
        </is>
      </c>
      <c r="C394" s="24" t="inlineStr">
        <is>
          <t>2026-08-19T17:00Z</t>
        </is>
      </c>
      <c r="D394" s="24" t="inlineStr">
        <is>
          <t>718-2026:181891</t>
        </is>
      </c>
      <c r="E394" s="24" t="inlineStr">
        <is>
          <t>TENNIS</t>
        </is>
      </c>
      <c r="F394" s="24" t="inlineStr">
        <is>
          <t>Tommy Paul</t>
        </is>
      </c>
      <c r="G394" s="24" t="inlineStr">
        <is>
          <t>Alexander Zverev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-270</v>
      </c>
      <c r="M394" s="27" t="n">
        <v>1.37037</v>
      </c>
      <c r="N394" s="28" t="n">
        <v>0.72973</v>
      </c>
      <c r="O394" s="28" t="n">
        <v>0.646242</v>
      </c>
      <c r="P394" s="28" t="n">
        <v>0.05</v>
      </c>
      <c r="Q394" s="28" t="n">
        <v>-0.08348800000000001</v>
      </c>
      <c r="R394" s="26" t="n">
        <v>0</v>
      </c>
      <c r="S394" s="29" t="n">
        <v>1.75</v>
      </c>
      <c r="T394" s="24" t="inlineStr">
        <is>
          <t>tennis-surface-elo-v1</t>
        </is>
      </c>
      <c r="U394" s="24" t="inlineStr">
        <is>
          <t>settled</t>
        </is>
      </c>
      <c r="V394" s="24" t="inlineStr">
        <is>
          <t>loss</t>
        </is>
      </c>
      <c r="W394" s="26" t="n">
        <v>1</v>
      </c>
      <c r="X394" s="26" t="n">
        <v>0</v>
      </c>
      <c r="Y394" s="25" t="n"/>
      <c r="Z394" s="26" t="n">
        <v>-270</v>
      </c>
      <c r="AA394" s="28" t="n">
        <v>0.73</v>
      </c>
      <c r="AB394" s="28" t="n">
        <v>0.00027</v>
      </c>
      <c r="AC394" s="30" t="n">
        <v>-1.75</v>
      </c>
      <c r="AD394" s="24" t="inlineStr">
        <is>
          <t>2026-08-19T23:05:05.097457Z</t>
        </is>
      </c>
      <c r="AE394" s="31" t="inlineStr">
        <is>
          <t>Surface-blended Elo on Hard: Tommy Paul p=0.354 vs Alexander Zverev. Executable ask 0.7300 (aec-atp-alezve-tompau-2026-08-19).</t>
        </is>
      </c>
      <c r="AF394" s="31" t="inlineStr">
        <is>
          <t>Surface-blended Elo model; singles only, WTA+ATP market coverage, not yet locked-holdout qualified -- promoted by explicit operator directive, not genuine walk-forward validation.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3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Tommy Paul</t>
        </is>
      </c>
      <c r="AQ394" s="24" t="inlineStr">
        <is>
          <t>Tommy Paul</t>
        </is>
      </c>
      <c r="AR394" s="24" t="inlineStr">
        <is>
          <t>Tommy Paul</t>
        </is>
      </c>
      <c r="AS394" s="24" t="inlineStr">
        <is>
          <t>Alexander Zverev</t>
        </is>
      </c>
      <c r="AT394" s="24" t="inlineStr">
        <is>
          <t>Alexander Zverev</t>
        </is>
      </c>
      <c r="AU394" s="24" t="inlineStr">
        <is>
          <t>Alexander Zverev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3ab056fefe04713e3c294da76c8adb2866b0dc46556ed32322a0426dd344a0e4</t>
        </is>
      </c>
      <c r="BB394" s="24" t="inlineStr">
        <is>
          <t>surface_blended_elo</t>
        </is>
      </c>
      <c r="BC394" s="24" t="inlineStr">
        <is>
          <t>tennis-surface-elo-v1</t>
        </is>
      </c>
      <c r="BD394" s="24" t="inlineStr">
        <is>
          <t>3ab056fefe04713e3c294da76c8adb2866b0dc46556ed32322a0426dd344a0e4</t>
        </is>
      </c>
      <c r="BE394" s="24" t="inlineStr">
        <is>
          <t>tennis-surface-elo-v1</t>
        </is>
      </c>
      <c r="BF394" s="24" t="inlineStr">
        <is>
          <t>1</t>
        </is>
      </c>
      <c r="BG394" s="24" t="inlineStr">
        <is>
          <t>3ab056fefe04713e3c294da76c8adb2866b0dc46556ed32322a0426dd344a0e4</t>
        </is>
      </c>
      <c r="BH394" s="24" t="inlineStr">
        <is>
          <t>2026-08-19T16:47:42.781813Z</t>
        </is>
      </c>
      <c r="BI394" s="24" t="inlineStr">
        <is>
          <t>["same_event","same_team_same_day","same_league_same_day"]</t>
        </is>
      </c>
      <c r="BJ394" s="25" t="n"/>
      <c r="BK394" s="26" t="n">
        <v>-270</v>
      </c>
      <c r="BL394" s="27" t="n">
        <v>1.37037</v>
      </c>
      <c r="BM394" s="28" t="n">
        <v>0.72973</v>
      </c>
      <c r="BN394" s="28" t="n"/>
      <c r="BO394" s="28" t="n"/>
      <c r="BP394" s="25" t="n"/>
      <c r="BQ394" s="27" t="n">
        <v>1.37037</v>
      </c>
      <c r="BR394" s="28" t="n">
        <v>0.73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0.72973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0de5400a248c42c2</t>
        </is>
      </c>
      <c r="B395" s="24" t="inlineStr">
        <is>
          <t>2026-08-19T16:48:58.903835Z</t>
        </is>
      </c>
      <c r="C395" s="24" t="inlineStr">
        <is>
          <t>2026-08-19T18:00Z</t>
        </is>
      </c>
      <c r="D395" s="24" t="inlineStr">
        <is>
          <t>718-2026:181877</t>
        </is>
      </c>
      <c r="E395" s="24" t="inlineStr">
        <is>
          <t>TENNIS</t>
        </is>
      </c>
      <c r="F395" s="24" t="inlineStr">
        <is>
          <t>Alex de Minaur</t>
        </is>
      </c>
      <c r="G395" s="24" t="inlineStr">
        <is>
          <t>Arthur Fils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-163</v>
      </c>
      <c r="M395" s="27" t="n">
        <v>1.613497</v>
      </c>
      <c r="N395" s="28" t="n">
        <v>0.619772</v>
      </c>
      <c r="O395" s="28" t="n">
        <v>0.566501</v>
      </c>
      <c r="P395" s="28" t="n">
        <v>0.05</v>
      </c>
      <c r="Q395" s="28" t="n">
        <v>-0.053271</v>
      </c>
      <c r="R395" s="26" t="n">
        <v>0</v>
      </c>
      <c r="S395" s="29" t="n">
        <v>1</v>
      </c>
      <c r="T395" s="24" t="inlineStr">
        <is>
          <t>tennis-surface-elo-v1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1</v>
      </c>
      <c r="Y395" s="25" t="n"/>
      <c r="Z395" s="26" t="n">
        <v>-163</v>
      </c>
      <c r="AA395" s="28" t="n">
        <v>0.62</v>
      </c>
      <c r="AB395" s="28" t="n">
        <v>0.000228</v>
      </c>
      <c r="AC395" s="30" t="n">
        <v>0.6135</v>
      </c>
      <c r="AD395" s="24" t="inlineStr">
        <is>
          <t>2026-08-19T23:05:07.078645Z</t>
        </is>
      </c>
      <c r="AE395" s="31" t="inlineStr">
        <is>
          <t>Surface-blended Elo on Hard: Alex de Minaur p=0.433 vs Arthur Fils. Executable ask 0.6200 (aec-atp-artfil-alemin-2026-08-19).</t>
        </is>
      </c>
      <c r="AF395" s="31" t="inlineStr">
        <is>
          <t>Surface-blended Elo model; singles only, WTA+ATP market coverage, not yet locked-holdout qualified -- promoted by explicit operator directive, not genuine walk-forward validation.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3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Alex de Minaur</t>
        </is>
      </c>
      <c r="AQ395" s="24" t="inlineStr">
        <is>
          <t>Alex de Minaur</t>
        </is>
      </c>
      <c r="AR395" s="24" t="inlineStr">
        <is>
          <t>Alex de Minaur</t>
        </is>
      </c>
      <c r="AS395" s="24" t="inlineStr">
        <is>
          <t>Arthur Fils</t>
        </is>
      </c>
      <c r="AT395" s="24" t="inlineStr">
        <is>
          <t>Arthur Fils</t>
        </is>
      </c>
      <c r="AU395" s="24" t="inlineStr">
        <is>
          <t>Arthur Fils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3ab056fefe04713e3c294da76c8adb2866b0dc46556ed32322a0426dd344a0e4</t>
        </is>
      </c>
      <c r="BB395" s="24" t="inlineStr">
        <is>
          <t>surface_blended_elo</t>
        </is>
      </c>
      <c r="BC395" s="24" t="inlineStr">
        <is>
          <t>tennis-surface-elo-v1</t>
        </is>
      </c>
      <c r="BD395" s="24" t="inlineStr">
        <is>
          <t>3ab056fefe04713e3c294da76c8adb2866b0dc46556ed32322a0426dd344a0e4</t>
        </is>
      </c>
      <c r="BE395" s="24" t="inlineStr">
        <is>
          <t>tennis-surface-elo-v1</t>
        </is>
      </c>
      <c r="BF395" s="24" t="inlineStr">
        <is>
          <t>1</t>
        </is>
      </c>
      <c r="BG395" s="24" t="inlineStr">
        <is>
          <t>3ab056fefe04713e3c294da76c8adb2866b0dc46556ed32322a0426dd344a0e4</t>
        </is>
      </c>
      <c r="BH395" s="24" t="inlineStr">
        <is>
          <t>2026-08-19T16:47:43.004667Z</t>
        </is>
      </c>
      <c r="BI395" s="24" t="inlineStr">
        <is>
          <t>["same_event","same_team_same_day","same_league_same_day"]</t>
        </is>
      </c>
      <c r="BJ395" s="25" t="n"/>
      <c r="BK395" s="26" t="n">
        <v>-163</v>
      </c>
      <c r="BL395" s="27" t="n">
        <v>1.613497</v>
      </c>
      <c r="BM395" s="28" t="n">
        <v>0.619772</v>
      </c>
      <c r="BN395" s="28" t="n"/>
      <c r="BO395" s="28" t="n"/>
      <c r="BP395" s="25" t="n"/>
      <c r="BQ395" s="27" t="n">
        <v>1.613497</v>
      </c>
      <c r="BR395" s="28" t="n">
        <v>0.62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0.619772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a9b2e67557984fa0</t>
        </is>
      </c>
      <c r="B396" s="24" t="inlineStr">
        <is>
          <t>2026-08-19T16:48:58.903835Z</t>
        </is>
      </c>
      <c r="C396" s="24" t="inlineStr">
        <is>
          <t>2026-08-19T19:30Z</t>
        </is>
      </c>
      <c r="D396" s="24" t="inlineStr">
        <is>
          <t>718-2026:181920</t>
        </is>
      </c>
      <c r="E396" s="24" t="inlineStr">
        <is>
          <t>TENNIS</t>
        </is>
      </c>
      <c r="F396" s="24" t="inlineStr">
        <is>
          <t>Brandon Nakashima</t>
        </is>
      </c>
      <c r="G396" s="24" t="inlineStr">
        <is>
          <t>Nuno Borges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-156</v>
      </c>
      <c r="M396" s="27" t="n">
        <v>1.641026</v>
      </c>
      <c r="N396" s="28" t="n">
        <v>0.609375</v>
      </c>
      <c r="O396" s="28" t="n">
        <v>0.604653</v>
      </c>
      <c r="P396" s="28" t="n">
        <v>0.05</v>
      </c>
      <c r="Q396" s="28" t="n">
        <v>-0.004722</v>
      </c>
      <c r="R396" s="26" t="n">
        <v>18</v>
      </c>
      <c r="S396" s="29" t="n">
        <v>1.25</v>
      </c>
      <c r="T396" s="24" t="inlineStr">
        <is>
          <t>tennis-surface-elo-v1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0</v>
      </c>
      <c r="Y396" s="25" t="n"/>
      <c r="Z396" s="26" t="n">
        <v>-156</v>
      </c>
      <c r="AA396" s="28" t="n">
        <v>0.61</v>
      </c>
      <c r="AB396" s="28" t="n">
        <v>0.000625</v>
      </c>
      <c r="AC396" s="30" t="n">
        <v>0.8013</v>
      </c>
      <c r="AD396" s="24" t="inlineStr">
        <is>
          <t>2026-08-20T02:28:54.231372Z</t>
        </is>
      </c>
      <c r="AE396" s="31" t="inlineStr">
        <is>
          <t>Surface-blended Elo on Hard: Brandon Nakashima p=0.605 vs Nuno Borges. Executable ask 0.6100 (aec-atp-nunbor-branak-2026-08-19).</t>
        </is>
      </c>
      <c r="AF396" s="31" t="inlineStr">
        <is>
          <t>Surface-blended Elo model; singles only, WTA+ATP market coverage, not yet locked-holdout qualified -- promoted by explicit operator directive, not genuine walk-forward validation.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3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Brandon Nakashima</t>
        </is>
      </c>
      <c r="AQ396" s="24" t="inlineStr">
        <is>
          <t>Brandon Nakashima</t>
        </is>
      </c>
      <c r="AR396" s="24" t="inlineStr">
        <is>
          <t>Brandon Nakashima</t>
        </is>
      </c>
      <c r="AS396" s="24" t="inlineStr">
        <is>
          <t>Nuno Borges</t>
        </is>
      </c>
      <c r="AT396" s="24" t="inlineStr">
        <is>
          <t>Nuno Borges</t>
        </is>
      </c>
      <c r="AU396" s="24" t="inlineStr">
        <is>
          <t>Nuno Borges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3ab056fefe04713e3c294da76c8adb2866b0dc46556ed32322a0426dd344a0e4</t>
        </is>
      </c>
      <c r="BB396" s="24" t="inlineStr">
        <is>
          <t>surface_blended_elo</t>
        </is>
      </c>
      <c r="BC396" s="24" t="inlineStr">
        <is>
          <t>tennis-surface-elo-v1</t>
        </is>
      </c>
      <c r="BD396" s="24" t="inlineStr">
        <is>
          <t>3ab056fefe04713e3c294da76c8adb2866b0dc46556ed32322a0426dd344a0e4</t>
        </is>
      </c>
      <c r="BE396" s="24" t="inlineStr">
        <is>
          <t>tennis-surface-elo-v1</t>
        </is>
      </c>
      <c r="BF396" s="24" t="inlineStr">
        <is>
          <t>1</t>
        </is>
      </c>
      <c r="BG396" s="24" t="inlineStr">
        <is>
          <t>3ab056fefe04713e3c294da76c8adb2866b0dc46556ed32322a0426dd344a0e4</t>
        </is>
      </c>
      <c r="BH396" s="24" t="inlineStr">
        <is>
          <t>2026-08-19T16:47:43.212367Z</t>
        </is>
      </c>
      <c r="BI396" s="24" t="inlineStr">
        <is>
          <t>["same_event","same_team_same_day","same_league_same_day"]</t>
        </is>
      </c>
      <c r="BJ396" s="25" t="n"/>
      <c r="BK396" s="26" t="n">
        <v>-156</v>
      </c>
      <c r="BL396" s="27" t="n">
        <v>1.641026</v>
      </c>
      <c r="BM396" s="28" t="n">
        <v>0.609375</v>
      </c>
      <c r="BN396" s="28" t="n"/>
      <c r="BO396" s="28" t="n"/>
      <c r="BP396" s="25" t="n"/>
      <c r="BQ396" s="27" t="n">
        <v>1.641026</v>
      </c>
      <c r="BR396" s="28" t="n">
        <v>0.61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0.609375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4394803752474805</t>
        </is>
      </c>
      <c r="B397" s="24" t="inlineStr">
        <is>
          <t>2026-08-19T19:54:58.131412Z</t>
        </is>
      </c>
      <c r="C397" s="24" t="inlineStr">
        <is>
          <t>2026-08-19T23:00Z</t>
        </is>
      </c>
      <c r="D397" s="24" t="inlineStr">
        <is>
          <t>718-2026:181881</t>
        </is>
      </c>
      <c r="E397" s="24" t="inlineStr">
        <is>
          <t>TENNIS</t>
        </is>
      </c>
      <c r="F397" s="24" t="inlineStr">
        <is>
          <t>Christopher O'Connell</t>
        </is>
      </c>
      <c r="G397" s="24" t="inlineStr">
        <is>
          <t>Taylor Fritz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-733</v>
      </c>
      <c r="M397" s="27" t="n">
        <v>1.136426</v>
      </c>
      <c r="N397" s="28" t="n">
        <v>0.879952</v>
      </c>
      <c r="O397" s="28" t="n">
        <v>0.74499</v>
      </c>
      <c r="P397" s="28" t="n">
        <v>0.05</v>
      </c>
      <c r="Q397" s="28" t="n">
        <v>-0.134962</v>
      </c>
      <c r="R397" s="26" t="n">
        <v>0</v>
      </c>
      <c r="S397" s="29" t="n">
        <v>2</v>
      </c>
      <c r="T397" s="24" t="inlineStr">
        <is>
          <t>tennis-surface-elo-v1</t>
        </is>
      </c>
      <c r="U397" s="24" t="inlineStr">
        <is>
          <t>settled</t>
        </is>
      </c>
      <c r="V397" s="24" t="inlineStr">
        <is>
          <t>win</t>
        </is>
      </c>
      <c r="W397" s="26" t="n">
        <v>0</v>
      </c>
      <c r="X397" s="26" t="n">
        <v>1</v>
      </c>
      <c r="Y397" s="25" t="n"/>
      <c r="Z397" s="26" t="n">
        <v>-733</v>
      </c>
      <c r="AA397" s="28" t="n">
        <v>0.88</v>
      </c>
      <c r="AB397" s="28" t="n">
        <v>4.8e-05</v>
      </c>
      <c r="AC397" s="30" t="n">
        <v>0.2729</v>
      </c>
      <c r="AD397" s="24" t="inlineStr">
        <is>
          <t>2026-08-20T02:29:27.204313Z</t>
        </is>
      </c>
      <c r="AE397" s="31" t="inlineStr">
        <is>
          <t>Surface-blended Elo on Hard: Christopher O'Connell p=0.255 vs Taylor Fritz. Executable ask 0.8800 (aec-atp-tayfri-chroco-2026-08-19).</t>
        </is>
      </c>
      <c r="AF397" s="31" t="inlineStr">
        <is>
          <t>Surface-blended Elo model; singles only, WTA+ATP market coverage, not yet locked-holdout qualified -- promoted by explicit operator directive, not genuine walk-forward validation.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3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Christopher O'Connell</t>
        </is>
      </c>
      <c r="AQ397" s="24" t="inlineStr">
        <is>
          <t>Christopher O'Connell</t>
        </is>
      </c>
      <c r="AR397" s="24" t="inlineStr">
        <is>
          <t>Christopher O'Connell</t>
        </is>
      </c>
      <c r="AS397" s="24" t="inlineStr">
        <is>
          <t>Taylor Fritz</t>
        </is>
      </c>
      <c r="AT397" s="24" t="inlineStr">
        <is>
          <t>Taylor Fritz</t>
        </is>
      </c>
      <c r="AU397" s="24" t="inlineStr">
        <is>
          <t>Taylor Fritz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3ab056fefe04713e3c294da76c8adb2866b0dc46556ed32322a0426dd344a0e4</t>
        </is>
      </c>
      <c r="BB397" s="24" t="inlineStr">
        <is>
          <t>surface_blended_elo</t>
        </is>
      </c>
      <c r="BC397" s="24" t="inlineStr">
        <is>
          <t>tennis-surface-elo-v1</t>
        </is>
      </c>
      <c r="BD397" s="24" t="inlineStr">
        <is>
          <t>3ab056fefe04713e3c294da76c8adb2866b0dc46556ed32322a0426dd344a0e4</t>
        </is>
      </c>
      <c r="BE397" s="24" t="inlineStr">
        <is>
          <t>tennis-surface-elo-v1</t>
        </is>
      </c>
      <c r="BF397" s="24" t="inlineStr">
        <is>
          <t>1</t>
        </is>
      </c>
      <c r="BG397" s="24" t="inlineStr">
        <is>
          <t>3ab056fefe04713e3c294da76c8adb2866b0dc46556ed32322a0426dd344a0e4</t>
        </is>
      </c>
      <c r="BH397" s="24" t="inlineStr">
        <is>
          <t>2026-08-19T19:53:58.750117Z</t>
        </is>
      </c>
      <c r="BI397" s="24" t="inlineStr">
        <is>
          <t>["same_event","same_team_same_day","same_league_same_day"]</t>
        </is>
      </c>
      <c r="BJ397" s="25" t="n"/>
      <c r="BK397" s="26" t="n">
        <v>-733</v>
      </c>
      <c r="BL397" s="27" t="n">
        <v>1.136426</v>
      </c>
      <c r="BM397" s="28" t="n">
        <v>0.879952</v>
      </c>
      <c r="BN397" s="28" t="n"/>
      <c r="BO397" s="28" t="n"/>
      <c r="BP397" s="25" t="n"/>
      <c r="BQ397" s="27" t="n">
        <v>1.136426</v>
      </c>
      <c r="BR397" s="28" t="n">
        <v>0.88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0.879952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7440c388582a45b5</t>
        </is>
      </c>
      <c r="B398" s="24" t="inlineStr">
        <is>
          <t>2026-08-19T23:07:13.021638Z</t>
        </is>
      </c>
      <c r="C398" s="24" t="inlineStr">
        <is>
          <t>2026-08-20T00:30Z</t>
        </is>
      </c>
      <c r="D398" s="24" t="inlineStr">
        <is>
          <t>718-2026:182373</t>
        </is>
      </c>
      <c r="E398" s="24" t="inlineStr">
        <is>
          <t>TENNIS</t>
        </is>
      </c>
      <c r="F398" s="24" t="inlineStr">
        <is>
          <t>Sara Bejlek</t>
        </is>
      </c>
      <c r="G398" s="24" t="inlineStr">
        <is>
          <t>Aryna Sabalenka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-809</v>
      </c>
      <c r="M398" s="27" t="n">
        <v>1.123609</v>
      </c>
      <c r="N398" s="28" t="n">
        <v>0.889989</v>
      </c>
      <c r="O398" s="28" t="n">
        <v>0.876424</v>
      </c>
      <c r="P398" s="28" t="n">
        <v>0.05</v>
      </c>
      <c r="Q398" s="28" t="n">
        <v>-0.013565</v>
      </c>
      <c r="R398" s="26" t="n">
        <v>13</v>
      </c>
      <c r="S398" s="29" t="n">
        <v>2</v>
      </c>
      <c r="T398" s="24" t="inlineStr">
        <is>
          <t>tennis-surface-elo-v1</t>
        </is>
      </c>
      <c r="U398" s="24" t="inlineStr">
        <is>
          <t>settled</t>
        </is>
      </c>
      <c r="V398" s="24" t="inlineStr">
        <is>
          <t>loss</t>
        </is>
      </c>
      <c r="W398" s="26" t="n">
        <v>1</v>
      </c>
      <c r="X398" s="26" t="n">
        <v>0</v>
      </c>
      <c r="Y398" s="25" t="n"/>
      <c r="Z398" s="26" t="n">
        <v>-809</v>
      </c>
      <c r="AA398" s="28" t="n">
        <v>0.89</v>
      </c>
      <c r="AB398" s="28" t="n">
        <v>1.1e-05</v>
      </c>
      <c r="AC398" s="30" t="n">
        <v>-2</v>
      </c>
      <c r="AD398" s="24" t="inlineStr">
        <is>
          <t>2026-08-20T05:33:44.691777Z</t>
        </is>
      </c>
      <c r="AE398" s="31" t="inlineStr">
        <is>
          <t>Surface-blended Elo on Hard: Sara Bejlek p=0.124 vs Aryna Sabalenka. Executable ask 0.8900 (aec-wta-arysab-sarbej-2026-08-19).</t>
        </is>
      </c>
      <c r="AF398" s="31" t="inlineStr">
        <is>
          <t>Surface-blended Elo model; singles only, WTA+ATP market coverage, not yet locked-holdout qualified -- promoted by explicit operator directive, not genuine walk-forward validation.</t>
        </is>
      </c>
      <c r="AG398" s="24" t="inlineStr">
        <is>
          <t>review_required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3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Sara Bejlek</t>
        </is>
      </c>
      <c r="AQ398" s="24" t="inlineStr">
        <is>
          <t>Sara Bejlek</t>
        </is>
      </c>
      <c r="AR398" s="24" t="inlineStr">
        <is>
          <t>Sara Bejlek</t>
        </is>
      </c>
      <c r="AS398" s="24" t="inlineStr">
        <is>
          <t>Aryna Sabalenka</t>
        </is>
      </c>
      <c r="AT398" s="24" t="inlineStr">
        <is>
          <t>Aryna Sabalenka</t>
        </is>
      </c>
      <c r="AU398" s="24" t="inlineStr">
        <is>
          <t>Aryna Sabalenka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3ab056fefe04713e3c294da76c8adb2866b0dc46556ed32322a0426dd344a0e4</t>
        </is>
      </c>
      <c r="BB398" s="24" t="inlineStr">
        <is>
          <t>surface_blended_elo</t>
        </is>
      </c>
      <c r="BC398" s="24" t="inlineStr">
        <is>
          <t>tennis-surface-elo-v1</t>
        </is>
      </c>
      <c r="BD398" s="24" t="inlineStr">
        <is>
          <t>3ab056fefe04713e3c294da76c8adb2866b0dc46556ed32322a0426dd344a0e4</t>
        </is>
      </c>
      <c r="BE398" s="24" t="inlineStr">
        <is>
          <t>tennis-surface-elo-v1</t>
        </is>
      </c>
      <c r="BF398" s="24" t="inlineStr">
        <is>
          <t>1</t>
        </is>
      </c>
      <c r="BG398" s="24" t="inlineStr">
        <is>
          <t>3ab056fefe04713e3c294da76c8adb2866b0dc46556ed32322a0426dd344a0e4</t>
        </is>
      </c>
      <c r="BH398" s="24" t="inlineStr">
        <is>
          <t>2026-08-19T23:06:29.946882Z</t>
        </is>
      </c>
      <c r="BI398" s="24" t="inlineStr">
        <is>
          <t>["same_event","same_team_same_day","same_league_same_day"]</t>
        </is>
      </c>
      <c r="BJ398" s="25" t="n"/>
      <c r="BK398" s="26" t="n">
        <v>-809</v>
      </c>
      <c r="BL398" s="27" t="n">
        <v>1.123609</v>
      </c>
      <c r="BM398" s="28" t="n">
        <v>0.889989</v>
      </c>
      <c r="BN398" s="28" t="n"/>
      <c r="BO398" s="28" t="n"/>
      <c r="BP398" s="25" t="n"/>
      <c r="BQ398" s="27" t="n">
        <v>1.123609</v>
      </c>
      <c r="BR398" s="28" t="n">
        <v>0.89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0.889989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67096997c9174345</t>
        </is>
      </c>
      <c r="B399" s="24" t="inlineStr">
        <is>
          <t>2026-08-19T23:07:13.021638Z</t>
        </is>
      </c>
      <c r="C399" s="24" t="inlineStr">
        <is>
          <t>2026-08-20T00:30Z</t>
        </is>
      </c>
      <c r="D399" s="24" t="inlineStr">
        <is>
          <t>718-2026:181923</t>
        </is>
      </c>
      <c r="E399" s="24" t="inlineStr">
        <is>
          <t>TENNIS</t>
        </is>
      </c>
      <c r="F399" s="24" t="inlineStr">
        <is>
          <t>Felix Auger-Aliassime</t>
        </is>
      </c>
      <c r="G399" s="24" t="inlineStr">
        <is>
          <t>Frances Tiafoe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-203</v>
      </c>
      <c r="M399" s="27" t="n">
        <v>1.492611</v>
      </c>
      <c r="N399" s="28" t="n">
        <v>0.669967</v>
      </c>
      <c r="O399" s="28" t="n">
        <v>0.5741000000000001</v>
      </c>
      <c r="P399" s="28" t="n">
        <v>0.05</v>
      </c>
      <c r="Q399" s="28" t="n">
        <v>-0.09586699999999999</v>
      </c>
      <c r="R399" s="26" t="n">
        <v>0</v>
      </c>
      <c r="S399" s="29" t="n">
        <v>1.25</v>
      </c>
      <c r="T399" s="24" t="inlineStr">
        <is>
          <t>tennis-surface-elo-v1</t>
        </is>
      </c>
      <c r="U399" s="24" t="inlineStr">
        <is>
          <t>settled</t>
        </is>
      </c>
      <c r="V399" s="24" t="inlineStr">
        <is>
          <t>loss</t>
        </is>
      </c>
      <c r="W399" s="26" t="n">
        <v>0</v>
      </c>
      <c r="X399" s="26" t="n">
        <v>1</v>
      </c>
      <c r="Y399" s="25" t="n"/>
      <c r="Z399" s="26" t="n">
        <v>-203</v>
      </c>
      <c r="AA399" s="28" t="n">
        <v>0.67</v>
      </c>
      <c r="AB399" s="28" t="n">
        <v>3.3e-05</v>
      </c>
      <c r="AC399" s="30" t="n">
        <v>-1.25</v>
      </c>
      <c r="AD399" s="24" t="inlineStr">
        <is>
          <t>2026-08-20T05:33:46.668722Z</t>
        </is>
      </c>
      <c r="AE399" s="31" t="inlineStr">
        <is>
          <t>Surface-blended Elo on Hard: Felix Auger-Aliassime p=0.574 vs Frances Tiafoe. Executable ask 0.6700 (aec-atp-fratia-felaug-2026-08-19).</t>
        </is>
      </c>
      <c r="AF399" s="31" t="inlineStr">
        <is>
          <t>Surface-blended Elo model; singles only, WTA+ATP market coverage, not yet locked-holdout qualified -- promoted by explicit operator directive, not genuine walk-forward validation.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3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Felix Auger-Aliassime</t>
        </is>
      </c>
      <c r="AQ399" s="24" t="inlineStr">
        <is>
          <t>Felix Auger-Aliassime</t>
        </is>
      </c>
      <c r="AR399" s="24" t="inlineStr">
        <is>
          <t>Felix Auger-Aliassime</t>
        </is>
      </c>
      <c r="AS399" s="24" t="inlineStr">
        <is>
          <t>Frances Tiafoe</t>
        </is>
      </c>
      <c r="AT399" s="24" t="inlineStr">
        <is>
          <t>Frances Tiafoe</t>
        </is>
      </c>
      <c r="AU399" s="24" t="inlineStr">
        <is>
          <t>Frances Tiafoe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3ab056fefe04713e3c294da76c8adb2866b0dc46556ed32322a0426dd344a0e4</t>
        </is>
      </c>
      <c r="BB399" s="24" t="inlineStr">
        <is>
          <t>surface_blended_elo</t>
        </is>
      </c>
      <c r="BC399" s="24" t="inlineStr">
        <is>
          <t>tennis-surface-elo-v1</t>
        </is>
      </c>
      <c r="BD399" s="24" t="inlineStr">
        <is>
          <t>3ab056fefe04713e3c294da76c8adb2866b0dc46556ed32322a0426dd344a0e4</t>
        </is>
      </c>
      <c r="BE399" s="24" t="inlineStr">
        <is>
          <t>tennis-surface-elo-v1</t>
        </is>
      </c>
      <c r="BF399" s="24" t="inlineStr">
        <is>
          <t>1</t>
        </is>
      </c>
      <c r="BG399" s="24" t="inlineStr">
        <is>
          <t>3ab056fefe04713e3c294da76c8adb2866b0dc46556ed32322a0426dd344a0e4</t>
        </is>
      </c>
      <c r="BH399" s="24" t="inlineStr">
        <is>
          <t>2026-08-19T23:06:30.723661Z</t>
        </is>
      </c>
      <c r="BI399" s="24" t="inlineStr">
        <is>
          <t>["same_event","same_team_same_day","same_league_same_day"]</t>
        </is>
      </c>
      <c r="BJ399" s="25" t="n"/>
      <c r="BK399" s="26" t="n">
        <v>-203</v>
      </c>
      <c r="BL399" s="27" t="n">
        <v>1.492611</v>
      </c>
      <c r="BM399" s="28" t="n">
        <v>0.669967</v>
      </c>
      <c r="BN399" s="28" t="n"/>
      <c r="BO399" s="28" t="n"/>
      <c r="BP399" s="25" t="n"/>
      <c r="BQ399" s="27" t="n">
        <v>1.492611</v>
      </c>
      <c r="BR399" s="28" t="n">
        <v>0.67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0.669967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c219c7ec34a0433a</t>
        </is>
      </c>
      <c r="B400" s="24" t="inlineStr">
        <is>
          <t>2026-08-20T18:56:40.214750Z</t>
        </is>
      </c>
      <c r="C400" s="24" t="inlineStr">
        <is>
          <t>2026-08-20T19:00Z</t>
        </is>
      </c>
      <c r="D400" s="24" t="inlineStr">
        <is>
          <t>718-2026:181911</t>
        </is>
      </c>
      <c r="E400" s="24" t="inlineStr">
        <is>
          <t>TENNIS</t>
        </is>
      </c>
      <c r="F400" s="24" t="inlineStr">
        <is>
          <t>Flavio Cobolli</t>
        </is>
      </c>
      <c r="G400" s="24" t="inlineStr">
        <is>
          <t>Tommy Paul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-150</v>
      </c>
      <c r="M400" s="27" t="n">
        <v>1.666667</v>
      </c>
      <c r="N400" s="28" t="n">
        <v>0.6</v>
      </c>
      <c r="O400" s="28" t="n">
        <v>0.631588</v>
      </c>
      <c r="P400" s="28" t="n">
        <v>0.05</v>
      </c>
      <c r="Q400" s="28" t="n">
        <v>0.031588</v>
      </c>
      <c r="R400" s="26" t="n">
        <v>36</v>
      </c>
      <c r="S400" s="29" t="n">
        <v>1.5</v>
      </c>
      <c r="T400" s="24" t="inlineStr">
        <is>
          <t>tennis-surface-elo-v1</t>
        </is>
      </c>
      <c r="U400" s="24" t="inlineStr">
        <is>
          <t>settled</t>
        </is>
      </c>
      <c r="V400" s="24" t="inlineStr">
        <is>
          <t>loss</t>
        </is>
      </c>
      <c r="W400" s="26" t="n">
        <v>1</v>
      </c>
      <c r="X400" s="26" t="n">
        <v>0</v>
      </c>
      <c r="Y400" s="25" t="n"/>
      <c r="Z400" s="26" t="n">
        <v>-150</v>
      </c>
      <c r="AA400" s="28" t="n">
        <v>0.6</v>
      </c>
      <c r="AB400" s="28" t="n">
        <v>0</v>
      </c>
      <c r="AC400" s="30" t="n">
        <v>-1.5</v>
      </c>
      <c r="AD400" s="24" t="inlineStr">
        <is>
          <t>2026-08-20T22:20:59.434209Z</t>
        </is>
      </c>
      <c r="AE400" s="31" t="inlineStr">
        <is>
          <t>Surface-blended Elo on Hard: Flavio Cobolli p=0.368 vs Tommy Paul. Executable ask 0.6000 (aec-atp-tompau-flacob-2026-08-20).</t>
        </is>
      </c>
      <c r="AF400" s="31" t="inlineStr">
        <is>
          <t>Surface-blended Elo model; singles only, WTA+ATP market coverage, not yet locked-holdout qualified -- promoted by explicit operator directive, not genuine walk-forward validation.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3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Flavio Cobolli</t>
        </is>
      </c>
      <c r="AQ400" s="24" t="inlineStr">
        <is>
          <t>Flavio Cobolli</t>
        </is>
      </c>
      <c r="AR400" s="24" t="inlineStr">
        <is>
          <t>Flavio Cobolli</t>
        </is>
      </c>
      <c r="AS400" s="24" t="inlineStr">
        <is>
          <t>Tommy Paul</t>
        </is>
      </c>
      <c r="AT400" s="24" t="inlineStr">
        <is>
          <t>Tommy Paul</t>
        </is>
      </c>
      <c r="AU400" s="24" t="inlineStr">
        <is>
          <t>Tommy Paul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3ab056fefe04713e3c294da76c8adb2866b0dc46556ed32322a0426dd344a0e4</t>
        </is>
      </c>
      <c r="BB400" s="24" t="inlineStr">
        <is>
          <t>surface_blended_elo</t>
        </is>
      </c>
      <c r="BC400" s="24" t="inlineStr">
        <is>
          <t>tennis-surface-elo-v1</t>
        </is>
      </c>
      <c r="BD400" s="24" t="inlineStr">
        <is>
          <t>3ab056fefe04713e3c294da76c8adb2866b0dc46556ed32322a0426dd344a0e4</t>
        </is>
      </c>
      <c r="BE400" s="24" t="inlineStr">
        <is>
          <t>tennis-surface-elo-v1</t>
        </is>
      </c>
      <c r="BF400" s="24" t="inlineStr">
        <is>
          <t>1</t>
        </is>
      </c>
      <c r="BG400" s="24" t="inlineStr">
        <is>
          <t>3ab056fefe04713e3c294da76c8adb2866b0dc46556ed32322a0426dd344a0e4</t>
        </is>
      </c>
      <c r="BH400" s="24" t="inlineStr">
        <is>
          <t>2026-08-20T18:56:11.180511Z</t>
        </is>
      </c>
      <c r="BI400" s="24" t="inlineStr">
        <is>
          <t>["same_event","same_team_same_day","same_league_same_day"]</t>
        </is>
      </c>
      <c r="BJ400" s="25" t="n"/>
      <c r="BK400" s="26" t="n">
        <v>-150</v>
      </c>
      <c r="BL400" s="27" t="n">
        <v>1.666667</v>
      </c>
      <c r="BM400" s="28" t="n">
        <v>0.6</v>
      </c>
      <c r="BN400" s="28" t="n"/>
      <c r="BO400" s="28" t="n"/>
      <c r="BP400" s="25" t="n"/>
      <c r="BQ400" s="27" t="n">
        <v>1.666667</v>
      </c>
      <c r="BR400" s="28" t="n">
        <v>0.6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0.6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621a1c5799994de5</t>
        </is>
      </c>
      <c r="B401" s="24" t="inlineStr">
        <is>
          <t>2026-08-20T22:23:17.589475Z</t>
        </is>
      </c>
      <c r="C401" s="24" t="inlineStr">
        <is>
          <t>2026-08-20T23:00Z</t>
        </is>
      </c>
      <c r="D401" s="24" t="inlineStr">
        <is>
          <t>718-2026:182381</t>
        </is>
      </c>
      <c r="E401" s="24" t="inlineStr">
        <is>
          <t>TENNIS</t>
        </is>
      </c>
      <c r="F401" s="24" t="inlineStr">
        <is>
          <t>Elena Rybakina</t>
        </is>
      </c>
      <c r="G401" s="24" t="inlineStr">
        <is>
          <t>Iga Swiatek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138</v>
      </c>
      <c r="M401" s="27" t="n">
        <v>2.38</v>
      </c>
      <c r="N401" s="28" t="n">
        <v>0.420168</v>
      </c>
      <c r="O401" s="28" t="n">
        <v>0.652459</v>
      </c>
      <c r="P401" s="28" t="n">
        <v>0.05</v>
      </c>
      <c r="Q401" s="28" t="n">
        <v>0.232291</v>
      </c>
      <c r="R401" s="26" t="n">
        <v>100</v>
      </c>
      <c r="S401" s="29" t="n">
        <v>1.75</v>
      </c>
      <c r="T401" s="24" t="inlineStr">
        <is>
          <t>tennis-surface-elo-v1</t>
        </is>
      </c>
      <c r="U401" s="24" t="inlineStr">
        <is>
          <t>settled</t>
        </is>
      </c>
      <c r="V401" s="24" t="inlineStr">
        <is>
          <t>loss</t>
        </is>
      </c>
      <c r="W401" s="26" t="n">
        <v>0</v>
      </c>
      <c r="X401" s="26" t="n">
        <v>1</v>
      </c>
      <c r="Y401" s="25" t="n"/>
      <c r="Z401" s="26" t="n">
        <v>138</v>
      </c>
      <c r="AA401" s="28" t="n">
        <v>0.42</v>
      </c>
      <c r="AB401" s="28" t="n">
        <v>-0.000168</v>
      </c>
      <c r="AC401" s="30" t="n">
        <v>-1.75</v>
      </c>
      <c r="AD401" s="24" t="inlineStr">
        <is>
          <t>2026-08-21T01:25:14.136916Z</t>
        </is>
      </c>
      <c r="AE401" s="31" t="inlineStr">
        <is>
          <t>Surface-blended Elo on Hard: Elena Rybakina p=0.652 vs Iga Swiatek. Executable ask 0.4200 (aec-wta-igaswi-eleryb-2026-08-20).</t>
        </is>
      </c>
      <c r="AF401" s="31" t="inlineStr">
        <is>
          <t>Surface-blended Elo model; singles only, WTA+ATP market coverage, not yet locked-holdout qualified -- promoted by explicit operator directive, not genuine walk-forward validation.</t>
        </is>
      </c>
      <c r="AG401" s="24" t="inlineStr">
        <is>
          <t>review_required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3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Elena Rybakina</t>
        </is>
      </c>
      <c r="AQ401" s="24" t="inlineStr">
        <is>
          <t>Elena Rybakina</t>
        </is>
      </c>
      <c r="AR401" s="24" t="inlineStr">
        <is>
          <t>Elena Rybakina</t>
        </is>
      </c>
      <c r="AS401" s="24" t="inlineStr">
        <is>
          <t>Iga Swiatek</t>
        </is>
      </c>
      <c r="AT401" s="24" t="inlineStr">
        <is>
          <t>Iga Swiatek</t>
        </is>
      </c>
      <c r="AU401" s="24" t="inlineStr">
        <is>
          <t>Iga Swiatek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3ab056fefe04713e3c294da76c8adb2866b0dc46556ed32322a0426dd344a0e4</t>
        </is>
      </c>
      <c r="BB401" s="24" t="inlineStr">
        <is>
          <t>surface_blended_elo</t>
        </is>
      </c>
      <c r="BC401" s="24" t="inlineStr">
        <is>
          <t>tennis-surface-elo-v1</t>
        </is>
      </c>
      <c r="BD401" s="24" t="inlineStr">
        <is>
          <t>3ab056fefe04713e3c294da76c8adb2866b0dc46556ed32322a0426dd344a0e4</t>
        </is>
      </c>
      <c r="BE401" s="24" t="inlineStr">
        <is>
          <t>tennis-surface-elo-v1</t>
        </is>
      </c>
      <c r="BF401" s="24" t="inlineStr">
        <is>
          <t>1</t>
        </is>
      </c>
      <c r="BG401" s="24" t="inlineStr">
        <is>
          <t>3ab056fefe04713e3c294da76c8adb2866b0dc46556ed32322a0426dd344a0e4</t>
        </is>
      </c>
      <c r="BH401" s="24" t="inlineStr">
        <is>
          <t>2026-08-20T22:22:47.828656Z</t>
        </is>
      </c>
      <c r="BI401" s="24" t="inlineStr">
        <is>
          <t>["same_event","same_team_same_day","same_league_same_day"]</t>
        </is>
      </c>
      <c r="BJ401" s="25" t="n"/>
      <c r="BK401" s="26" t="n">
        <v>138</v>
      </c>
      <c r="BL401" s="27" t="n">
        <v>2.38</v>
      </c>
      <c r="BM401" s="28" t="n">
        <v>0.420168</v>
      </c>
      <c r="BN401" s="28" t="n"/>
      <c r="BO401" s="28" t="n"/>
      <c r="BP401" s="25" t="n"/>
      <c r="BQ401" s="27" t="n">
        <v>2.38</v>
      </c>
      <c r="BR401" s="28" t="n">
        <v>0.42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0.420168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e8e9502ca4dd4774</t>
        </is>
      </c>
      <c r="B402" s="24" t="inlineStr">
        <is>
          <t>2026-08-20T22:23:17.589475Z</t>
        </is>
      </c>
      <c r="C402" s="24" t="inlineStr">
        <is>
          <t>2026-08-21T00:30Z</t>
        </is>
      </c>
      <c r="D402" s="24" t="inlineStr">
        <is>
          <t>718-2026:181910</t>
        </is>
      </c>
      <c r="E402" s="24" t="inlineStr">
        <is>
          <t>TENNIS</t>
        </is>
      </c>
      <c r="F402" s="24" t="inlineStr">
        <is>
          <t>Arthur Fils</t>
        </is>
      </c>
      <c r="G402" s="24" t="inlineStr">
        <is>
          <t>Thiago Agustin Tirante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-317</v>
      </c>
      <c r="M402" s="27" t="n">
        <v>1.315457</v>
      </c>
      <c r="N402" s="28" t="n">
        <v>0.760192</v>
      </c>
      <c r="O402" s="28" t="n">
        <v>0.68835</v>
      </c>
      <c r="P402" s="28" t="n">
        <v>0.05</v>
      </c>
      <c r="Q402" s="28" t="n">
        <v>-0.071842</v>
      </c>
      <c r="R402" s="26" t="n">
        <v>0</v>
      </c>
      <c r="S402" s="29" t="n">
        <v>2</v>
      </c>
      <c r="T402" s="24" t="inlineStr">
        <is>
          <t>tennis-surface-elo-v1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-317</v>
      </c>
      <c r="AA402" s="28" t="n">
        <v>0.76</v>
      </c>
      <c r="AB402" s="28" t="n">
        <v>-0.000192</v>
      </c>
      <c r="AC402" s="30" t="n">
        <v>0.6309</v>
      </c>
      <c r="AD402" s="24" t="inlineStr">
        <is>
          <t>2026-08-21T04:29:10.854738Z</t>
        </is>
      </c>
      <c r="AE402" s="31" t="inlineStr">
        <is>
          <t>Surface-blended Elo on Hard: Arthur Fils p=0.688 vs Thiago Agustin Tirante. Executable ask 0.7600 (aec-atp-thitir-artfil-2026-08-21).</t>
        </is>
      </c>
      <c r="AF402" s="31" t="inlineStr">
        <is>
          <t>Surface-blended Elo model; singles only, WTA+ATP market coverage, not yet locked-holdout qualified -- promoted by explicit operator directive, not genuine walk-forward validation.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PAPER_CALL_LOW_EDGE</t>
        </is>
      </c>
      <c r="AP402" s="24" t="inlineStr">
        <is>
          <t>Arthur Fils</t>
        </is>
      </c>
      <c r="AQ402" s="24" t="inlineStr">
        <is>
          <t>Arthur Fils</t>
        </is>
      </c>
      <c r="AR402" s="24" t="inlineStr">
        <is>
          <t>Arthur Fils</t>
        </is>
      </c>
      <c r="AS402" s="24" t="inlineStr">
        <is>
          <t>Thiago Agustin Tirante</t>
        </is>
      </c>
      <c r="AT402" s="24" t="inlineStr">
        <is>
          <t>Thiago Agustin Tirante</t>
        </is>
      </c>
      <c r="AU402" s="24" t="inlineStr">
        <is>
          <t>Thiago Agustin Tirante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3ab056fefe04713e3c294da76c8adb2866b0dc46556ed32322a0426dd344a0e4</t>
        </is>
      </c>
      <c r="BB402" s="24" t="inlineStr">
        <is>
          <t>surface_blended_elo</t>
        </is>
      </c>
      <c r="BC402" s="24" t="inlineStr">
        <is>
          <t>tennis-surface-elo-v1</t>
        </is>
      </c>
      <c r="BD402" s="24" t="inlineStr">
        <is>
          <t>3ab056fefe04713e3c294da76c8adb2866b0dc46556ed32322a0426dd344a0e4</t>
        </is>
      </c>
      <c r="BE402" s="24" t="inlineStr">
        <is>
          <t>tennis-surface-elo-v1</t>
        </is>
      </c>
      <c r="BF402" s="24" t="inlineStr">
        <is>
          <t>1</t>
        </is>
      </c>
      <c r="BG402" s="24" t="inlineStr">
        <is>
          <t>3ab056fefe04713e3c294da76c8adb2866b0dc46556ed32322a0426dd344a0e4</t>
        </is>
      </c>
      <c r="BH402" s="24" t="inlineStr">
        <is>
          <t>2026-08-20T22:22:48.087017Z</t>
        </is>
      </c>
      <c r="BI402" s="24" t="inlineStr">
        <is>
          <t>["same_event","same_team_same_day","same_league_same_day"]</t>
        </is>
      </c>
      <c r="BJ402" s="25" t="n"/>
      <c r="BK402" s="26" t="n">
        <v>-317</v>
      </c>
      <c r="BL402" s="27" t="n">
        <v>1.315457</v>
      </c>
      <c r="BM402" s="28" t="n">
        <v>0.760192</v>
      </c>
      <c r="BN402" s="28" t="n"/>
      <c r="BO402" s="28" t="n"/>
      <c r="BP402" s="25" t="n"/>
      <c r="BQ402" s="27" t="n">
        <v>1.315457</v>
      </c>
      <c r="BR402" s="28" t="n">
        <v>0.76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False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0.760192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0ccd8c6bfcb547a0</t>
        </is>
      </c>
      <c r="B403" s="24" t="inlineStr">
        <is>
          <t>2026-08-21T11:32:18.381616Z</t>
        </is>
      </c>
      <c r="C403" s="24" t="inlineStr">
        <is>
          <t>2026-08-21T17:00Z</t>
        </is>
      </c>
      <c r="D403" s="24" t="inlineStr">
        <is>
          <t>718-2026:182367</t>
        </is>
      </c>
      <c r="E403" s="24" t="inlineStr">
        <is>
          <t>TENNIS</t>
        </is>
      </c>
      <c r="F403" s="24" t="inlineStr">
        <is>
          <t>Madison Keys</t>
        </is>
      </c>
      <c r="G403" s="24" t="inlineStr">
        <is>
          <t>Sara Bejlek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polymarket_us</t>
        </is>
      </c>
      <c r="L403" s="26" t="n">
        <v>-194</v>
      </c>
      <c r="M403" s="27" t="n">
        <v>1.515464</v>
      </c>
      <c r="N403" s="28" t="n">
        <v>0.659864</v>
      </c>
      <c r="O403" s="28" t="n">
        <v>0.635224</v>
      </c>
      <c r="P403" s="28" t="n">
        <v>0.05</v>
      </c>
      <c r="Q403" s="28" t="n">
        <v>-0.02464</v>
      </c>
      <c r="R403" s="26" t="n">
        <v>8</v>
      </c>
      <c r="S403" s="29" t="n">
        <v>1.5</v>
      </c>
      <c r="T403" s="24" t="inlineStr">
        <is>
          <t>tennis-surface-elo-v1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1</v>
      </c>
      <c r="Y403" s="25" t="n"/>
      <c r="Z403" s="26" t="n">
        <v>-194</v>
      </c>
      <c r="AA403" s="28" t="n">
        <v>0.66</v>
      </c>
      <c r="AB403" s="28" t="n">
        <v>0.000136</v>
      </c>
      <c r="AC403" s="30" t="n">
        <v>-1.5</v>
      </c>
      <c r="AD403" s="24" t="inlineStr">
        <is>
          <t>2026-08-21T21:53:18.904498Z</t>
        </is>
      </c>
      <c r="AE403" s="31" t="inlineStr">
        <is>
          <t>Surface-blended Elo on Hard: Madison Keys p=0.635 vs Sara Bejlek. Executable ask 0.6600 (aec-wta-sarbej-madkey-2026-08-21).</t>
        </is>
      </c>
      <c r="AF403" s="31" t="inlineStr">
        <is>
          <t>Surface-blended Elo model; singles only, WTA+ATP market coverage, not yet locked-holdout qualified -- promoted by explicit operator directive, not genuine walk-forward validation.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Madison Keys</t>
        </is>
      </c>
      <c r="AQ403" s="24" t="inlineStr">
        <is>
          <t>Madison Keys</t>
        </is>
      </c>
      <c r="AR403" s="24" t="inlineStr">
        <is>
          <t>Madison Keys</t>
        </is>
      </c>
      <c r="AS403" s="24" t="inlineStr">
        <is>
          <t>Sara Bejlek</t>
        </is>
      </c>
      <c r="AT403" s="24" t="inlineStr">
        <is>
          <t>Sara Bejlek</t>
        </is>
      </c>
      <c r="AU403" s="24" t="inlineStr">
        <is>
          <t>Sara Bejlek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70f8fa98d1f3928ef463d93e40d2cd75afc0fd14b1d0f68ca3f4b3f8cd186d83</t>
        </is>
      </c>
      <c r="BB403" s="24" t="inlineStr">
        <is>
          <t>surface_blended_elo</t>
        </is>
      </c>
      <c r="BC403" s="24" t="inlineStr">
        <is>
          <t>tennis-surface-elo-v1</t>
        </is>
      </c>
      <c r="BD403" s="24" t="inlineStr">
        <is>
          <t>70f8fa98d1f3928ef463d93e40d2cd75afc0fd14b1d0f68ca3f4b3f8cd186d83</t>
        </is>
      </c>
      <c r="BE403" s="24" t="inlineStr">
        <is>
          <t>tennis-surface-elo-v1</t>
        </is>
      </c>
      <c r="BF403" s="24" t="inlineStr">
        <is>
          <t>1</t>
        </is>
      </c>
      <c r="BG403" s="24" t="inlineStr">
        <is>
          <t>70f8fa98d1f3928ef463d93e40d2cd75afc0fd14b1d0f68ca3f4b3f8cd186d83</t>
        </is>
      </c>
      <c r="BH403" s="24" t="inlineStr">
        <is>
          <t>2026-08-21T11:28:24.819156Z</t>
        </is>
      </c>
      <c r="BI403" s="24" t="inlineStr">
        <is>
          <t>["same_event","same_team_same_day","same_league_same_day"]</t>
        </is>
      </c>
      <c r="BJ403" s="25" t="n"/>
      <c r="BK403" s="26" t="n">
        <v>-194</v>
      </c>
      <c r="BL403" s="27" t="n">
        <v>1.515464</v>
      </c>
      <c r="BM403" s="28" t="n">
        <v>0.659864</v>
      </c>
      <c r="BN403" s="28" t="n"/>
      <c r="BO403" s="28" t="n"/>
      <c r="BP403" s="25" t="n"/>
      <c r="BQ403" s="27" t="n">
        <v>1.515464</v>
      </c>
      <c r="BR403" s="28" t="n">
        <v>0.66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False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0.659864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5f0ef80582b5469a</t>
        </is>
      </c>
      <c r="B404" s="24" t="inlineStr">
        <is>
          <t>2026-08-21T18:27:29.170138Z</t>
        </is>
      </c>
      <c r="C404" s="24" t="inlineStr">
        <is>
          <t>2026-08-21T19:00Z</t>
        </is>
      </c>
      <c r="D404" s="24" t="inlineStr">
        <is>
          <t>718-2026:181916</t>
        </is>
      </c>
      <c r="E404" s="24" t="inlineStr">
        <is>
          <t>TENNIS</t>
        </is>
      </c>
      <c r="F404" s="24" t="inlineStr">
        <is>
          <t>Brandon Nakashima</t>
        </is>
      </c>
      <c r="G404" s="24" t="inlineStr">
        <is>
          <t>Taylor Fritz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-178</v>
      </c>
      <c r="M404" s="27" t="n">
        <v>1.561798</v>
      </c>
      <c r="N404" s="28" t="n">
        <v>0.640288</v>
      </c>
      <c r="O404" s="28" t="n">
        <v>0.539197</v>
      </c>
      <c r="P404" s="28" t="n">
        <v>0.05</v>
      </c>
      <c r="Q404" s="28" t="n">
        <v>-0.101091</v>
      </c>
      <c r="R404" s="26" t="n">
        <v>0</v>
      </c>
      <c r="S404" s="29" t="n">
        <v>1</v>
      </c>
      <c r="T404" s="24" t="inlineStr">
        <is>
          <t>tennis-surface-elo-v1</t>
        </is>
      </c>
      <c r="U404" s="24" t="inlineStr">
        <is>
          <t>settled</t>
        </is>
      </c>
      <c r="V404" s="24" t="inlineStr">
        <is>
          <t>loss</t>
        </is>
      </c>
      <c r="W404" s="26" t="n">
        <v>1</v>
      </c>
      <c r="X404" s="26" t="n">
        <v>0</v>
      </c>
      <c r="Y404" s="25" t="n"/>
      <c r="Z404" s="26" t="n">
        <v>-178</v>
      </c>
      <c r="AA404" s="28" t="n">
        <v>0.64</v>
      </c>
      <c r="AB404" s="28" t="n">
        <v>-0.000288</v>
      </c>
      <c r="AC404" s="30" t="n">
        <v>-1</v>
      </c>
      <c r="AD404" s="24" t="inlineStr">
        <is>
          <t>2026-08-22T00:59:55.884809Z</t>
        </is>
      </c>
      <c r="AE404" s="31" t="inlineStr">
        <is>
          <t>Surface-blended Elo on Hard: Brandon Nakashima p=0.461 vs Taylor Fritz. Executable ask 0.6400 (aec-atp-tayfri-branak-2026-08-21).</t>
        </is>
      </c>
      <c r="AF404" s="31" t="inlineStr">
        <is>
          <t>Surface-blended Elo model; singles only, WTA+ATP market coverage, not yet locked-holdout qualified -- promoted by explicit operator directive, not genuine walk-forward validation.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Brandon Nakashima</t>
        </is>
      </c>
      <c r="AQ404" s="24" t="inlineStr">
        <is>
          <t>Brandon Nakashima</t>
        </is>
      </c>
      <c r="AR404" s="24" t="inlineStr">
        <is>
          <t>Brandon Nakashima</t>
        </is>
      </c>
      <c r="AS404" s="24" t="inlineStr">
        <is>
          <t>Taylor Fritz</t>
        </is>
      </c>
      <c r="AT404" s="24" t="inlineStr">
        <is>
          <t>Taylor Fritz</t>
        </is>
      </c>
      <c r="AU404" s="24" t="inlineStr">
        <is>
          <t>Taylor Fritz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70f8fa98d1f3928ef463d93e40d2cd75afc0fd14b1d0f68ca3f4b3f8cd186d83</t>
        </is>
      </c>
      <c r="BB404" s="24" t="inlineStr">
        <is>
          <t>surface_blended_elo</t>
        </is>
      </c>
      <c r="BC404" s="24" t="inlineStr">
        <is>
          <t>tennis-surface-elo-v1</t>
        </is>
      </c>
      <c r="BD404" s="24" t="inlineStr">
        <is>
          <t>70f8fa98d1f3928ef463d93e40d2cd75afc0fd14b1d0f68ca3f4b3f8cd186d83</t>
        </is>
      </c>
      <c r="BE404" s="24" t="inlineStr">
        <is>
          <t>tennis-surface-elo-v1</t>
        </is>
      </c>
      <c r="BF404" s="24" t="inlineStr">
        <is>
          <t>1</t>
        </is>
      </c>
      <c r="BG404" s="24" t="inlineStr">
        <is>
          <t>70f8fa98d1f3928ef463d93e40d2cd75afc0fd14b1d0f68ca3f4b3f8cd186d83</t>
        </is>
      </c>
      <c r="BH404" s="24" t="inlineStr">
        <is>
          <t>2026-08-21T18:26:09.545933Z</t>
        </is>
      </c>
      <c r="BI404" s="24" t="inlineStr">
        <is>
          <t>["same_event","same_team_same_day","same_league_same_day"]</t>
        </is>
      </c>
      <c r="BJ404" s="25" t="n"/>
      <c r="BK404" s="26" t="n">
        <v>-178</v>
      </c>
      <c r="BL404" s="27" t="n">
        <v>1.561798</v>
      </c>
      <c r="BM404" s="28" t="n">
        <v>0.640288</v>
      </c>
      <c r="BN404" s="28" t="n"/>
      <c r="BO404" s="28" t="n"/>
      <c r="BP404" s="25" t="n"/>
      <c r="BQ404" s="27" t="n">
        <v>1.561798</v>
      </c>
      <c r="BR404" s="28" t="n">
        <v>0.64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0.640288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b3adeed7574048d0</t>
        </is>
      </c>
      <c r="B405" s="24" t="inlineStr">
        <is>
          <t>2026-08-21T21:56:15.991089Z</t>
        </is>
      </c>
      <c r="C405" s="24" t="inlineStr">
        <is>
          <t>2026-08-22T00:30Z</t>
        </is>
      </c>
      <c r="D405" s="24" t="inlineStr">
        <is>
          <t>718-2026:182368</t>
        </is>
      </c>
      <c r="E405" s="24" t="inlineStr">
        <is>
          <t>TENNIS</t>
        </is>
      </c>
      <c r="F405" s="24" t="inlineStr">
        <is>
          <t>Marta Kostyuk</t>
        </is>
      </c>
      <c r="G405" s="24" t="inlineStr">
        <is>
          <t>Coco Gauff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-133</v>
      </c>
      <c r="M405" s="27" t="n">
        <v>1.75188</v>
      </c>
      <c r="N405" s="28" t="n">
        <v>0.570815</v>
      </c>
      <c r="O405" s="28" t="n">
        <v>0.578093</v>
      </c>
      <c r="P405" s="28" t="n">
        <v>0.05</v>
      </c>
      <c r="Q405" s="28" t="n">
        <v>0.007278</v>
      </c>
      <c r="R405" s="26" t="n">
        <v>24</v>
      </c>
      <c r="S405" s="29" t="n">
        <v>1.25</v>
      </c>
      <c r="T405" s="24" t="inlineStr">
        <is>
          <t>tennis-surface-elo-v1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1</v>
      </c>
      <c r="Y405" s="25" t="n"/>
      <c r="Z405" s="26" t="n">
        <v>-133</v>
      </c>
      <c r="AA405" s="28" t="n">
        <v>0.57</v>
      </c>
      <c r="AB405" s="28" t="n">
        <v>-0.000815</v>
      </c>
      <c r="AC405" s="30" t="n">
        <v>0.9399</v>
      </c>
      <c r="AD405" s="24" t="inlineStr">
        <is>
          <t>2026-08-22T04:08:16.621840Z</t>
        </is>
      </c>
      <c r="AE405" s="31" t="inlineStr">
        <is>
          <t>Surface-blended Elo on Hard: Marta Kostyuk p=0.422 vs Coco Gauff. Executable ask 0.5700 (aec-wta-cocgau-markos-2026-08-21).</t>
        </is>
      </c>
      <c r="AF405" s="31" t="inlineStr">
        <is>
          <t>Surface-blended Elo model; singles only, WTA+ATP market coverage, not yet locked-holdout qualified -- promoted by explicit operator directive, not genuine walk-forward validation.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Marta Kostyuk</t>
        </is>
      </c>
      <c r="AQ405" s="24" t="inlineStr">
        <is>
          <t>Marta Kostyuk</t>
        </is>
      </c>
      <c r="AR405" s="24" t="inlineStr">
        <is>
          <t>Marta Kostyuk</t>
        </is>
      </c>
      <c r="AS405" s="24" t="inlineStr">
        <is>
          <t>Coco Gauff</t>
        </is>
      </c>
      <c r="AT405" s="24" t="inlineStr">
        <is>
          <t>Coco Gauff</t>
        </is>
      </c>
      <c r="AU405" s="24" t="inlineStr">
        <is>
          <t>Coco Gauff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70f8fa98d1f3928ef463d93e40d2cd75afc0fd14b1d0f68ca3f4b3f8cd186d83</t>
        </is>
      </c>
      <c r="BB405" s="24" t="inlineStr">
        <is>
          <t>surface_blended_elo</t>
        </is>
      </c>
      <c r="BC405" s="24" t="inlineStr">
        <is>
          <t>tennis-surface-elo-v1</t>
        </is>
      </c>
      <c r="BD405" s="24" t="inlineStr">
        <is>
          <t>70f8fa98d1f3928ef463d93e40d2cd75afc0fd14b1d0f68ca3f4b3f8cd186d83</t>
        </is>
      </c>
      <c r="BE405" s="24" t="inlineStr">
        <is>
          <t>tennis-surface-elo-v1</t>
        </is>
      </c>
      <c r="BF405" s="24" t="inlineStr">
        <is>
          <t>1</t>
        </is>
      </c>
      <c r="BG405" s="24" t="inlineStr">
        <is>
          <t>70f8fa98d1f3928ef463d93e40d2cd75afc0fd14b1d0f68ca3f4b3f8cd186d83</t>
        </is>
      </c>
      <c r="BH405" s="24" t="inlineStr">
        <is>
          <t>2026-08-21T21:54:44.629270Z</t>
        </is>
      </c>
      <c r="BI405" s="24" t="inlineStr">
        <is>
          <t>["same_event","same_team_same_day","same_league_same_day"]</t>
        </is>
      </c>
      <c r="BJ405" s="25" t="n"/>
      <c r="BK405" s="26" t="n">
        <v>-133</v>
      </c>
      <c r="BL405" s="27" t="n">
        <v>1.75188</v>
      </c>
      <c r="BM405" s="28" t="n">
        <v>0.570815</v>
      </c>
      <c r="BN405" s="28" t="n"/>
      <c r="BO405" s="28" t="n"/>
      <c r="BP405" s="25" t="n"/>
      <c r="BQ405" s="27" t="n">
        <v>1.75188</v>
      </c>
      <c r="BR405" s="28" t="n">
        <v>0.57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0.570815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227441105b3646b3</t>
        </is>
      </c>
      <c r="B406" s="24" t="inlineStr">
        <is>
          <t>2026-08-21T21:56:15.991089Z</t>
        </is>
      </c>
      <c r="C406" s="24" t="inlineStr">
        <is>
          <t>2026-08-21T23:00Z</t>
        </is>
      </c>
      <c r="D406" s="24" t="inlineStr">
        <is>
          <t>718-2026:181915</t>
        </is>
      </c>
      <c r="E406" s="24" t="inlineStr">
        <is>
          <t>TENNIS</t>
        </is>
      </c>
      <c r="F406" s="24" t="inlineStr">
        <is>
          <t>Frances Tiafoe</t>
        </is>
      </c>
      <c r="G406" s="24" t="inlineStr">
        <is>
          <t>Lorenzo Musetti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100</v>
      </c>
      <c r="M406" s="27" t="n">
        <v>2</v>
      </c>
      <c r="N406" s="28" t="n">
        <v>0.5</v>
      </c>
      <c r="O406" s="28" t="n">
        <v>0.522491</v>
      </c>
      <c r="P406" s="28" t="n">
        <v>0.05</v>
      </c>
      <c r="Q406" s="28" t="n">
        <v>0.022491</v>
      </c>
      <c r="R406" s="26" t="n">
        <v>31</v>
      </c>
      <c r="S406" s="29" t="n">
        <v>1</v>
      </c>
      <c r="T406" s="24" t="inlineStr">
        <is>
          <t>tennis-surface-elo-v1</t>
        </is>
      </c>
      <c r="U406" s="24" t="inlineStr">
        <is>
          <t>settled</t>
        </is>
      </c>
      <c r="V406" s="24" t="inlineStr">
        <is>
          <t>win</t>
        </is>
      </c>
      <c r="W406" s="26" t="n">
        <v>1</v>
      </c>
      <c r="X406" s="26" t="n">
        <v>0</v>
      </c>
      <c r="Y406" s="25" t="n"/>
      <c r="Z406" s="26" t="n">
        <v>100</v>
      </c>
      <c r="AA406" s="28" t="n">
        <v>0.5</v>
      </c>
      <c r="AB406" s="28" t="n">
        <v>0</v>
      </c>
      <c r="AC406" s="30" t="n">
        <v>1</v>
      </c>
      <c r="AD406" s="24" t="inlineStr">
        <is>
          <t>2026-08-22T04:08:19.216719Z</t>
        </is>
      </c>
      <c r="AE406" s="31" t="inlineStr">
        <is>
          <t>Surface-blended Elo on Hard: Frances Tiafoe p=0.522 vs Lorenzo Musetti. Executable ask 0.5000 (aec-atp-lormus-fratia-2026-08-21).</t>
        </is>
      </c>
      <c r="AF406" s="31" t="inlineStr">
        <is>
          <t>Surface-blended Elo model; singles only, WTA+ATP market coverage, not yet locked-holdout qualified -- promoted by explicit operator directive, not genuine walk-forward validation.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Frances Tiafoe</t>
        </is>
      </c>
      <c r="AQ406" s="24" t="inlineStr">
        <is>
          <t>Frances Tiafoe</t>
        </is>
      </c>
      <c r="AR406" s="24" t="inlineStr">
        <is>
          <t>Frances Tiafoe</t>
        </is>
      </c>
      <c r="AS406" s="24" t="inlineStr">
        <is>
          <t>Lorenzo Musetti</t>
        </is>
      </c>
      <c r="AT406" s="24" t="inlineStr">
        <is>
          <t>Lorenzo Musetti</t>
        </is>
      </c>
      <c r="AU406" s="24" t="inlineStr">
        <is>
          <t>Lorenzo Musetti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70f8fa98d1f3928ef463d93e40d2cd75afc0fd14b1d0f68ca3f4b3f8cd186d83</t>
        </is>
      </c>
      <c r="BB406" s="24" t="inlineStr">
        <is>
          <t>surface_blended_elo</t>
        </is>
      </c>
      <c r="BC406" s="24" t="inlineStr">
        <is>
          <t>tennis-surface-elo-v1</t>
        </is>
      </c>
      <c r="BD406" s="24" t="inlineStr">
        <is>
          <t>70f8fa98d1f3928ef463d93e40d2cd75afc0fd14b1d0f68ca3f4b3f8cd186d83</t>
        </is>
      </c>
      <c r="BE406" s="24" t="inlineStr">
        <is>
          <t>tennis-surface-elo-v1</t>
        </is>
      </c>
      <c r="BF406" s="24" t="inlineStr">
        <is>
          <t>1</t>
        </is>
      </c>
      <c r="BG406" s="24" t="inlineStr">
        <is>
          <t>70f8fa98d1f3928ef463d93e40d2cd75afc0fd14b1d0f68ca3f4b3f8cd186d83</t>
        </is>
      </c>
      <c r="BH406" s="24" t="inlineStr">
        <is>
          <t>2026-08-21T21:54:44.824113Z</t>
        </is>
      </c>
      <c r="BI406" s="24" t="inlineStr">
        <is>
          <t>["same_event","same_team_same_day","same_league_same_day"]</t>
        </is>
      </c>
      <c r="BJ406" s="25" t="n"/>
      <c r="BK406" s="26" t="n">
        <v>100</v>
      </c>
      <c r="BL406" s="27" t="n">
        <v>2</v>
      </c>
      <c r="BM406" s="28" t="n">
        <v>0.5</v>
      </c>
      <c r="BN406" s="28" t="n"/>
      <c r="BO406" s="28" t="n"/>
      <c r="BP406" s="25" t="n"/>
      <c r="BQ406" s="27" t="n">
        <v>2</v>
      </c>
      <c r="BR406" s="28" t="n">
        <v>0.5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87a849cd74c94b0f</t>
        </is>
      </c>
      <c r="B407" s="24" t="inlineStr">
        <is>
          <t>2026-08-22T12:29:41.954826Z</t>
        </is>
      </c>
      <c r="C407" s="24" t="inlineStr">
        <is>
          <t>2026-08-22T15:00Z</t>
        </is>
      </c>
      <c r="D407" s="24" t="inlineStr">
        <is>
          <t>363-2026:184525</t>
        </is>
      </c>
      <c r="E407" s="24" t="inlineStr">
        <is>
          <t>TENNIS</t>
        </is>
      </c>
      <c r="F407" s="24" t="inlineStr">
        <is>
          <t>Kenta Miyoshi</t>
        </is>
      </c>
      <c r="G407" s="24" t="inlineStr">
        <is>
          <t>Pierre-Hugues Herbert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-178</v>
      </c>
      <c r="M407" s="27" t="n">
        <v>1.561798</v>
      </c>
      <c r="N407" s="28" t="n">
        <v>0.640288</v>
      </c>
      <c r="O407" s="28" t="n">
        <v>0.5099</v>
      </c>
      <c r="P407" s="28" t="n">
        <v>0.05</v>
      </c>
      <c r="Q407" s="28" t="n">
        <v>-0.130388</v>
      </c>
      <c r="R407" s="26" t="n">
        <v>0</v>
      </c>
      <c r="S407" s="29" t="n">
        <v>1</v>
      </c>
      <c r="T407" s="24" t="inlineStr">
        <is>
          <t>tennis-surface-elo-v1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>
        <v>-178</v>
      </c>
      <c r="AA407" s="28" t="n">
        <v>0.64</v>
      </c>
      <c r="AB407" s="28" t="n">
        <v>-0.000288</v>
      </c>
      <c r="AC407" s="30" t="n">
        <v>0.5618</v>
      </c>
      <c r="AD407" s="24" t="inlineStr">
        <is>
          <t>2026-08-22T19:03:20.698242Z</t>
        </is>
      </c>
      <c r="AE407" s="31" t="inlineStr">
        <is>
          <t>Surface-blended Elo on Hard: Kenta Miyoshi p=0.490 vs Pierre-Hugues Herbert. Executable ask 0.6400 (aec-atp-pieher-kenmiy-2026-08-22).</t>
        </is>
      </c>
      <c r="AF407" s="31" t="inlineStr">
        <is>
          <t>Surface-blended Elo model; singles only, WTA+ATP market coverage, not yet locked-holdout qualified -- promoted by explicit operator directive, not genuine walk-forward validation.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Kenta Miyoshi</t>
        </is>
      </c>
      <c r="AQ407" s="24" t="inlineStr">
        <is>
          <t>Kenta Miyoshi</t>
        </is>
      </c>
      <c r="AR407" s="24" t="inlineStr">
        <is>
          <t>Kenta Miyoshi</t>
        </is>
      </c>
      <c r="AS407" s="24" t="inlineStr">
        <is>
          <t>Pierre-Hugues Herbert</t>
        </is>
      </c>
      <c r="AT407" s="24" t="inlineStr">
        <is>
          <t>Pierre-Hugues Herbert</t>
        </is>
      </c>
      <c r="AU407" s="24" t="inlineStr">
        <is>
          <t>Pierre-Hugues Herbert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d777da58446bc099047b154203518e2585ef1a678f613f2b430f2589f7bf5cff</t>
        </is>
      </c>
      <c r="BB407" s="24" t="inlineStr">
        <is>
          <t>surface_blended_elo</t>
        </is>
      </c>
      <c r="BC407" s="24" t="inlineStr">
        <is>
          <t>tennis-surface-elo-v1</t>
        </is>
      </c>
      <c r="BD407" s="24" t="inlineStr">
        <is>
          <t>d777da58446bc099047b154203518e2585ef1a678f613f2b430f2589f7bf5cff</t>
        </is>
      </c>
      <c r="BE407" s="24" t="inlineStr">
        <is>
          <t>tennis-surface-elo-v1</t>
        </is>
      </c>
      <c r="BF407" s="24" t="inlineStr">
        <is>
          <t>1</t>
        </is>
      </c>
      <c r="BG407" s="24" t="inlineStr">
        <is>
          <t>d777da58446bc099047b154203518e2585ef1a678f613f2b430f2589f7bf5cff</t>
        </is>
      </c>
      <c r="BH407" s="24" t="inlineStr">
        <is>
          <t>2026-08-22T04:09:20.756565Z</t>
        </is>
      </c>
      <c r="BI407" s="24" t="inlineStr">
        <is>
          <t>["same_event","same_team_same_day","same_league_same_day"]</t>
        </is>
      </c>
      <c r="BJ407" s="25" t="n"/>
      <c r="BK407" s="26" t="n">
        <v>-178</v>
      </c>
      <c r="BL407" s="27" t="n">
        <v>1.561798</v>
      </c>
      <c r="BM407" s="28" t="n">
        <v>0.640288</v>
      </c>
      <c r="BN407" s="28" t="n"/>
      <c r="BO407" s="28" t="n"/>
      <c r="BP407" s="25" t="n"/>
      <c r="BQ407" s="27" t="n">
        <v>1.561798</v>
      </c>
      <c r="BR407" s="28" t="n">
        <v>0.64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0.640288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9c4b5503da99473a</t>
        </is>
      </c>
      <c r="B408" s="24" t="inlineStr">
        <is>
          <t>2026-08-22T15:58:34.411574Z</t>
        </is>
      </c>
      <c r="C408" s="24" t="inlineStr">
        <is>
          <t>2026-08-22T19:00Z</t>
        </is>
      </c>
      <c r="D408" s="24" t="inlineStr">
        <is>
          <t>718-2026:182426</t>
        </is>
      </c>
      <c r="E408" s="24" t="inlineStr">
        <is>
          <t>TENNIS</t>
        </is>
      </c>
      <c r="F408" s="24" t="inlineStr">
        <is>
          <t>Iga Swiatek</t>
        </is>
      </c>
      <c r="G408" s="24" t="inlineStr">
        <is>
          <t>Jessica Pegula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212</v>
      </c>
      <c r="M408" s="27" t="n">
        <v>3.12</v>
      </c>
      <c r="N408" s="28" t="n">
        <v>0.320513</v>
      </c>
      <c r="O408" s="28" t="n">
        <v>0.577989</v>
      </c>
      <c r="P408" s="28" t="n">
        <v>0.05</v>
      </c>
      <c r="Q408" s="28" t="n">
        <v>0.257476</v>
      </c>
      <c r="R408" s="26" t="n">
        <v>100</v>
      </c>
      <c r="S408" s="29" t="n">
        <v>1.25</v>
      </c>
      <c r="T408" s="24" t="inlineStr">
        <is>
          <t>tennis-surface-elo-v1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>
        <v>212</v>
      </c>
      <c r="AA408" s="28" t="n">
        <v>0.32</v>
      </c>
      <c r="AB408" s="28" t="n">
        <v>-0.000513</v>
      </c>
      <c r="AC408" s="30" t="n">
        <v>2.65</v>
      </c>
      <c r="AD408" s="24" t="inlineStr">
        <is>
          <t>2026-08-22T22:56:45.396992Z</t>
        </is>
      </c>
      <c r="AE408" s="31" t="inlineStr">
        <is>
          <t>Surface-blended Elo on Hard: Iga Swiatek p=0.422 vs Jessica Pegula. Executable ask 0.3200 (aec-wta-jespeg-igaswi-2026-08-22).</t>
        </is>
      </c>
      <c r="AF408" s="31" t="inlineStr">
        <is>
          <t>Surface-blended Elo model; singles only, WTA+ATP market coverage, not yet locked-holdout qualified -- promoted by explicit operator directive, not genuine walk-forward validation.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4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Iga Swiatek</t>
        </is>
      </c>
      <c r="AQ408" s="24" t="inlineStr">
        <is>
          <t>Iga Swiatek</t>
        </is>
      </c>
      <c r="AR408" s="24" t="inlineStr">
        <is>
          <t>Iga Swiatek</t>
        </is>
      </c>
      <c r="AS408" s="24" t="inlineStr">
        <is>
          <t>Jessica Pegula</t>
        </is>
      </c>
      <c r="AT408" s="24" t="inlineStr">
        <is>
          <t>Jessica Pegula</t>
        </is>
      </c>
      <c r="AU408" s="24" t="inlineStr">
        <is>
          <t>Jessica Pegula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d777da58446bc099047b154203518e2585ef1a678f613f2b430f2589f7bf5cff</t>
        </is>
      </c>
      <c r="BB408" s="24" t="inlineStr">
        <is>
          <t>surface_blended_elo</t>
        </is>
      </c>
      <c r="BC408" s="24" t="inlineStr">
        <is>
          <t>tennis-surface-elo-v1</t>
        </is>
      </c>
      <c r="BD408" s="24" t="inlineStr">
        <is>
          <t>d777da58446bc099047b154203518e2585ef1a678f613f2b430f2589f7bf5cff</t>
        </is>
      </c>
      <c r="BE408" s="24" t="inlineStr">
        <is>
          <t>tennis-surface-elo-v1</t>
        </is>
      </c>
      <c r="BF408" s="24" t="inlineStr">
        <is>
          <t>1</t>
        </is>
      </c>
      <c r="BG408" s="24" t="inlineStr">
        <is>
          <t>d777da58446bc099047b154203518e2585ef1a678f613f2b430f2589f7bf5cff</t>
        </is>
      </c>
      <c r="BH408" s="24" t="inlineStr">
        <is>
          <t>2026-08-22T15:41:04.345822Z</t>
        </is>
      </c>
      <c r="BI408" s="24" t="inlineStr">
        <is>
          <t>["same_event","same_team_same_day","same_league_same_day"]</t>
        </is>
      </c>
      <c r="BJ408" s="25" t="n"/>
      <c r="BK408" s="26" t="n">
        <v>212</v>
      </c>
      <c r="BL408" s="27" t="n">
        <v>3.12</v>
      </c>
      <c r="BM408" s="28" t="n">
        <v>0.320513</v>
      </c>
      <c r="BN408" s="28" t="n"/>
      <c r="BO408" s="28" t="n"/>
      <c r="BP408" s="25" t="n"/>
      <c r="BQ408" s="27" t="n">
        <v>3.12</v>
      </c>
      <c r="BR408" s="28" t="n">
        <v>0.32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0.320513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167b70aa45534af3</t>
        </is>
      </c>
      <c r="B409" s="24" t="inlineStr">
        <is>
          <t>2026-08-22T15:58:34.411574Z</t>
        </is>
      </c>
      <c r="C409" s="24" t="inlineStr">
        <is>
          <t>2026-08-22T17:30Z</t>
        </is>
      </c>
      <c r="D409" s="24" t="inlineStr">
        <is>
          <t>718-2026:181987</t>
        </is>
      </c>
      <c r="E409" s="24" t="inlineStr">
        <is>
          <t>TENNIS</t>
        </is>
      </c>
      <c r="F409" s="24" t="inlineStr">
        <is>
          <t>Arthur Fils</t>
        </is>
      </c>
      <c r="G409" s="24" t="inlineStr">
        <is>
          <t>Flavio Cobolli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-245</v>
      </c>
      <c r="M409" s="27" t="n">
        <v>1.408163</v>
      </c>
      <c r="N409" s="28" t="n">
        <v>0.710145</v>
      </c>
      <c r="O409" s="28" t="n">
        <v>0.657982</v>
      </c>
      <c r="P409" s="28" t="n">
        <v>0.05</v>
      </c>
      <c r="Q409" s="28" t="n">
        <v>-0.052163</v>
      </c>
      <c r="R409" s="26" t="n">
        <v>0</v>
      </c>
      <c r="S409" s="29" t="n">
        <v>1.75</v>
      </c>
      <c r="T409" s="24" t="inlineStr">
        <is>
          <t>tennis-surface-elo-v1</t>
        </is>
      </c>
      <c r="U409" s="24" t="inlineStr">
        <is>
          <t>settled</t>
        </is>
      </c>
      <c r="V409" s="24" t="inlineStr">
        <is>
          <t>win</t>
        </is>
      </c>
      <c r="W409" s="26" t="n">
        <v>1</v>
      </c>
      <c r="X409" s="26" t="n">
        <v>0</v>
      </c>
      <c r="Y409" s="25" t="n"/>
      <c r="Z409" s="26" t="n">
        <v>-245</v>
      </c>
      <c r="AA409" s="28" t="n">
        <v>0.71</v>
      </c>
      <c r="AB409" s="28" t="n">
        <v>-0.000145</v>
      </c>
      <c r="AC409" s="30" t="n">
        <v>0.7143</v>
      </c>
      <c r="AD409" s="24" t="inlineStr">
        <is>
          <t>2026-08-22T22:14:59.027548Z</t>
        </is>
      </c>
      <c r="AE409" s="31" t="inlineStr">
        <is>
          <t>Surface-blended Elo on Hard: Arthur Fils p=0.658 vs Flavio Cobolli. Executable ask 0.7100 (aec-atp-flacob-artfil-2026-08-22).</t>
        </is>
      </c>
      <c r="AF409" s="31" t="inlineStr">
        <is>
          <t>Surface-blended Elo model; singles only, WTA+ATP market coverage, not yet locked-holdout qualified -- promoted by explicit operator directive, not genuine walk-forward validation.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Arthur Fils</t>
        </is>
      </c>
      <c r="AQ409" s="24" t="inlineStr">
        <is>
          <t>Arthur Fils</t>
        </is>
      </c>
      <c r="AR409" s="24" t="inlineStr">
        <is>
          <t>Arthur Fils</t>
        </is>
      </c>
      <c r="AS409" s="24" t="inlineStr">
        <is>
          <t>Flavio Cobolli</t>
        </is>
      </c>
      <c r="AT409" s="24" t="inlineStr">
        <is>
          <t>Flavio Cobolli</t>
        </is>
      </c>
      <c r="AU409" s="24" t="inlineStr">
        <is>
          <t>Flavio Cobolli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d777da58446bc099047b154203518e2585ef1a678f613f2b430f2589f7bf5cff</t>
        </is>
      </c>
      <c r="BB409" s="24" t="inlineStr">
        <is>
          <t>surface_blended_elo</t>
        </is>
      </c>
      <c r="BC409" s="24" t="inlineStr">
        <is>
          <t>tennis-surface-elo-v1</t>
        </is>
      </c>
      <c r="BD409" s="24" t="inlineStr">
        <is>
          <t>d777da58446bc099047b154203518e2585ef1a678f613f2b430f2589f7bf5cff</t>
        </is>
      </c>
      <c r="BE409" s="24" t="inlineStr">
        <is>
          <t>tennis-surface-elo-v1</t>
        </is>
      </c>
      <c r="BF409" s="24" t="inlineStr">
        <is>
          <t>1</t>
        </is>
      </c>
      <c r="BG409" s="24" t="inlineStr">
        <is>
          <t>d777da58446bc099047b154203518e2585ef1a678f613f2b430f2589f7bf5cff</t>
        </is>
      </c>
      <c r="BH409" s="24" t="inlineStr">
        <is>
          <t>2026-08-22T04:09:21.507662Z</t>
        </is>
      </c>
      <c r="BI409" s="24" t="inlineStr">
        <is>
          <t>["same_event","same_team_same_day","same_league_same_day"]</t>
        </is>
      </c>
      <c r="BJ409" s="25" t="n"/>
      <c r="BK409" s="26" t="n">
        <v>-245</v>
      </c>
      <c r="BL409" s="27" t="n">
        <v>1.408163</v>
      </c>
      <c r="BM409" s="28" t="n">
        <v>0.710145</v>
      </c>
      <c r="BN409" s="28" t="n"/>
      <c r="BO409" s="28" t="n"/>
      <c r="BP409" s="25" t="n"/>
      <c r="BQ409" s="27" t="n">
        <v>1.408163</v>
      </c>
      <c r="BR409" s="28" t="n">
        <v>0.71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0.710145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36193bf773614499</t>
        </is>
      </c>
      <c r="B410" s="24" t="inlineStr">
        <is>
          <t>2026-08-22T19:08:11.020534Z</t>
        </is>
      </c>
      <c r="C410" s="24" t="inlineStr">
        <is>
          <t>2026-08-22T20:30Z</t>
        </is>
      </c>
      <c r="D410" s="24" t="inlineStr">
        <is>
          <t>341-2026:184517</t>
        </is>
      </c>
      <c r="E410" s="24" t="inlineStr">
        <is>
          <t>TENNIS</t>
        </is>
      </c>
      <c r="F410" s="24" t="inlineStr">
        <is>
          <t>Yulia Putintseva</t>
        </is>
      </c>
      <c r="G410" s="24" t="inlineStr">
        <is>
          <t>Victoria Rodriguez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-2400</v>
      </c>
      <c r="M410" s="27" t="n">
        <v>1.041667</v>
      </c>
      <c r="N410" s="28" t="n">
        <v>0.96</v>
      </c>
      <c r="O410" s="28" t="n">
        <v>0.775467</v>
      </c>
      <c r="P410" s="28" t="n">
        <v>0.05</v>
      </c>
      <c r="Q410" s="28" t="n">
        <v>-0.184533</v>
      </c>
      <c r="R410" s="26" t="n">
        <v>0</v>
      </c>
      <c r="S410" s="29" t="n">
        <v>2</v>
      </c>
      <c r="T410" s="24" t="inlineStr">
        <is>
          <t>tennis-surface-elo-v1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0</v>
      </c>
      <c r="Y410" s="25" t="n"/>
      <c r="Z410" s="26" t="n">
        <v>-2400</v>
      </c>
      <c r="AA410" s="28" t="n">
        <v>0.96</v>
      </c>
      <c r="AB410" s="28" t="n">
        <v>0</v>
      </c>
      <c r="AC410" s="30" t="n">
        <v>0.0833</v>
      </c>
      <c r="AD410" s="24" t="inlineStr">
        <is>
          <t>2026-08-23T04:31:58.328526Z</t>
        </is>
      </c>
      <c r="AE410" s="31" t="inlineStr">
        <is>
          <t>Surface-blended Elo on Hard: Yulia Putintseva p=0.775 vs Victoria Rodriguez. Executable ask 0.9600 (aec-wta-vicrod-yulput-2026-08-22).</t>
        </is>
      </c>
      <c r="AF410" s="31" t="inlineStr">
        <is>
          <t>Surface-blended Elo model; singles only, WTA+ATP market coverage, not yet locked-holdout qualified -- promoted by explicit operator directive, not genuine walk-forward validation.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PAPER_CALL_LOW_EDGE</t>
        </is>
      </c>
      <c r="AP410" s="24" t="inlineStr">
        <is>
          <t>Yulia Putintseva</t>
        </is>
      </c>
      <c r="AQ410" s="24" t="inlineStr">
        <is>
          <t>Yulia Putintseva</t>
        </is>
      </c>
      <c r="AR410" s="24" t="inlineStr">
        <is>
          <t>Yulia Putintseva</t>
        </is>
      </c>
      <c r="AS410" s="24" t="inlineStr">
        <is>
          <t>Victoria Rodriguez</t>
        </is>
      </c>
      <c r="AT410" s="24" t="inlineStr">
        <is>
          <t>Victoria Rodriguez</t>
        </is>
      </c>
      <c r="AU410" s="24" t="inlineStr">
        <is>
          <t>Victoria Rodriguez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d777da58446bc099047b154203518e2585ef1a678f613f2b430f2589f7bf5cff</t>
        </is>
      </c>
      <c r="BB410" s="24" t="inlineStr">
        <is>
          <t>surface_blended_elo</t>
        </is>
      </c>
      <c r="BC410" s="24" t="inlineStr">
        <is>
          <t>tennis-surface-elo-v1</t>
        </is>
      </c>
      <c r="BD410" s="24" t="inlineStr">
        <is>
          <t>d777da58446bc099047b154203518e2585ef1a678f613f2b430f2589f7bf5cff</t>
        </is>
      </c>
      <c r="BE410" s="24" t="inlineStr">
        <is>
          <t>tennis-surface-elo-v1</t>
        </is>
      </c>
      <c r="BF410" s="24" t="inlineStr">
        <is>
          <t>1</t>
        </is>
      </c>
      <c r="BG410" s="24" t="inlineStr">
        <is>
          <t>d777da58446bc099047b154203518e2585ef1a678f613f2b430f2589f7bf5cff</t>
        </is>
      </c>
      <c r="BH410" s="24" t="inlineStr">
        <is>
          <t>2026-08-22T19:05:22.927768Z</t>
        </is>
      </c>
      <c r="BI410" s="24" t="inlineStr">
        <is>
          <t>["same_event","same_team_same_day","same_league_same_day"]</t>
        </is>
      </c>
      <c r="BJ410" s="25" t="n"/>
      <c r="BK410" s="26" t="n">
        <v>-2400</v>
      </c>
      <c r="BL410" s="27" t="n">
        <v>1.041667</v>
      </c>
      <c r="BM410" s="28" t="n">
        <v>0.96</v>
      </c>
      <c r="BN410" s="28" t="n"/>
      <c r="BO410" s="28" t="n"/>
      <c r="BP410" s="25" t="n"/>
      <c r="BQ410" s="27" t="n">
        <v>1.041667</v>
      </c>
      <c r="BR410" s="28" t="n">
        <v>0.96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0.96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767a05192ab24382</t>
        </is>
      </c>
      <c r="B411" s="24" t="inlineStr">
        <is>
          <t>2026-08-22T19:08:11.020534Z</t>
        </is>
      </c>
      <c r="C411" s="24" t="inlineStr">
        <is>
          <t>2026-08-22T22:00Z</t>
        </is>
      </c>
      <c r="D411" s="24" t="inlineStr">
        <is>
          <t>718-2026:181984</t>
        </is>
      </c>
      <c r="E411" s="24" t="inlineStr">
        <is>
          <t>TENNIS</t>
        </is>
      </c>
      <c r="F411" s="24" t="inlineStr">
        <is>
          <t>Frances Tiafoe</t>
        </is>
      </c>
      <c r="G411" s="24" t="inlineStr">
        <is>
          <t>Brandon Nakashima</t>
        </is>
      </c>
      <c r="H411" s="24" t="inlineStr">
        <is>
          <t>moneyline</t>
        </is>
      </c>
      <c r="I411" s="24" t="inlineStr">
        <is>
          <t>away</t>
        </is>
      </c>
      <c r="J411" s="25" t="n"/>
      <c r="K411" s="24" t="inlineStr">
        <is>
          <t>polymarket_us</t>
        </is>
      </c>
      <c r="L411" s="26" t="n">
        <v>113</v>
      </c>
      <c r="M411" s="27" t="n">
        <v>2.13</v>
      </c>
      <c r="N411" s="28" t="n">
        <v>0.469484</v>
      </c>
      <c r="O411" s="28" t="n">
        <v>0.511189</v>
      </c>
      <c r="P411" s="28" t="n">
        <v>0.05</v>
      </c>
      <c r="Q411" s="28" t="n">
        <v>0.041705</v>
      </c>
      <c r="R411" s="26" t="n">
        <v>41</v>
      </c>
      <c r="S411" s="29" t="n">
        <v>1</v>
      </c>
      <c r="T411" s="24" t="inlineStr">
        <is>
          <t>tennis-surface-elo-v1</t>
        </is>
      </c>
      <c r="U411" s="24" t="inlineStr">
        <is>
          <t>settled</t>
        </is>
      </c>
      <c r="V411" s="24" t="inlineStr">
        <is>
          <t>win</t>
        </is>
      </c>
      <c r="W411" s="26" t="n">
        <v>1</v>
      </c>
      <c r="X411" s="26" t="n">
        <v>0</v>
      </c>
      <c r="Y411" s="25" t="n"/>
      <c r="Z411" s="26" t="n">
        <v>113</v>
      </c>
      <c r="AA411" s="28" t="n">
        <v>0.47</v>
      </c>
      <c r="AB411" s="28" t="n">
        <v>0.000516</v>
      </c>
      <c r="AC411" s="30" t="n">
        <v>1.13</v>
      </c>
      <c r="AD411" s="24" t="inlineStr">
        <is>
          <t>2026-08-23T04:32:07.891218Z</t>
        </is>
      </c>
      <c r="AE411" s="31" t="inlineStr">
        <is>
          <t>Surface-blended Elo on Hard: Frances Tiafoe p=0.511 vs Brandon Nakashima. Executable ask 0.4700 (aec-atp-branak-fratia-2026-08-23).</t>
        </is>
      </c>
      <c r="AF411" s="31" t="inlineStr">
        <is>
          <t>Surface-blended Elo model; singles only, WTA+ATP market coverage, not yet locked-holdout qualified -- promoted by explicit operator directive, not genuine walk-forward validation.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PAPER_CALL_STALE_DATA</t>
        </is>
      </c>
      <c r="AP411" s="24" t="inlineStr">
        <is>
          <t>Frances Tiafoe</t>
        </is>
      </c>
      <c r="AQ411" s="24" t="inlineStr">
        <is>
          <t>Frances Tiafoe</t>
        </is>
      </c>
      <c r="AR411" s="24" t="inlineStr">
        <is>
          <t>Frances Tiafoe</t>
        </is>
      </c>
      <c r="AS411" s="24" t="inlineStr">
        <is>
          <t>Brandon Nakashima</t>
        </is>
      </c>
      <c r="AT411" s="24" t="inlineStr">
        <is>
          <t>Brandon Nakashima</t>
        </is>
      </c>
      <c r="AU411" s="24" t="inlineStr">
        <is>
          <t>Brandon Nakashima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d777da58446bc099047b154203518e2585ef1a678f613f2b430f2589f7bf5cff</t>
        </is>
      </c>
      <c r="BB411" s="24" t="inlineStr">
        <is>
          <t>surface_blended_elo</t>
        </is>
      </c>
      <c r="BC411" s="24" t="inlineStr">
        <is>
          <t>tennis-surface-elo-v1</t>
        </is>
      </c>
      <c r="BD411" s="24" t="inlineStr">
        <is>
          <t>d777da58446bc099047b154203518e2585ef1a678f613f2b430f2589f7bf5cff</t>
        </is>
      </c>
      <c r="BE411" s="24" t="inlineStr">
        <is>
          <t>tennis-surface-elo-v1</t>
        </is>
      </c>
      <c r="BF411" s="24" t="inlineStr">
        <is>
          <t>1</t>
        </is>
      </c>
      <c r="BG411" s="24" t="inlineStr">
        <is>
          <t>d777da58446bc099047b154203518e2585ef1a678f613f2b430f2589f7bf5cff</t>
        </is>
      </c>
      <c r="BH411" s="24" t="inlineStr">
        <is>
          <t>2026-08-22T04:09:22.832428Z</t>
        </is>
      </c>
      <c r="BI411" s="24" t="inlineStr">
        <is>
          <t>["same_event","same_team_same_day","same_league_same_day"]</t>
        </is>
      </c>
      <c r="BJ411" s="25" t="n"/>
      <c r="BK411" s="26" t="n">
        <v>113</v>
      </c>
      <c r="BL411" s="27" t="n">
        <v>2.13</v>
      </c>
      <c r="BM411" s="28" t="n">
        <v>0.469484</v>
      </c>
      <c r="BN411" s="28" t="n"/>
      <c r="BO411" s="28" t="n"/>
      <c r="BP411" s="25" t="n"/>
      <c r="BQ411" s="27" t="n">
        <v>2.13</v>
      </c>
      <c r="BR411" s="28" t="n">
        <v>0.47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0.469484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b067da17dd664aef</t>
        </is>
      </c>
      <c r="B412" s="24" t="inlineStr">
        <is>
          <t>2026-08-23T15:52:18.031697Z</t>
        </is>
      </c>
      <c r="C412" s="24" t="inlineStr">
        <is>
          <t>2026-08-23T16:00Z</t>
        </is>
      </c>
      <c r="D412" s="24" t="inlineStr">
        <is>
          <t>1075-2026:182121</t>
        </is>
      </c>
      <c r="E412" s="24" t="inlineStr">
        <is>
          <t>TENNIS</t>
        </is>
      </c>
      <c r="F412" s="24" t="inlineStr">
        <is>
          <t>Ashlyn Krueger</t>
        </is>
      </c>
      <c r="G412" s="24" t="inlineStr">
        <is>
          <t>Anna Frey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-1900</v>
      </c>
      <c r="M412" s="27" t="n">
        <v>1.052632</v>
      </c>
      <c r="N412" s="28" t="n">
        <v>0.95</v>
      </c>
      <c r="O412" s="28" t="n">
        <v>0.747827</v>
      </c>
      <c r="P412" s="28" t="n">
        <v>0.05</v>
      </c>
      <c r="Q412" s="28" t="n">
        <v>-0.202173</v>
      </c>
      <c r="R412" s="26" t="n">
        <v>0</v>
      </c>
      <c r="S412" s="29" t="n">
        <v>1</v>
      </c>
      <c r="T412" s="24" t="inlineStr">
        <is>
          <t>tennis-surface-elo-v1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-1900</v>
      </c>
      <c r="AA412" s="28" t="n">
        <v>0.95</v>
      </c>
      <c r="AB412" s="28" t="n">
        <v>0</v>
      </c>
      <c r="AC412" s="30" t="n">
        <v>0.0526</v>
      </c>
      <c r="AD412" s="24" t="inlineStr">
        <is>
          <t>2026-08-23T17:22:50.228400Z</t>
        </is>
      </c>
      <c r="AE412" s="31" t="inlineStr">
        <is>
          <t>Surface-blended Elo on Hard: Ashlyn Krueger p=0.748 vs Anna Frey. Executable ask 0.9500 (aec-wta-annfre-ashkru-2026-08-23).</t>
        </is>
      </c>
      <c r="AF412" s="31" t="inlineStr">
        <is>
          <t>Surface-blended Elo model; singles only, WTA+ATP market coverage, not yet locked-holdout qualified -- promoted by explicit operator directive, not genuine walk-forward validation.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PAPER_CALL_LOW_EDGE</t>
        </is>
      </c>
      <c r="AP412" s="24" t="inlineStr">
        <is>
          <t>Ashlyn Krueger</t>
        </is>
      </c>
      <c r="AQ412" s="24" t="inlineStr">
        <is>
          <t>Ashlyn Krueger</t>
        </is>
      </c>
      <c r="AR412" s="24" t="inlineStr">
        <is>
          <t>Ashlyn Krueger</t>
        </is>
      </c>
      <c r="AS412" s="24" t="inlineStr">
        <is>
          <t>Anna Frey</t>
        </is>
      </c>
      <c r="AT412" s="24" t="inlineStr">
        <is>
          <t>Anna Frey</t>
        </is>
      </c>
      <c r="AU412" s="24" t="inlineStr">
        <is>
          <t>Anna Frey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d777da58446bc099047b154203518e2585ef1a678f613f2b430f2589f7bf5cff</t>
        </is>
      </c>
      <c r="BB412" s="24" t="inlineStr">
        <is>
          <t>surface_blended_elo</t>
        </is>
      </c>
      <c r="BC412" s="24" t="inlineStr">
        <is>
          <t>tennis-surface-elo-v1</t>
        </is>
      </c>
      <c r="BD412" s="24" t="inlineStr">
        <is>
          <t>d777da58446bc099047b154203518e2585ef1a678f613f2b430f2589f7bf5cff</t>
        </is>
      </c>
      <c r="BE412" s="24" t="inlineStr">
        <is>
          <t>tennis-surface-elo-v1</t>
        </is>
      </c>
      <c r="BF412" s="24" t="inlineStr">
        <is>
          <t>1</t>
        </is>
      </c>
      <c r="BG412" s="24" t="inlineStr">
        <is>
          <t>d777da58446bc099047b154203518e2585ef1a678f613f2b430f2589f7bf5cff</t>
        </is>
      </c>
      <c r="BH412" s="24" t="inlineStr">
        <is>
          <t>2026-08-23T08:34:29.488589Z</t>
        </is>
      </c>
      <c r="BI412" s="24" t="inlineStr">
        <is>
          <t>["same_event","same_team_same_day","same_league_same_day"]</t>
        </is>
      </c>
      <c r="BJ412" s="25" t="n"/>
      <c r="BK412" s="26" t="n">
        <v>-1900</v>
      </c>
      <c r="BL412" s="27" t="n">
        <v>1.052632</v>
      </c>
      <c r="BM412" s="28" t="n">
        <v>0.95</v>
      </c>
      <c r="BN412" s="28" t="n"/>
      <c r="BO412" s="28" t="n"/>
      <c r="BP412" s="25" t="n"/>
      <c r="BQ412" s="27" t="n">
        <v>1.052632</v>
      </c>
      <c r="BR412" s="28" t="n">
        <v>0.95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0.95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8eda1db8711943ac</t>
        </is>
      </c>
      <c r="B413" s="24" t="inlineStr">
        <is>
          <t>2026-08-23T15:52:18.031697Z</t>
        </is>
      </c>
      <c r="C413" s="24" t="inlineStr">
        <is>
          <t>2026-08-23T16:00Z</t>
        </is>
      </c>
      <c r="D413" s="24" t="inlineStr">
        <is>
          <t>1075-2026:182139</t>
        </is>
      </c>
      <c r="E413" s="24" t="inlineStr">
        <is>
          <t>TENNIS</t>
        </is>
      </c>
      <c r="F413" s="24" t="inlineStr">
        <is>
          <t>Ena Koike</t>
        </is>
      </c>
      <c r="G413" s="24" t="inlineStr">
        <is>
          <t>Wang Xiyu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-1567</v>
      </c>
      <c r="M413" s="27" t="n">
        <v>1.063816</v>
      </c>
      <c r="N413" s="28" t="n">
        <v>0.940012</v>
      </c>
      <c r="O413" s="28" t="n">
        <v>0.7732869999999999</v>
      </c>
      <c r="P413" s="28" t="n">
        <v>0.05</v>
      </c>
      <c r="Q413" s="28" t="n">
        <v>-0.166725</v>
      </c>
      <c r="R413" s="26" t="n">
        <v>0</v>
      </c>
      <c r="S413" s="29" t="n">
        <v>1</v>
      </c>
      <c r="T413" s="24" t="inlineStr">
        <is>
          <t>tennis-surface-elo-v1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1</v>
      </c>
      <c r="Y413" s="25" t="n"/>
      <c r="Z413" s="26" t="n"/>
      <c r="AA413" s="28" t="n"/>
      <c r="AB413" s="28" t="n"/>
      <c r="AC413" s="30" t="n">
        <v>0.0638</v>
      </c>
      <c r="AD413" s="24" t="inlineStr">
        <is>
          <t>2026-08-23T17:57:34.825390Z</t>
        </is>
      </c>
      <c r="AE413" s="31" t="inlineStr">
        <is>
          <t>Surface-blended Elo on Hard: Ena Koike p=0.227 vs Wang Xiyu. Executable ask 0.9400 (aec-wta-xiywan-enakoi-2026-08-23).</t>
        </is>
      </c>
      <c r="AF413" s="31" t="inlineStr">
        <is>
          <t>Surface-blended Elo model; singles only, WTA+ATP market coverage, not yet locked-holdout qualified -- promoted by explicit operator directive, not genuine walk-forward validation.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Ena Koike</t>
        </is>
      </c>
      <c r="AQ413" s="24" t="inlineStr">
        <is>
          <t>Ena Koike</t>
        </is>
      </c>
      <c r="AR413" s="24" t="inlineStr">
        <is>
          <t>Ena Koike</t>
        </is>
      </c>
      <c r="AS413" s="24" t="inlineStr">
        <is>
          <t>Wang Xiyu</t>
        </is>
      </c>
      <c r="AT413" s="24" t="inlineStr">
        <is>
          <t>Wang Xiyu</t>
        </is>
      </c>
      <c r="AU413" s="24" t="inlineStr">
        <is>
          <t>Wang Xiyu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d777da58446bc099047b154203518e2585ef1a678f613f2b430f2589f7bf5cff</t>
        </is>
      </c>
      <c r="BB413" s="24" t="inlineStr">
        <is>
          <t>surface_blended_elo</t>
        </is>
      </c>
      <c r="BC413" s="24" t="inlineStr">
        <is>
          <t>tennis-surface-elo-v1</t>
        </is>
      </c>
      <c r="BD413" s="24" t="inlineStr">
        <is>
          <t>d777da58446bc099047b154203518e2585ef1a678f613f2b430f2589f7bf5cff</t>
        </is>
      </c>
      <c r="BE413" s="24" t="inlineStr">
        <is>
          <t>tennis-surface-elo-v1</t>
        </is>
      </c>
      <c r="BF413" s="24" t="inlineStr">
        <is>
          <t>1</t>
        </is>
      </c>
      <c r="BG413" s="24" t="inlineStr">
        <is>
          <t>d777da58446bc099047b154203518e2585ef1a678f613f2b430f2589f7bf5cff</t>
        </is>
      </c>
      <c r="BH413" s="24" t="inlineStr">
        <is>
          <t>2026-08-23T15:50:54.171244Z</t>
        </is>
      </c>
      <c r="BI413" s="24" t="inlineStr">
        <is>
          <t>["same_event","same_team_same_day","same_league_same_day"]</t>
        </is>
      </c>
      <c r="BJ413" s="25" t="n"/>
      <c r="BK413" s="26" t="n">
        <v>-1567</v>
      </c>
      <c r="BL413" s="27" t="n">
        <v>1.063816</v>
      </c>
      <c r="BM413" s="28" t="n">
        <v>0.940012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0.940012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854c6ffde0524622</t>
        </is>
      </c>
      <c r="B414" s="24" t="inlineStr">
        <is>
          <t>2026-08-23T16:10:25.532907Z</t>
        </is>
      </c>
      <c r="C414" s="24" t="inlineStr">
        <is>
          <t>2026-08-23T17:00Z</t>
        </is>
      </c>
      <c r="D414" s="24" t="inlineStr">
        <is>
          <t>363-2026:184531</t>
        </is>
      </c>
      <c r="E414" s="24" t="inlineStr">
        <is>
          <t>TENNIS</t>
        </is>
      </c>
      <c r="F414" s="24" t="inlineStr">
        <is>
          <t>Sebastian Gorzny</t>
        </is>
      </c>
      <c r="G414" s="24" t="inlineStr">
        <is>
          <t>Felix Balshaw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-150</v>
      </c>
      <c r="M414" s="27" t="n">
        <v>1.666667</v>
      </c>
      <c r="N414" s="28" t="n">
        <v>0.6</v>
      </c>
      <c r="O414" s="28" t="n">
        <v>0.502097</v>
      </c>
      <c r="P414" s="28" t="n">
        <v>0.05</v>
      </c>
      <c r="Q414" s="28" t="n">
        <v>-0.097903</v>
      </c>
      <c r="R414" s="26" t="n">
        <v>0</v>
      </c>
      <c r="S414" s="29" t="n">
        <v>1</v>
      </c>
      <c r="T414" s="24" t="inlineStr">
        <is>
          <t>tennis-surface-elo-v1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-150</v>
      </c>
      <c r="AA414" s="28" t="n">
        <v>0.6</v>
      </c>
      <c r="AB414" s="28" t="n">
        <v>0</v>
      </c>
      <c r="AC414" s="30" t="n">
        <v>0.6667</v>
      </c>
      <c r="AD414" s="24" t="inlineStr">
        <is>
          <t>2026-08-23T20:22:48.969695Z</t>
        </is>
      </c>
      <c r="AE414" s="31" t="inlineStr">
        <is>
          <t>Surface-blended Elo on Hard: Sebastian Gorzny p=0.498 vs Felix Balshaw. Executable ask 0.6000 (aec-atp-felbal-sebgor-2026-08-23).</t>
        </is>
      </c>
      <c r="AF414" s="31" t="inlineStr">
        <is>
          <t>Surface-blended Elo model; singles only, WTA+ATP market coverage, not yet locked-holdout qualified -- promoted by explicit operator directive, not genuine walk-forward validation.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Sebastian Gorzny</t>
        </is>
      </c>
      <c r="AQ414" s="24" t="inlineStr">
        <is>
          <t>Sebastian Gorzny</t>
        </is>
      </c>
      <c r="AR414" s="24" t="inlineStr">
        <is>
          <t>Sebastian Gorzny</t>
        </is>
      </c>
      <c r="AS414" s="24" t="inlineStr">
        <is>
          <t>Felix Balshaw</t>
        </is>
      </c>
      <c r="AT414" s="24" t="inlineStr">
        <is>
          <t>Felix Balshaw</t>
        </is>
      </c>
      <c r="AU414" s="24" t="inlineStr">
        <is>
          <t>Felix Balshaw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d777da58446bc099047b154203518e2585ef1a678f613f2b430f2589f7bf5cff</t>
        </is>
      </c>
      <c r="BB414" s="24" t="inlineStr">
        <is>
          <t>surface_blended_elo</t>
        </is>
      </c>
      <c r="BC414" s="24" t="inlineStr">
        <is>
          <t>tennis-surface-elo-v1</t>
        </is>
      </c>
      <c r="BD414" s="24" t="inlineStr">
        <is>
          <t>d777da58446bc099047b154203518e2585ef1a678f613f2b430f2589f7bf5cff</t>
        </is>
      </c>
      <c r="BE414" s="24" t="inlineStr">
        <is>
          <t>tennis-surface-elo-v1</t>
        </is>
      </c>
      <c r="BF414" s="24" t="inlineStr">
        <is>
          <t>1</t>
        </is>
      </c>
      <c r="BG414" s="24" t="inlineStr">
        <is>
          <t>d777da58446bc099047b154203518e2585ef1a678f613f2b430f2589f7bf5cff</t>
        </is>
      </c>
      <c r="BH414" s="24" t="inlineStr">
        <is>
          <t>2026-08-23T16:08:40.606248Z</t>
        </is>
      </c>
      <c r="BI414" s="24" t="inlineStr">
        <is>
          <t>["same_event","same_team_same_day","same_league_same_day"]</t>
        </is>
      </c>
      <c r="BJ414" s="25" t="n"/>
      <c r="BK414" s="26" t="n">
        <v>-150</v>
      </c>
      <c r="BL414" s="27" t="n">
        <v>1.666667</v>
      </c>
      <c r="BM414" s="28" t="n">
        <v>0.6</v>
      </c>
      <c r="BN414" s="28" t="n"/>
      <c r="BO414" s="28" t="n"/>
      <c r="BP414" s="25" t="n"/>
      <c r="BQ414" s="27" t="n">
        <v>1.666667</v>
      </c>
      <c r="BR414" s="28" t="n">
        <v>0.6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0.6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a87b4fff13584d9a</t>
        </is>
      </c>
      <c r="B415" s="24" t="inlineStr">
        <is>
          <t>2026-08-23T16:10:25.532907Z</t>
        </is>
      </c>
      <c r="C415" s="24" t="inlineStr">
        <is>
          <t>2026-08-23T17:00Z</t>
        </is>
      </c>
      <c r="D415" s="24" t="inlineStr">
        <is>
          <t>363-2026:184532</t>
        </is>
      </c>
      <c r="E415" s="24" t="inlineStr">
        <is>
          <t>TENNIS</t>
        </is>
      </c>
      <c r="F415" s="24" t="inlineStr">
        <is>
          <t>Mees Rottgering</t>
        </is>
      </c>
      <c r="G415" s="24" t="inlineStr">
        <is>
          <t>Hugo Grenier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156</v>
      </c>
      <c r="M415" s="27" t="n">
        <v>2.56</v>
      </c>
      <c r="N415" s="28" t="n">
        <v>0.390625</v>
      </c>
      <c r="O415" s="28" t="n">
        <v>0.558351</v>
      </c>
      <c r="P415" s="28" t="n">
        <v>0.05</v>
      </c>
      <c r="Q415" s="28" t="n">
        <v>0.167726</v>
      </c>
      <c r="R415" s="26" t="n">
        <v>100</v>
      </c>
      <c r="S415" s="29" t="n">
        <v>1.75</v>
      </c>
      <c r="T415" s="24" t="inlineStr">
        <is>
          <t>tennis-surface-elo-v1</t>
        </is>
      </c>
      <c r="U415" s="24" t="inlineStr">
        <is>
          <t>settled</t>
        </is>
      </c>
      <c r="V415" s="24" t="inlineStr">
        <is>
          <t>loss</t>
        </is>
      </c>
      <c r="W415" s="26" t="n">
        <v>1</v>
      </c>
      <c r="X415" s="26" t="n">
        <v>0</v>
      </c>
      <c r="Y415" s="25" t="n"/>
      <c r="Z415" s="26" t="n">
        <v>156</v>
      </c>
      <c r="AA415" s="28" t="n">
        <v>0.39</v>
      </c>
      <c r="AB415" s="28" t="n">
        <v>-0.000625</v>
      </c>
      <c r="AC415" s="30" t="n">
        <v>-1.75</v>
      </c>
      <c r="AD415" s="24" t="inlineStr">
        <is>
          <t>2026-08-23T19:15:26.752556Z</t>
        </is>
      </c>
      <c r="AE415" s="31" t="inlineStr">
        <is>
          <t>Surface-blended Elo on Hard: Mees Rottgering p=0.442 vs Hugo Grenier. Executable ask 0.3900 (aec-atp-huggre-meerot-2026-08-23).</t>
        </is>
      </c>
      <c r="AF415" s="31" t="inlineStr">
        <is>
          <t>Surface-blended Elo model; singles only, WTA+ATP market coverage, not yet locked-holdout qualified -- promoted by explicit operator directive, not genuine walk-forward validation.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PAPER_CALL_MODEL_UNVALIDATED</t>
        </is>
      </c>
      <c r="AP415" s="24" t="inlineStr">
        <is>
          <t>Mees Rottgering</t>
        </is>
      </c>
      <c r="AQ415" s="24" t="inlineStr">
        <is>
          <t>Mees Rottgering</t>
        </is>
      </c>
      <c r="AR415" s="24" t="inlineStr">
        <is>
          <t>Mees Rottgering</t>
        </is>
      </c>
      <c r="AS415" s="24" t="inlineStr">
        <is>
          <t>Hugo Grenier</t>
        </is>
      </c>
      <c r="AT415" s="24" t="inlineStr">
        <is>
          <t>Hugo Grenier</t>
        </is>
      </c>
      <c r="AU415" s="24" t="inlineStr">
        <is>
          <t>Hugo Grenier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d777da58446bc099047b154203518e2585ef1a678f613f2b430f2589f7bf5cff</t>
        </is>
      </c>
      <c r="BB415" s="24" t="inlineStr">
        <is>
          <t>surface_blended_elo</t>
        </is>
      </c>
      <c r="BC415" s="24" t="inlineStr">
        <is>
          <t>tennis-surface-elo-v1</t>
        </is>
      </c>
      <c r="BD415" s="24" t="inlineStr">
        <is>
          <t>d777da58446bc099047b154203518e2585ef1a678f613f2b430f2589f7bf5cff</t>
        </is>
      </c>
      <c r="BE415" s="24" t="inlineStr">
        <is>
          <t>tennis-surface-elo-v1</t>
        </is>
      </c>
      <c r="BF415" s="24" t="inlineStr">
        <is>
          <t>1</t>
        </is>
      </c>
      <c r="BG415" s="24" t="inlineStr">
        <is>
          <t>d777da58446bc099047b154203518e2585ef1a678f613f2b430f2589f7bf5cff</t>
        </is>
      </c>
      <c r="BH415" s="24" t="inlineStr">
        <is>
          <t>2026-08-23T16:08:40.878815Z</t>
        </is>
      </c>
      <c r="BI415" s="24" t="inlineStr">
        <is>
          <t>["same_event","same_team_same_day","same_league_same_day"]</t>
        </is>
      </c>
      <c r="BJ415" s="25" t="n"/>
      <c r="BK415" s="26" t="n">
        <v>156</v>
      </c>
      <c r="BL415" s="27" t="n">
        <v>2.56</v>
      </c>
      <c r="BM415" s="28" t="n">
        <v>0.390625</v>
      </c>
      <c r="BN415" s="28" t="n"/>
      <c r="BO415" s="28" t="n"/>
      <c r="BP415" s="25" t="n"/>
      <c r="BQ415" s="27" t="n">
        <v>2.56</v>
      </c>
      <c r="BR415" s="28" t="n">
        <v>0.39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0.390625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940afe5f4a3f4724</t>
        </is>
      </c>
      <c r="B416" s="24" t="inlineStr">
        <is>
          <t>2026-08-23T16:10:25.532907Z</t>
        </is>
      </c>
      <c r="C416" s="24" t="inlineStr">
        <is>
          <t>2026-08-23T17:00Z</t>
        </is>
      </c>
      <c r="D416" s="24" t="inlineStr">
        <is>
          <t>363-2026:184533</t>
        </is>
      </c>
      <c r="E416" s="24" t="inlineStr">
        <is>
          <t>TENNIS</t>
        </is>
      </c>
      <c r="F416" s="24" t="inlineStr">
        <is>
          <t>Quinn Vandecasteele</t>
        </is>
      </c>
      <c r="G416" s="24" t="inlineStr">
        <is>
          <t>Pierre-Hugues Herbert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133</v>
      </c>
      <c r="M416" s="27" t="n">
        <v>2.33</v>
      </c>
      <c r="N416" s="28" t="n">
        <v>0.429185</v>
      </c>
      <c r="O416" s="28" t="n">
        <v>0.51006</v>
      </c>
      <c r="P416" s="28" t="n">
        <v>0.05</v>
      </c>
      <c r="Q416" s="28" t="n">
        <v>0.080875</v>
      </c>
      <c r="R416" s="26" t="n">
        <v>60</v>
      </c>
      <c r="S416" s="29" t="n">
        <v>1.25</v>
      </c>
      <c r="T416" s="24" t="inlineStr">
        <is>
          <t>tennis-surface-elo-v1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133</v>
      </c>
      <c r="AA416" s="28" t="n">
        <v>0.43</v>
      </c>
      <c r="AB416" s="28" t="n">
        <v>0.000815</v>
      </c>
      <c r="AC416" s="30" t="n">
        <v>1.6625</v>
      </c>
      <c r="AD416" s="24" t="inlineStr">
        <is>
          <t>2026-08-23T20:22:52.453704Z</t>
        </is>
      </c>
      <c r="AE416" s="31" t="inlineStr">
        <is>
          <t>Surface-blended Elo on Hard: Quinn Vandecasteele p=0.510 vs Pierre-Hugues Herbert. Executable ask 0.4300 (aec-atp-pieher-quivan-2026-08-23).</t>
        </is>
      </c>
      <c r="AF416" s="31" t="inlineStr">
        <is>
          <t>Surface-blended Elo model; singles only, WTA+ATP market coverage, not yet locked-holdout qualified -- promoted by explicit operator directive, not genuine walk-forward validation.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Quinn Vandecasteele</t>
        </is>
      </c>
      <c r="AQ416" s="24" t="inlineStr">
        <is>
          <t>Quinn Vandecasteele</t>
        </is>
      </c>
      <c r="AR416" s="24" t="inlineStr">
        <is>
          <t>Quinn Vandecasteele</t>
        </is>
      </c>
      <c r="AS416" s="24" t="inlineStr">
        <is>
          <t>Pierre-Hugues Herbert</t>
        </is>
      </c>
      <c r="AT416" s="24" t="inlineStr">
        <is>
          <t>Pierre-Hugues Herbert</t>
        </is>
      </c>
      <c r="AU416" s="24" t="inlineStr">
        <is>
          <t>Pierre-Hugues Herbert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d777da58446bc099047b154203518e2585ef1a678f613f2b430f2589f7bf5cff</t>
        </is>
      </c>
      <c r="BB416" s="24" t="inlineStr">
        <is>
          <t>surface_blended_elo</t>
        </is>
      </c>
      <c r="BC416" s="24" t="inlineStr">
        <is>
          <t>tennis-surface-elo-v1</t>
        </is>
      </c>
      <c r="BD416" s="24" t="inlineStr">
        <is>
          <t>d777da58446bc099047b154203518e2585ef1a678f613f2b430f2589f7bf5cff</t>
        </is>
      </c>
      <c r="BE416" s="24" t="inlineStr">
        <is>
          <t>tennis-surface-elo-v1</t>
        </is>
      </c>
      <c r="BF416" s="24" t="inlineStr">
        <is>
          <t>1</t>
        </is>
      </c>
      <c r="BG416" s="24" t="inlineStr">
        <is>
          <t>d777da58446bc099047b154203518e2585ef1a678f613f2b430f2589f7bf5cff</t>
        </is>
      </c>
      <c r="BH416" s="24" t="inlineStr">
        <is>
          <t>2026-08-23T16:08:40.502800Z</t>
        </is>
      </c>
      <c r="BI416" s="24" t="inlineStr">
        <is>
          <t>["same_event","same_team_same_day","same_league_same_day"]</t>
        </is>
      </c>
      <c r="BJ416" s="25" t="n"/>
      <c r="BK416" s="26" t="n">
        <v>133</v>
      </c>
      <c r="BL416" s="27" t="n">
        <v>2.33</v>
      </c>
      <c r="BM416" s="28" t="n">
        <v>0.429185</v>
      </c>
      <c r="BN416" s="28" t="n"/>
      <c r="BO416" s="28" t="n"/>
      <c r="BP416" s="25" t="n"/>
      <c r="BQ416" s="27" t="n">
        <v>2.33</v>
      </c>
      <c r="BR416" s="28" t="n">
        <v>0.43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0.429185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3dbf969988724e78</t>
        </is>
      </c>
      <c r="B417" s="24" t="inlineStr">
        <is>
          <t>2026-08-23T16:10:25.532907Z</t>
        </is>
      </c>
      <c r="C417" s="24" t="inlineStr">
        <is>
          <t>2026-08-23T19:00Z</t>
        </is>
      </c>
      <c r="D417" s="24" t="inlineStr">
        <is>
          <t>363-2026:184503</t>
        </is>
      </c>
      <c r="E417" s="24" t="inlineStr">
        <is>
          <t>TENNIS</t>
        </is>
      </c>
      <c r="F417" s="24" t="inlineStr">
        <is>
          <t>Cruz Hewitt</t>
        </is>
      </c>
      <c r="G417" s="24" t="inlineStr">
        <is>
          <t>Dino Prizmic</t>
        </is>
      </c>
      <c r="H417" s="24" t="inlineStr">
        <is>
          <t>moneyline</t>
        </is>
      </c>
      <c r="I417" s="24" t="inlineStr">
        <is>
          <t>home</t>
        </is>
      </c>
      <c r="J417" s="25" t="n"/>
      <c r="K417" s="24" t="inlineStr">
        <is>
          <t>polymarket_us</t>
        </is>
      </c>
      <c r="L417" s="26" t="n">
        <v>-400</v>
      </c>
      <c r="M417" s="27" t="n">
        <v>1.25</v>
      </c>
      <c r="N417" s="28" t="n">
        <v>0.8</v>
      </c>
      <c r="O417" s="28" t="n">
        <v>0.612219</v>
      </c>
      <c r="P417" s="28" t="n">
        <v>0.05</v>
      </c>
      <c r="Q417" s="28" t="n">
        <v>-0.187781</v>
      </c>
      <c r="R417" s="26" t="n">
        <v>0</v>
      </c>
      <c r="S417" s="29" t="n">
        <v>1</v>
      </c>
      <c r="T417" s="24" t="inlineStr">
        <is>
          <t>tennis-surface-elo-v1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0</v>
      </c>
      <c r="Y417" s="25" t="n"/>
      <c r="Z417" s="26" t="n">
        <v>-355</v>
      </c>
      <c r="AA417" s="28" t="n">
        <v>0.78</v>
      </c>
      <c r="AB417" s="28" t="n">
        <v>-0.02</v>
      </c>
      <c r="AC417" s="30" t="n">
        <v>-1</v>
      </c>
      <c r="AD417" s="24" t="inlineStr">
        <is>
          <t>2026-08-25T00:19:28.788960Z</t>
        </is>
      </c>
      <c r="AE417" s="31" t="inlineStr">
        <is>
          <t>Surface-blended Elo on Hard: Cruz Hewitt p=0.388 vs Dino Prizmic. Executable ask 0.8000 (aec-atp-dinpri-cruhew-2026-08-24).</t>
        </is>
      </c>
      <c r="AF417" s="31" t="inlineStr">
        <is>
          <t>Surface-blended Elo model; singles only, WTA+ATP market coverage, not yet locked-holdout qualified -- promoted by explicit operator directive, not genuine walk-forward validation.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Cruz Hewitt</t>
        </is>
      </c>
      <c r="AQ417" s="24" t="inlineStr">
        <is>
          <t>Cruz Hewitt</t>
        </is>
      </c>
      <c r="AR417" s="24" t="inlineStr">
        <is>
          <t>Cruz Hewitt</t>
        </is>
      </c>
      <c r="AS417" s="24" t="inlineStr">
        <is>
          <t>Dino Prizmic</t>
        </is>
      </c>
      <c r="AT417" s="24" t="inlineStr">
        <is>
          <t>Dino Prizmic</t>
        </is>
      </c>
      <c r="AU417" s="24" t="inlineStr">
        <is>
          <t>Dino Prizmic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d777da58446bc099047b154203518e2585ef1a678f613f2b430f2589f7bf5cff</t>
        </is>
      </c>
      <c r="BB417" s="24" t="inlineStr">
        <is>
          <t>surface_blended_elo</t>
        </is>
      </c>
      <c r="BC417" s="24" t="inlineStr">
        <is>
          <t>tennis-surface-elo-v1</t>
        </is>
      </c>
      <c r="BD417" s="24" t="inlineStr">
        <is>
          <t>d777da58446bc099047b154203518e2585ef1a678f613f2b430f2589f7bf5cff</t>
        </is>
      </c>
      <c r="BE417" s="24" t="inlineStr">
        <is>
          <t>tennis-surface-elo-v1</t>
        </is>
      </c>
      <c r="BF417" s="24" t="inlineStr">
        <is>
          <t>1</t>
        </is>
      </c>
      <c r="BG417" s="24" t="inlineStr">
        <is>
          <t>d777da58446bc099047b154203518e2585ef1a678f613f2b430f2589f7bf5cff</t>
        </is>
      </c>
      <c r="BH417" s="24" t="inlineStr">
        <is>
          <t>2026-08-23T16:08:41.118461Z</t>
        </is>
      </c>
      <c r="BI417" s="24" t="inlineStr">
        <is>
          <t>["same_event","same_team_same_day","same_league_same_day"]</t>
        </is>
      </c>
      <c r="BJ417" s="25" t="n"/>
      <c r="BK417" s="26" t="n">
        <v>-400</v>
      </c>
      <c r="BL417" s="27" t="n">
        <v>1.25</v>
      </c>
      <c r="BM417" s="28" t="n">
        <v>0.8</v>
      </c>
      <c r="BN417" s="28" t="n"/>
      <c r="BO417" s="28" t="n"/>
      <c r="BP417" s="25" t="n"/>
      <c r="BQ417" s="27" t="n">
        <v>1.28169</v>
      </c>
      <c r="BR417" s="28" t="n">
        <v>0.78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0.8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c9a7e8d4359d4f4e</t>
        </is>
      </c>
      <c r="B418" s="24" t="inlineStr">
        <is>
          <t>2026-08-23T18:48:17.183011Z</t>
        </is>
      </c>
      <c r="C418" s="24" t="inlineStr">
        <is>
          <t>2026-08-23T19:00Z</t>
        </is>
      </c>
      <c r="D418" s="24" t="inlineStr">
        <is>
          <t>1075-2026:182122</t>
        </is>
      </c>
      <c r="E418" s="24" t="inlineStr">
        <is>
          <t>TENNIS</t>
        </is>
      </c>
      <c r="F418" s="24" t="inlineStr">
        <is>
          <t>Anna Blinkova</t>
        </is>
      </c>
      <c r="G418" s="24" t="inlineStr">
        <is>
          <t>Anastasia Zakharova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-113</v>
      </c>
      <c r="M418" s="27" t="n">
        <v>1.884956</v>
      </c>
      <c r="N418" s="28" t="n">
        <v>0.530516</v>
      </c>
      <c r="O418" s="28" t="n">
        <v>0.5571</v>
      </c>
      <c r="P418" s="28" t="n">
        <v>0.05</v>
      </c>
      <c r="Q418" s="28" t="n">
        <v>0.026584</v>
      </c>
      <c r="R418" s="26" t="n">
        <v>33</v>
      </c>
      <c r="S418" s="29" t="n">
        <v>1</v>
      </c>
      <c r="T418" s="24" t="inlineStr">
        <is>
          <t>tennis-surface-elo-v1</t>
        </is>
      </c>
      <c r="U418" s="24" t="inlineStr">
        <is>
          <t>settled</t>
        </is>
      </c>
      <c r="V418" s="24" t="inlineStr">
        <is>
          <t>win</t>
        </is>
      </c>
      <c r="W418" s="26" t="n">
        <v>0</v>
      </c>
      <c r="X418" s="26" t="n">
        <v>1</v>
      </c>
      <c r="Y418" s="25" t="n"/>
      <c r="Z418" s="26" t="n">
        <v>-108</v>
      </c>
      <c r="AA418" s="28" t="n">
        <v>0.52</v>
      </c>
      <c r="AB418" s="28" t="n">
        <v>-0.010516</v>
      </c>
      <c r="AC418" s="30" t="n">
        <v>0.885</v>
      </c>
      <c r="AD418" s="24" t="inlineStr">
        <is>
          <t>2026-08-23T22:27:08.371282Z</t>
        </is>
      </c>
      <c r="AE418" s="31" t="inlineStr">
        <is>
          <t>Surface-blended Elo on Hard: Anna Blinkova p=0.443 vs Anastasia Zakharova. Executable ask 0.5300 (aec-wta-anazak-annbli-2026-08-23).</t>
        </is>
      </c>
      <c r="AF418" s="31" t="inlineStr">
        <is>
          <t>Surface-blended Elo model; singles only, WTA+ATP market coverage, not yet locked-holdout qualified -- promoted by explicit operator directive, not genuine walk-forward validation.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PAPER_CALL_LOW_EDGE</t>
        </is>
      </c>
      <c r="AP418" s="24" t="inlineStr">
        <is>
          <t>Anna Blinkova</t>
        </is>
      </c>
      <c r="AQ418" s="24" t="inlineStr">
        <is>
          <t>Anna Blinkova</t>
        </is>
      </c>
      <c r="AR418" s="24" t="inlineStr">
        <is>
          <t>Anna Blinkova</t>
        </is>
      </c>
      <c r="AS418" s="24" t="inlineStr">
        <is>
          <t>Anastasia Zakharova</t>
        </is>
      </c>
      <c r="AT418" s="24" t="inlineStr">
        <is>
          <t>Anastasia Zakharova</t>
        </is>
      </c>
      <c r="AU418" s="24" t="inlineStr">
        <is>
          <t>Anastasia Zakharova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d777da58446bc099047b154203518e2585ef1a678f613f2b430f2589f7bf5cff</t>
        </is>
      </c>
      <c r="BB418" s="24" t="inlineStr">
        <is>
          <t>surface_blended_elo</t>
        </is>
      </c>
      <c r="BC418" s="24" t="inlineStr">
        <is>
          <t>tennis-surface-elo-v1</t>
        </is>
      </c>
      <c r="BD418" s="24" t="inlineStr">
        <is>
          <t>d777da58446bc099047b154203518e2585ef1a678f613f2b430f2589f7bf5cff</t>
        </is>
      </c>
      <c r="BE418" s="24" t="inlineStr">
        <is>
          <t>tennis-surface-elo-v1</t>
        </is>
      </c>
      <c r="BF418" s="24" t="inlineStr">
        <is>
          <t>1</t>
        </is>
      </c>
      <c r="BG418" s="24" t="inlineStr">
        <is>
          <t>d777da58446bc099047b154203518e2585ef1a678f613f2b430f2589f7bf5cff</t>
        </is>
      </c>
      <c r="BH418" s="24" t="inlineStr">
        <is>
          <t>2026-08-23T18:09:25.547358Z</t>
        </is>
      </c>
      <c r="BI418" s="24" t="inlineStr">
        <is>
          <t>["same_event","same_team_same_day","same_league_same_day"]</t>
        </is>
      </c>
      <c r="BJ418" s="25" t="n"/>
      <c r="BK418" s="26" t="n">
        <v>-113</v>
      </c>
      <c r="BL418" s="27" t="n">
        <v>1.884956</v>
      </c>
      <c r="BM418" s="28" t="n">
        <v>0.530516</v>
      </c>
      <c r="BN418" s="28" t="n"/>
      <c r="BO418" s="28" t="n"/>
      <c r="BP418" s="25" t="n"/>
      <c r="BQ418" s="27" t="n">
        <v>1.925926</v>
      </c>
      <c r="BR418" s="28" t="n">
        <v>0.52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0.530516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789ee31e69f04bfb</t>
        </is>
      </c>
      <c r="B419" s="24" t="inlineStr">
        <is>
          <t>2026-08-23T18:48:17.183011Z</t>
        </is>
      </c>
      <c r="C419" s="24" t="inlineStr">
        <is>
          <t>2026-08-23T19:00Z</t>
        </is>
      </c>
      <c r="D419" s="24" t="inlineStr">
        <is>
          <t>363-2026:184504</t>
        </is>
      </c>
      <c r="E419" s="24" t="inlineStr">
        <is>
          <t>TENNIS</t>
        </is>
      </c>
      <c r="F419" s="24" t="inlineStr">
        <is>
          <t>Miomir Kecmanovic</t>
        </is>
      </c>
      <c r="G419" s="24" t="inlineStr">
        <is>
          <t>Sho Shimabukuro</t>
        </is>
      </c>
      <c r="H419" s="24" t="inlineStr">
        <is>
          <t>spread</t>
        </is>
      </c>
      <c r="I419" s="24" t="inlineStr">
        <is>
          <t>home</t>
        </is>
      </c>
      <c r="J419" s="25" t="n">
        <v>-3.5</v>
      </c>
      <c r="K419" s="24" t="inlineStr">
        <is>
          <t>polymarket_us</t>
        </is>
      </c>
      <c r="L419" s="26" t="n">
        <v>-117</v>
      </c>
      <c r="M419" s="27" t="n">
        <v>1.854701</v>
      </c>
      <c r="N419" s="28" t="n">
        <v>0.539171</v>
      </c>
      <c r="O419" s="28" t="n">
        <v>0.8177</v>
      </c>
      <c r="P419" s="28" t="n">
        <v>0.05</v>
      </c>
      <c r="Q419" s="28" t="n">
        <v>0.278529</v>
      </c>
      <c r="R419" s="26" t="n">
        <v>100</v>
      </c>
      <c r="S419" s="29" t="n">
        <v>2</v>
      </c>
      <c r="T419" s="24" t="inlineStr">
        <is>
          <t>tennis-surface-elo-v1</t>
        </is>
      </c>
      <c r="U419" s="24" t="inlineStr">
        <is>
          <t>settled</t>
        </is>
      </c>
      <c r="V419" s="24" t="inlineStr">
        <is>
          <t>loss</t>
        </is>
      </c>
      <c r="W419" s="26" t="n">
        <v>12</v>
      </c>
      <c r="X419" s="26" t="n">
        <v>7</v>
      </c>
      <c r="Y419" s="25" t="n"/>
      <c r="Z419" s="26" t="n"/>
      <c r="AA419" s="28" t="n"/>
      <c r="AB419" s="28" t="n"/>
      <c r="AC419" s="30" t="n">
        <v>-2</v>
      </c>
      <c r="AD419" s="24" t="inlineStr">
        <is>
          <t>2026-08-24T04:11:03.540548Z</t>
        </is>
      </c>
      <c r="AE419" s="31" t="inlineStr">
        <is>
          <t>Markov Game Handicap: Miomir Kecmanovic +3.5 vs Sho Shimabukuro Executable ask 0.5400 (asc-atp-shoshi-miokec-2026-08-24-gs-pos-3pt5).</t>
        </is>
      </c>
      <c r="AF419" s="31" t="inlineStr">
        <is>
          <t>Surface-blended Elo model; singles only, WTA+ATP market coverage, not yet locked-holdout qualified -- promoted by explicit operator directive, not genuine walk-forward validation.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4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Miomir Kecmanovic</t>
        </is>
      </c>
      <c r="AQ419" s="24" t="inlineStr">
        <is>
          <t>Miomir Kecmanovic</t>
        </is>
      </c>
      <c r="AR419" s="24" t="inlineStr">
        <is>
          <t>Miomir Kecmanovic</t>
        </is>
      </c>
      <c r="AS419" s="24" t="inlineStr">
        <is>
          <t>Sho Shimabukuro</t>
        </is>
      </c>
      <c r="AT419" s="24" t="inlineStr">
        <is>
          <t>Sho Shimabukuro</t>
        </is>
      </c>
      <c r="AU419" s="24" t="inlineStr">
        <is>
          <t>Sho Shimabukuro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d777da58446bc099047b154203518e2585ef1a678f613f2b430f2589f7bf5cff</t>
        </is>
      </c>
      <c r="BB419" s="24" t="inlineStr">
        <is>
          <t>surface_blended_elo</t>
        </is>
      </c>
      <c r="BC419" s="24" t="inlineStr">
        <is>
          <t>tennis-surface-elo-v1</t>
        </is>
      </c>
      <c r="BD419" s="24" t="inlineStr">
        <is>
          <t>d777da58446bc099047b154203518e2585ef1a678f613f2b430f2589f7bf5cff</t>
        </is>
      </c>
      <c r="BE419" s="24" t="inlineStr">
        <is>
          <t>tennis-surface-elo-v1</t>
        </is>
      </c>
      <c r="BF419" s="24" t="inlineStr">
        <is>
          <t>1</t>
        </is>
      </c>
      <c r="BG419" s="24" t="inlineStr">
        <is>
          <t>d777da58446bc099047b154203518e2585ef1a678f613f2b430f2589f7bf5cff</t>
        </is>
      </c>
      <c r="BH419" s="24" t="inlineStr">
        <is>
          <t>2026-08-23T18:44:14.981914Z</t>
        </is>
      </c>
      <c r="BI419" s="24" t="inlineStr">
        <is>
          <t>["same_event","same_team_same_day","same_league_same_day"]</t>
        </is>
      </c>
      <c r="BJ419" s="25" t="n">
        <v>-3.5</v>
      </c>
      <c r="BK419" s="26" t="n">
        <v>-117</v>
      </c>
      <c r="BL419" s="27" t="n">
        <v>1.854701</v>
      </c>
      <c r="BM419" s="28" t="n">
        <v>0.539171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0.539171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34e1d32108d1472d</t>
        </is>
      </c>
      <c r="B420" s="24" t="inlineStr">
        <is>
          <t>2026-08-23T18:48:17.183011Z</t>
        </is>
      </c>
      <c r="C420" s="24" t="inlineStr">
        <is>
          <t>2026-08-23T19:00Z</t>
        </is>
      </c>
      <c r="D420" s="24" t="inlineStr">
        <is>
          <t>363-2026:184504</t>
        </is>
      </c>
      <c r="E420" s="24" t="inlineStr">
        <is>
          <t>TENNIS</t>
        </is>
      </c>
      <c r="F420" s="24" t="inlineStr">
        <is>
          <t>Miomir Kecmanovic</t>
        </is>
      </c>
      <c r="G420" s="24" t="inlineStr">
        <is>
          <t>Sho Shimabukuro</t>
        </is>
      </c>
      <c r="H420" s="24" t="inlineStr">
        <is>
          <t>total</t>
        </is>
      </c>
      <c r="I420" s="24" t="inlineStr">
        <is>
          <t>over</t>
        </is>
      </c>
      <c r="J420" s="25" t="n">
        <v>22.5</v>
      </c>
      <c r="K420" s="24" t="inlineStr">
        <is>
          <t>polymarket_us</t>
        </is>
      </c>
      <c r="L420" s="26" t="n">
        <v>104</v>
      </c>
      <c r="M420" s="27" t="n">
        <v>2.04</v>
      </c>
      <c r="N420" s="28" t="n">
        <v>0.490196</v>
      </c>
      <c r="O420" s="28" t="n">
        <v>0.7876</v>
      </c>
      <c r="P420" s="28" t="n">
        <v>0.05</v>
      </c>
      <c r="Q420" s="28" t="n">
        <v>0.297404</v>
      </c>
      <c r="R420" s="26" t="n">
        <v>100</v>
      </c>
      <c r="S420" s="29" t="n">
        <v>2</v>
      </c>
      <c r="T420" s="24" t="inlineStr">
        <is>
          <t>tennis-surface-elo-v1</t>
        </is>
      </c>
      <c r="U420" s="24" t="inlineStr">
        <is>
          <t>settled</t>
        </is>
      </c>
      <c r="V420" s="24" t="inlineStr">
        <is>
          <t>loss</t>
        </is>
      </c>
      <c r="W420" s="26" t="n">
        <v>12</v>
      </c>
      <c r="X420" s="26" t="n">
        <v>7</v>
      </c>
      <c r="Y420" s="25" t="n"/>
      <c r="Z420" s="26" t="n"/>
      <c r="AA420" s="28" t="n"/>
      <c r="AB420" s="28" t="n"/>
      <c r="AC420" s="30" t="n">
        <v>-2</v>
      </c>
      <c r="AD420" s="24" t="inlineStr">
        <is>
          <t>2026-08-24T04:09:56.392564Z</t>
        </is>
      </c>
      <c r="AE420" s="31" t="inlineStr">
        <is>
          <t>Markov Total Games: OVER 22.5 (Exp: 25.9 games) Executable ask 0.4900 (tsc-atp-shoshi-miokec-2026-08-24-tg-22pt5).</t>
        </is>
      </c>
      <c r="AF420" s="31" t="inlineStr">
        <is>
          <t>Surface-blended Elo model; singles only, WTA+ATP market coverage, not yet locked-holdout qualified -- promoted by explicit operator directive, not genuine walk-forward validation.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Miomir Kecmanovic</t>
        </is>
      </c>
      <c r="AQ420" s="24" t="inlineStr">
        <is>
          <t>Miomir Kecmanovic</t>
        </is>
      </c>
      <c r="AR420" s="24" t="inlineStr">
        <is>
          <t>Miomir Kecmanovic</t>
        </is>
      </c>
      <c r="AS420" s="24" t="inlineStr">
        <is>
          <t>Sho Shimabukuro</t>
        </is>
      </c>
      <c r="AT420" s="24" t="inlineStr">
        <is>
          <t>Sho Shimabukuro</t>
        </is>
      </c>
      <c r="AU420" s="24" t="inlineStr">
        <is>
          <t>Sho Shimabukuro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d777da58446bc099047b154203518e2585ef1a678f613f2b430f2589f7bf5cff</t>
        </is>
      </c>
      <c r="BB420" s="24" t="inlineStr">
        <is>
          <t>surface_blended_elo</t>
        </is>
      </c>
      <c r="BC420" s="24" t="inlineStr">
        <is>
          <t>tennis-surface-elo-v1</t>
        </is>
      </c>
      <c r="BD420" s="24" t="inlineStr">
        <is>
          <t>d777da58446bc099047b154203518e2585ef1a678f613f2b430f2589f7bf5cff</t>
        </is>
      </c>
      <c r="BE420" s="24" t="inlineStr">
        <is>
          <t>tennis-surface-elo-v1</t>
        </is>
      </c>
      <c r="BF420" s="24" t="inlineStr">
        <is>
          <t>1</t>
        </is>
      </c>
      <c r="BG420" s="24" t="inlineStr">
        <is>
          <t>d777da58446bc099047b154203518e2585ef1a678f613f2b430f2589f7bf5cff</t>
        </is>
      </c>
      <c r="BH420" s="24" t="inlineStr">
        <is>
          <t>2026-08-23T18:44:14.988725Z</t>
        </is>
      </c>
      <c r="BI420" s="24" t="inlineStr">
        <is>
          <t>["same_event","same_team_same_day","same_league_same_day"]</t>
        </is>
      </c>
      <c r="BJ420" s="25" t="n">
        <v>22.5</v>
      </c>
      <c r="BK420" s="26" t="n">
        <v>104</v>
      </c>
      <c r="BL420" s="27" t="n">
        <v>2.04</v>
      </c>
      <c r="BM420" s="28" t="n">
        <v>0.490196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0.490196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5205c9fb3e2946a8</t>
        </is>
      </c>
      <c r="B421" s="24" t="inlineStr">
        <is>
          <t>2026-08-23T18:48:17.183011Z</t>
        </is>
      </c>
      <c r="C421" s="24" t="inlineStr">
        <is>
          <t>2026-08-23T19:00Z</t>
        </is>
      </c>
      <c r="D421" s="24" t="inlineStr">
        <is>
          <t>363-2026:184504</t>
        </is>
      </c>
      <c r="E421" s="24" t="inlineStr">
        <is>
          <t>TENNIS</t>
        </is>
      </c>
      <c r="F421" s="24" t="inlineStr">
        <is>
          <t>Miomir Kecmanovic</t>
        </is>
      </c>
      <c r="G421" s="24" t="inlineStr">
        <is>
          <t>Sho Shimabukuro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203</v>
      </c>
      <c r="M421" s="27" t="n">
        <v>3.03</v>
      </c>
      <c r="N421" s="28" t="n">
        <v>0.330033</v>
      </c>
      <c r="O421" s="28" t="n">
        <v>0.5211</v>
      </c>
      <c r="P421" s="28" t="n">
        <v>0.05</v>
      </c>
      <c r="Q421" s="28" t="n">
        <v>0.191067</v>
      </c>
      <c r="R421" s="26" t="n">
        <v>100</v>
      </c>
      <c r="S421" s="29" t="n">
        <v>2</v>
      </c>
      <c r="T421" s="24" t="inlineStr">
        <is>
          <t>tennis-surface-elo-v1</t>
        </is>
      </c>
      <c r="U421" s="24" t="inlineStr">
        <is>
          <t>settled</t>
        </is>
      </c>
      <c r="V421" s="24" t="inlineStr">
        <is>
          <t>loss</t>
        </is>
      </c>
      <c r="W421" s="26" t="n">
        <v>1</v>
      </c>
      <c r="X421" s="26" t="n">
        <v>0</v>
      </c>
      <c r="Y421" s="25" t="n"/>
      <c r="Z421" s="26" t="n">
        <v>203</v>
      </c>
      <c r="AA421" s="28" t="n">
        <v>0.33</v>
      </c>
      <c r="AB421" s="28" t="n">
        <v>-3.3e-05</v>
      </c>
      <c r="AC421" s="30" t="n">
        <v>-2</v>
      </c>
      <c r="AD421" s="24" t="inlineStr">
        <is>
          <t>2026-08-23T22:27:39.793254Z</t>
        </is>
      </c>
      <c r="AE421" s="31" t="inlineStr">
        <is>
          <t>Surface-blended Elo on Hard: Miomir Kecmanovic p=0.479 vs Sho Shimabukuro. Executable ask 0.3300 (aec-atp-shoshi-miokec-2026-08-24).</t>
        </is>
      </c>
      <c r="AF421" s="31" t="inlineStr">
        <is>
          <t>Surface-blended Elo model; singles only, WTA+ATP market coverage, not yet locked-holdout qualified -- promoted by explicit operator directive, not genuine walk-forward validation.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Miomir Kecmanovic</t>
        </is>
      </c>
      <c r="AQ421" s="24" t="inlineStr">
        <is>
          <t>Miomir Kecmanovic</t>
        </is>
      </c>
      <c r="AR421" s="24" t="inlineStr">
        <is>
          <t>Miomir Kecmanovic</t>
        </is>
      </c>
      <c r="AS421" s="24" t="inlineStr">
        <is>
          <t>Sho Shimabukuro</t>
        </is>
      </c>
      <c r="AT421" s="24" t="inlineStr">
        <is>
          <t>Sho Shimabukuro</t>
        </is>
      </c>
      <c r="AU421" s="24" t="inlineStr">
        <is>
          <t>Sho Shimabukuro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d777da58446bc099047b154203518e2585ef1a678f613f2b430f2589f7bf5cff</t>
        </is>
      </c>
      <c r="BB421" s="24" t="inlineStr">
        <is>
          <t>surface_blended_elo</t>
        </is>
      </c>
      <c r="BC421" s="24" t="inlineStr">
        <is>
          <t>tennis-surface-elo-v1</t>
        </is>
      </c>
      <c r="BD421" s="24" t="inlineStr">
        <is>
          <t>d777da58446bc099047b154203518e2585ef1a678f613f2b430f2589f7bf5cff</t>
        </is>
      </c>
      <c r="BE421" s="24" t="inlineStr">
        <is>
          <t>tennis-surface-elo-v1</t>
        </is>
      </c>
      <c r="BF421" s="24" t="inlineStr">
        <is>
          <t>1</t>
        </is>
      </c>
      <c r="BG421" s="24" t="inlineStr">
        <is>
          <t>d777da58446bc099047b154203518e2585ef1a678f613f2b430f2589f7bf5cff</t>
        </is>
      </c>
      <c r="BH421" s="24" t="inlineStr">
        <is>
          <t>2026-08-23T18:44:14.993647Z</t>
        </is>
      </c>
      <c r="BI421" s="24" t="inlineStr">
        <is>
          <t>["same_event","same_team_same_day","same_league_same_day"]</t>
        </is>
      </c>
      <c r="BJ421" s="25" t="n"/>
      <c r="BK421" s="26" t="n">
        <v>203</v>
      </c>
      <c r="BL421" s="27" t="n">
        <v>3.03</v>
      </c>
      <c r="BM421" s="28" t="n">
        <v>0.330033</v>
      </c>
      <c r="BN421" s="28" t="n"/>
      <c r="BO421" s="28" t="n"/>
      <c r="BP421" s="25" t="n"/>
      <c r="BQ421" s="27" t="n">
        <v>3.03</v>
      </c>
      <c r="BR421" s="28" t="n">
        <v>0.33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0.330033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2770851f4c954ef9</t>
        </is>
      </c>
      <c r="B422" s="24" t="inlineStr">
        <is>
          <t>2026-08-23T18:48:17.183011Z</t>
        </is>
      </c>
      <c r="C422" s="24" t="inlineStr">
        <is>
          <t>2026-08-23T19:00Z</t>
        </is>
      </c>
      <c r="D422" s="24" t="inlineStr">
        <is>
          <t>363-2026:184494</t>
        </is>
      </c>
      <c r="E422" s="24" t="inlineStr">
        <is>
          <t>TENNIS</t>
        </is>
      </c>
      <c r="F422" s="24" t="inlineStr">
        <is>
          <t>Jenson Brooksby</t>
        </is>
      </c>
      <c r="G422" s="24" t="inlineStr">
        <is>
          <t>Giovanni Mpetshi Perricard</t>
        </is>
      </c>
      <c r="H422" s="24" t="inlineStr">
        <is>
          <t>spread</t>
        </is>
      </c>
      <c r="I422" s="24" t="inlineStr">
        <is>
          <t>home</t>
        </is>
      </c>
      <c r="J422" s="25" t="n">
        <v>-2.5</v>
      </c>
      <c r="K422" s="24" t="inlineStr">
        <is>
          <t>polymarket_us</t>
        </is>
      </c>
      <c r="L422" s="26" t="n">
        <v>-122</v>
      </c>
      <c r="M422" s="27" t="n">
        <v>1.819672</v>
      </c>
      <c r="N422" s="28" t="n">
        <v>0.54955</v>
      </c>
      <c r="O422" s="28" t="n">
        <v>0.7195</v>
      </c>
      <c r="P422" s="28" t="n">
        <v>0.05</v>
      </c>
      <c r="Q422" s="28" t="n">
        <v>0.16995</v>
      </c>
      <c r="R422" s="26" t="n">
        <v>100</v>
      </c>
      <c r="S422" s="29" t="n">
        <v>1.75</v>
      </c>
      <c r="T422" s="24" t="inlineStr">
        <is>
          <t>tennis-surface-elo-v1</t>
        </is>
      </c>
      <c r="U422" s="24" t="inlineStr">
        <is>
          <t>settled</t>
        </is>
      </c>
      <c r="V422" s="24" t="inlineStr">
        <is>
          <t>loss</t>
        </is>
      </c>
      <c r="W422" s="26" t="n">
        <v>12</v>
      </c>
      <c r="X422" s="26" t="n">
        <v>5</v>
      </c>
      <c r="Y422" s="25" t="n"/>
      <c r="Z422" s="26" t="n"/>
      <c r="AA422" s="28" t="n"/>
      <c r="AB422" s="28" t="n"/>
      <c r="AC422" s="30" t="n">
        <v>-1.75</v>
      </c>
      <c r="AD422" s="24" t="inlineStr">
        <is>
          <t>2026-08-24T04:09:46.391056Z</t>
        </is>
      </c>
      <c r="AE422" s="31" t="inlineStr">
        <is>
          <t>Markov Game Handicap: Jenson Brooksby +2.5 vs Giovanni Mpetshi Perricard Executable ask 0.5500 (asc-atp-gioper-jenbro-2026-08-24-gs-pos-2pt5).</t>
        </is>
      </c>
      <c r="AF422" s="31" t="inlineStr">
        <is>
          <t>Surface-blended Elo model; singles only, WTA+ATP market coverage, not yet locked-holdout qualified -- promoted by explicit operator directive, not genuine walk-forward validation.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4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Jenson Brooksby</t>
        </is>
      </c>
      <c r="AQ422" s="24" t="inlineStr">
        <is>
          <t>Jenson Brooksby</t>
        </is>
      </c>
      <c r="AR422" s="24" t="inlineStr">
        <is>
          <t>Jenson Brooksby</t>
        </is>
      </c>
      <c r="AS422" s="24" t="inlineStr">
        <is>
          <t>Giovanni Mpetshi Perricard</t>
        </is>
      </c>
      <c r="AT422" s="24" t="inlineStr">
        <is>
          <t>Giovanni Mpetshi Perricard</t>
        </is>
      </c>
      <c r="AU422" s="24" t="inlineStr">
        <is>
          <t>Giovanni Mpetshi Perricard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d777da58446bc099047b154203518e2585ef1a678f613f2b430f2589f7bf5cff</t>
        </is>
      </c>
      <c r="BB422" s="24" t="inlineStr">
        <is>
          <t>surface_blended_elo</t>
        </is>
      </c>
      <c r="BC422" s="24" t="inlineStr">
        <is>
          <t>tennis-surface-elo-v1</t>
        </is>
      </c>
      <c r="BD422" s="24" t="inlineStr">
        <is>
          <t>d777da58446bc099047b154203518e2585ef1a678f613f2b430f2589f7bf5cff</t>
        </is>
      </c>
      <c r="BE422" s="24" t="inlineStr">
        <is>
          <t>tennis-surface-elo-v1</t>
        </is>
      </c>
      <c r="BF422" s="24" t="inlineStr">
        <is>
          <t>1</t>
        </is>
      </c>
      <c r="BG422" s="24" t="inlineStr">
        <is>
          <t>d777da58446bc099047b154203518e2585ef1a678f613f2b430f2589f7bf5cff</t>
        </is>
      </c>
      <c r="BH422" s="24" t="inlineStr">
        <is>
          <t>2026-08-23T18:44:15.130580Z</t>
        </is>
      </c>
      <c r="BI422" s="24" t="inlineStr">
        <is>
          <t>["same_event","same_team_same_day","same_league_same_day"]</t>
        </is>
      </c>
      <c r="BJ422" s="25" t="n">
        <v>-2.5</v>
      </c>
      <c r="BK422" s="26" t="n">
        <v>-122</v>
      </c>
      <c r="BL422" s="27" t="n">
        <v>1.819672</v>
      </c>
      <c r="BM422" s="28" t="n">
        <v>0.54955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0.54955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57a781df431e4904</t>
        </is>
      </c>
      <c r="B423" s="24" t="inlineStr">
        <is>
          <t>2026-08-23T18:48:17.183011Z</t>
        </is>
      </c>
      <c r="C423" s="24" t="inlineStr">
        <is>
          <t>2026-08-23T19:00Z</t>
        </is>
      </c>
      <c r="D423" s="24" t="inlineStr">
        <is>
          <t>363-2026:184494</t>
        </is>
      </c>
      <c r="E423" s="24" t="inlineStr">
        <is>
          <t>TENNIS</t>
        </is>
      </c>
      <c r="F423" s="24" t="inlineStr">
        <is>
          <t>Jenson Brooksby</t>
        </is>
      </c>
      <c r="G423" s="24" t="inlineStr">
        <is>
          <t>Giovanni Mpetshi Perricard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-178</v>
      </c>
      <c r="M423" s="27" t="n">
        <v>1.561798</v>
      </c>
      <c r="N423" s="28" t="n">
        <v>0.640288</v>
      </c>
      <c r="O423" s="28" t="n">
        <v>0.529</v>
      </c>
      <c r="P423" s="28" t="n">
        <v>0.05</v>
      </c>
      <c r="Q423" s="28" t="n">
        <v>-0.111288</v>
      </c>
      <c r="R423" s="26" t="n">
        <v>0</v>
      </c>
      <c r="S423" s="29" t="n">
        <v>1</v>
      </c>
      <c r="T423" s="24" t="inlineStr">
        <is>
          <t>tennis-surface-elo-v1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-178</v>
      </c>
      <c r="AA423" s="28" t="n">
        <v>0.64</v>
      </c>
      <c r="AB423" s="28" t="n">
        <v>-0.000288</v>
      </c>
      <c r="AC423" s="30" t="n">
        <v>0.5618</v>
      </c>
      <c r="AD423" s="24" t="inlineStr">
        <is>
          <t>2026-08-23T20:23:26.799957Z</t>
        </is>
      </c>
      <c r="AE423" s="31" t="inlineStr">
        <is>
          <t>Surface-blended Elo on Hard: Jenson Brooksby p=0.529 vs Giovanni Mpetshi Perricard. Executable ask 0.6400 (aec-atp-gioper-jenbro-2026-08-24).</t>
        </is>
      </c>
      <c r="AF423" s="31" t="inlineStr">
        <is>
          <t>Surface-blended Elo model; singles only, WTA+ATP market coverage, not yet locked-holdout qualified -- promoted by explicit operator directive, not genuine walk-forward validation.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Jenson Brooksby</t>
        </is>
      </c>
      <c r="AQ423" s="24" t="inlineStr">
        <is>
          <t>Jenson Brooksby</t>
        </is>
      </c>
      <c r="AR423" s="24" t="inlineStr">
        <is>
          <t>Jenson Brooksby</t>
        </is>
      </c>
      <c r="AS423" s="24" t="inlineStr">
        <is>
          <t>Giovanni Mpetshi Perricard</t>
        </is>
      </c>
      <c r="AT423" s="24" t="inlineStr">
        <is>
          <t>Giovanni Mpetshi Perricard</t>
        </is>
      </c>
      <c r="AU423" s="24" t="inlineStr">
        <is>
          <t>Giovanni Mpetshi Perricard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d777da58446bc099047b154203518e2585ef1a678f613f2b430f2589f7bf5cff</t>
        </is>
      </c>
      <c r="BB423" s="24" t="inlineStr">
        <is>
          <t>surface_blended_elo</t>
        </is>
      </c>
      <c r="BC423" s="24" t="inlineStr">
        <is>
          <t>tennis-surface-elo-v1</t>
        </is>
      </c>
      <c r="BD423" s="24" t="inlineStr">
        <is>
          <t>d777da58446bc099047b154203518e2585ef1a678f613f2b430f2589f7bf5cff</t>
        </is>
      </c>
      <c r="BE423" s="24" t="inlineStr">
        <is>
          <t>tennis-surface-elo-v1</t>
        </is>
      </c>
      <c r="BF423" s="24" t="inlineStr">
        <is>
          <t>1</t>
        </is>
      </c>
      <c r="BG423" s="24" t="inlineStr">
        <is>
          <t>d777da58446bc099047b154203518e2585ef1a678f613f2b430f2589f7bf5cff</t>
        </is>
      </c>
      <c r="BH423" s="24" t="inlineStr">
        <is>
          <t>2026-08-23T18:44:15.185852Z</t>
        </is>
      </c>
      <c r="BI423" s="24" t="inlineStr">
        <is>
          <t>["same_event","same_team_same_day","same_league_same_day"]</t>
        </is>
      </c>
      <c r="BJ423" s="25" t="n"/>
      <c r="BK423" s="26" t="n">
        <v>-178</v>
      </c>
      <c r="BL423" s="27" t="n">
        <v>1.561798</v>
      </c>
      <c r="BM423" s="28" t="n">
        <v>0.640288</v>
      </c>
      <c r="BN423" s="28" t="n"/>
      <c r="BO423" s="28" t="n"/>
      <c r="BP423" s="25" t="n"/>
      <c r="BQ423" s="27" t="n">
        <v>1.561798</v>
      </c>
      <c r="BR423" s="28" t="n">
        <v>0.64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0.640288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992e7388411141a6</t>
        </is>
      </c>
      <c r="B424" s="24" t="inlineStr">
        <is>
          <t>2026-08-23T18:48:17.183011Z</t>
        </is>
      </c>
      <c r="C424" s="24" t="inlineStr">
        <is>
          <t>2026-08-23T19:00Z</t>
        </is>
      </c>
      <c r="D424" s="24" t="inlineStr">
        <is>
          <t>363-2026:184494</t>
        </is>
      </c>
      <c r="E424" s="24" t="inlineStr">
        <is>
          <t>TENNIS</t>
        </is>
      </c>
      <c r="F424" s="24" t="inlineStr">
        <is>
          <t>Jenson Brooksby</t>
        </is>
      </c>
      <c r="G424" s="24" t="inlineStr">
        <is>
          <t>Giovanni Mpetshi Perricard</t>
        </is>
      </c>
      <c r="H424" s="24" t="inlineStr">
        <is>
          <t>total</t>
        </is>
      </c>
      <c r="I424" s="24" t="inlineStr">
        <is>
          <t>over</t>
        </is>
      </c>
      <c r="J424" s="25" t="n">
        <v>23.5</v>
      </c>
      <c r="K424" s="24" t="inlineStr">
        <is>
          <t>polymarket_us</t>
        </is>
      </c>
      <c r="L424" s="26" t="n">
        <v>100</v>
      </c>
      <c r="M424" s="27" t="n">
        <v>2</v>
      </c>
      <c r="N424" s="28" t="n">
        <v>0.5</v>
      </c>
      <c r="O424" s="28" t="n">
        <v>0.7078</v>
      </c>
      <c r="P424" s="28" t="n">
        <v>0.05</v>
      </c>
      <c r="Q424" s="28" t="n">
        <v>0.2078</v>
      </c>
      <c r="R424" s="26" t="n">
        <v>100</v>
      </c>
      <c r="S424" s="29" t="n">
        <v>2</v>
      </c>
      <c r="T424" s="24" t="inlineStr">
        <is>
          <t>tennis-surface-elo-v1</t>
        </is>
      </c>
      <c r="U424" s="24" t="inlineStr">
        <is>
          <t>settled</t>
        </is>
      </c>
      <c r="V424" s="24" t="inlineStr">
        <is>
          <t>loss</t>
        </is>
      </c>
      <c r="W424" s="26" t="n">
        <v>12</v>
      </c>
      <c r="X424" s="26" t="n">
        <v>5</v>
      </c>
      <c r="Y424" s="25" t="n"/>
      <c r="Z424" s="26" t="n"/>
      <c r="AA424" s="28" t="n"/>
      <c r="AB424" s="28" t="n"/>
      <c r="AC424" s="30" t="n">
        <v>-2</v>
      </c>
      <c r="AD424" s="24" t="inlineStr">
        <is>
          <t>2026-08-24T04:11:37.442573Z</t>
        </is>
      </c>
      <c r="AE424" s="31" t="inlineStr">
        <is>
          <t>Markov Total Games: OVER 23.5 (Exp: 25.8 games) Executable ask 0.5000 (tsc-atp-gioper-jenbro-2026-08-24-tg-23pt5).</t>
        </is>
      </c>
      <c r="AF424" s="31" t="inlineStr">
        <is>
          <t>Surface-blended Elo model; singles only, WTA+ATP market coverage, not yet locked-holdout qualified -- promoted by explicit operator directive, not genuine walk-forward validation.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Jenson Brooksby</t>
        </is>
      </c>
      <c r="AQ424" s="24" t="inlineStr">
        <is>
          <t>Jenson Brooksby</t>
        </is>
      </c>
      <c r="AR424" s="24" t="inlineStr">
        <is>
          <t>Jenson Brooksby</t>
        </is>
      </c>
      <c r="AS424" s="24" t="inlineStr">
        <is>
          <t>Giovanni Mpetshi Perricard</t>
        </is>
      </c>
      <c r="AT424" s="24" t="inlineStr">
        <is>
          <t>Giovanni Mpetshi Perricard</t>
        </is>
      </c>
      <c r="AU424" s="24" t="inlineStr">
        <is>
          <t>Giovanni Mpetshi Perricard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d777da58446bc099047b154203518e2585ef1a678f613f2b430f2589f7bf5cff</t>
        </is>
      </c>
      <c r="BB424" s="24" t="inlineStr">
        <is>
          <t>surface_blended_elo</t>
        </is>
      </c>
      <c r="BC424" s="24" t="inlineStr">
        <is>
          <t>tennis-surface-elo-v1</t>
        </is>
      </c>
      <c r="BD424" s="24" t="inlineStr">
        <is>
          <t>d777da58446bc099047b154203518e2585ef1a678f613f2b430f2589f7bf5cff</t>
        </is>
      </c>
      <c r="BE424" s="24" t="inlineStr">
        <is>
          <t>tennis-surface-elo-v1</t>
        </is>
      </c>
      <c r="BF424" s="24" t="inlineStr">
        <is>
          <t>1</t>
        </is>
      </c>
      <c r="BG424" s="24" t="inlineStr">
        <is>
          <t>d777da58446bc099047b154203518e2585ef1a678f613f2b430f2589f7bf5cff</t>
        </is>
      </c>
      <c r="BH424" s="24" t="inlineStr">
        <is>
          <t>2026-08-23T18:44:15.012701Z</t>
        </is>
      </c>
      <c r="BI424" s="24" t="inlineStr">
        <is>
          <t>["same_event","same_team_same_day","same_league_same_day"]</t>
        </is>
      </c>
      <c r="BJ424" s="25" t="n">
        <v>23.5</v>
      </c>
      <c r="BK424" s="26" t="n">
        <v>100</v>
      </c>
      <c r="BL424" s="27" t="n">
        <v>2</v>
      </c>
      <c r="BM424" s="28" t="n">
        <v>0.5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cb66ba559fc54df4</t>
        </is>
      </c>
      <c r="B425" s="24" t="inlineStr">
        <is>
          <t>2026-08-23T19:19:48.323387Z</t>
        </is>
      </c>
      <c r="C425" s="24" t="inlineStr">
        <is>
          <t>2026-08-23T20:00Z</t>
        </is>
      </c>
      <c r="D425" s="24" t="inlineStr">
        <is>
          <t>363-2026:184497</t>
        </is>
      </c>
      <c r="E425" s="24" t="inlineStr">
        <is>
          <t>TENNIS</t>
        </is>
      </c>
      <c r="F425" s="24" t="inlineStr">
        <is>
          <t>Wu Yibing</t>
        </is>
      </c>
      <c r="G425" s="24" t="inlineStr">
        <is>
          <t>Francisco Comesana</t>
        </is>
      </c>
      <c r="H425" s="24" t="inlineStr">
        <is>
          <t>spread</t>
        </is>
      </c>
      <c r="I425" s="24" t="inlineStr">
        <is>
          <t>home</t>
        </is>
      </c>
      <c r="J425" s="25" t="n">
        <v>-2.5</v>
      </c>
      <c r="K425" s="24" t="inlineStr">
        <is>
          <t>polymarket_us</t>
        </is>
      </c>
      <c r="L425" s="26" t="n">
        <v>104</v>
      </c>
      <c r="M425" s="27" t="n">
        <v>2.04</v>
      </c>
      <c r="N425" s="28" t="n">
        <v>0.490196</v>
      </c>
      <c r="O425" s="28" t="n">
        <v>0.68</v>
      </c>
      <c r="P425" s="28" t="n">
        <v>0.05</v>
      </c>
      <c r="Q425" s="28" t="n">
        <v>0.189804</v>
      </c>
      <c r="R425" s="26" t="n">
        <v>100</v>
      </c>
      <c r="S425" s="29" t="n">
        <v>2</v>
      </c>
      <c r="T425" s="24" t="inlineStr">
        <is>
          <t>tennis-surface-elo-v1</t>
        </is>
      </c>
      <c r="U425" s="24" t="inlineStr">
        <is>
          <t>settled</t>
        </is>
      </c>
      <c r="V425" s="24" t="inlineStr">
        <is>
          <t>win</t>
        </is>
      </c>
      <c r="W425" s="26" t="n">
        <v>7</v>
      </c>
      <c r="X425" s="26" t="n">
        <v>12</v>
      </c>
      <c r="Y425" s="25" t="n"/>
      <c r="Z425" s="26" t="n"/>
      <c r="AA425" s="28" t="n"/>
      <c r="AB425" s="28" t="n"/>
      <c r="AC425" s="30" t="n">
        <v>2.08</v>
      </c>
      <c r="AD425" s="24" t="inlineStr">
        <is>
          <t>2026-08-24T04:12:34.736437Z</t>
        </is>
      </c>
      <c r="AE425" s="31" t="inlineStr">
        <is>
          <t>Markov Game Handicap: Wu Yibing +2.5 vs Francisco Comesana Executable ask 0.4900 (asc-atp-fracom-yibwu-2026-08-24-gs-pos-2pt5).</t>
        </is>
      </c>
      <c r="AF425" s="31" t="inlineStr">
        <is>
          <t>Surface-blended Elo model; singles only, WTA+ATP market coverage, not yet locked-holdout qualified -- promoted by explicit operator directive, not genuine walk-forward validation.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Wu Yibing</t>
        </is>
      </c>
      <c r="AQ425" s="24" t="inlineStr">
        <is>
          <t>Wu Yibing</t>
        </is>
      </c>
      <c r="AR425" s="24" t="inlineStr">
        <is>
          <t>Wu Yibing</t>
        </is>
      </c>
      <c r="AS425" s="24" t="inlineStr">
        <is>
          <t>Francisco Comesana</t>
        </is>
      </c>
      <c r="AT425" s="24" t="inlineStr">
        <is>
          <t>Francisco Comesana</t>
        </is>
      </c>
      <c r="AU425" s="24" t="inlineStr">
        <is>
          <t>Francisco Comesana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d777da58446bc099047b154203518e2585ef1a678f613f2b430f2589f7bf5cff</t>
        </is>
      </c>
      <c r="BB425" s="24" t="inlineStr">
        <is>
          <t>surface_blended_elo</t>
        </is>
      </c>
      <c r="BC425" s="24" t="inlineStr">
        <is>
          <t>tennis-surface-elo-v1</t>
        </is>
      </c>
      <c r="BD425" s="24" t="inlineStr">
        <is>
          <t>d777da58446bc099047b154203518e2585ef1a678f613f2b430f2589f7bf5cff</t>
        </is>
      </c>
      <c r="BE425" s="24" t="inlineStr">
        <is>
          <t>tennis-surface-elo-v1</t>
        </is>
      </c>
      <c r="BF425" s="24" t="inlineStr">
        <is>
          <t>1</t>
        </is>
      </c>
      <c r="BG425" s="24" t="inlineStr">
        <is>
          <t>d777da58446bc099047b154203518e2585ef1a678f613f2b430f2589f7bf5cff</t>
        </is>
      </c>
      <c r="BH425" s="24" t="inlineStr">
        <is>
          <t>2026-08-23T19:16:39.011330Z</t>
        </is>
      </c>
      <c r="BI425" s="24" t="inlineStr">
        <is>
          <t>["same_event","same_team_same_day","same_league_same_day"]</t>
        </is>
      </c>
      <c r="BJ425" s="25" t="n">
        <v>-2.5</v>
      </c>
      <c r="BK425" s="26" t="n">
        <v>104</v>
      </c>
      <c r="BL425" s="27" t="n">
        <v>2.04</v>
      </c>
      <c r="BM425" s="28" t="n">
        <v>0.490196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0.490196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87d9dd1d5f9d400f</t>
        </is>
      </c>
      <c r="B426" s="24" t="inlineStr">
        <is>
          <t>2026-08-23T19:19:48.323387Z</t>
        </is>
      </c>
      <c r="C426" s="24" t="inlineStr">
        <is>
          <t>2026-08-23T20:00Z</t>
        </is>
      </c>
      <c r="D426" s="24" t="inlineStr">
        <is>
          <t>363-2026:184497</t>
        </is>
      </c>
      <c r="E426" s="24" t="inlineStr">
        <is>
          <t>TENNIS</t>
        </is>
      </c>
      <c r="F426" s="24" t="inlineStr">
        <is>
          <t>Wu Yibing</t>
        </is>
      </c>
      <c r="G426" s="24" t="inlineStr">
        <is>
          <t>Francisco Comesana</t>
        </is>
      </c>
      <c r="H426" s="24" t="inlineStr">
        <is>
          <t>total</t>
        </is>
      </c>
      <c r="I426" s="24" t="inlineStr">
        <is>
          <t>over</t>
        </is>
      </c>
      <c r="J426" s="25" t="n">
        <v>23.5</v>
      </c>
      <c r="K426" s="24" t="inlineStr">
        <is>
          <t>polymarket_us</t>
        </is>
      </c>
      <c r="L426" s="26" t="n">
        <v>122</v>
      </c>
      <c r="M426" s="27" t="n">
        <v>2.22</v>
      </c>
      <c r="N426" s="28" t="n">
        <v>0.45045</v>
      </c>
      <c r="O426" s="28" t="n">
        <v>0.6629</v>
      </c>
      <c r="P426" s="28" t="n">
        <v>0.05</v>
      </c>
      <c r="Q426" s="28" t="n">
        <v>0.21245</v>
      </c>
      <c r="R426" s="26" t="n">
        <v>100</v>
      </c>
      <c r="S426" s="29" t="n">
        <v>2</v>
      </c>
      <c r="T426" s="24" t="inlineStr">
        <is>
          <t>tennis-surface-elo-v1</t>
        </is>
      </c>
      <c r="U426" s="24" t="inlineStr">
        <is>
          <t>settled</t>
        </is>
      </c>
      <c r="V426" s="24" t="inlineStr">
        <is>
          <t>loss</t>
        </is>
      </c>
      <c r="W426" s="26" t="n">
        <v>7</v>
      </c>
      <c r="X426" s="26" t="n">
        <v>12</v>
      </c>
      <c r="Y426" s="25" t="n"/>
      <c r="Z426" s="26" t="n"/>
      <c r="AA426" s="28" t="n"/>
      <c r="AB426" s="28" t="n"/>
      <c r="AC426" s="30" t="n">
        <v>-2</v>
      </c>
      <c r="AD426" s="24" t="inlineStr">
        <is>
          <t>2026-08-24T04:11:26.520922Z</t>
        </is>
      </c>
      <c r="AE426" s="31" t="inlineStr">
        <is>
          <t>Markov Total Games: OVER 23.5 (Exp: 25.3 games) Executable ask 0.4500 (tsc-atp-fracom-yibwu-2026-08-24-tg-23pt5).</t>
        </is>
      </c>
      <c r="AF426" s="31" t="inlineStr">
        <is>
          <t>Surface-blended Elo model; singles only, WTA+ATP market coverage, not yet locked-holdout qualified -- promoted by explicit operator directive, not genuine walk-forward validation.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Wu Yibing</t>
        </is>
      </c>
      <c r="AQ426" s="24" t="inlineStr">
        <is>
          <t>Wu Yibing</t>
        </is>
      </c>
      <c r="AR426" s="24" t="inlineStr">
        <is>
          <t>Wu Yibing</t>
        </is>
      </c>
      <c r="AS426" s="24" t="inlineStr">
        <is>
          <t>Francisco Comesana</t>
        </is>
      </c>
      <c r="AT426" s="24" t="inlineStr">
        <is>
          <t>Francisco Comesana</t>
        </is>
      </c>
      <c r="AU426" s="24" t="inlineStr">
        <is>
          <t>Francisco Comesana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d777da58446bc099047b154203518e2585ef1a678f613f2b430f2589f7bf5cff</t>
        </is>
      </c>
      <c r="BB426" s="24" t="inlineStr">
        <is>
          <t>surface_blended_elo</t>
        </is>
      </c>
      <c r="BC426" s="24" t="inlineStr">
        <is>
          <t>tennis-surface-elo-v1</t>
        </is>
      </c>
      <c r="BD426" s="24" t="inlineStr">
        <is>
          <t>d777da58446bc099047b154203518e2585ef1a678f613f2b430f2589f7bf5cff</t>
        </is>
      </c>
      <c r="BE426" s="24" t="inlineStr">
        <is>
          <t>tennis-surface-elo-v1</t>
        </is>
      </c>
      <c r="BF426" s="24" t="inlineStr">
        <is>
          <t>1</t>
        </is>
      </c>
      <c r="BG426" s="24" t="inlineStr">
        <is>
          <t>d777da58446bc099047b154203518e2585ef1a678f613f2b430f2589f7bf5cff</t>
        </is>
      </c>
      <c r="BH426" s="24" t="inlineStr">
        <is>
          <t>2026-08-23T19:16:39.013470Z</t>
        </is>
      </c>
      <c r="BI426" s="24" t="inlineStr">
        <is>
          <t>["same_event","same_team_same_day","same_league_same_day"]</t>
        </is>
      </c>
      <c r="BJ426" s="25" t="n">
        <v>23.5</v>
      </c>
      <c r="BK426" s="26" t="n">
        <v>122</v>
      </c>
      <c r="BL426" s="27" t="n">
        <v>2.22</v>
      </c>
      <c r="BM426" s="28" t="n">
        <v>0.45045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0.45045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4b8085fc00be4a54</t>
        </is>
      </c>
      <c r="B427" s="24" t="inlineStr">
        <is>
          <t>2026-08-23T19:19:48.323387Z</t>
        </is>
      </c>
      <c r="C427" s="24" t="inlineStr">
        <is>
          <t>2026-08-23T20:00Z</t>
        </is>
      </c>
      <c r="D427" s="24" t="inlineStr">
        <is>
          <t>363-2026:184497</t>
        </is>
      </c>
      <c r="E427" s="24" t="inlineStr">
        <is>
          <t>TENNIS</t>
        </is>
      </c>
      <c r="F427" s="24" t="inlineStr">
        <is>
          <t>Wu Yibing</t>
        </is>
      </c>
      <c r="G427" s="24" t="inlineStr">
        <is>
          <t>Francisco Comesana</t>
        </is>
      </c>
      <c r="H427" s="24" t="inlineStr">
        <is>
          <t>moneyline</t>
        </is>
      </c>
      <c r="I427" s="24" t="inlineStr">
        <is>
          <t>away</t>
        </is>
      </c>
      <c r="J427" s="25" t="n"/>
      <c r="K427" s="24" t="inlineStr">
        <is>
          <t>polymarket_us</t>
        </is>
      </c>
      <c r="L427" s="26" t="n">
        <v>-163</v>
      </c>
      <c r="M427" s="27" t="n">
        <v>1.613497</v>
      </c>
      <c r="N427" s="28" t="n">
        <v>0.619772</v>
      </c>
      <c r="O427" s="28" t="n">
        <v>0.6048</v>
      </c>
      <c r="P427" s="28" t="n">
        <v>0.05</v>
      </c>
      <c r="Q427" s="28" t="n">
        <v>-0.014972</v>
      </c>
      <c r="R427" s="26" t="n">
        <v>13</v>
      </c>
      <c r="S427" s="29" t="n">
        <v>1</v>
      </c>
      <c r="T427" s="24" t="inlineStr">
        <is>
          <t>tennis-surface-elo-v1</t>
        </is>
      </c>
      <c r="U427" s="24" t="inlineStr">
        <is>
          <t>settled</t>
        </is>
      </c>
      <c r="V427" s="24" t="inlineStr">
        <is>
          <t>loss</t>
        </is>
      </c>
      <c r="W427" s="26" t="n">
        <v>0</v>
      </c>
      <c r="X427" s="26" t="n">
        <v>1</v>
      </c>
      <c r="Y427" s="25" t="n"/>
      <c r="Z427" s="26" t="n"/>
      <c r="AA427" s="28" t="n"/>
      <c r="AB427" s="28" t="n"/>
      <c r="AC427" s="30" t="n">
        <v>-1</v>
      </c>
      <c r="AD427" s="24" t="inlineStr">
        <is>
          <t>2026-08-23T22:28:23.030887Z</t>
        </is>
      </c>
      <c r="AE427" s="31" t="inlineStr">
        <is>
          <t>Surface-blended Elo on Hard: Wu Yibing p=0.605 vs Francisco Comesana. Executable ask 0.6200 (aec-atp-fracom-yibwu-2026-08-24).</t>
        </is>
      </c>
      <c r="AF427" s="31" t="inlineStr">
        <is>
          <t>Surface-blended Elo model; singles only, WTA+ATP market coverage, not yet locked-holdout qualified -- promoted by explicit operator directive, not genuine walk-forward validation.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Wu Yibing</t>
        </is>
      </c>
      <c r="AQ427" s="24" t="inlineStr">
        <is>
          <t>Wu Yibing</t>
        </is>
      </c>
      <c r="AR427" s="24" t="inlineStr">
        <is>
          <t>Wu Yibing</t>
        </is>
      </c>
      <c r="AS427" s="24" t="inlineStr">
        <is>
          <t>Francisco Comesana</t>
        </is>
      </c>
      <c r="AT427" s="24" t="inlineStr">
        <is>
          <t>Francisco Comesana</t>
        </is>
      </c>
      <c r="AU427" s="24" t="inlineStr">
        <is>
          <t>Francisco Comesana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d777da58446bc099047b154203518e2585ef1a678f613f2b430f2589f7bf5cff</t>
        </is>
      </c>
      <c r="BB427" s="24" t="inlineStr">
        <is>
          <t>surface_blended_elo</t>
        </is>
      </c>
      <c r="BC427" s="24" t="inlineStr">
        <is>
          <t>tennis-surface-elo-v1</t>
        </is>
      </c>
      <c r="BD427" s="24" t="inlineStr">
        <is>
          <t>d777da58446bc099047b154203518e2585ef1a678f613f2b430f2589f7bf5cff</t>
        </is>
      </c>
      <c r="BE427" s="24" t="inlineStr">
        <is>
          <t>tennis-surface-elo-v1</t>
        </is>
      </c>
      <c r="BF427" s="24" t="inlineStr">
        <is>
          <t>1</t>
        </is>
      </c>
      <c r="BG427" s="24" t="inlineStr">
        <is>
          <t>d777da58446bc099047b154203518e2585ef1a678f613f2b430f2589f7bf5cff</t>
        </is>
      </c>
      <c r="BH427" s="24" t="inlineStr">
        <is>
          <t>2026-08-23T19:16:39.052373Z</t>
        </is>
      </c>
      <c r="BI427" s="24" t="inlineStr">
        <is>
          <t>["same_event","same_team_same_day","same_league_same_day"]</t>
        </is>
      </c>
      <c r="BJ427" s="25" t="n"/>
      <c r="BK427" s="26" t="n">
        <v>-163</v>
      </c>
      <c r="BL427" s="27" t="n">
        <v>1.613497</v>
      </c>
      <c r="BM427" s="28" t="n">
        <v>0.619772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0.619772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c7b9b0578f604217</t>
        </is>
      </c>
      <c r="B428" s="24" t="inlineStr">
        <is>
          <t>2026-08-23T20:27:44.305840Z</t>
        </is>
      </c>
      <c r="C428" s="24" t="inlineStr">
        <is>
          <t>2026-08-23T21:00Z</t>
        </is>
      </c>
      <c r="D428" s="24" t="inlineStr">
        <is>
          <t>341-2026:184521</t>
        </is>
      </c>
      <c r="E428" s="24" t="inlineStr">
        <is>
          <t>TENNIS</t>
        </is>
      </c>
      <c r="F428" s="24" t="inlineStr">
        <is>
          <t>Kamilla Rakhimova</t>
        </is>
      </c>
      <c r="G428" s="24" t="inlineStr">
        <is>
          <t>Maria Timofeeva</t>
        </is>
      </c>
      <c r="H428" s="24" t="inlineStr">
        <is>
          <t>spread</t>
        </is>
      </c>
      <c r="I428" s="24" t="inlineStr">
        <is>
          <t>home</t>
        </is>
      </c>
      <c r="J428" s="25" t="n">
        <v>-4.5</v>
      </c>
      <c r="K428" s="24" t="inlineStr">
        <is>
          <t>polymarket_us</t>
        </is>
      </c>
      <c r="L428" s="26" t="n">
        <v>-170</v>
      </c>
      <c r="M428" s="27" t="n">
        <v>1.588235</v>
      </c>
      <c r="N428" s="28" t="n">
        <v>0.62963</v>
      </c>
      <c r="O428" s="28" t="n">
        <v>0.8798</v>
      </c>
      <c r="P428" s="28" t="n">
        <v>0.05</v>
      </c>
      <c r="Q428" s="28" t="n">
        <v>0.25017</v>
      </c>
      <c r="R428" s="26" t="n">
        <v>100</v>
      </c>
      <c r="S428" s="29" t="n">
        <v>2</v>
      </c>
      <c r="T428" s="24" t="inlineStr">
        <is>
          <t>tennis-surface-elo-v1</t>
        </is>
      </c>
      <c r="U428" s="24" t="inlineStr">
        <is>
          <t>settled</t>
        </is>
      </c>
      <c r="V428" s="24" t="inlineStr">
        <is>
          <t>loss</t>
        </is>
      </c>
      <c r="W428" s="26" t="n">
        <v>15</v>
      </c>
      <c r="X428" s="26" t="n">
        <v>16</v>
      </c>
      <c r="Y428" s="25" t="n"/>
      <c r="Z428" s="26" t="n"/>
      <c r="AA428" s="28" t="n"/>
      <c r="AB428" s="28" t="n"/>
      <c r="AC428" s="30" t="n">
        <v>-2</v>
      </c>
      <c r="AD428" s="24" t="inlineStr">
        <is>
          <t>2026-08-24T04:12:23.808799Z</t>
        </is>
      </c>
      <c r="AE428" s="31" t="inlineStr">
        <is>
          <t>Markov Game Handicap: Kamilla Rakhimova +4.5 vs Maria Timofeeva Executable ask 0.6300 (asc-wta-martim-kamrak-2026-08-23-gs-pos-4pt5).</t>
        </is>
      </c>
      <c r="AF428" s="31" t="inlineStr">
        <is>
          <t>Surface-blended Elo model; singles only, WTA+ATP market coverage, not yet locked-holdout qualified -- promoted by explicit operator directive, not genuine walk-forward validation.</t>
        </is>
      </c>
      <c r="AG428" s="24" t="inlineStr">
        <is>
          <t>review_required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Kamilla Rakhimova</t>
        </is>
      </c>
      <c r="AQ428" s="24" t="inlineStr">
        <is>
          <t>Kamilla Rakhimova</t>
        </is>
      </c>
      <c r="AR428" s="24" t="inlineStr">
        <is>
          <t>Kamilla Rakhimova</t>
        </is>
      </c>
      <c r="AS428" s="24" t="inlineStr">
        <is>
          <t>Maria Timofeeva</t>
        </is>
      </c>
      <c r="AT428" s="24" t="inlineStr">
        <is>
          <t>Maria Timofeeva</t>
        </is>
      </c>
      <c r="AU428" s="24" t="inlineStr">
        <is>
          <t>Maria Timofeeva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d777da58446bc099047b154203518e2585ef1a678f613f2b430f2589f7bf5cff</t>
        </is>
      </c>
      <c r="BB428" s="24" t="inlineStr">
        <is>
          <t>surface_blended_elo</t>
        </is>
      </c>
      <c r="BC428" s="24" t="inlineStr">
        <is>
          <t>tennis-surface-elo-v1</t>
        </is>
      </c>
      <c r="BD428" s="24" t="inlineStr">
        <is>
          <t>d777da58446bc099047b154203518e2585ef1a678f613f2b430f2589f7bf5cff</t>
        </is>
      </c>
      <c r="BE428" s="24" t="inlineStr">
        <is>
          <t>tennis-surface-elo-v1</t>
        </is>
      </c>
      <c r="BF428" s="24" t="inlineStr">
        <is>
          <t>1</t>
        </is>
      </c>
      <c r="BG428" s="24" t="inlineStr">
        <is>
          <t>d777da58446bc099047b154203518e2585ef1a678f613f2b430f2589f7bf5cff</t>
        </is>
      </c>
      <c r="BH428" s="24" t="inlineStr">
        <is>
          <t>2026-08-23T20:25:02.916358Z</t>
        </is>
      </c>
      <c r="BI428" s="24" t="inlineStr">
        <is>
          <t>["same_event","same_team_same_day","same_league_same_day"]</t>
        </is>
      </c>
      <c r="BJ428" s="25" t="n">
        <v>-4.5</v>
      </c>
      <c r="BK428" s="26" t="n">
        <v>-170</v>
      </c>
      <c r="BL428" s="27" t="n">
        <v>1.588235</v>
      </c>
      <c r="BM428" s="28" t="n">
        <v>0.62963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0.62963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6b1e1aa9df444feb</t>
        </is>
      </c>
      <c r="B429" s="24" t="inlineStr">
        <is>
          <t>2026-08-23T20:27:44.305840Z</t>
        </is>
      </c>
      <c r="C429" s="24" t="inlineStr">
        <is>
          <t>2026-08-23T21:00Z</t>
        </is>
      </c>
      <c r="D429" s="24" t="inlineStr">
        <is>
          <t>341-2026:184521</t>
        </is>
      </c>
      <c r="E429" s="24" t="inlineStr">
        <is>
          <t>TENNIS</t>
        </is>
      </c>
      <c r="F429" s="24" t="inlineStr">
        <is>
          <t>Kamilla Rakhimova</t>
        </is>
      </c>
      <c r="G429" s="24" t="inlineStr">
        <is>
          <t>Maria Timofeeva</t>
        </is>
      </c>
      <c r="H429" s="24" t="inlineStr">
        <is>
          <t>total</t>
        </is>
      </c>
      <c r="I429" s="24" t="inlineStr">
        <is>
          <t>over</t>
        </is>
      </c>
      <c r="J429" s="25" t="n">
        <v>22.5</v>
      </c>
      <c r="K429" s="24" t="inlineStr">
        <is>
          <t>polymarket_us</t>
        </is>
      </c>
      <c r="L429" s="26" t="n">
        <v>122</v>
      </c>
      <c r="M429" s="27" t="n">
        <v>2.22</v>
      </c>
      <c r="N429" s="28" t="n">
        <v>0.45045</v>
      </c>
      <c r="O429" s="28" t="n">
        <v>0.7819</v>
      </c>
      <c r="P429" s="28" t="n">
        <v>0.05</v>
      </c>
      <c r="Q429" s="28" t="n">
        <v>0.33145</v>
      </c>
      <c r="R429" s="26" t="n">
        <v>100</v>
      </c>
      <c r="S429" s="29" t="n">
        <v>2</v>
      </c>
      <c r="T429" s="24" t="inlineStr">
        <is>
          <t>tennis-surface-elo-v1</t>
        </is>
      </c>
      <c r="U429" s="24" t="inlineStr">
        <is>
          <t>settled</t>
        </is>
      </c>
      <c r="V429" s="24" t="inlineStr">
        <is>
          <t>win</t>
        </is>
      </c>
      <c r="W429" s="26" t="n">
        <v>15</v>
      </c>
      <c r="X429" s="26" t="n">
        <v>16</v>
      </c>
      <c r="Y429" s="25" t="n"/>
      <c r="Z429" s="26" t="n"/>
      <c r="AA429" s="28" t="n"/>
      <c r="AB429" s="28" t="n"/>
      <c r="AC429" s="30" t="n">
        <v>2.44</v>
      </c>
      <c r="AD429" s="24" t="inlineStr">
        <is>
          <t>2026-08-24T04:10:43.295016Z</t>
        </is>
      </c>
      <c r="AE429" s="31" t="inlineStr">
        <is>
          <t>Markov Total Games: OVER 22.5 (Exp: 25.8 games) Executable ask 0.4500 (tsc-wta-martim-kamrak-2026-08-23-tg-22pt5).</t>
        </is>
      </c>
      <c r="AF429" s="31" t="inlineStr">
        <is>
          <t>Surface-blended Elo model; singles only, WTA+ATP market coverage, not yet locked-holdout qualified -- promoted by explicit operator directive, not genuine walk-forward validation.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Kamilla Rakhimova</t>
        </is>
      </c>
      <c r="AQ429" s="24" t="inlineStr">
        <is>
          <t>Kamilla Rakhimova</t>
        </is>
      </c>
      <c r="AR429" s="24" t="inlineStr">
        <is>
          <t>Kamilla Rakhimova</t>
        </is>
      </c>
      <c r="AS429" s="24" t="inlineStr">
        <is>
          <t>Maria Timofeeva</t>
        </is>
      </c>
      <c r="AT429" s="24" t="inlineStr">
        <is>
          <t>Maria Timofeeva</t>
        </is>
      </c>
      <c r="AU429" s="24" t="inlineStr">
        <is>
          <t>Maria Timofeeva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d777da58446bc099047b154203518e2585ef1a678f613f2b430f2589f7bf5cff</t>
        </is>
      </c>
      <c r="BB429" s="24" t="inlineStr">
        <is>
          <t>surface_blended_elo</t>
        </is>
      </c>
      <c r="BC429" s="24" t="inlineStr">
        <is>
          <t>tennis-surface-elo-v1</t>
        </is>
      </c>
      <c r="BD429" s="24" t="inlineStr">
        <is>
          <t>d777da58446bc099047b154203518e2585ef1a678f613f2b430f2589f7bf5cff</t>
        </is>
      </c>
      <c r="BE429" s="24" t="inlineStr">
        <is>
          <t>tennis-surface-elo-v1</t>
        </is>
      </c>
      <c r="BF429" s="24" t="inlineStr">
        <is>
          <t>1</t>
        </is>
      </c>
      <c r="BG429" s="24" t="inlineStr">
        <is>
          <t>d777da58446bc099047b154203518e2585ef1a678f613f2b430f2589f7bf5cff</t>
        </is>
      </c>
      <c r="BH429" s="24" t="inlineStr">
        <is>
          <t>2026-08-23T20:25:02.984216Z</t>
        </is>
      </c>
      <c r="BI429" s="24" t="inlineStr">
        <is>
          <t>["same_event","same_team_same_day","same_league_same_day"]</t>
        </is>
      </c>
      <c r="BJ429" s="25" t="n">
        <v>22.5</v>
      </c>
      <c r="BK429" s="26" t="n">
        <v>122</v>
      </c>
      <c r="BL429" s="27" t="n">
        <v>2.22</v>
      </c>
      <c r="BM429" s="28" t="n">
        <v>0.45045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0.45045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1f62011187374a8a</t>
        </is>
      </c>
      <c r="B430" s="24" t="inlineStr">
        <is>
          <t>2026-08-23T20:27:44.305840Z</t>
        </is>
      </c>
      <c r="C430" s="24" t="inlineStr">
        <is>
          <t>2026-08-23T21:00Z</t>
        </is>
      </c>
      <c r="D430" s="24" t="inlineStr">
        <is>
          <t>341-2026:184521</t>
        </is>
      </c>
      <c r="E430" s="24" t="inlineStr">
        <is>
          <t>TENNIS</t>
        </is>
      </c>
      <c r="F430" s="24" t="inlineStr">
        <is>
          <t>Kamilla Rakhimova</t>
        </is>
      </c>
      <c r="G430" s="24" t="inlineStr">
        <is>
          <t>Maria Timofeeva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156</v>
      </c>
      <c r="M430" s="27" t="n">
        <v>2.56</v>
      </c>
      <c r="N430" s="28" t="n">
        <v>0.390625</v>
      </c>
      <c r="O430" s="28" t="n">
        <v>0.5327</v>
      </c>
      <c r="P430" s="28" t="n">
        <v>0.05</v>
      </c>
      <c r="Q430" s="28" t="n">
        <v>0.142075</v>
      </c>
      <c r="R430" s="26" t="n">
        <v>91</v>
      </c>
      <c r="S430" s="29" t="n">
        <v>1.5</v>
      </c>
      <c r="T430" s="24" t="inlineStr">
        <is>
          <t>tennis-surface-elo-v1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156</v>
      </c>
      <c r="AA430" s="28" t="n">
        <v>0.39</v>
      </c>
      <c r="AB430" s="28" t="n">
        <v>-0.000625</v>
      </c>
      <c r="AC430" s="30" t="n">
        <v>2.34</v>
      </c>
      <c r="AD430" s="24" t="inlineStr">
        <is>
          <t>2026-08-24T01:30:48.674381Z</t>
        </is>
      </c>
      <c r="AE430" s="31" t="inlineStr">
        <is>
          <t>Surface-blended Elo on Hard: Kamilla Rakhimova p=0.467 vs Maria Timofeeva. Executable ask 0.3900 (aec-wta-martim-kamrak-2026-08-23).</t>
        </is>
      </c>
      <c r="AF430" s="31" t="inlineStr">
        <is>
          <t>Surface-blended Elo model; singles only, WTA+ATP market coverage, not yet locked-holdout qualified -- promoted by explicit operator directive, not genuine walk-forward validation.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Kamilla Rakhimova</t>
        </is>
      </c>
      <c r="AQ430" s="24" t="inlineStr">
        <is>
          <t>Kamilla Rakhimova</t>
        </is>
      </c>
      <c r="AR430" s="24" t="inlineStr">
        <is>
          <t>Kamilla Rakhimova</t>
        </is>
      </c>
      <c r="AS430" s="24" t="inlineStr">
        <is>
          <t>Maria Timofeeva</t>
        </is>
      </c>
      <c r="AT430" s="24" t="inlineStr">
        <is>
          <t>Maria Timofeeva</t>
        </is>
      </c>
      <c r="AU430" s="24" t="inlineStr">
        <is>
          <t>Maria Timofeeva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d777da58446bc099047b154203518e2585ef1a678f613f2b430f2589f7bf5cff</t>
        </is>
      </c>
      <c r="BB430" s="24" t="inlineStr">
        <is>
          <t>surface_blended_elo</t>
        </is>
      </c>
      <c r="BC430" s="24" t="inlineStr">
        <is>
          <t>tennis-surface-elo-v1</t>
        </is>
      </c>
      <c r="BD430" s="24" t="inlineStr">
        <is>
          <t>d777da58446bc099047b154203518e2585ef1a678f613f2b430f2589f7bf5cff</t>
        </is>
      </c>
      <c r="BE430" s="24" t="inlineStr">
        <is>
          <t>tennis-surface-elo-v1</t>
        </is>
      </c>
      <c r="BF430" s="24" t="inlineStr">
        <is>
          <t>1</t>
        </is>
      </c>
      <c r="BG430" s="24" t="inlineStr">
        <is>
          <t>d777da58446bc099047b154203518e2585ef1a678f613f2b430f2589f7bf5cff</t>
        </is>
      </c>
      <c r="BH430" s="24" t="inlineStr">
        <is>
          <t>2026-08-23T20:25:02.991756Z</t>
        </is>
      </c>
      <c r="BI430" s="24" t="inlineStr">
        <is>
          <t>["same_event","same_team_same_day","same_league_same_day"]</t>
        </is>
      </c>
      <c r="BJ430" s="25" t="n"/>
      <c r="BK430" s="26" t="n">
        <v>156</v>
      </c>
      <c r="BL430" s="27" t="n">
        <v>2.56</v>
      </c>
      <c r="BM430" s="28" t="n">
        <v>0.390625</v>
      </c>
      <c r="BN430" s="28" t="n"/>
      <c r="BO430" s="28" t="n"/>
      <c r="BP430" s="25" t="n"/>
      <c r="BQ430" s="27" t="n">
        <v>2.56</v>
      </c>
      <c r="BR430" s="28" t="n">
        <v>0.39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True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0.390625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fc05f445ad8b41a8</t>
        </is>
      </c>
      <c r="B431" s="24" t="inlineStr">
        <is>
          <t>2026-08-23T20:27:44.305840Z</t>
        </is>
      </c>
      <c r="C431" s="24" t="inlineStr">
        <is>
          <t>2026-08-23T21:00Z</t>
        </is>
      </c>
      <c r="D431" s="24" t="inlineStr">
        <is>
          <t>341-2026:184520</t>
        </is>
      </c>
      <c r="E431" s="24" t="inlineStr">
        <is>
          <t>TENNIS</t>
        </is>
      </c>
      <c r="F431" s="24" t="inlineStr">
        <is>
          <t>Darja Vidmanova</t>
        </is>
      </c>
      <c r="G431" s="24" t="inlineStr">
        <is>
          <t>Panna Udvardy</t>
        </is>
      </c>
      <c r="H431" s="24" t="inlineStr">
        <is>
          <t>total</t>
        </is>
      </c>
      <c r="I431" s="24" t="inlineStr">
        <is>
          <t>over</t>
        </is>
      </c>
      <c r="J431" s="25" t="n">
        <v>22.5</v>
      </c>
      <c r="K431" s="24" t="inlineStr">
        <is>
          <t>polymarket_us</t>
        </is>
      </c>
      <c r="L431" s="26" t="n">
        <v>122</v>
      </c>
      <c r="M431" s="27" t="n">
        <v>2.22</v>
      </c>
      <c r="N431" s="28" t="n">
        <v>0.45045</v>
      </c>
      <c r="O431" s="28" t="n">
        <v>0.7723</v>
      </c>
      <c r="P431" s="28" t="n">
        <v>0.05</v>
      </c>
      <c r="Q431" s="28" t="n">
        <v>0.32185</v>
      </c>
      <c r="R431" s="26" t="n">
        <v>100</v>
      </c>
      <c r="S431" s="29" t="n">
        <v>2</v>
      </c>
      <c r="T431" s="24" t="inlineStr">
        <is>
          <t>tennis-surface-elo-v1</t>
        </is>
      </c>
      <c r="U431" s="24" t="inlineStr">
        <is>
          <t>settled</t>
        </is>
      </c>
      <c r="V431" s="24" t="inlineStr">
        <is>
          <t>win</t>
        </is>
      </c>
      <c r="W431" s="26" t="n">
        <v>15</v>
      </c>
      <c r="X431" s="26" t="n">
        <v>12</v>
      </c>
      <c r="Y431" s="25" t="n"/>
      <c r="Z431" s="26" t="n"/>
      <c r="AA431" s="28" t="n"/>
      <c r="AB431" s="28" t="n"/>
      <c r="AC431" s="30" t="n">
        <v>2.44</v>
      </c>
      <c r="AD431" s="24" t="inlineStr">
        <is>
          <t>2026-08-24T04:13:25.215672Z</t>
        </is>
      </c>
      <c r="AE431" s="31" t="inlineStr">
        <is>
          <t>Markov Total Games: OVER 22.5 (Exp: 25.6 games) Executable ask 0.4500 (tsc-wta-panudv-darvid-2026-08-23-tg-22pt5).</t>
        </is>
      </c>
      <c r="AF431" s="31" t="inlineStr">
        <is>
          <t>Surface-blended Elo model; singles only, WTA+ATP market coverage, not yet locked-holdout qualified -- promoted by explicit operator directive, not genuine walk-forward validation.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Darja Vidmanova</t>
        </is>
      </c>
      <c r="AQ431" s="24" t="inlineStr">
        <is>
          <t>Darja Vidmanova</t>
        </is>
      </c>
      <c r="AR431" s="24" t="inlineStr">
        <is>
          <t>Darja Vidmanova</t>
        </is>
      </c>
      <c r="AS431" s="24" t="inlineStr">
        <is>
          <t>Panna Udvardy</t>
        </is>
      </c>
      <c r="AT431" s="24" t="inlineStr">
        <is>
          <t>Panna Udvardy</t>
        </is>
      </c>
      <c r="AU431" s="24" t="inlineStr">
        <is>
          <t>Panna Udvardy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d777da58446bc099047b154203518e2585ef1a678f613f2b430f2589f7bf5cff</t>
        </is>
      </c>
      <c r="BB431" s="24" t="inlineStr">
        <is>
          <t>surface_blended_elo</t>
        </is>
      </c>
      <c r="BC431" s="24" t="inlineStr">
        <is>
          <t>tennis-surface-elo-v1</t>
        </is>
      </c>
      <c r="BD431" s="24" t="inlineStr">
        <is>
          <t>d777da58446bc099047b154203518e2585ef1a678f613f2b430f2589f7bf5cff</t>
        </is>
      </c>
      <c r="BE431" s="24" t="inlineStr">
        <is>
          <t>tennis-surface-elo-v1</t>
        </is>
      </c>
      <c r="BF431" s="24" t="inlineStr">
        <is>
          <t>1</t>
        </is>
      </c>
      <c r="BG431" s="24" t="inlineStr">
        <is>
          <t>d777da58446bc099047b154203518e2585ef1a678f613f2b430f2589f7bf5cff</t>
        </is>
      </c>
      <c r="BH431" s="24" t="inlineStr">
        <is>
          <t>2026-08-23T15:50:54.091786Z</t>
        </is>
      </c>
      <c r="BI431" s="24" t="inlineStr">
        <is>
          <t>["same_event","same_team_same_day","same_league_same_day"]</t>
        </is>
      </c>
      <c r="BJ431" s="25" t="n">
        <v>22.5</v>
      </c>
      <c r="BK431" s="26" t="n">
        <v>122</v>
      </c>
      <c r="BL431" s="27" t="n">
        <v>2.22</v>
      </c>
      <c r="BM431" s="28" t="n">
        <v>0.45045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0.45045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7f2b31d2f4cd4090</t>
        </is>
      </c>
      <c r="B432" s="24" t="inlineStr">
        <is>
          <t>2026-08-23T20:27:44.305840Z</t>
        </is>
      </c>
      <c r="C432" s="24" t="inlineStr">
        <is>
          <t>2026-08-23T21:00Z</t>
        </is>
      </c>
      <c r="D432" s="24" t="inlineStr">
        <is>
          <t>341-2026:184520</t>
        </is>
      </c>
      <c r="E432" s="24" t="inlineStr">
        <is>
          <t>TENNIS</t>
        </is>
      </c>
      <c r="F432" s="24" t="inlineStr">
        <is>
          <t>Darja Vidmanova</t>
        </is>
      </c>
      <c r="G432" s="24" t="inlineStr">
        <is>
          <t>Panna Udvardy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203</v>
      </c>
      <c r="M432" s="27" t="n">
        <v>3.03</v>
      </c>
      <c r="N432" s="28" t="n">
        <v>0.330033</v>
      </c>
      <c r="O432" s="28" t="n">
        <v>0.5522</v>
      </c>
      <c r="P432" s="28" t="n">
        <v>0.05</v>
      </c>
      <c r="Q432" s="28" t="n">
        <v>0.222167</v>
      </c>
      <c r="R432" s="26" t="n">
        <v>100</v>
      </c>
      <c r="S432" s="29" t="n">
        <v>2</v>
      </c>
      <c r="T432" s="24" t="inlineStr">
        <is>
          <t>tennis-surface-elo-v1</t>
        </is>
      </c>
      <c r="U432" s="24" t="inlineStr">
        <is>
          <t>settled</t>
        </is>
      </c>
      <c r="V432" s="24" t="inlineStr">
        <is>
          <t>loss</t>
        </is>
      </c>
      <c r="W432" s="26" t="n">
        <v>1</v>
      </c>
      <c r="X432" s="26" t="n">
        <v>0</v>
      </c>
      <c r="Y432" s="25" t="n"/>
      <c r="Z432" s="26" t="n">
        <v>194</v>
      </c>
      <c r="AA432" s="28" t="n">
        <v>0.34</v>
      </c>
      <c r="AB432" s="28" t="n">
        <v>0.009967</v>
      </c>
      <c r="AC432" s="30" t="n">
        <v>-2</v>
      </c>
      <c r="AD432" s="24" t="inlineStr">
        <is>
          <t>2026-08-24T01:31:39.322634Z</t>
        </is>
      </c>
      <c r="AE432" s="31" t="inlineStr">
        <is>
          <t>Surface-blended Elo on Hard: Darja Vidmanova p=0.448 vs Panna Udvardy. Executable ask 0.3300 (aec-wta-panudv-darvid-2026-08-23).</t>
        </is>
      </c>
      <c r="AF432" s="31" t="inlineStr">
        <is>
          <t>Surface-blended Elo model; singles only, WTA+ATP market coverage, not yet locked-holdout qualified -- promoted by explicit operator directive, not genuine walk-forward validation.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Darja Vidmanova</t>
        </is>
      </c>
      <c r="AQ432" s="24" t="inlineStr">
        <is>
          <t>Darja Vidmanova</t>
        </is>
      </c>
      <c r="AR432" s="24" t="inlineStr">
        <is>
          <t>Darja Vidmanova</t>
        </is>
      </c>
      <c r="AS432" s="24" t="inlineStr">
        <is>
          <t>Panna Udvardy</t>
        </is>
      </c>
      <c r="AT432" s="24" t="inlineStr">
        <is>
          <t>Panna Udvardy</t>
        </is>
      </c>
      <c r="AU432" s="24" t="inlineStr">
        <is>
          <t>Panna Udvardy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d777da58446bc099047b154203518e2585ef1a678f613f2b430f2589f7bf5cff</t>
        </is>
      </c>
      <c r="BB432" s="24" t="inlineStr">
        <is>
          <t>surface_blended_elo</t>
        </is>
      </c>
      <c r="BC432" s="24" t="inlineStr">
        <is>
          <t>tennis-surface-elo-v1</t>
        </is>
      </c>
      <c r="BD432" s="24" t="inlineStr">
        <is>
          <t>d777da58446bc099047b154203518e2585ef1a678f613f2b430f2589f7bf5cff</t>
        </is>
      </c>
      <c r="BE432" s="24" t="inlineStr">
        <is>
          <t>tennis-surface-elo-v1</t>
        </is>
      </c>
      <c r="BF432" s="24" t="inlineStr">
        <is>
          <t>1</t>
        </is>
      </c>
      <c r="BG432" s="24" t="inlineStr">
        <is>
          <t>d777da58446bc099047b154203518e2585ef1a678f613f2b430f2589f7bf5cff</t>
        </is>
      </c>
      <c r="BH432" s="24" t="inlineStr">
        <is>
          <t>2026-08-23T15:50:54.102169Z</t>
        </is>
      </c>
      <c r="BI432" s="24" t="inlineStr">
        <is>
          <t>["same_event","same_team_same_day","same_league_same_day"]</t>
        </is>
      </c>
      <c r="BJ432" s="25" t="n"/>
      <c r="BK432" s="26" t="n">
        <v>203</v>
      </c>
      <c r="BL432" s="27" t="n">
        <v>3.03</v>
      </c>
      <c r="BM432" s="28" t="n">
        <v>0.330033</v>
      </c>
      <c r="BN432" s="28" t="n"/>
      <c r="BO432" s="28" t="n"/>
      <c r="BP432" s="25" t="n"/>
      <c r="BQ432" s="27" t="n">
        <v>2.94</v>
      </c>
      <c r="BR432" s="28" t="n">
        <v>0.34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0.330033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771b6fdef7e84c43</t>
        </is>
      </c>
      <c r="B433" s="24" t="inlineStr">
        <is>
          <t>2026-08-23T20:27:44.305840Z</t>
        </is>
      </c>
      <c r="C433" s="24" t="inlineStr">
        <is>
          <t>2026-08-23T21:00Z</t>
        </is>
      </c>
      <c r="D433" s="24" t="inlineStr">
        <is>
          <t>341-2026:184520</t>
        </is>
      </c>
      <c r="E433" s="24" t="inlineStr">
        <is>
          <t>TENNIS</t>
        </is>
      </c>
      <c r="F433" s="24" t="inlineStr">
        <is>
          <t>Darja Vidmanova</t>
        </is>
      </c>
      <c r="G433" s="24" t="inlineStr">
        <is>
          <t>Panna Udvardy</t>
        </is>
      </c>
      <c r="H433" s="24" t="inlineStr">
        <is>
          <t>spread</t>
        </is>
      </c>
      <c r="I433" s="24" t="inlineStr">
        <is>
          <t>home</t>
        </is>
      </c>
      <c r="J433" s="25" t="n">
        <v>-3.5</v>
      </c>
      <c r="K433" s="24" t="inlineStr">
        <is>
          <t>polymarket_us</t>
        </is>
      </c>
      <c r="L433" s="26" t="n">
        <v>-108</v>
      </c>
      <c r="M433" s="27" t="n">
        <v>1.925926</v>
      </c>
      <c r="N433" s="28" t="n">
        <v>0.519231</v>
      </c>
      <c r="O433" s="28" t="n">
        <v>0.8298</v>
      </c>
      <c r="P433" s="28" t="n">
        <v>0.05</v>
      </c>
      <c r="Q433" s="28" t="n">
        <v>0.310569</v>
      </c>
      <c r="R433" s="26" t="n">
        <v>100</v>
      </c>
      <c r="S433" s="29" t="n">
        <v>2</v>
      </c>
      <c r="T433" s="24" t="inlineStr">
        <is>
          <t>tennis-surface-elo-v1</t>
        </is>
      </c>
      <c r="U433" s="24" t="inlineStr">
        <is>
          <t>settled</t>
        </is>
      </c>
      <c r="V433" s="24" t="inlineStr">
        <is>
          <t>loss</t>
        </is>
      </c>
      <c r="W433" s="26" t="n">
        <v>15</v>
      </c>
      <c r="X433" s="26" t="n">
        <v>12</v>
      </c>
      <c r="Y433" s="25" t="n"/>
      <c r="Z433" s="26" t="n"/>
      <c r="AA433" s="28" t="n"/>
      <c r="AB433" s="28" t="n"/>
      <c r="AC433" s="30" t="n">
        <v>-2</v>
      </c>
      <c r="AD433" s="24" t="inlineStr">
        <is>
          <t>2026-08-24T04:10:58.861185Z</t>
        </is>
      </c>
      <c r="AE433" s="31" t="inlineStr">
        <is>
          <t>Markov Game Handicap: Darja Vidmanova +3.5 vs Panna Udvardy Executable ask 0.5200 (asc-wta-panudv-darvid-2026-08-23-gs-pos-3pt5).</t>
        </is>
      </c>
      <c r="AF433" s="31" t="inlineStr">
        <is>
          <t>Surface-blended Elo model; singles only, WTA+ATP market coverage, not yet locked-holdout qualified -- promoted by explicit operator directive, not genuine walk-forward validation.</t>
        </is>
      </c>
      <c r="AG433" s="24" t="inlineStr">
        <is>
          <t>review_required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Darja Vidmanova</t>
        </is>
      </c>
      <c r="AQ433" s="24" t="inlineStr">
        <is>
          <t>Darja Vidmanova</t>
        </is>
      </c>
      <c r="AR433" s="24" t="inlineStr">
        <is>
          <t>Darja Vidmanova</t>
        </is>
      </c>
      <c r="AS433" s="24" t="inlineStr">
        <is>
          <t>Panna Udvardy</t>
        </is>
      </c>
      <c r="AT433" s="24" t="inlineStr">
        <is>
          <t>Panna Udvardy</t>
        </is>
      </c>
      <c r="AU433" s="24" t="inlineStr">
        <is>
          <t>Panna Udvardy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d777da58446bc099047b154203518e2585ef1a678f613f2b430f2589f7bf5cff</t>
        </is>
      </c>
      <c r="BB433" s="24" t="inlineStr">
        <is>
          <t>surface_blended_elo</t>
        </is>
      </c>
      <c r="BC433" s="24" t="inlineStr">
        <is>
          <t>tennis-surface-elo-v1</t>
        </is>
      </c>
      <c r="BD433" s="24" t="inlineStr">
        <is>
          <t>d777da58446bc099047b154203518e2585ef1a678f613f2b430f2589f7bf5cff</t>
        </is>
      </c>
      <c r="BE433" s="24" t="inlineStr">
        <is>
          <t>tennis-surface-elo-v1</t>
        </is>
      </c>
      <c r="BF433" s="24" t="inlineStr">
        <is>
          <t>1</t>
        </is>
      </c>
      <c r="BG433" s="24" t="inlineStr">
        <is>
          <t>d777da58446bc099047b154203518e2585ef1a678f613f2b430f2589f7bf5cff</t>
        </is>
      </c>
      <c r="BH433" s="24" t="inlineStr">
        <is>
          <t>2026-08-23T20:25:02.715356Z</t>
        </is>
      </c>
      <c r="BI433" s="24" t="inlineStr">
        <is>
          <t>["same_event","same_team_same_day","same_league_same_day"]</t>
        </is>
      </c>
      <c r="BJ433" s="25" t="n">
        <v>-3.5</v>
      </c>
      <c r="BK433" s="26" t="n">
        <v>-108</v>
      </c>
      <c r="BL433" s="27" t="n">
        <v>1.925926</v>
      </c>
      <c r="BM433" s="28" t="n">
        <v>0.519231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0.519231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35c0841ea0794162</t>
        </is>
      </c>
      <c r="B434" s="24" t="inlineStr">
        <is>
          <t>2026-08-23T20:27:44.305840Z</t>
        </is>
      </c>
      <c r="C434" s="24" t="inlineStr">
        <is>
          <t>2026-08-23T22:30Z</t>
        </is>
      </c>
      <c r="D434" s="24" t="inlineStr">
        <is>
          <t>341-2026:184522</t>
        </is>
      </c>
      <c r="E434" s="24" t="inlineStr">
        <is>
          <t>TENNIS</t>
        </is>
      </c>
      <c r="F434" s="24" t="inlineStr">
        <is>
          <t>En-Shuo Liang</t>
        </is>
      </c>
      <c r="G434" s="24" t="inlineStr">
        <is>
          <t>Anna Bondar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-300</v>
      </c>
      <c r="M434" s="27" t="n">
        <v>1.333333</v>
      </c>
      <c r="N434" s="28" t="n">
        <v>0.75</v>
      </c>
      <c r="O434" s="28" t="n">
        <v>0.5363</v>
      </c>
      <c r="P434" s="28" t="n">
        <v>0.05</v>
      </c>
      <c r="Q434" s="28" t="n">
        <v>-0.2137</v>
      </c>
      <c r="R434" s="26" t="n">
        <v>0</v>
      </c>
      <c r="S434" s="29" t="n">
        <v>1</v>
      </c>
      <c r="T434" s="24" t="inlineStr">
        <is>
          <t>tennis-surface-elo-v1</t>
        </is>
      </c>
      <c r="U434" s="24" t="inlineStr">
        <is>
          <t>settled</t>
        </is>
      </c>
      <c r="V434" s="24" t="inlineStr">
        <is>
          <t>win</t>
        </is>
      </c>
      <c r="W434" s="26" t="n">
        <v>0</v>
      </c>
      <c r="X434" s="26" t="n">
        <v>1</v>
      </c>
      <c r="Y434" s="25" t="n"/>
      <c r="Z434" s="26" t="n">
        <v>-300</v>
      </c>
      <c r="AA434" s="28" t="n">
        <v>0.75</v>
      </c>
      <c r="AB434" s="28" t="n">
        <v>0</v>
      </c>
      <c r="AC434" s="30" t="n">
        <v>0.3333</v>
      </c>
      <c r="AD434" s="24" t="inlineStr">
        <is>
          <t>2026-08-24T01:32:47.226919Z</t>
        </is>
      </c>
      <c r="AE434" s="31" t="inlineStr">
        <is>
          <t>Surface-blended Elo on Hard: En-Shuo Liang p=0.464 vs Anna Bondar. Executable ask 0.7500 (aec-wta-annbon-enslia-2026-08-23).</t>
        </is>
      </c>
      <c r="AF434" s="31" t="inlineStr">
        <is>
          <t>Surface-blended Elo model; singles only, WTA+ATP market coverage, not yet locked-holdout qualified -- promoted by explicit operator directive, not genuine walk-forward validation.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PAPER_CALL_LOW_EDGE</t>
        </is>
      </c>
      <c r="AP434" s="24" t="inlineStr">
        <is>
          <t>En-Shuo Liang</t>
        </is>
      </c>
      <c r="AQ434" s="24" t="inlineStr">
        <is>
          <t>En-Shuo Liang</t>
        </is>
      </c>
      <c r="AR434" s="24" t="inlineStr">
        <is>
          <t>En-Shuo Liang</t>
        </is>
      </c>
      <c r="AS434" s="24" t="inlineStr">
        <is>
          <t>Anna Bondar</t>
        </is>
      </c>
      <c r="AT434" s="24" t="inlineStr">
        <is>
          <t>Anna Bondar</t>
        </is>
      </c>
      <c r="AU434" s="24" t="inlineStr">
        <is>
          <t>Anna Bondar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d777da58446bc099047b154203518e2585ef1a678f613f2b430f2589f7bf5cff</t>
        </is>
      </c>
      <c r="BB434" s="24" t="inlineStr">
        <is>
          <t>surface_blended_elo</t>
        </is>
      </c>
      <c r="BC434" s="24" t="inlineStr">
        <is>
          <t>tennis-surface-elo-v1</t>
        </is>
      </c>
      <c r="BD434" s="24" t="inlineStr">
        <is>
          <t>d777da58446bc099047b154203518e2585ef1a678f613f2b430f2589f7bf5cff</t>
        </is>
      </c>
      <c r="BE434" s="24" t="inlineStr">
        <is>
          <t>tennis-surface-elo-v1</t>
        </is>
      </c>
      <c r="BF434" s="24" t="inlineStr">
        <is>
          <t>1</t>
        </is>
      </c>
      <c r="BG434" s="24" t="inlineStr">
        <is>
          <t>d777da58446bc099047b154203518e2585ef1a678f613f2b430f2589f7bf5cff</t>
        </is>
      </c>
      <c r="BH434" s="24" t="inlineStr">
        <is>
          <t>2026-08-23T20:25:03.057249Z</t>
        </is>
      </c>
      <c r="BI434" s="24" t="inlineStr">
        <is>
          <t>["same_event","same_team_same_day","same_league_same_day"]</t>
        </is>
      </c>
      <c r="BJ434" s="25" t="n"/>
      <c r="BK434" s="26" t="n">
        <v>-300</v>
      </c>
      <c r="BL434" s="27" t="n">
        <v>1.333333</v>
      </c>
      <c r="BM434" s="28" t="n">
        <v>0.75</v>
      </c>
      <c r="BN434" s="28" t="n"/>
      <c r="BO434" s="28" t="n"/>
      <c r="BP434" s="25" t="n"/>
      <c r="BQ434" s="27" t="n">
        <v>1.333333</v>
      </c>
      <c r="BR434" s="28" t="n">
        <v>0.75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0.75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f0a1216e22f34a83</t>
        </is>
      </c>
      <c r="B435" s="24" t="inlineStr">
        <is>
          <t>2026-08-23T20:27:44.305840Z</t>
        </is>
      </c>
      <c r="C435" s="24" t="inlineStr">
        <is>
          <t>2026-08-23T22:30Z</t>
        </is>
      </c>
      <c r="D435" s="24" t="inlineStr">
        <is>
          <t>341-2026:184522</t>
        </is>
      </c>
      <c r="E435" s="24" t="inlineStr">
        <is>
          <t>TENNIS</t>
        </is>
      </c>
      <c r="F435" s="24" t="inlineStr">
        <is>
          <t>En-Shuo Liang</t>
        </is>
      </c>
      <c r="G435" s="24" t="inlineStr">
        <is>
          <t>Anna Bondar</t>
        </is>
      </c>
      <c r="H435" s="24" t="inlineStr">
        <is>
          <t>spread</t>
        </is>
      </c>
      <c r="I435" s="24" t="inlineStr">
        <is>
          <t>away</t>
        </is>
      </c>
      <c r="J435" s="25" t="n">
        <v>-3.5</v>
      </c>
      <c r="K435" s="24" t="inlineStr">
        <is>
          <t>polymarket_us</t>
        </is>
      </c>
      <c r="L435" s="26" t="n">
        <v>144</v>
      </c>
      <c r="M435" s="27" t="n">
        <v>2.44</v>
      </c>
      <c r="N435" s="28" t="n">
        <v>0.409836</v>
      </c>
      <c r="O435" s="28" t="n">
        <v>0.794</v>
      </c>
      <c r="P435" s="28" t="n">
        <v>0.05</v>
      </c>
      <c r="Q435" s="28" t="n">
        <v>0.384164</v>
      </c>
      <c r="R435" s="26" t="n">
        <v>100</v>
      </c>
      <c r="S435" s="29" t="n">
        <v>2</v>
      </c>
      <c r="T435" s="24" t="inlineStr">
        <is>
          <t>tennis-surface-elo-v1</t>
        </is>
      </c>
      <c r="U435" s="24" t="inlineStr">
        <is>
          <t>settled</t>
        </is>
      </c>
      <c r="V435" s="24" t="inlineStr">
        <is>
          <t>loss</t>
        </is>
      </c>
      <c r="W435" s="26" t="n">
        <v>10</v>
      </c>
      <c r="X435" s="26" t="n">
        <v>16</v>
      </c>
      <c r="Y435" s="25" t="n"/>
      <c r="Z435" s="26" t="n"/>
      <c r="AA435" s="28" t="n"/>
      <c r="AB435" s="28" t="n"/>
      <c r="AC435" s="30" t="n">
        <v>-2</v>
      </c>
      <c r="AD435" s="24" t="inlineStr">
        <is>
          <t>2026-08-24T04:13:18.994835Z</t>
        </is>
      </c>
      <c r="AE435" s="31" t="inlineStr">
        <is>
          <t>Markov Game Handicap: En-Shuo Liang -3.5 vs Anna Bondar Executable ask 0.4100 (asc-wta-annbon-enslia-2026-08-23-gs-neg-3pt5).</t>
        </is>
      </c>
      <c r="AF435" s="31" t="inlineStr">
        <is>
          <t>Surface-blended Elo model; singles only, WTA+ATP market coverage, not yet locked-holdout qualified -- promoted by explicit operator directive, not genuine walk-forward validation.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En-Shuo Liang</t>
        </is>
      </c>
      <c r="AQ435" s="24" t="inlineStr">
        <is>
          <t>En-Shuo Liang</t>
        </is>
      </c>
      <c r="AR435" s="24" t="inlineStr">
        <is>
          <t>En-Shuo Liang</t>
        </is>
      </c>
      <c r="AS435" s="24" t="inlineStr">
        <is>
          <t>Anna Bondar</t>
        </is>
      </c>
      <c r="AT435" s="24" t="inlineStr">
        <is>
          <t>Anna Bondar</t>
        </is>
      </c>
      <c r="AU435" s="24" t="inlineStr">
        <is>
          <t>Anna Bondar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d777da58446bc099047b154203518e2585ef1a678f613f2b430f2589f7bf5cff</t>
        </is>
      </c>
      <c r="BB435" s="24" t="inlineStr">
        <is>
          <t>surface_blended_elo</t>
        </is>
      </c>
      <c r="BC435" s="24" t="inlineStr">
        <is>
          <t>tennis-surface-elo-v1</t>
        </is>
      </c>
      <c r="BD435" s="24" t="inlineStr">
        <is>
          <t>d777da58446bc099047b154203518e2585ef1a678f613f2b430f2589f7bf5cff</t>
        </is>
      </c>
      <c r="BE435" s="24" t="inlineStr">
        <is>
          <t>tennis-surface-elo-v1</t>
        </is>
      </c>
      <c r="BF435" s="24" t="inlineStr">
        <is>
          <t>1</t>
        </is>
      </c>
      <c r="BG435" s="24" t="inlineStr">
        <is>
          <t>d777da58446bc099047b154203518e2585ef1a678f613f2b430f2589f7bf5cff</t>
        </is>
      </c>
      <c r="BH435" s="24" t="inlineStr">
        <is>
          <t>2026-08-23T20:25:03.083577Z</t>
        </is>
      </c>
      <c r="BI435" s="24" t="inlineStr">
        <is>
          <t>["same_event","same_team_same_day","same_league_same_day"]</t>
        </is>
      </c>
      <c r="BJ435" s="25" t="n">
        <v>-3.5</v>
      </c>
      <c r="BK435" s="26" t="n">
        <v>144</v>
      </c>
      <c r="BL435" s="27" t="n">
        <v>2.44</v>
      </c>
      <c r="BM435" s="28" t="n">
        <v>0.409836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0.409836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8096ad835a034c6d</t>
        </is>
      </c>
      <c r="B436" s="24" t="inlineStr">
        <is>
          <t>2026-08-23T20:27:44.305840Z</t>
        </is>
      </c>
      <c r="C436" s="24" t="inlineStr">
        <is>
          <t>2026-08-23T22:30Z</t>
        </is>
      </c>
      <c r="D436" s="24" t="inlineStr">
        <is>
          <t>341-2026:184522</t>
        </is>
      </c>
      <c r="E436" s="24" t="inlineStr">
        <is>
          <t>TENNIS</t>
        </is>
      </c>
      <c r="F436" s="24" t="inlineStr">
        <is>
          <t>En-Shuo Liang</t>
        </is>
      </c>
      <c r="G436" s="24" t="inlineStr">
        <is>
          <t>Anna Bondar</t>
        </is>
      </c>
      <c r="H436" s="24" t="inlineStr">
        <is>
          <t>total</t>
        </is>
      </c>
      <c r="I436" s="24" t="inlineStr">
        <is>
          <t>over</t>
        </is>
      </c>
      <c r="J436" s="25" t="n">
        <v>21.5</v>
      </c>
      <c r="K436" s="24" t="inlineStr">
        <is>
          <t>polymarket_us</t>
        </is>
      </c>
      <c r="L436" s="26" t="n">
        <v>122</v>
      </c>
      <c r="M436" s="27" t="n">
        <v>2.22</v>
      </c>
      <c r="N436" s="28" t="n">
        <v>0.45045</v>
      </c>
      <c r="O436" s="28" t="n">
        <v>0.844</v>
      </c>
      <c r="P436" s="28" t="n">
        <v>0.05</v>
      </c>
      <c r="Q436" s="28" t="n">
        <v>0.39355</v>
      </c>
      <c r="R436" s="26" t="n">
        <v>100</v>
      </c>
      <c r="S436" s="29" t="n">
        <v>2</v>
      </c>
      <c r="T436" s="24" t="inlineStr">
        <is>
          <t>tennis-surface-elo-v1</t>
        </is>
      </c>
      <c r="U436" s="24" t="inlineStr">
        <is>
          <t>settled</t>
        </is>
      </c>
      <c r="V436" s="24" t="inlineStr">
        <is>
          <t>win</t>
        </is>
      </c>
      <c r="W436" s="26" t="n">
        <v>10</v>
      </c>
      <c r="X436" s="26" t="n">
        <v>16</v>
      </c>
      <c r="Y436" s="25" t="n"/>
      <c r="Z436" s="26" t="n"/>
      <c r="AA436" s="28" t="n"/>
      <c r="AB436" s="28" t="n"/>
      <c r="AC436" s="30" t="n">
        <v>2.44</v>
      </c>
      <c r="AD436" s="24" t="inlineStr">
        <is>
          <t>2026-08-24T04:11:13.096442Z</t>
        </is>
      </c>
      <c r="AE436" s="31" t="inlineStr">
        <is>
          <t>Markov Total Games: OVER 21.5 (Exp: 25.7 games) Executable ask 0.4500 (tsc-wta-annbon-enslia-2026-08-23-tg-21pt5).</t>
        </is>
      </c>
      <c r="AF436" s="31" t="inlineStr">
        <is>
          <t>Surface-blended Elo model; singles only, WTA+ATP market coverage, not yet locked-holdout qualified -- promoted by explicit operator directive, not genuine walk-forward validation.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model_qualified</t>
        </is>
      </c>
      <c r="AL436" s="26" t="n">
        <v>4</v>
      </c>
      <c r="AM436" s="24" t="inlineStr">
        <is>
          <t>QUALIFIED_SHADOW_CALL</t>
        </is>
      </c>
      <c r="AN436" s="24" t="inlineStr">
        <is>
          <t>CALL</t>
        </is>
      </c>
      <c r="AO436" s="24" t="inlineStr">
        <is>
          <t>QUALIFIED</t>
        </is>
      </c>
      <c r="AP436" s="24" t="inlineStr">
        <is>
          <t>En-Shuo Liang</t>
        </is>
      </c>
      <c r="AQ436" s="24" t="inlineStr">
        <is>
          <t>En-Shuo Liang</t>
        </is>
      </c>
      <c r="AR436" s="24" t="inlineStr">
        <is>
          <t>En-Shuo Liang</t>
        </is>
      </c>
      <c r="AS436" s="24" t="inlineStr">
        <is>
          <t>Anna Bondar</t>
        </is>
      </c>
      <c r="AT436" s="24" t="inlineStr">
        <is>
          <t>Anna Bondar</t>
        </is>
      </c>
      <c r="AU436" s="24" t="inlineStr">
        <is>
          <t>Anna Bondar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d777da58446bc099047b154203518e2585ef1a678f613f2b430f2589f7bf5cff</t>
        </is>
      </c>
      <c r="BB436" s="24" t="inlineStr">
        <is>
          <t>surface_blended_elo</t>
        </is>
      </c>
      <c r="BC436" s="24" t="inlineStr">
        <is>
          <t>tennis-surface-elo-v1</t>
        </is>
      </c>
      <c r="BD436" s="24" t="inlineStr">
        <is>
          <t>d777da58446bc099047b154203518e2585ef1a678f613f2b430f2589f7bf5cff</t>
        </is>
      </c>
      <c r="BE436" s="24" t="inlineStr">
        <is>
          <t>tennis-surface-elo-v1</t>
        </is>
      </c>
      <c r="BF436" s="24" t="inlineStr">
        <is>
          <t>1</t>
        </is>
      </c>
      <c r="BG436" s="24" t="inlineStr">
        <is>
          <t>d777da58446bc099047b154203518e2585ef1a678f613f2b430f2589f7bf5cff</t>
        </is>
      </c>
      <c r="BH436" s="24" t="inlineStr">
        <is>
          <t>2026-08-23T20:25:03.121233Z</t>
        </is>
      </c>
      <c r="BI436" s="24" t="inlineStr">
        <is>
          <t>["same_event","same_team_same_day","same_league_same_day"]</t>
        </is>
      </c>
      <c r="BJ436" s="25" t="n">
        <v>21.5</v>
      </c>
      <c r="BK436" s="26" t="n">
        <v>122</v>
      </c>
      <c r="BL436" s="27" t="n">
        <v>2.22</v>
      </c>
      <c r="BM436" s="28" t="n">
        <v>0.45045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0.45045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9e7d93a644614678</t>
        </is>
      </c>
      <c r="B437" s="24" t="inlineStr">
        <is>
          <t>2026-08-23T20:27:44.305840Z</t>
        </is>
      </c>
      <c r="C437" s="24" t="inlineStr">
        <is>
          <t>2026-08-23T22:30Z</t>
        </is>
      </c>
      <c r="D437" s="24" t="inlineStr">
        <is>
          <t>341-2026:184519</t>
        </is>
      </c>
      <c r="E437" s="24" t="inlineStr">
        <is>
          <t>TENNIS</t>
        </is>
      </c>
      <c r="F437" s="24" t="inlineStr">
        <is>
          <t>Yulia Putintseva</t>
        </is>
      </c>
      <c r="G437" s="24" t="inlineStr">
        <is>
          <t>Maya Joint</t>
        </is>
      </c>
      <c r="H437" s="24" t="inlineStr">
        <is>
          <t>total</t>
        </is>
      </c>
      <c r="I437" s="24" t="inlineStr">
        <is>
          <t>over</t>
        </is>
      </c>
      <c r="J437" s="25" t="n">
        <v>22.5</v>
      </c>
      <c r="K437" s="24" t="inlineStr">
        <is>
          <t>polymarket_us</t>
        </is>
      </c>
      <c r="L437" s="26" t="n">
        <v>133</v>
      </c>
      <c r="M437" s="27" t="n">
        <v>2.33</v>
      </c>
      <c r="N437" s="28" t="n">
        <v>0.429185</v>
      </c>
      <c r="O437" s="28" t="n">
        <v>0.7713</v>
      </c>
      <c r="P437" s="28" t="n">
        <v>0.05</v>
      </c>
      <c r="Q437" s="28" t="n">
        <v>0.342115</v>
      </c>
      <c r="R437" s="26" t="n">
        <v>100</v>
      </c>
      <c r="S437" s="29" t="n">
        <v>2</v>
      </c>
      <c r="T437" s="24" t="inlineStr">
        <is>
          <t>tennis-surface-elo-v1</t>
        </is>
      </c>
      <c r="U437" s="24" t="inlineStr">
        <is>
          <t>settled</t>
        </is>
      </c>
      <c r="V437" s="24" t="inlineStr">
        <is>
          <t>loss</t>
        </is>
      </c>
      <c r="W437" s="26" t="n">
        <v>10</v>
      </c>
      <c r="X437" s="26" t="n">
        <v>12</v>
      </c>
      <c r="Y437" s="25" t="n"/>
      <c r="Z437" s="26" t="n"/>
      <c r="AA437" s="28" t="n"/>
      <c r="AB437" s="28" t="n"/>
      <c r="AC437" s="30" t="n">
        <v>-2</v>
      </c>
      <c r="AD437" s="24" t="inlineStr">
        <is>
          <t>2026-08-24T04:11:42.129204Z</t>
        </is>
      </c>
      <c r="AE437" s="31" t="inlineStr">
        <is>
          <t>Markov Total Games: OVER 22.5 (Exp: 25.6 games) Executable ask 0.4300 (tsc-wta-mayjoi-yulput-2026-08-24-tg-22pt5).</t>
        </is>
      </c>
      <c r="AF437" s="31" t="inlineStr">
        <is>
          <t>Surface-blended Elo model; singles only, WTA+ATP market coverage, not yet locked-holdout qualified -- promoted by explicit operator directive, not genuine walk-forward validation.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Yulia Putintseva</t>
        </is>
      </c>
      <c r="AQ437" s="24" t="inlineStr">
        <is>
          <t>Yulia Putintseva</t>
        </is>
      </c>
      <c r="AR437" s="24" t="inlineStr">
        <is>
          <t>Yulia Putintseva</t>
        </is>
      </c>
      <c r="AS437" s="24" t="inlineStr">
        <is>
          <t>Maya Joint</t>
        </is>
      </c>
      <c r="AT437" s="24" t="inlineStr">
        <is>
          <t>Maya Joint</t>
        </is>
      </c>
      <c r="AU437" s="24" t="inlineStr">
        <is>
          <t>Maya Joint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d777da58446bc099047b154203518e2585ef1a678f613f2b430f2589f7bf5cff</t>
        </is>
      </c>
      <c r="BB437" s="24" t="inlineStr">
        <is>
          <t>surface_blended_elo</t>
        </is>
      </c>
      <c r="BC437" s="24" t="inlineStr">
        <is>
          <t>tennis-surface-elo-v1</t>
        </is>
      </c>
      <c r="BD437" s="24" t="inlineStr">
        <is>
          <t>d777da58446bc099047b154203518e2585ef1a678f613f2b430f2589f7bf5cff</t>
        </is>
      </c>
      <c r="BE437" s="24" t="inlineStr">
        <is>
          <t>tennis-surface-elo-v1</t>
        </is>
      </c>
      <c r="BF437" s="24" t="inlineStr">
        <is>
          <t>1</t>
        </is>
      </c>
      <c r="BG437" s="24" t="inlineStr">
        <is>
          <t>d777da58446bc099047b154203518e2585ef1a678f613f2b430f2589f7bf5cff</t>
        </is>
      </c>
      <c r="BH437" s="24" t="inlineStr">
        <is>
          <t>2026-08-23T20:25:03.220295Z</t>
        </is>
      </c>
      <c r="BI437" s="24" t="inlineStr">
        <is>
          <t>["same_event","same_team_same_day","same_league_same_day"]</t>
        </is>
      </c>
      <c r="BJ437" s="25" t="n">
        <v>22.5</v>
      </c>
      <c r="BK437" s="26" t="n">
        <v>133</v>
      </c>
      <c r="BL437" s="27" t="n">
        <v>2.33</v>
      </c>
      <c r="BM437" s="28" t="n">
        <v>0.429185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0.429185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fb53fa8866d0438d</t>
        </is>
      </c>
      <c r="B438" s="24" t="inlineStr">
        <is>
          <t>2026-08-23T20:27:44.305840Z</t>
        </is>
      </c>
      <c r="C438" s="24" t="inlineStr">
        <is>
          <t>2026-08-23T22:30Z</t>
        </is>
      </c>
      <c r="D438" s="24" t="inlineStr">
        <is>
          <t>341-2026:184519</t>
        </is>
      </c>
      <c r="E438" s="24" t="inlineStr">
        <is>
          <t>TENNIS</t>
        </is>
      </c>
      <c r="F438" s="24" t="inlineStr">
        <is>
          <t>Yulia Putintseva</t>
        </is>
      </c>
      <c r="G438" s="24" t="inlineStr">
        <is>
          <t>Maya Joint</t>
        </is>
      </c>
      <c r="H438" s="24" t="inlineStr">
        <is>
          <t>moneyline</t>
        </is>
      </c>
      <c r="I438" s="24" t="inlineStr">
        <is>
          <t>away</t>
        </is>
      </c>
      <c r="J438" s="25" t="n"/>
      <c r="K438" s="24" t="inlineStr">
        <is>
          <t>polymarket_us</t>
        </is>
      </c>
      <c r="L438" s="26" t="n">
        <v>-133</v>
      </c>
      <c r="M438" s="27" t="n">
        <v>1.75188</v>
      </c>
      <c r="N438" s="28" t="n">
        <v>0.570815</v>
      </c>
      <c r="O438" s="28" t="n">
        <v>0.5541</v>
      </c>
      <c r="P438" s="28" t="n">
        <v>0.05</v>
      </c>
      <c r="Q438" s="28" t="n">
        <v>-0.016715</v>
      </c>
      <c r="R438" s="26" t="n">
        <v>12</v>
      </c>
      <c r="S438" s="29" t="n">
        <v>1</v>
      </c>
      <c r="T438" s="24" t="inlineStr">
        <is>
          <t>tennis-surface-elo-v1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>
        <v>-133</v>
      </c>
      <c r="AA438" s="28" t="n">
        <v>0.57</v>
      </c>
      <c r="AB438" s="28" t="n">
        <v>-0.000815</v>
      </c>
      <c r="AC438" s="30" t="n">
        <v>-1</v>
      </c>
      <c r="AD438" s="24" t="inlineStr">
        <is>
          <t>2026-08-24T03:19:05.630746Z</t>
        </is>
      </c>
      <c r="AE438" s="31" t="inlineStr">
        <is>
          <t>Surface-blended Elo on Hard: Yulia Putintseva p=0.554 vs Maya Joint. Executable ask 0.5700 (aec-wta-mayjoi-yulput-2026-08-24).</t>
        </is>
      </c>
      <c r="AF438" s="31" t="inlineStr">
        <is>
          <t>Surface-blended Elo model; singles only, WTA+ATP market coverage, not yet locked-holdout qualified -- promoted by explicit operator directive, not genuine walk-forward validation.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Yulia Putintseva</t>
        </is>
      </c>
      <c r="AQ438" s="24" t="inlineStr">
        <is>
          <t>Yulia Putintseva</t>
        </is>
      </c>
      <c r="AR438" s="24" t="inlineStr">
        <is>
          <t>Yulia Putintseva</t>
        </is>
      </c>
      <c r="AS438" s="24" t="inlineStr">
        <is>
          <t>Maya Joint</t>
        </is>
      </c>
      <c r="AT438" s="24" t="inlineStr">
        <is>
          <t>Maya Joint</t>
        </is>
      </c>
      <c r="AU438" s="24" t="inlineStr">
        <is>
          <t>Maya Joint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d777da58446bc099047b154203518e2585ef1a678f613f2b430f2589f7bf5cff</t>
        </is>
      </c>
      <c r="BB438" s="24" t="inlineStr">
        <is>
          <t>surface_blended_elo</t>
        </is>
      </c>
      <c r="BC438" s="24" t="inlineStr">
        <is>
          <t>tennis-surface-elo-v1</t>
        </is>
      </c>
      <c r="BD438" s="24" t="inlineStr">
        <is>
          <t>d777da58446bc099047b154203518e2585ef1a678f613f2b430f2589f7bf5cff</t>
        </is>
      </c>
      <c r="BE438" s="24" t="inlineStr">
        <is>
          <t>tennis-surface-elo-v1</t>
        </is>
      </c>
      <c r="BF438" s="24" t="inlineStr">
        <is>
          <t>1</t>
        </is>
      </c>
      <c r="BG438" s="24" t="inlineStr">
        <is>
          <t>d777da58446bc099047b154203518e2585ef1a678f613f2b430f2589f7bf5cff</t>
        </is>
      </c>
      <c r="BH438" s="24" t="inlineStr">
        <is>
          <t>2026-08-23T20:25:03.207159Z</t>
        </is>
      </c>
      <c r="BI438" s="24" t="inlineStr">
        <is>
          <t>["same_event","same_team_same_day","same_league_same_day"]</t>
        </is>
      </c>
      <c r="BJ438" s="25" t="n"/>
      <c r="BK438" s="26" t="n">
        <v>-133</v>
      </c>
      <c r="BL438" s="27" t="n">
        <v>1.75188</v>
      </c>
      <c r="BM438" s="28" t="n">
        <v>0.570815</v>
      </c>
      <c r="BN438" s="28" t="n"/>
      <c r="BO438" s="28" t="n"/>
      <c r="BP438" s="25" t="n"/>
      <c r="BQ438" s="27" t="n">
        <v>1.75188</v>
      </c>
      <c r="BR438" s="28" t="n">
        <v>0.57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0.570815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8c7416e0e6cd4952</t>
        </is>
      </c>
      <c r="B439" s="24" t="inlineStr">
        <is>
          <t>2026-08-23T20:27:44.305840Z</t>
        </is>
      </c>
      <c r="C439" s="24" t="inlineStr">
        <is>
          <t>2026-08-23T22:30Z</t>
        </is>
      </c>
      <c r="D439" s="24" t="inlineStr">
        <is>
          <t>341-2026:184519</t>
        </is>
      </c>
      <c r="E439" s="24" t="inlineStr">
        <is>
          <t>TENNIS</t>
        </is>
      </c>
      <c r="F439" s="24" t="inlineStr">
        <is>
          <t>Yulia Putintseva</t>
        </is>
      </c>
      <c r="G439" s="24" t="inlineStr">
        <is>
          <t>Maya Joint</t>
        </is>
      </c>
      <c r="H439" s="24" t="inlineStr">
        <is>
          <t>spread</t>
        </is>
      </c>
      <c r="I439" s="24" t="inlineStr">
        <is>
          <t>home</t>
        </is>
      </c>
      <c r="J439" s="25" t="n">
        <v>-0.5</v>
      </c>
      <c r="K439" s="24" t="inlineStr">
        <is>
          <t>polymarket_us</t>
        </is>
      </c>
      <c r="L439" s="26" t="n">
        <v>108</v>
      </c>
      <c r="M439" s="27" t="n">
        <v>2.08</v>
      </c>
      <c r="N439" s="28" t="n">
        <v>0.480769</v>
      </c>
      <c r="O439" s="28" t="n">
        <v>0.5175</v>
      </c>
      <c r="P439" s="28" t="n">
        <v>0.05</v>
      </c>
      <c r="Q439" s="28" t="n">
        <v>0.036731</v>
      </c>
      <c r="R439" s="26" t="n">
        <v>38</v>
      </c>
      <c r="S439" s="29" t="n">
        <v>1</v>
      </c>
      <c r="T439" s="24" t="inlineStr">
        <is>
          <t>tennis-surface-elo-v1</t>
        </is>
      </c>
      <c r="U439" s="24" t="inlineStr">
        <is>
          <t>settled</t>
        </is>
      </c>
      <c r="V439" s="24" t="inlineStr">
        <is>
          <t>win</t>
        </is>
      </c>
      <c r="W439" s="26" t="n">
        <v>10</v>
      </c>
      <c r="X439" s="26" t="n">
        <v>12</v>
      </c>
      <c r="Y439" s="25" t="n"/>
      <c r="Z439" s="26" t="n"/>
      <c r="AA439" s="28" t="n"/>
      <c r="AB439" s="28" t="n"/>
      <c r="AC439" s="30" t="n">
        <v>1.08</v>
      </c>
      <c r="AD439" s="24" t="inlineStr">
        <is>
          <t>2026-08-24T04:11:32.798085Z</t>
        </is>
      </c>
      <c r="AE439" s="31" t="inlineStr">
        <is>
          <t>Markov Game Handicap: Yulia Putintseva +0.5 vs Maya Joint Executable ask 0.4800 (asc-wta-mayjoi-yulput-2026-08-24-gs-pos-0pt5).</t>
        </is>
      </c>
      <c r="AF439" s="31" t="inlineStr">
        <is>
          <t>Surface-blended Elo model; singles only, WTA+ATP market coverage, not yet locked-holdout qualified -- promoted by explicit operator directive, not genuine walk-forward validation.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Yulia Putintseva</t>
        </is>
      </c>
      <c r="AQ439" s="24" t="inlineStr">
        <is>
          <t>Yulia Putintseva</t>
        </is>
      </c>
      <c r="AR439" s="24" t="inlineStr">
        <is>
          <t>Yulia Putintseva</t>
        </is>
      </c>
      <c r="AS439" s="24" t="inlineStr">
        <is>
          <t>Maya Joint</t>
        </is>
      </c>
      <c r="AT439" s="24" t="inlineStr">
        <is>
          <t>Maya Joint</t>
        </is>
      </c>
      <c r="AU439" s="24" t="inlineStr">
        <is>
          <t>Maya Joint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d777da58446bc099047b154203518e2585ef1a678f613f2b430f2589f7bf5cff</t>
        </is>
      </c>
      <c r="BB439" s="24" t="inlineStr">
        <is>
          <t>surface_blended_elo</t>
        </is>
      </c>
      <c r="BC439" s="24" t="inlineStr">
        <is>
          <t>tennis-surface-elo-v1</t>
        </is>
      </c>
      <c r="BD439" s="24" t="inlineStr">
        <is>
          <t>d777da58446bc099047b154203518e2585ef1a678f613f2b430f2589f7bf5cff</t>
        </is>
      </c>
      <c r="BE439" s="24" t="inlineStr">
        <is>
          <t>tennis-surface-elo-v1</t>
        </is>
      </c>
      <c r="BF439" s="24" t="inlineStr">
        <is>
          <t>1</t>
        </is>
      </c>
      <c r="BG439" s="24" t="inlineStr">
        <is>
          <t>d777da58446bc099047b154203518e2585ef1a678f613f2b430f2589f7bf5cff</t>
        </is>
      </c>
      <c r="BH439" s="24" t="inlineStr">
        <is>
          <t>2026-08-23T20:25:03.204551Z</t>
        </is>
      </c>
      <c r="BI439" s="24" t="inlineStr">
        <is>
          <t>["same_event","same_team_same_day","same_league_same_day"]</t>
        </is>
      </c>
      <c r="BJ439" s="25" t="n">
        <v>-0.5</v>
      </c>
      <c r="BK439" s="26" t="n">
        <v>108</v>
      </c>
      <c r="BL439" s="27" t="n">
        <v>2.08</v>
      </c>
      <c r="BM439" s="28" t="n">
        <v>0.480769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0.480769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1910f9ff25d840ad</t>
        </is>
      </c>
      <c r="B440" s="24" t="inlineStr">
        <is>
          <t>2026-08-23T20:27:44.305840Z</t>
        </is>
      </c>
      <c r="C440" s="24" t="inlineStr">
        <is>
          <t>2026-08-23T20:30Z</t>
        </is>
      </c>
      <c r="D440" s="24" t="inlineStr">
        <is>
          <t>718-2026:181963</t>
        </is>
      </c>
      <c r="E440" s="24" t="inlineStr">
        <is>
          <t>TENNIS</t>
        </is>
      </c>
      <c r="F440" s="24" t="inlineStr">
        <is>
          <t>Frances Tiafoe</t>
        </is>
      </c>
      <c r="G440" s="24" t="inlineStr">
        <is>
          <t>Arthur Fils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-186</v>
      </c>
      <c r="M440" s="27" t="n">
        <v>1.537634</v>
      </c>
      <c r="N440" s="28" t="n">
        <v>0.65035</v>
      </c>
      <c r="O440" s="28" t="n">
        <v>0.5685</v>
      </c>
      <c r="P440" s="28" t="n">
        <v>0.05</v>
      </c>
      <c r="Q440" s="28" t="n">
        <v>-0.08185000000000001</v>
      </c>
      <c r="R440" s="26" t="n">
        <v>0</v>
      </c>
      <c r="S440" s="29" t="n">
        <v>1</v>
      </c>
      <c r="T440" s="24" t="inlineStr">
        <is>
          <t>tennis-surface-elo-v1</t>
        </is>
      </c>
      <c r="U440" s="24" t="inlineStr">
        <is>
          <t>settled</t>
        </is>
      </c>
      <c r="V440" s="24" t="inlineStr">
        <is>
          <t>win</t>
        </is>
      </c>
      <c r="W440" s="26" t="n">
        <v>0</v>
      </c>
      <c r="X440" s="26" t="n">
        <v>1</v>
      </c>
      <c r="Y440" s="25" t="n"/>
      <c r="Z440" s="26" t="n">
        <v>-186</v>
      </c>
      <c r="AA440" s="28" t="n">
        <v>0.65</v>
      </c>
      <c r="AB440" s="28" t="n">
        <v>-0.00035</v>
      </c>
      <c r="AC440" s="30" t="n">
        <v>0.5376</v>
      </c>
      <c r="AD440" s="24" t="inlineStr">
        <is>
          <t>2026-08-23T22:29:05.608502Z</t>
        </is>
      </c>
      <c r="AE440" s="31" t="inlineStr">
        <is>
          <t>Surface-blended Elo on Hard: Frances Tiafoe p=0.432 vs Arthur Fils. Executable ask 0.6500 (aec-atp-artfil-fratia-2026-08-24).</t>
        </is>
      </c>
      <c r="AF440" s="31" t="inlineStr">
        <is>
          <t>Surface-blended Elo model; singles only, WTA+ATP market coverage, not yet locked-holdout qualified -- promoted by explicit operator directive, not genuine walk-forward validation.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Frances Tiafoe</t>
        </is>
      </c>
      <c r="AQ440" s="24" t="inlineStr">
        <is>
          <t>Frances Tiafoe</t>
        </is>
      </c>
      <c r="AR440" s="24" t="inlineStr">
        <is>
          <t>Frances Tiafoe</t>
        </is>
      </c>
      <c r="AS440" s="24" t="inlineStr">
        <is>
          <t>Arthur Fils</t>
        </is>
      </c>
      <c r="AT440" s="24" t="inlineStr">
        <is>
          <t>Arthur Fils</t>
        </is>
      </c>
      <c r="AU440" s="24" t="inlineStr">
        <is>
          <t>Arthur Fils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d777da58446bc099047b154203518e2585ef1a678f613f2b430f2589f7bf5cff</t>
        </is>
      </c>
      <c r="BB440" s="24" t="inlineStr">
        <is>
          <t>surface_blended_elo</t>
        </is>
      </c>
      <c r="BC440" s="24" t="inlineStr">
        <is>
          <t>tennis-surface-elo-v1</t>
        </is>
      </c>
      <c r="BD440" s="24" t="inlineStr">
        <is>
          <t>d777da58446bc099047b154203518e2585ef1a678f613f2b430f2589f7bf5cff</t>
        </is>
      </c>
      <c r="BE440" s="24" t="inlineStr">
        <is>
          <t>tennis-surface-elo-v1</t>
        </is>
      </c>
      <c r="BF440" s="24" t="inlineStr">
        <is>
          <t>1</t>
        </is>
      </c>
      <c r="BG440" s="24" t="inlineStr">
        <is>
          <t>d777da58446bc099047b154203518e2585ef1a678f613f2b430f2589f7bf5cff</t>
        </is>
      </c>
      <c r="BH440" s="24" t="inlineStr">
        <is>
          <t>2026-08-23T20:25:03.687693Z</t>
        </is>
      </c>
      <c r="BI440" s="24" t="inlineStr">
        <is>
          <t>["same_event","same_team_same_day","same_league_same_day"]</t>
        </is>
      </c>
      <c r="BJ440" s="25" t="n"/>
      <c r="BK440" s="26" t="n">
        <v>-186</v>
      </c>
      <c r="BL440" s="27" t="n">
        <v>1.537634</v>
      </c>
      <c r="BM440" s="28" t="n">
        <v>0.65035</v>
      </c>
      <c r="BN440" s="28" t="n"/>
      <c r="BO440" s="28" t="n"/>
      <c r="BP440" s="25" t="n"/>
      <c r="BQ440" s="27" t="n">
        <v>1.537634</v>
      </c>
      <c r="BR440" s="28" t="n">
        <v>0.65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0.65035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09d46cb77afa4440</t>
        </is>
      </c>
      <c r="B441" s="24" t="inlineStr">
        <is>
          <t>2026-08-23T20:27:44.305840Z</t>
        </is>
      </c>
      <c r="C441" s="24" t="inlineStr">
        <is>
          <t>2026-08-23T20:30Z</t>
        </is>
      </c>
      <c r="D441" s="24" t="inlineStr">
        <is>
          <t>718-2026:181963</t>
        </is>
      </c>
      <c r="E441" s="24" t="inlineStr">
        <is>
          <t>TENNIS</t>
        </is>
      </c>
      <c r="F441" s="24" t="inlineStr">
        <is>
          <t>Frances Tiafoe</t>
        </is>
      </c>
      <c r="G441" s="24" t="inlineStr">
        <is>
          <t>Arthur Fils</t>
        </is>
      </c>
      <c r="H441" s="24" t="inlineStr">
        <is>
          <t>total</t>
        </is>
      </c>
      <c r="I441" s="24" t="inlineStr">
        <is>
          <t>over</t>
        </is>
      </c>
      <c r="J441" s="25" t="n">
        <v>23.5</v>
      </c>
      <c r="K441" s="24" t="inlineStr">
        <is>
          <t>polymarket_us</t>
        </is>
      </c>
      <c r="L441" s="26" t="n">
        <v>122</v>
      </c>
      <c r="M441" s="27" t="n">
        <v>2.22</v>
      </c>
      <c r="N441" s="28" t="n">
        <v>0.45045</v>
      </c>
      <c r="O441" s="28" t="n">
        <v>0.6848</v>
      </c>
      <c r="P441" s="28" t="n">
        <v>0.05</v>
      </c>
      <c r="Q441" s="28" t="n">
        <v>0.23435</v>
      </c>
      <c r="R441" s="26" t="n">
        <v>100</v>
      </c>
      <c r="S441" s="29" t="n">
        <v>2</v>
      </c>
      <c r="T441" s="24" t="inlineStr">
        <is>
          <t>tennis-surface-elo-v1</t>
        </is>
      </c>
      <c r="U441" s="24" t="inlineStr">
        <is>
          <t>settled</t>
        </is>
      </c>
      <c r="V441" s="24" t="inlineStr">
        <is>
          <t>loss</t>
        </is>
      </c>
      <c r="W441" s="26" t="n">
        <v>9</v>
      </c>
      <c r="X441" s="26" t="n">
        <v>13</v>
      </c>
      <c r="Y441" s="25" t="n"/>
      <c r="Z441" s="26" t="n"/>
      <c r="AA441" s="28" t="n"/>
      <c r="AB441" s="28" t="n"/>
      <c r="AC441" s="30" t="n">
        <v>-2</v>
      </c>
      <c r="AD441" s="24" t="inlineStr">
        <is>
          <t>2026-08-24T04:09:27.785972Z</t>
        </is>
      </c>
      <c r="AE441" s="31" t="inlineStr">
        <is>
          <t>Markov Total Games: OVER 23.5 (Exp: 25.5 games) Executable ask 0.4500 (tsc-atp-artfil-fratia-2026-08-24-tg-23pt5).</t>
        </is>
      </c>
      <c r="AF441" s="31" t="inlineStr">
        <is>
          <t>Surface-blended Elo model; singles only, WTA+ATP market coverage, not yet locked-holdout qualified -- promoted by explicit operator directive, not genuine walk-forward validation.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4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Frances Tiafoe</t>
        </is>
      </c>
      <c r="AQ441" s="24" t="inlineStr">
        <is>
          <t>Frances Tiafoe</t>
        </is>
      </c>
      <c r="AR441" s="24" t="inlineStr">
        <is>
          <t>Frances Tiafoe</t>
        </is>
      </c>
      <c r="AS441" s="24" t="inlineStr">
        <is>
          <t>Arthur Fils</t>
        </is>
      </c>
      <c r="AT441" s="24" t="inlineStr">
        <is>
          <t>Arthur Fils</t>
        </is>
      </c>
      <c r="AU441" s="24" t="inlineStr">
        <is>
          <t>Arthur Fils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d777da58446bc099047b154203518e2585ef1a678f613f2b430f2589f7bf5cff</t>
        </is>
      </c>
      <c r="BB441" s="24" t="inlineStr">
        <is>
          <t>surface_blended_elo</t>
        </is>
      </c>
      <c r="BC441" s="24" t="inlineStr">
        <is>
          <t>tennis-surface-elo-v1</t>
        </is>
      </c>
      <c r="BD441" s="24" t="inlineStr">
        <is>
          <t>d777da58446bc099047b154203518e2585ef1a678f613f2b430f2589f7bf5cff</t>
        </is>
      </c>
      <c r="BE441" s="24" t="inlineStr">
        <is>
          <t>tennis-surface-elo-v1</t>
        </is>
      </c>
      <c r="BF441" s="24" t="inlineStr">
        <is>
          <t>1</t>
        </is>
      </c>
      <c r="BG441" s="24" t="inlineStr">
        <is>
          <t>d777da58446bc099047b154203518e2585ef1a678f613f2b430f2589f7bf5cff</t>
        </is>
      </c>
      <c r="BH441" s="24" t="inlineStr">
        <is>
          <t>2026-08-23T20:25:03.843349Z</t>
        </is>
      </c>
      <c r="BI441" s="24" t="inlineStr">
        <is>
          <t>["same_event","same_team_same_day","same_league_same_day"]</t>
        </is>
      </c>
      <c r="BJ441" s="25" t="n">
        <v>23.5</v>
      </c>
      <c r="BK441" s="26" t="n">
        <v>122</v>
      </c>
      <c r="BL441" s="27" t="n">
        <v>2.22</v>
      </c>
      <c r="BM441" s="28" t="n">
        <v>0.45045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0.45045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7187b7d02e904881</t>
        </is>
      </c>
      <c r="B442" s="24" t="inlineStr">
        <is>
          <t>2026-08-23T20:27:44.305840Z</t>
        </is>
      </c>
      <c r="C442" s="24" t="inlineStr">
        <is>
          <t>2026-08-23T20:30Z</t>
        </is>
      </c>
      <c r="D442" s="24" t="inlineStr">
        <is>
          <t>718-2026:181963</t>
        </is>
      </c>
      <c r="E442" s="24" t="inlineStr">
        <is>
          <t>TENNIS</t>
        </is>
      </c>
      <c r="F442" s="24" t="inlineStr">
        <is>
          <t>Frances Tiafoe</t>
        </is>
      </c>
      <c r="G442" s="24" t="inlineStr">
        <is>
          <t>Arthur Fils</t>
        </is>
      </c>
      <c r="H442" s="24" t="inlineStr">
        <is>
          <t>spread</t>
        </is>
      </c>
      <c r="I442" s="24" t="inlineStr">
        <is>
          <t>away</t>
        </is>
      </c>
      <c r="J442" s="25" t="n">
        <v>-3.5</v>
      </c>
      <c r="K442" s="24" t="inlineStr">
        <is>
          <t>polymarket_us</t>
        </is>
      </c>
      <c r="L442" s="26" t="n">
        <v>-138</v>
      </c>
      <c r="M442" s="27" t="n">
        <v>1.724638</v>
      </c>
      <c r="N442" s="28" t="n">
        <v>0.579832</v>
      </c>
      <c r="O442" s="28" t="n">
        <v>0.78</v>
      </c>
      <c r="P442" s="28" t="n">
        <v>0.05</v>
      </c>
      <c r="Q442" s="28" t="n">
        <v>0.200168</v>
      </c>
      <c r="R442" s="26" t="n">
        <v>100</v>
      </c>
      <c r="S442" s="29" t="n">
        <v>2</v>
      </c>
      <c r="T442" s="24" t="inlineStr">
        <is>
          <t>tennis-surface-elo-v1</t>
        </is>
      </c>
      <c r="U442" s="24" t="inlineStr">
        <is>
          <t>settled</t>
        </is>
      </c>
      <c r="V442" s="24" t="inlineStr">
        <is>
          <t>loss</t>
        </is>
      </c>
      <c r="W442" s="26" t="n">
        <v>9</v>
      </c>
      <c r="X442" s="26" t="n">
        <v>13</v>
      </c>
      <c r="Y442" s="25" t="n"/>
      <c r="Z442" s="26" t="n"/>
      <c r="AA442" s="28" t="n"/>
      <c r="AB442" s="28" t="n"/>
      <c r="AC442" s="30" t="n">
        <v>-2</v>
      </c>
      <c r="AD442" s="24" t="inlineStr">
        <is>
          <t>2026-08-24T04:10:47.977188Z</t>
        </is>
      </c>
      <c r="AE442" s="31" t="inlineStr">
        <is>
          <t>Markov Game Handicap: Frances Tiafoe -3.5 vs Arthur Fils Executable ask 0.5800 (asc-atp-artfil-fratia-2026-08-24-gs-neg-3pt5).</t>
        </is>
      </c>
      <c r="AF442" s="31" t="inlineStr">
        <is>
          <t>Surface-blended Elo model; singles only, WTA+ATP market coverage, not yet locked-holdout qualified -- promoted by explicit operator directive, not genuine walk-forward validation.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4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Frances Tiafoe</t>
        </is>
      </c>
      <c r="AQ442" s="24" t="inlineStr">
        <is>
          <t>Frances Tiafoe</t>
        </is>
      </c>
      <c r="AR442" s="24" t="inlineStr">
        <is>
          <t>Frances Tiafoe</t>
        </is>
      </c>
      <c r="AS442" s="24" t="inlineStr">
        <is>
          <t>Arthur Fils</t>
        </is>
      </c>
      <c r="AT442" s="24" t="inlineStr">
        <is>
          <t>Arthur Fils</t>
        </is>
      </c>
      <c r="AU442" s="24" t="inlineStr">
        <is>
          <t>Arthur Fils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d777da58446bc099047b154203518e2585ef1a678f613f2b430f2589f7bf5cff</t>
        </is>
      </c>
      <c r="BB442" s="24" t="inlineStr">
        <is>
          <t>surface_blended_elo</t>
        </is>
      </c>
      <c r="BC442" s="24" t="inlineStr">
        <is>
          <t>tennis-surface-elo-v1</t>
        </is>
      </c>
      <c r="BD442" s="24" t="inlineStr">
        <is>
          <t>d777da58446bc099047b154203518e2585ef1a678f613f2b430f2589f7bf5cff</t>
        </is>
      </c>
      <c r="BE442" s="24" t="inlineStr">
        <is>
          <t>tennis-surface-elo-v1</t>
        </is>
      </c>
      <c r="BF442" s="24" t="inlineStr">
        <is>
          <t>1</t>
        </is>
      </c>
      <c r="BG442" s="24" t="inlineStr">
        <is>
          <t>d777da58446bc099047b154203518e2585ef1a678f613f2b430f2589f7bf5cff</t>
        </is>
      </c>
      <c r="BH442" s="24" t="inlineStr">
        <is>
          <t>2026-08-23T20:25:03.844599Z</t>
        </is>
      </c>
      <c r="BI442" s="24" t="inlineStr">
        <is>
          <t>["same_event","same_team_same_day","same_league_same_day"]</t>
        </is>
      </c>
      <c r="BJ442" s="25" t="n">
        <v>-3.5</v>
      </c>
      <c r="BK442" s="26" t="n">
        <v>-138</v>
      </c>
      <c r="BL442" s="27" t="n">
        <v>1.724638</v>
      </c>
      <c r="BM442" s="28" t="n">
        <v>0.579832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0.579832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570ab9ffadb64c8a</t>
        </is>
      </c>
      <c r="B443" s="24" t="inlineStr">
        <is>
          <t>2026-08-23T20:27:44.305840Z</t>
        </is>
      </c>
      <c r="C443" s="24" t="inlineStr">
        <is>
          <t>2026-08-23T20:50Z</t>
        </is>
      </c>
      <c r="D443" s="24" t="inlineStr">
        <is>
          <t>363-2026:184482</t>
        </is>
      </c>
      <c r="E443" s="24" t="inlineStr">
        <is>
          <t>TENNIS</t>
        </is>
      </c>
      <c r="F443" s="24" t="inlineStr">
        <is>
          <t>Mattia Bellucci</t>
        </is>
      </c>
      <c r="G443" s="24" t="inlineStr">
        <is>
          <t>Martin Landaluce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-117</v>
      </c>
      <c r="M443" s="27" t="n">
        <v>1.854701</v>
      </c>
      <c r="N443" s="28" t="n">
        <v>0.539171</v>
      </c>
      <c r="O443" s="28" t="n">
        <v>0.5513</v>
      </c>
      <c r="P443" s="28" t="n">
        <v>0.05</v>
      </c>
      <c r="Q443" s="28" t="n">
        <v>0.012129</v>
      </c>
      <c r="R443" s="26" t="n">
        <v>26</v>
      </c>
      <c r="S443" s="29" t="n">
        <v>1</v>
      </c>
      <c r="T443" s="24" t="inlineStr">
        <is>
          <t>tennis-surface-elo-v1</t>
        </is>
      </c>
      <c r="U443" s="24" t="inlineStr">
        <is>
          <t>settled</t>
        </is>
      </c>
      <c r="V443" s="24" t="inlineStr">
        <is>
          <t>loss</t>
        </is>
      </c>
      <c r="W443" s="26" t="n">
        <v>1</v>
      </c>
      <c r="X443" s="26" t="n">
        <v>0</v>
      </c>
      <c r="Y443" s="25" t="n"/>
      <c r="Z443" s="26" t="n">
        <v>-117</v>
      </c>
      <c r="AA443" s="28" t="n">
        <v>0.54</v>
      </c>
      <c r="AB443" s="28" t="n">
        <v>0.000829</v>
      </c>
      <c r="AC443" s="30" t="n">
        <v>-1</v>
      </c>
      <c r="AD443" s="24" t="inlineStr">
        <is>
          <t>2026-08-24T01:33:29.448549Z</t>
        </is>
      </c>
      <c r="AE443" s="31" t="inlineStr">
        <is>
          <t>Surface-blended Elo on Hard: Mattia Bellucci p=0.449 vs Martin Landaluce. Executable ask 0.5400 (aec-atp-marlan-matbel-2026-08-24).</t>
        </is>
      </c>
      <c r="AF443" s="31" t="inlineStr">
        <is>
          <t>Surface-blended Elo model; singles only, WTA+ATP market coverage, not yet locked-holdout qualified -- promoted by explicit operator directive, not genuine walk-forward validation.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Mattia Bellucci</t>
        </is>
      </c>
      <c r="AQ443" s="24" t="inlineStr">
        <is>
          <t>Mattia Bellucci</t>
        </is>
      </c>
      <c r="AR443" s="24" t="inlineStr">
        <is>
          <t>Mattia Bellucci</t>
        </is>
      </c>
      <c r="AS443" s="24" t="inlineStr">
        <is>
          <t>Martin Landaluce</t>
        </is>
      </c>
      <c r="AT443" s="24" t="inlineStr">
        <is>
          <t>Martin Landaluce</t>
        </is>
      </c>
      <c r="AU443" s="24" t="inlineStr">
        <is>
          <t>Martin Landaluce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d777da58446bc099047b154203518e2585ef1a678f613f2b430f2589f7bf5cff</t>
        </is>
      </c>
      <c r="BB443" s="24" t="inlineStr">
        <is>
          <t>surface_blended_elo</t>
        </is>
      </c>
      <c r="BC443" s="24" t="inlineStr">
        <is>
          <t>tennis-surface-elo-v1</t>
        </is>
      </c>
      <c r="BD443" s="24" t="inlineStr">
        <is>
          <t>d777da58446bc099047b154203518e2585ef1a678f613f2b430f2589f7bf5cff</t>
        </is>
      </c>
      <c r="BE443" s="24" t="inlineStr">
        <is>
          <t>tennis-surface-elo-v1</t>
        </is>
      </c>
      <c r="BF443" s="24" t="inlineStr">
        <is>
          <t>1</t>
        </is>
      </c>
      <c r="BG443" s="24" t="inlineStr">
        <is>
          <t>d777da58446bc099047b154203518e2585ef1a678f613f2b430f2589f7bf5cff</t>
        </is>
      </c>
      <c r="BH443" s="24" t="inlineStr">
        <is>
          <t>2026-08-23T20:25:03.431973Z</t>
        </is>
      </c>
      <c r="BI443" s="24" t="inlineStr">
        <is>
          <t>["same_event","same_team_same_day","same_league_same_day"]</t>
        </is>
      </c>
      <c r="BJ443" s="25" t="n"/>
      <c r="BK443" s="26" t="n">
        <v>-117</v>
      </c>
      <c r="BL443" s="27" t="n">
        <v>1.854701</v>
      </c>
      <c r="BM443" s="28" t="n">
        <v>0.539171</v>
      </c>
      <c r="BN443" s="28" t="n"/>
      <c r="BO443" s="28" t="n"/>
      <c r="BP443" s="25" t="n"/>
      <c r="BQ443" s="27" t="n">
        <v>1.854701</v>
      </c>
      <c r="BR443" s="28" t="n">
        <v>0.54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0.539171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527b798d692e4f9d</t>
        </is>
      </c>
      <c r="B444" s="24" t="inlineStr">
        <is>
          <t>2026-08-23T20:27:44.305840Z</t>
        </is>
      </c>
      <c r="C444" s="24" t="inlineStr">
        <is>
          <t>2026-08-23T20:50Z</t>
        </is>
      </c>
      <c r="D444" s="24" t="inlineStr">
        <is>
          <t>363-2026:184482</t>
        </is>
      </c>
      <c r="E444" s="24" t="inlineStr">
        <is>
          <t>TENNIS</t>
        </is>
      </c>
      <c r="F444" s="24" t="inlineStr">
        <is>
          <t>Mattia Bellucci</t>
        </is>
      </c>
      <c r="G444" s="24" t="inlineStr">
        <is>
          <t>Martin Landaluce</t>
        </is>
      </c>
      <c r="H444" s="24" t="inlineStr">
        <is>
          <t>total</t>
        </is>
      </c>
      <c r="I444" s="24" t="inlineStr">
        <is>
          <t>over</t>
        </is>
      </c>
      <c r="J444" s="25" t="n">
        <v>23.5</v>
      </c>
      <c r="K444" s="24" t="inlineStr">
        <is>
          <t>polymarket_us</t>
        </is>
      </c>
      <c r="L444" s="26" t="n">
        <v>113</v>
      </c>
      <c r="M444" s="27" t="n">
        <v>2.13</v>
      </c>
      <c r="N444" s="28" t="n">
        <v>0.469484</v>
      </c>
      <c r="O444" s="28" t="n">
        <v>0.6949</v>
      </c>
      <c r="P444" s="28" t="n">
        <v>0.05</v>
      </c>
      <c r="Q444" s="28" t="n">
        <v>0.225416</v>
      </c>
      <c r="R444" s="26" t="n">
        <v>100</v>
      </c>
      <c r="S444" s="29" t="n">
        <v>2</v>
      </c>
      <c r="T444" s="24" t="inlineStr">
        <is>
          <t>tennis-surface-elo-v1</t>
        </is>
      </c>
      <c r="U444" s="24" t="inlineStr">
        <is>
          <t>settled</t>
        </is>
      </c>
      <c r="V444" s="24" t="inlineStr">
        <is>
          <t>win</t>
        </is>
      </c>
      <c r="W444" s="26" t="n">
        <v>18</v>
      </c>
      <c r="X444" s="26" t="n">
        <v>12</v>
      </c>
      <c r="Y444" s="25" t="n"/>
      <c r="Z444" s="26" t="n"/>
      <c r="AA444" s="28" t="n"/>
      <c r="AB444" s="28" t="n"/>
      <c r="AC444" s="30" t="n">
        <v>2.26</v>
      </c>
      <c r="AD444" s="24" t="inlineStr">
        <is>
          <t>2026-08-24T04:10:26.139887Z</t>
        </is>
      </c>
      <c r="AE444" s="31" t="inlineStr">
        <is>
          <t>Markov Total Games: OVER 23.5 (Exp: 25.6 games) Executable ask 0.4700 (tsc-atp-marlan-matbel-2026-08-24-tg-23pt5).</t>
        </is>
      </c>
      <c r="AF444" s="31" t="inlineStr">
        <is>
          <t>Surface-blended Elo model; singles only, WTA+ATP market coverage, not yet locked-holdout qualified -- promoted by explicit operator directive, not genuine walk-forward validation.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4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Mattia Bellucci</t>
        </is>
      </c>
      <c r="AQ444" s="24" t="inlineStr">
        <is>
          <t>Mattia Bellucci</t>
        </is>
      </c>
      <c r="AR444" s="24" t="inlineStr">
        <is>
          <t>Mattia Bellucci</t>
        </is>
      </c>
      <c r="AS444" s="24" t="inlineStr">
        <is>
          <t>Martin Landaluce</t>
        </is>
      </c>
      <c r="AT444" s="24" t="inlineStr">
        <is>
          <t>Martin Landaluce</t>
        </is>
      </c>
      <c r="AU444" s="24" t="inlineStr">
        <is>
          <t>Martin Landaluce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d777da58446bc099047b154203518e2585ef1a678f613f2b430f2589f7bf5cff</t>
        </is>
      </c>
      <c r="BB444" s="24" t="inlineStr">
        <is>
          <t>surface_blended_elo</t>
        </is>
      </c>
      <c r="BC444" s="24" t="inlineStr">
        <is>
          <t>tennis-surface-elo-v1</t>
        </is>
      </c>
      <c r="BD444" s="24" t="inlineStr">
        <is>
          <t>d777da58446bc099047b154203518e2585ef1a678f613f2b430f2589f7bf5cff</t>
        </is>
      </c>
      <c r="BE444" s="24" t="inlineStr">
        <is>
          <t>tennis-surface-elo-v1</t>
        </is>
      </c>
      <c r="BF444" s="24" t="inlineStr">
        <is>
          <t>1</t>
        </is>
      </c>
      <c r="BG444" s="24" t="inlineStr">
        <is>
          <t>d777da58446bc099047b154203518e2585ef1a678f613f2b430f2589f7bf5cff</t>
        </is>
      </c>
      <c r="BH444" s="24" t="inlineStr">
        <is>
          <t>2026-08-23T20:25:03.467292Z</t>
        </is>
      </c>
      <c r="BI444" s="24" t="inlineStr">
        <is>
          <t>["same_event","same_team_same_day","same_league_same_day"]</t>
        </is>
      </c>
      <c r="BJ444" s="25" t="n">
        <v>23.5</v>
      </c>
      <c r="BK444" s="26" t="n">
        <v>113</v>
      </c>
      <c r="BL444" s="27" t="n">
        <v>2.13</v>
      </c>
      <c r="BM444" s="28" t="n">
        <v>0.469484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0.469484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9ab480c4b75240ae</t>
        </is>
      </c>
      <c r="B445" s="24" t="inlineStr">
        <is>
          <t>2026-08-23T20:27:44.305840Z</t>
        </is>
      </c>
      <c r="C445" s="24" t="inlineStr">
        <is>
          <t>2026-08-23T20:50Z</t>
        </is>
      </c>
      <c r="D445" s="24" t="inlineStr">
        <is>
          <t>363-2026:184482</t>
        </is>
      </c>
      <c r="E445" s="24" t="inlineStr">
        <is>
          <t>TENNIS</t>
        </is>
      </c>
      <c r="F445" s="24" t="inlineStr">
        <is>
          <t>Mattia Bellucci</t>
        </is>
      </c>
      <c r="G445" s="24" t="inlineStr">
        <is>
          <t>Martin Landaluce</t>
        </is>
      </c>
      <c r="H445" s="24" t="inlineStr">
        <is>
          <t>spread</t>
        </is>
      </c>
      <c r="I445" s="24" t="inlineStr">
        <is>
          <t>away</t>
        </is>
      </c>
      <c r="J445" s="25" t="n">
        <v>-2.5</v>
      </c>
      <c r="K445" s="24" t="inlineStr">
        <is>
          <t>polymarket_us</t>
        </is>
      </c>
      <c r="L445" s="26" t="n">
        <v>-144</v>
      </c>
      <c r="M445" s="27" t="n">
        <v>1.694444</v>
      </c>
      <c r="N445" s="28" t="n">
        <v>0.590164</v>
      </c>
      <c r="O445" s="28" t="n">
        <v>0.7082000000000001</v>
      </c>
      <c r="P445" s="28" t="n">
        <v>0.05</v>
      </c>
      <c r="Q445" s="28" t="n">
        <v>0.118036</v>
      </c>
      <c r="R445" s="26" t="n">
        <v>79</v>
      </c>
      <c r="S445" s="29" t="n">
        <v>1.5</v>
      </c>
      <c r="T445" s="24" t="inlineStr">
        <is>
          <t>tennis-surface-elo-v1</t>
        </is>
      </c>
      <c r="U445" s="24" t="inlineStr">
        <is>
          <t>settled</t>
        </is>
      </c>
      <c r="V445" s="24" t="inlineStr">
        <is>
          <t>win</t>
        </is>
      </c>
      <c r="W445" s="26" t="n">
        <v>18</v>
      </c>
      <c r="X445" s="26" t="n">
        <v>12</v>
      </c>
      <c r="Y445" s="25" t="n"/>
      <c r="Z445" s="26" t="n"/>
      <c r="AA445" s="28" t="n"/>
      <c r="AB445" s="28" t="n"/>
      <c r="AC445" s="30" t="n">
        <v>1.0417</v>
      </c>
      <c r="AD445" s="24" t="inlineStr">
        <is>
          <t>2026-08-24T04:11:38.989304Z</t>
        </is>
      </c>
      <c r="AE445" s="31" t="inlineStr">
        <is>
          <t>Markov Game Handicap: Mattia Bellucci -2.5 vs Martin Landaluce Executable ask 0.5900 (asc-atp-marlan-matbel-2026-08-24-gs-neg-2pt5).</t>
        </is>
      </c>
      <c r="AF445" s="31" t="inlineStr">
        <is>
          <t>Surface-blended Elo model; singles only, WTA+ATP market coverage, not yet locked-holdout qualified -- promoted by explicit operator directive, not genuine walk-forward validation.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Mattia Bellucci</t>
        </is>
      </c>
      <c r="AQ445" s="24" t="inlineStr">
        <is>
          <t>Mattia Bellucci</t>
        </is>
      </c>
      <c r="AR445" s="24" t="inlineStr">
        <is>
          <t>Mattia Bellucci</t>
        </is>
      </c>
      <c r="AS445" s="24" t="inlineStr">
        <is>
          <t>Martin Landaluce</t>
        </is>
      </c>
      <c r="AT445" s="24" t="inlineStr">
        <is>
          <t>Martin Landaluce</t>
        </is>
      </c>
      <c r="AU445" s="24" t="inlineStr">
        <is>
          <t>Martin Landaluce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d777da58446bc099047b154203518e2585ef1a678f613f2b430f2589f7bf5cff</t>
        </is>
      </c>
      <c r="BB445" s="24" t="inlineStr">
        <is>
          <t>surface_blended_elo</t>
        </is>
      </c>
      <c r="BC445" s="24" t="inlineStr">
        <is>
          <t>tennis-surface-elo-v1</t>
        </is>
      </c>
      <c r="BD445" s="24" t="inlineStr">
        <is>
          <t>d777da58446bc099047b154203518e2585ef1a678f613f2b430f2589f7bf5cff</t>
        </is>
      </c>
      <c r="BE445" s="24" t="inlineStr">
        <is>
          <t>tennis-surface-elo-v1</t>
        </is>
      </c>
      <c r="BF445" s="24" t="inlineStr">
        <is>
          <t>1</t>
        </is>
      </c>
      <c r="BG445" s="24" t="inlineStr">
        <is>
          <t>d777da58446bc099047b154203518e2585ef1a678f613f2b430f2589f7bf5cff</t>
        </is>
      </c>
      <c r="BH445" s="24" t="inlineStr">
        <is>
          <t>2026-08-23T20:25:03.466261Z</t>
        </is>
      </c>
      <c r="BI445" s="24" t="inlineStr">
        <is>
          <t>["same_event","same_team_same_day","same_league_same_day"]</t>
        </is>
      </c>
      <c r="BJ445" s="25" t="n">
        <v>-2.5</v>
      </c>
      <c r="BK445" s="26" t="n">
        <v>-144</v>
      </c>
      <c r="BL445" s="27" t="n">
        <v>1.694444</v>
      </c>
      <c r="BM445" s="28" t="n">
        <v>0.590164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0.590164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25b0616d373942d5</t>
        </is>
      </c>
      <c r="B446" s="24" t="inlineStr">
        <is>
          <t>2026-08-23T20:27:44.305840Z</t>
        </is>
      </c>
      <c r="C446" s="24" t="inlineStr">
        <is>
          <t>2026-08-23T22:30Z</t>
        </is>
      </c>
      <c r="D446" s="24" t="inlineStr">
        <is>
          <t>363-2026:184481</t>
        </is>
      </c>
      <c r="E446" s="24" t="inlineStr">
        <is>
          <t>TENNIS</t>
        </is>
      </c>
      <c r="F446" s="24" t="inlineStr">
        <is>
          <t>Adolfo Daniel Vallejo</t>
        </is>
      </c>
      <c r="G446" s="24" t="inlineStr">
        <is>
          <t>Pablo Carreno Busta</t>
        </is>
      </c>
      <c r="H446" s="24" t="inlineStr">
        <is>
          <t>total</t>
        </is>
      </c>
      <c r="I446" s="24" t="inlineStr">
        <is>
          <t>over</t>
        </is>
      </c>
      <c r="J446" s="25" t="n">
        <v>23.5</v>
      </c>
      <c r="K446" s="24" t="inlineStr">
        <is>
          <t>polymarket_us</t>
        </is>
      </c>
      <c r="L446" s="26" t="n">
        <v>133</v>
      </c>
      <c r="M446" s="27" t="n">
        <v>2.33</v>
      </c>
      <c r="N446" s="28" t="n">
        <v>0.429185</v>
      </c>
      <c r="O446" s="28" t="n">
        <v>0.7203000000000001</v>
      </c>
      <c r="P446" s="28" t="n">
        <v>0.05</v>
      </c>
      <c r="Q446" s="28" t="n">
        <v>0.291115</v>
      </c>
      <c r="R446" s="26" t="n">
        <v>100</v>
      </c>
      <c r="S446" s="29" t="n">
        <v>2</v>
      </c>
      <c r="T446" s="24" t="inlineStr">
        <is>
          <t>tennis-surface-elo-v1</t>
        </is>
      </c>
      <c r="U446" s="24" t="inlineStr">
        <is>
          <t>settled</t>
        </is>
      </c>
      <c r="V446" s="24" t="inlineStr">
        <is>
          <t>push</t>
        </is>
      </c>
      <c r="W446" s="26" t="n">
        <v>1</v>
      </c>
      <c r="X446" s="26" t="n">
        <v>0</v>
      </c>
      <c r="Y446" s="25" t="n"/>
      <c r="Z446" s="26" t="n"/>
      <c r="AA446" s="28" t="n"/>
      <c r="AB446" s="28" t="n"/>
      <c r="AC446" s="30" t="n">
        <v>0</v>
      </c>
      <c r="AD446" s="24" t="inlineStr">
        <is>
          <t>2026-08-24T04:09:41.761717Z</t>
        </is>
      </c>
      <c r="AE446" s="31" t="inlineStr">
        <is>
          <t>Markov Total Games: OVER 23.5 (Exp: 26.0 games) Executable ask 0.4300 (tsc-atp-pabbus-adoval-2026-08-24-tg-23pt5).</t>
        </is>
      </c>
      <c r="AF446" s="31" t="inlineStr">
        <is>
          <t>Surface-blended Elo model; singles only, WTA+ATP market coverage, not yet locked-holdout qualified -- promoted by explicit operator directive, not genuine walk-forward validation.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4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Adolfo Daniel Vallejo</t>
        </is>
      </c>
      <c r="AQ446" s="24" t="inlineStr">
        <is>
          <t>Adolfo Daniel Vallejo</t>
        </is>
      </c>
      <c r="AR446" s="24" t="inlineStr">
        <is>
          <t>Adolfo Daniel Vallejo</t>
        </is>
      </c>
      <c r="AS446" s="24" t="inlineStr">
        <is>
          <t>Pablo Carreno Busta</t>
        </is>
      </c>
      <c r="AT446" s="24" t="inlineStr">
        <is>
          <t>Pablo Carreno Busta</t>
        </is>
      </c>
      <c r="AU446" s="24" t="inlineStr">
        <is>
          <t>Pablo Carreno Busta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d777da58446bc099047b154203518e2585ef1a678f613f2b430f2589f7bf5cff</t>
        </is>
      </c>
      <c r="BB446" s="24" t="inlineStr">
        <is>
          <t>surface_blended_elo</t>
        </is>
      </c>
      <c r="BC446" s="24" t="inlineStr">
        <is>
          <t>tennis-surface-elo-v1</t>
        </is>
      </c>
      <c r="BD446" s="24" t="inlineStr">
        <is>
          <t>d777da58446bc099047b154203518e2585ef1a678f613f2b430f2589f7bf5cff</t>
        </is>
      </c>
      <c r="BE446" s="24" t="inlineStr">
        <is>
          <t>tennis-surface-elo-v1</t>
        </is>
      </c>
      <c r="BF446" s="24" t="inlineStr">
        <is>
          <t>1</t>
        </is>
      </c>
      <c r="BG446" s="24" t="inlineStr">
        <is>
          <t>d777da58446bc099047b154203518e2585ef1a678f613f2b430f2589f7bf5cff</t>
        </is>
      </c>
      <c r="BH446" s="24" t="inlineStr">
        <is>
          <t>2026-08-23T20:25:03.950811Z</t>
        </is>
      </c>
      <c r="BI446" s="24" t="inlineStr">
        <is>
          <t>["same_event","same_team_same_day","same_league_same_day"]</t>
        </is>
      </c>
      <c r="BJ446" s="25" t="n">
        <v>23.5</v>
      </c>
      <c r="BK446" s="26" t="n">
        <v>133</v>
      </c>
      <c r="BL446" s="27" t="n">
        <v>2.33</v>
      </c>
      <c r="BM446" s="28" t="n">
        <v>0.429185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inlineStr">
        <is>
          <t>TENNIS_DERIVATIVE_RESULT_UNGRADEABLE_FROM_OFFICIAL_SCORE</t>
        </is>
      </c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0.429185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802c8b702ab94bf6</t>
        </is>
      </c>
      <c r="B447" s="24" t="inlineStr">
        <is>
          <t>2026-08-23T20:27:44.305840Z</t>
        </is>
      </c>
      <c r="C447" s="24" t="inlineStr">
        <is>
          <t>2026-08-23T22:30Z</t>
        </is>
      </c>
      <c r="D447" s="24" t="inlineStr">
        <is>
          <t>363-2026:184481</t>
        </is>
      </c>
      <c r="E447" s="24" t="inlineStr">
        <is>
          <t>TENNIS</t>
        </is>
      </c>
      <c r="F447" s="24" t="inlineStr">
        <is>
          <t>Adolfo Daniel Vallejo</t>
        </is>
      </c>
      <c r="G447" s="24" t="inlineStr">
        <is>
          <t>Pablo Carreno Busta</t>
        </is>
      </c>
      <c r="H447" s="24" t="inlineStr">
        <is>
          <t>spread</t>
        </is>
      </c>
      <c r="I447" s="24" t="inlineStr">
        <is>
          <t>away</t>
        </is>
      </c>
      <c r="J447" s="25" t="n">
        <v>-2.5</v>
      </c>
      <c r="K447" s="24" t="inlineStr">
        <is>
          <t>polymarket_us</t>
        </is>
      </c>
      <c r="L447" s="26" t="n">
        <v>-127</v>
      </c>
      <c r="M447" s="27" t="n">
        <v>1.787402</v>
      </c>
      <c r="N447" s="28" t="n">
        <v>0.5594710000000001</v>
      </c>
      <c r="O447" s="28" t="n">
        <v>0.7374000000000001</v>
      </c>
      <c r="P447" s="28" t="n">
        <v>0.05</v>
      </c>
      <c r="Q447" s="28" t="n">
        <v>0.177929</v>
      </c>
      <c r="R447" s="26" t="n">
        <v>100</v>
      </c>
      <c r="S447" s="29" t="n">
        <v>1.75</v>
      </c>
      <c r="T447" s="24" t="inlineStr">
        <is>
          <t>tennis-surface-elo-v1</t>
        </is>
      </c>
      <c r="U447" s="24" t="inlineStr">
        <is>
          <t>settled</t>
        </is>
      </c>
      <c r="V447" s="24" t="inlineStr">
        <is>
          <t>push</t>
        </is>
      </c>
      <c r="W447" s="26" t="n">
        <v>1</v>
      </c>
      <c r="X447" s="26" t="n">
        <v>0</v>
      </c>
      <c r="Y447" s="25" t="n"/>
      <c r="Z447" s="26" t="n"/>
      <c r="AA447" s="28" t="n"/>
      <c r="AB447" s="28" t="n"/>
      <c r="AC447" s="30" t="n">
        <v>0</v>
      </c>
      <c r="AD447" s="24" t="inlineStr">
        <is>
          <t>2026-08-24T04:11:11.383978Z</t>
        </is>
      </c>
      <c r="AE447" s="31" t="inlineStr">
        <is>
          <t>Markov Game Handicap: Adolfo Daniel Vallejo -2.5 vs Pablo Carreno Busta Executable ask 0.5600 (asc-atp-pabbus-adoval-2026-08-24-gs-neg-2pt5).</t>
        </is>
      </c>
      <c r="AF447" s="31" t="inlineStr">
        <is>
          <t>Surface-blended Elo model; singles only, WTA+ATP market coverage, not yet locked-holdout qualified -- promoted by explicit operator directive, not genuine walk-forward validation.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Adolfo Daniel Vallejo</t>
        </is>
      </c>
      <c r="AQ447" s="24" t="inlineStr">
        <is>
          <t>Adolfo Daniel Vallejo</t>
        </is>
      </c>
      <c r="AR447" s="24" t="inlineStr">
        <is>
          <t>Adolfo Daniel Vallejo</t>
        </is>
      </c>
      <c r="AS447" s="24" t="inlineStr">
        <is>
          <t>Pablo Carreno Busta</t>
        </is>
      </c>
      <c r="AT447" s="24" t="inlineStr">
        <is>
          <t>Pablo Carreno Busta</t>
        </is>
      </c>
      <c r="AU447" s="24" t="inlineStr">
        <is>
          <t>Pablo Carreno Busta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d777da58446bc099047b154203518e2585ef1a678f613f2b430f2589f7bf5cff</t>
        </is>
      </c>
      <c r="BB447" s="24" t="inlineStr">
        <is>
          <t>surface_blended_elo</t>
        </is>
      </c>
      <c r="BC447" s="24" t="inlineStr">
        <is>
          <t>tennis-surface-elo-v1</t>
        </is>
      </c>
      <c r="BD447" s="24" t="inlineStr">
        <is>
          <t>d777da58446bc099047b154203518e2585ef1a678f613f2b430f2589f7bf5cff</t>
        </is>
      </c>
      <c r="BE447" s="24" t="inlineStr">
        <is>
          <t>tennis-surface-elo-v1</t>
        </is>
      </c>
      <c r="BF447" s="24" t="inlineStr">
        <is>
          <t>1</t>
        </is>
      </c>
      <c r="BG447" s="24" t="inlineStr">
        <is>
          <t>d777da58446bc099047b154203518e2585ef1a678f613f2b430f2589f7bf5cff</t>
        </is>
      </c>
      <c r="BH447" s="24" t="inlineStr">
        <is>
          <t>2026-08-23T20:25:03.956811Z</t>
        </is>
      </c>
      <c r="BI447" s="24" t="inlineStr">
        <is>
          <t>["same_event","same_team_same_day","same_league_same_day"]</t>
        </is>
      </c>
      <c r="BJ447" s="25" t="n">
        <v>-2.5</v>
      </c>
      <c r="BK447" s="26" t="n">
        <v>-127</v>
      </c>
      <c r="BL447" s="27" t="n">
        <v>1.787402</v>
      </c>
      <c r="BM447" s="28" t="n">
        <v>0.5594710000000001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inlineStr">
        <is>
          <t>TENNIS_DERIVATIVE_RESULT_UNGRADEABLE_FROM_OFFICIAL_SCORE</t>
        </is>
      </c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0.559471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fccf54a228734576</t>
        </is>
      </c>
      <c r="B448" s="24" t="inlineStr">
        <is>
          <t>2026-08-23T20:27:44.305840Z</t>
        </is>
      </c>
      <c r="C448" s="24" t="inlineStr">
        <is>
          <t>2026-08-23T22:30Z</t>
        </is>
      </c>
      <c r="D448" s="24" t="inlineStr">
        <is>
          <t>363-2026:184481</t>
        </is>
      </c>
      <c r="E448" s="24" t="inlineStr">
        <is>
          <t>TENNIS</t>
        </is>
      </c>
      <c r="F448" s="24" t="inlineStr">
        <is>
          <t>Adolfo Daniel Vallejo</t>
        </is>
      </c>
      <c r="G448" s="24" t="inlineStr">
        <is>
          <t>Pablo Carreno Busta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polymarket_us</t>
        </is>
      </c>
      <c r="L448" s="26" t="n">
        <v>127</v>
      </c>
      <c r="M448" s="27" t="n">
        <v>2.27</v>
      </c>
      <c r="N448" s="28" t="n">
        <v>0.440529</v>
      </c>
      <c r="O448" s="28" t="n">
        <v>0.507</v>
      </c>
      <c r="P448" s="28" t="n">
        <v>0.05</v>
      </c>
      <c r="Q448" s="28" t="n">
        <v>0.066471</v>
      </c>
      <c r="R448" s="26" t="n">
        <v>53</v>
      </c>
      <c r="S448" s="29" t="n">
        <v>1</v>
      </c>
      <c r="T448" s="24" t="inlineStr">
        <is>
          <t>tennis-surface-elo-v1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0</v>
      </c>
      <c r="Y448" s="25" t="n"/>
      <c r="Z448" s="26" t="n"/>
      <c r="AA448" s="28" t="n"/>
      <c r="AB448" s="28" t="n"/>
      <c r="AC448" s="30" t="n">
        <v>1.27</v>
      </c>
      <c r="AD448" s="24" t="inlineStr">
        <is>
          <t>2026-08-24T01:34:32.561994Z</t>
        </is>
      </c>
      <c r="AE448" s="31" t="inlineStr">
        <is>
          <t>Surface-blended Elo on Hard: Adolfo Daniel Vallejo p=0.507 vs Pablo Carreno Busta. Executable ask 0.4400 (aec-atp-pabbus-adoval-2026-08-24).</t>
        </is>
      </c>
      <c r="AF448" s="31" t="inlineStr">
        <is>
          <t>Surface-blended Elo model; singles only, WTA+ATP market coverage, not yet locked-holdout qualified -- promoted by explicit operator directive, not genuine walk-forward validation.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Adolfo Daniel Vallejo</t>
        </is>
      </c>
      <c r="AQ448" s="24" t="inlineStr">
        <is>
          <t>Adolfo Daniel Vallejo</t>
        </is>
      </c>
      <c r="AR448" s="24" t="inlineStr">
        <is>
          <t>Adolfo Daniel Vallejo</t>
        </is>
      </c>
      <c r="AS448" s="24" t="inlineStr">
        <is>
          <t>Pablo Carreno Busta</t>
        </is>
      </c>
      <c r="AT448" s="24" t="inlineStr">
        <is>
          <t>Pablo Carreno Busta</t>
        </is>
      </c>
      <c r="AU448" s="24" t="inlineStr">
        <is>
          <t>Pablo Carreno Busta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d777da58446bc099047b154203518e2585ef1a678f613f2b430f2589f7bf5cff</t>
        </is>
      </c>
      <c r="BB448" s="24" t="inlineStr">
        <is>
          <t>surface_blended_elo</t>
        </is>
      </c>
      <c r="BC448" s="24" t="inlineStr">
        <is>
          <t>tennis-surface-elo-v1</t>
        </is>
      </c>
      <c r="BD448" s="24" t="inlineStr">
        <is>
          <t>d777da58446bc099047b154203518e2585ef1a678f613f2b430f2589f7bf5cff</t>
        </is>
      </c>
      <c r="BE448" s="24" t="inlineStr">
        <is>
          <t>tennis-surface-elo-v1</t>
        </is>
      </c>
      <c r="BF448" s="24" t="inlineStr">
        <is>
          <t>1</t>
        </is>
      </c>
      <c r="BG448" s="24" t="inlineStr">
        <is>
          <t>d777da58446bc099047b154203518e2585ef1a678f613f2b430f2589f7bf5cff</t>
        </is>
      </c>
      <c r="BH448" s="24" t="inlineStr">
        <is>
          <t>2026-08-23T20:25:03.932427Z</t>
        </is>
      </c>
      <c r="BI448" s="24" t="inlineStr">
        <is>
          <t>["same_event","same_team_same_day","same_league_same_day"]</t>
        </is>
      </c>
      <c r="BJ448" s="25" t="n"/>
      <c r="BK448" s="26" t="n">
        <v>127</v>
      </c>
      <c r="BL448" s="27" t="n">
        <v>2.27</v>
      </c>
      <c r="BM448" s="28" t="n">
        <v>0.440529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0.440529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131187014c444ac2</t>
        </is>
      </c>
      <c r="B449" s="24" t="inlineStr">
        <is>
          <t>2026-08-23T22:31:14.888082Z</t>
        </is>
      </c>
      <c r="C449" s="24" t="inlineStr">
        <is>
          <t>2026-08-23T23:00Z</t>
        </is>
      </c>
      <c r="D449" s="24" t="inlineStr">
        <is>
          <t>718-2026:182424</t>
        </is>
      </c>
      <c r="E449" s="24" t="inlineStr">
        <is>
          <t>TENNIS</t>
        </is>
      </c>
      <c r="F449" s="24" t="inlineStr">
        <is>
          <t>Jessica Pegula</t>
        </is>
      </c>
      <c r="G449" s="24" t="inlineStr">
        <is>
          <t>Coco Gauff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150</v>
      </c>
      <c r="M449" s="27" t="n">
        <v>2.5</v>
      </c>
      <c r="N449" s="28" t="n">
        <v>0.4</v>
      </c>
      <c r="O449" s="28" t="n">
        <v>0.5753</v>
      </c>
      <c r="P449" s="28" t="n">
        <v>0.05</v>
      </c>
      <c r="Q449" s="28" t="n">
        <v>0.1753</v>
      </c>
      <c r="R449" s="26" t="n">
        <v>100</v>
      </c>
      <c r="S449" s="29" t="n">
        <v>1.75</v>
      </c>
      <c r="T449" s="24" t="inlineStr">
        <is>
          <t>tennis-surface-elo-v1</t>
        </is>
      </c>
      <c r="U449" s="24" t="inlineStr">
        <is>
          <t>settled</t>
        </is>
      </c>
      <c r="V449" s="24" t="inlineStr">
        <is>
          <t>loss</t>
        </is>
      </c>
      <c r="W449" s="26" t="n">
        <v>0</v>
      </c>
      <c r="X449" s="26" t="n">
        <v>1</v>
      </c>
      <c r="Y449" s="25" t="n"/>
      <c r="Z449" s="26" t="n">
        <v>150</v>
      </c>
      <c r="AA449" s="28" t="n">
        <v>0.4</v>
      </c>
      <c r="AB449" s="28" t="n">
        <v>0</v>
      </c>
      <c r="AC449" s="30" t="n">
        <v>-1.75</v>
      </c>
      <c r="AD449" s="24" t="inlineStr">
        <is>
          <t>2026-08-24T01:35:28.711563Z</t>
        </is>
      </c>
      <c r="AE449" s="31" t="inlineStr">
        <is>
          <t>Surface-blended Elo on Hard: Jessica Pegula p=0.575 vs Coco Gauff. Executable ask 0.4000 (aec-wta-cocgau-jespeg-2026-08-24).</t>
        </is>
      </c>
      <c r="AF449" s="31" t="inlineStr">
        <is>
          <t>Surface-blended Elo model; singles only, WTA+ATP market coverage, not yet locked-holdout qualified -- promoted by explicit operator directive, not genuine walk-forward validation.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Jessica Pegula</t>
        </is>
      </c>
      <c r="AQ449" s="24" t="inlineStr">
        <is>
          <t>Jessica Pegula</t>
        </is>
      </c>
      <c r="AR449" s="24" t="inlineStr">
        <is>
          <t>Jessica Pegula</t>
        </is>
      </c>
      <c r="AS449" s="24" t="inlineStr">
        <is>
          <t>Coco Gauff</t>
        </is>
      </c>
      <c r="AT449" s="24" t="inlineStr">
        <is>
          <t>Coco Gauff</t>
        </is>
      </c>
      <c r="AU449" s="24" t="inlineStr">
        <is>
          <t>Coco Gauff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d777da58446bc099047b154203518e2585ef1a678f613f2b430f2589f7bf5cff</t>
        </is>
      </c>
      <c r="BB449" s="24" t="inlineStr">
        <is>
          <t>surface_blended_elo</t>
        </is>
      </c>
      <c r="BC449" s="24" t="inlineStr">
        <is>
          <t>tennis-surface-elo-v1</t>
        </is>
      </c>
      <c r="BD449" s="24" t="inlineStr">
        <is>
          <t>d777da58446bc099047b154203518e2585ef1a678f613f2b430f2589f7bf5cff</t>
        </is>
      </c>
      <c r="BE449" s="24" t="inlineStr">
        <is>
          <t>tennis-surface-elo-v1</t>
        </is>
      </c>
      <c r="BF449" s="24" t="inlineStr">
        <is>
          <t>1</t>
        </is>
      </c>
      <c r="BG449" s="24" t="inlineStr">
        <is>
          <t>d777da58446bc099047b154203518e2585ef1a678f613f2b430f2589f7bf5cff</t>
        </is>
      </c>
      <c r="BH449" s="24" t="inlineStr">
        <is>
          <t>2026-08-23T22:30:33.243694Z</t>
        </is>
      </c>
      <c r="BI449" s="24" t="inlineStr">
        <is>
          <t>["same_event","same_team_same_day","same_league_same_day"]</t>
        </is>
      </c>
      <c r="BJ449" s="25" t="n"/>
      <c r="BK449" s="26" t="n">
        <v>150</v>
      </c>
      <c r="BL449" s="27" t="n">
        <v>2.5</v>
      </c>
      <c r="BM449" s="28" t="n">
        <v>0.4</v>
      </c>
      <c r="BN449" s="28" t="n"/>
      <c r="BO449" s="28" t="n"/>
      <c r="BP449" s="25" t="n"/>
      <c r="BQ449" s="27" t="n">
        <v>2.5</v>
      </c>
      <c r="BR449" s="28" t="n">
        <v>0.4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76cb9b9c5a0149f2</t>
        </is>
      </c>
      <c r="B450" s="24" t="inlineStr">
        <is>
          <t>2026-08-23T22:31:14.888082Z</t>
        </is>
      </c>
      <c r="C450" s="24" t="inlineStr">
        <is>
          <t>2026-08-23T23:00Z</t>
        </is>
      </c>
      <c r="D450" s="24" t="inlineStr">
        <is>
          <t>718-2026:182424</t>
        </is>
      </c>
      <c r="E450" s="24" t="inlineStr">
        <is>
          <t>TENNIS</t>
        </is>
      </c>
      <c r="F450" s="24" t="inlineStr">
        <is>
          <t>Jessica Pegula</t>
        </is>
      </c>
      <c r="G450" s="24" t="inlineStr">
        <is>
          <t>Coco Gauff</t>
        </is>
      </c>
      <c r="H450" s="24" t="inlineStr">
        <is>
          <t>spread</t>
        </is>
      </c>
      <c r="I450" s="24" t="inlineStr">
        <is>
          <t>away</t>
        </is>
      </c>
      <c r="J450" s="25" t="n">
        <v>-2.5</v>
      </c>
      <c r="K450" s="24" t="inlineStr">
        <is>
          <t>polymarket_us</t>
        </is>
      </c>
      <c r="L450" s="26" t="n">
        <v>-104</v>
      </c>
      <c r="M450" s="27" t="n">
        <v>1.961538</v>
      </c>
      <c r="N450" s="28" t="n">
        <v>0.509804</v>
      </c>
      <c r="O450" s="28" t="n">
        <v>0.7697000000000001</v>
      </c>
      <c r="P450" s="28" t="n">
        <v>0.05</v>
      </c>
      <c r="Q450" s="28" t="n">
        <v>0.259896</v>
      </c>
      <c r="R450" s="26" t="n">
        <v>100</v>
      </c>
      <c r="S450" s="29" t="n">
        <v>2</v>
      </c>
      <c r="T450" s="24" t="inlineStr">
        <is>
          <t>tennis-surface-elo-v1</t>
        </is>
      </c>
      <c r="U450" s="24" t="inlineStr">
        <is>
          <t>settled</t>
        </is>
      </c>
      <c r="V450" s="24" t="inlineStr">
        <is>
          <t>loss</t>
        </is>
      </c>
      <c r="W450" s="26" t="n">
        <v>6</v>
      </c>
      <c r="X450" s="26" t="n">
        <v>12</v>
      </c>
      <c r="Y450" s="25" t="n"/>
      <c r="Z450" s="26" t="n"/>
      <c r="AA450" s="28" t="n"/>
      <c r="AB450" s="28" t="n"/>
      <c r="AC450" s="30" t="n">
        <v>-2</v>
      </c>
      <c r="AD450" s="24" t="inlineStr">
        <is>
          <t>2026-08-24T04:10:57.281773Z</t>
        </is>
      </c>
      <c r="AE450" s="31" t="inlineStr">
        <is>
          <t>Markov Game Handicap: Jessica Pegula -2.5 vs Coco Gauff Executable ask 0.5100 (asc-wta-cocgau-jespeg-2026-08-24-gs-neg-2pt5).</t>
        </is>
      </c>
      <c r="AF450" s="31" t="inlineStr">
        <is>
          <t>Surface-blended Elo model; singles only, WTA+ATP market coverage, not yet locked-holdout qualified -- promoted by explicit operator directive, not genuine walk-forward validation.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4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Jessica Pegula</t>
        </is>
      </c>
      <c r="AQ450" s="24" t="inlineStr">
        <is>
          <t>Jessica Pegula</t>
        </is>
      </c>
      <c r="AR450" s="24" t="inlineStr">
        <is>
          <t>Jessica Pegula</t>
        </is>
      </c>
      <c r="AS450" s="24" t="inlineStr">
        <is>
          <t>Coco Gauff</t>
        </is>
      </c>
      <c r="AT450" s="24" t="inlineStr">
        <is>
          <t>Coco Gauff</t>
        </is>
      </c>
      <c r="AU450" s="24" t="inlineStr">
        <is>
          <t>Coco Gauff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d777da58446bc099047b154203518e2585ef1a678f613f2b430f2589f7bf5cff</t>
        </is>
      </c>
      <c r="BB450" s="24" t="inlineStr">
        <is>
          <t>surface_blended_elo</t>
        </is>
      </c>
      <c r="BC450" s="24" t="inlineStr">
        <is>
          <t>tennis-surface-elo-v1</t>
        </is>
      </c>
      <c r="BD450" s="24" t="inlineStr">
        <is>
          <t>d777da58446bc099047b154203518e2585ef1a678f613f2b430f2589f7bf5cff</t>
        </is>
      </c>
      <c r="BE450" s="24" t="inlineStr">
        <is>
          <t>tennis-surface-elo-v1</t>
        </is>
      </c>
      <c r="BF450" s="24" t="inlineStr">
        <is>
          <t>1</t>
        </is>
      </c>
      <c r="BG450" s="24" t="inlineStr">
        <is>
          <t>d777da58446bc099047b154203518e2585ef1a678f613f2b430f2589f7bf5cff</t>
        </is>
      </c>
      <c r="BH450" s="24" t="inlineStr">
        <is>
          <t>2026-08-23T22:30:33.276344Z</t>
        </is>
      </c>
      <c r="BI450" s="24" t="inlineStr">
        <is>
          <t>["same_event","same_team_same_day","same_league_same_day"]</t>
        </is>
      </c>
      <c r="BJ450" s="25" t="n">
        <v>-2.5</v>
      </c>
      <c r="BK450" s="26" t="n">
        <v>-104</v>
      </c>
      <c r="BL450" s="27" t="n">
        <v>1.961538</v>
      </c>
      <c r="BM450" s="28" t="n">
        <v>0.509804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0.509804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ca679c2d5cb84d5c</t>
        </is>
      </c>
      <c r="B451" s="24" t="inlineStr">
        <is>
          <t>2026-08-23T22:31:14.888082Z</t>
        </is>
      </c>
      <c r="C451" s="24" t="inlineStr">
        <is>
          <t>2026-08-23T23:00Z</t>
        </is>
      </c>
      <c r="D451" s="24" t="inlineStr">
        <is>
          <t>718-2026:182424</t>
        </is>
      </c>
      <c r="E451" s="24" t="inlineStr">
        <is>
          <t>TENNIS</t>
        </is>
      </c>
      <c r="F451" s="24" t="inlineStr">
        <is>
          <t>Jessica Pegula</t>
        </is>
      </c>
      <c r="G451" s="24" t="inlineStr">
        <is>
          <t>Coco Gauff</t>
        </is>
      </c>
      <c r="H451" s="24" t="inlineStr">
        <is>
          <t>total</t>
        </is>
      </c>
      <c r="I451" s="24" t="inlineStr">
        <is>
          <t>over</t>
        </is>
      </c>
      <c r="J451" s="25" t="n">
        <v>22.5</v>
      </c>
      <c r="K451" s="24" t="inlineStr">
        <is>
          <t>polymarket_us</t>
        </is>
      </c>
      <c r="L451" s="26" t="n">
        <v>117</v>
      </c>
      <c r="M451" s="27" t="n">
        <v>2.17</v>
      </c>
      <c r="N451" s="28" t="n">
        <v>0.460829</v>
      </c>
      <c r="O451" s="28" t="n">
        <v>0.7605</v>
      </c>
      <c r="P451" s="28" t="n">
        <v>0.05</v>
      </c>
      <c r="Q451" s="28" t="n">
        <v>0.299671</v>
      </c>
      <c r="R451" s="26" t="n">
        <v>100</v>
      </c>
      <c r="S451" s="29" t="n">
        <v>2</v>
      </c>
      <c r="T451" s="24" t="inlineStr">
        <is>
          <t>tennis-surface-elo-v1</t>
        </is>
      </c>
      <c r="U451" s="24" t="inlineStr">
        <is>
          <t>settled</t>
        </is>
      </c>
      <c r="V451" s="24" t="inlineStr">
        <is>
          <t>loss</t>
        </is>
      </c>
      <c r="W451" s="26" t="n">
        <v>6</v>
      </c>
      <c r="X451" s="26" t="n">
        <v>12</v>
      </c>
      <c r="Y451" s="25" t="n"/>
      <c r="Z451" s="26" t="n"/>
      <c r="AA451" s="28" t="n"/>
      <c r="AB451" s="28" t="n"/>
      <c r="AC451" s="30" t="n">
        <v>-2</v>
      </c>
      <c r="AD451" s="24" t="inlineStr">
        <is>
          <t>2026-08-24T04:12:29.992242Z</t>
        </is>
      </c>
      <c r="AE451" s="31" t="inlineStr">
        <is>
          <t>Markov Total Games: OVER 22.5 (Exp: 25.5 games) Executable ask 0.4600 (tsc-wta-cocgau-jespeg-2026-08-24-tg-22pt5).</t>
        </is>
      </c>
      <c r="AF451" s="31" t="inlineStr">
        <is>
          <t>Surface-blended Elo model; singles only, WTA+ATP market coverage, not yet locked-holdout qualified -- promoted by explicit operator directive, not genuine walk-forward validation.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model_qualified</t>
        </is>
      </c>
      <c r="AL451" s="26" t="n">
        <v>4</v>
      </c>
      <c r="AM451" s="24" t="inlineStr">
        <is>
          <t>QUALIFIED_SHADOW_CALL</t>
        </is>
      </c>
      <c r="AN451" s="24" t="inlineStr">
        <is>
          <t>CALL</t>
        </is>
      </c>
      <c r="AO451" s="24" t="inlineStr">
        <is>
          <t>QUALIFIED</t>
        </is>
      </c>
      <c r="AP451" s="24" t="inlineStr">
        <is>
          <t>Jessica Pegula</t>
        </is>
      </c>
      <c r="AQ451" s="24" t="inlineStr">
        <is>
          <t>Jessica Pegula</t>
        </is>
      </c>
      <c r="AR451" s="24" t="inlineStr">
        <is>
          <t>Jessica Pegula</t>
        </is>
      </c>
      <c r="AS451" s="24" t="inlineStr">
        <is>
          <t>Coco Gauff</t>
        </is>
      </c>
      <c r="AT451" s="24" t="inlineStr">
        <is>
          <t>Coco Gauff</t>
        </is>
      </c>
      <c r="AU451" s="24" t="inlineStr">
        <is>
          <t>Coco Gauff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d777da58446bc099047b154203518e2585ef1a678f613f2b430f2589f7bf5cff</t>
        </is>
      </c>
      <c r="BB451" s="24" t="inlineStr">
        <is>
          <t>surface_blended_elo</t>
        </is>
      </c>
      <c r="BC451" s="24" t="inlineStr">
        <is>
          <t>tennis-surface-elo-v1</t>
        </is>
      </c>
      <c r="BD451" s="24" t="inlineStr">
        <is>
          <t>d777da58446bc099047b154203518e2585ef1a678f613f2b430f2589f7bf5cff</t>
        </is>
      </c>
      <c r="BE451" s="24" t="inlineStr">
        <is>
          <t>tennis-surface-elo-v1</t>
        </is>
      </c>
      <c r="BF451" s="24" t="inlineStr">
        <is>
          <t>1</t>
        </is>
      </c>
      <c r="BG451" s="24" t="inlineStr">
        <is>
          <t>d777da58446bc099047b154203518e2585ef1a678f613f2b430f2589f7bf5cff</t>
        </is>
      </c>
      <c r="BH451" s="24" t="inlineStr">
        <is>
          <t>2026-08-23T22:30:33.286897Z</t>
        </is>
      </c>
      <c r="BI451" s="24" t="inlineStr">
        <is>
          <t>["same_event","same_team_same_day","same_league_same_day"]</t>
        </is>
      </c>
      <c r="BJ451" s="25" t="n">
        <v>22.5</v>
      </c>
      <c r="BK451" s="26" t="n">
        <v>117</v>
      </c>
      <c r="BL451" s="27" t="n">
        <v>2.17</v>
      </c>
      <c r="BM451" s="28" t="n">
        <v>0.460829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0.460829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d72e9efd877744b0</t>
        </is>
      </c>
      <c r="B452" s="24" t="inlineStr">
        <is>
          <t>2026-08-23T22:31:14.888082Z</t>
        </is>
      </c>
      <c r="C452" s="24" t="inlineStr">
        <is>
          <t>2026-08-24T01:00Z</t>
        </is>
      </c>
      <c r="D452" s="24" t="inlineStr">
        <is>
          <t>341-2026:182510</t>
        </is>
      </c>
      <c r="E452" s="24" t="inlineStr">
        <is>
          <t>TENNIS</t>
        </is>
      </c>
      <c r="F452" s="24" t="inlineStr">
        <is>
          <t>Nikola Bartunkova</t>
        </is>
      </c>
      <c r="G452" s="24" t="inlineStr">
        <is>
          <t>Antonia Ruzic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-245</v>
      </c>
      <c r="M452" s="27" t="n">
        <v>1.408163</v>
      </c>
      <c r="N452" s="28" t="n">
        <v>0.710145</v>
      </c>
      <c r="O452" s="28" t="n">
        <v>0.6029</v>
      </c>
      <c r="P452" s="28" t="n">
        <v>0.05</v>
      </c>
      <c r="Q452" s="28" t="n">
        <v>-0.107245</v>
      </c>
      <c r="R452" s="26" t="n">
        <v>0</v>
      </c>
      <c r="S452" s="29" t="n">
        <v>1</v>
      </c>
      <c r="T452" s="24" t="inlineStr">
        <is>
          <t>tennis-surface-elo-v1</t>
        </is>
      </c>
      <c r="U452" s="24" t="inlineStr">
        <is>
          <t>settled</t>
        </is>
      </c>
      <c r="V452" s="24" t="inlineStr">
        <is>
          <t>win</t>
        </is>
      </c>
      <c r="W452" s="26" t="n">
        <v>1</v>
      </c>
      <c r="X452" s="26" t="n">
        <v>0</v>
      </c>
      <c r="Y452" s="25" t="n"/>
      <c r="Z452" s="26" t="n">
        <v>-245</v>
      </c>
      <c r="AA452" s="28" t="n">
        <v>0.71</v>
      </c>
      <c r="AB452" s="28" t="n">
        <v>-0.000145</v>
      </c>
      <c r="AC452" s="30" t="n">
        <v>0.4082</v>
      </c>
      <c r="AD452" s="24" t="inlineStr">
        <is>
          <t>2026-08-24T04:59:36.954409Z</t>
        </is>
      </c>
      <c r="AE452" s="31" t="inlineStr">
        <is>
          <t>Surface-blended Elo on Hard: Nikola Bartunkova p=0.603 vs Antonia Ruzic. Executable ask 0.7100 (aec-wta-antruz-nikbar-2026-08-23).</t>
        </is>
      </c>
      <c r="AF452" s="31" t="inlineStr">
        <is>
          <t>Surface-blended Elo model; singles only, WTA+ATP market coverage, not yet locked-holdout qualified -- promoted by explicit operator directive, not genuine walk-forward validation.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Nikola Bartunkova</t>
        </is>
      </c>
      <c r="AQ452" s="24" t="inlineStr">
        <is>
          <t>Nikola Bartunkova</t>
        </is>
      </c>
      <c r="AR452" s="24" t="inlineStr">
        <is>
          <t>Nikola Bartunkova</t>
        </is>
      </c>
      <c r="AS452" s="24" t="inlineStr">
        <is>
          <t>Antonia Ruzic</t>
        </is>
      </c>
      <c r="AT452" s="24" t="inlineStr">
        <is>
          <t>Antonia Ruzic</t>
        </is>
      </c>
      <c r="AU452" s="24" t="inlineStr">
        <is>
          <t>Antonia Ruzic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d777da58446bc099047b154203518e2585ef1a678f613f2b430f2589f7bf5cff</t>
        </is>
      </c>
      <c r="BB452" s="24" t="inlineStr">
        <is>
          <t>surface_blended_elo</t>
        </is>
      </c>
      <c r="BC452" s="24" t="inlineStr">
        <is>
          <t>tennis-surface-elo-v1</t>
        </is>
      </c>
      <c r="BD452" s="24" t="inlineStr">
        <is>
          <t>d777da58446bc099047b154203518e2585ef1a678f613f2b430f2589f7bf5cff</t>
        </is>
      </c>
      <c r="BE452" s="24" t="inlineStr">
        <is>
          <t>tennis-surface-elo-v1</t>
        </is>
      </c>
      <c r="BF452" s="24" t="inlineStr">
        <is>
          <t>1</t>
        </is>
      </c>
      <c r="BG452" s="24" t="inlineStr">
        <is>
          <t>d777da58446bc099047b154203518e2585ef1a678f613f2b430f2589f7bf5cff</t>
        </is>
      </c>
      <c r="BH452" s="24" t="inlineStr">
        <is>
          <t>2026-08-23T22:30:33.384505Z</t>
        </is>
      </c>
      <c r="BI452" s="24" t="inlineStr">
        <is>
          <t>["same_event","same_team_same_day","same_league_same_day"]</t>
        </is>
      </c>
      <c r="BJ452" s="25" t="n"/>
      <c r="BK452" s="26" t="n">
        <v>-245</v>
      </c>
      <c r="BL452" s="27" t="n">
        <v>1.408163</v>
      </c>
      <c r="BM452" s="28" t="n">
        <v>0.710145</v>
      </c>
      <c r="BN452" s="28" t="n"/>
      <c r="BO452" s="28" t="n"/>
      <c r="BP452" s="25" t="n"/>
      <c r="BQ452" s="27" t="n">
        <v>1.408163</v>
      </c>
      <c r="BR452" s="28" t="n">
        <v>0.71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0.710145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79d4861b8f5745d5</t>
        </is>
      </c>
      <c r="B453" s="24" t="inlineStr">
        <is>
          <t>2026-08-23T22:31:14.888082Z</t>
        </is>
      </c>
      <c r="C453" s="24" t="inlineStr">
        <is>
          <t>2026-08-24T01:00Z</t>
        </is>
      </c>
      <c r="D453" s="24" t="inlineStr">
        <is>
          <t>341-2026:182510</t>
        </is>
      </c>
      <c r="E453" s="24" t="inlineStr">
        <is>
          <t>TENNIS</t>
        </is>
      </c>
      <c r="F453" s="24" t="inlineStr">
        <is>
          <t>Nikola Bartunkova</t>
        </is>
      </c>
      <c r="G453" s="24" t="inlineStr">
        <is>
          <t>Antonia Ruzic</t>
        </is>
      </c>
      <c r="H453" s="24" t="inlineStr">
        <is>
          <t>spread</t>
        </is>
      </c>
      <c r="I453" s="24" t="inlineStr">
        <is>
          <t>home</t>
        </is>
      </c>
      <c r="J453" s="25" t="n">
        <v>-1.5</v>
      </c>
      <c r="K453" s="24" t="inlineStr">
        <is>
          <t>polymarket_us</t>
        </is>
      </c>
      <c r="L453" s="26" t="n">
        <v>-4900</v>
      </c>
      <c r="M453" s="27" t="n">
        <v>1.020408</v>
      </c>
      <c r="N453" s="28" t="n">
        <v>0.98</v>
      </c>
      <c r="O453" s="28" t="n">
        <v>0.5873</v>
      </c>
      <c r="P453" s="28" t="n">
        <v>0.05</v>
      </c>
      <c r="Q453" s="28" t="n">
        <v>-0.3927</v>
      </c>
      <c r="R453" s="26" t="n">
        <v>0</v>
      </c>
      <c r="S453" s="29" t="n">
        <v>1</v>
      </c>
      <c r="T453" s="24" t="inlineStr">
        <is>
          <t>tennis-surface-elo-v1</t>
        </is>
      </c>
      <c r="U453" s="24" t="inlineStr">
        <is>
          <t>settled</t>
        </is>
      </c>
      <c r="V453" s="24" t="inlineStr">
        <is>
          <t>push</t>
        </is>
      </c>
      <c r="W453" s="26" t="n"/>
      <c r="X453" s="26" t="n"/>
      <c r="Y453" s="25" t="n"/>
      <c r="Z453" s="26" t="n"/>
      <c r="AA453" s="28" t="n"/>
      <c r="AB453" s="28" t="n"/>
      <c r="AC453" s="30" t="n">
        <v>0</v>
      </c>
      <c r="AD453" s="24" t="inlineStr">
        <is>
          <t>2026-10-06T22:52:12.364744Z</t>
        </is>
      </c>
      <c r="AE453" s="31" t="inlineStr">
        <is>
          <t>Markov Game Handicap: Nikola Bartunkova +1.5 vs Antonia Ruzic Executable ask 0.9800 (asc-wta-antruz-nikbar-2026-08-23-ss-pos-1pt5).</t>
        </is>
      </c>
      <c r="AF453" s="31" t="inlineStr">
        <is>
          <t>Surface-blended Elo model; singles only, WTA+ATP market coverage, not yet locked-holdout qualified -- promoted by explicit operator directive, not genuine walk-forward validation.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Nikola Bartunkova</t>
        </is>
      </c>
      <c r="AQ453" s="24" t="inlineStr">
        <is>
          <t>Nikola Bartunkova</t>
        </is>
      </c>
      <c r="AR453" s="24" t="inlineStr">
        <is>
          <t>Nikola Bartunkova</t>
        </is>
      </c>
      <c r="AS453" s="24" t="inlineStr">
        <is>
          <t>Antonia Ruzic</t>
        </is>
      </c>
      <c r="AT453" s="24" t="inlineStr">
        <is>
          <t>Antonia Ruzic</t>
        </is>
      </c>
      <c r="AU453" s="24" t="inlineStr">
        <is>
          <t>Antonia Ruzic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d777da58446bc099047b154203518e2585ef1a678f613f2b430f2589f7bf5cff</t>
        </is>
      </c>
      <c r="BB453" s="24" t="inlineStr">
        <is>
          <t>surface_blended_elo</t>
        </is>
      </c>
      <c r="BC453" s="24" t="inlineStr">
        <is>
          <t>tennis-surface-elo-v1</t>
        </is>
      </c>
      <c r="BD453" s="24" t="inlineStr">
        <is>
          <t>d777da58446bc099047b154203518e2585ef1a678f613f2b430f2589f7bf5cff</t>
        </is>
      </c>
      <c r="BE453" s="24" t="inlineStr">
        <is>
          <t>tennis-surface-elo-v1</t>
        </is>
      </c>
      <c r="BF453" s="24" t="inlineStr">
        <is>
          <t>1</t>
        </is>
      </c>
      <c r="BG453" s="24" t="inlineStr">
        <is>
          <t>d777da58446bc099047b154203518e2585ef1a678f613f2b430f2589f7bf5cff</t>
        </is>
      </c>
      <c r="BH453" s="24" t="inlineStr">
        <is>
          <t>2026-08-23T22:30:33.311234Z</t>
        </is>
      </c>
      <c r="BI453" s="24" t="inlineStr">
        <is>
          <t>["same_event","same_team_same_day","same_league_same_day"]</t>
        </is>
      </c>
      <c r="BJ453" s="25" t="n">
        <v>-1.5</v>
      </c>
      <c r="BK453" s="26" t="n">
        <v>-4900</v>
      </c>
      <c r="BL453" s="27" t="n">
        <v>1.020408</v>
      </c>
      <c r="BM453" s="28" t="n">
        <v>0.98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inlineStr">
        <is>
          <t>UNSUPPORTED_TENNIS_SUBPERIOD_SETTLEMENT: exact set/period identity and result dimensions are unavailable</t>
        </is>
      </c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0.98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9b0fb5a81bae4693</t>
        </is>
      </c>
      <c r="B454" s="24" t="inlineStr">
        <is>
          <t>2026-08-23T22:31:14.888082Z</t>
        </is>
      </c>
      <c r="C454" s="24" t="inlineStr">
        <is>
          <t>2026-08-24T01:00Z</t>
        </is>
      </c>
      <c r="D454" s="24" t="inlineStr">
        <is>
          <t>341-2026:182510</t>
        </is>
      </c>
      <c r="E454" s="24" t="inlineStr">
        <is>
          <t>TENNIS</t>
        </is>
      </c>
      <c r="F454" s="24" t="inlineStr">
        <is>
          <t>Nikola Bartunkova</t>
        </is>
      </c>
      <c r="G454" s="24" t="inlineStr">
        <is>
          <t>Antonia Ruzic</t>
        </is>
      </c>
      <c r="H454" s="24" t="inlineStr">
        <is>
          <t>total</t>
        </is>
      </c>
      <c r="I454" s="24" t="inlineStr">
        <is>
          <t>over</t>
        </is>
      </c>
      <c r="J454" s="25" t="n">
        <v>21.5</v>
      </c>
      <c r="K454" s="24" t="inlineStr">
        <is>
          <t>polymarket_us</t>
        </is>
      </c>
      <c r="L454" s="26" t="n">
        <v>113</v>
      </c>
      <c r="M454" s="27" t="n">
        <v>2.13</v>
      </c>
      <c r="N454" s="28" t="n">
        <v>0.469484</v>
      </c>
      <c r="O454" s="28" t="n">
        <v>0.8159</v>
      </c>
      <c r="P454" s="28" t="n">
        <v>0.05</v>
      </c>
      <c r="Q454" s="28" t="n">
        <v>0.346416</v>
      </c>
      <c r="R454" s="26" t="n">
        <v>100</v>
      </c>
      <c r="S454" s="29" t="n">
        <v>2</v>
      </c>
      <c r="T454" s="24" t="inlineStr">
        <is>
          <t>tennis-surface-elo-v1</t>
        </is>
      </c>
      <c r="U454" s="24" t="inlineStr">
        <is>
          <t>settled</t>
        </is>
      </c>
      <c r="V454" s="24" t="inlineStr">
        <is>
          <t>loss</t>
        </is>
      </c>
      <c r="W454" s="26" t="n">
        <v>12</v>
      </c>
      <c r="X454" s="26" t="n">
        <v>7</v>
      </c>
      <c r="Y454" s="25" t="n"/>
      <c r="Z454" s="26" t="n"/>
      <c r="AA454" s="28" t="n"/>
      <c r="AB454" s="28" t="n"/>
      <c r="AC454" s="30" t="n">
        <v>-2</v>
      </c>
      <c r="AD454" s="24" t="inlineStr">
        <is>
          <t>2026-08-24T05:00:16.866286Z</t>
        </is>
      </c>
      <c r="AE454" s="31" t="inlineStr">
        <is>
          <t>Markov Total Games: OVER 21.5 (Exp: 25.3 games) Executable ask 0.4700 (tsc-wta-antruz-nikbar-2026-08-23-tg-21pt5).</t>
        </is>
      </c>
      <c r="AF454" s="31" t="inlineStr">
        <is>
          <t>Surface-blended Elo model; singles only, WTA+ATP market coverage, not yet locked-holdout qualified -- promoted by explicit operator directive, not genuine walk-forward validation.</t>
        </is>
      </c>
      <c r="AG454" s="24" t="inlineStr">
        <is>
          <t>review_required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Nikola Bartunkova</t>
        </is>
      </c>
      <c r="AQ454" s="24" t="inlineStr">
        <is>
          <t>Nikola Bartunkova</t>
        </is>
      </c>
      <c r="AR454" s="24" t="inlineStr">
        <is>
          <t>Nikola Bartunkova</t>
        </is>
      </c>
      <c r="AS454" s="24" t="inlineStr">
        <is>
          <t>Antonia Ruzic</t>
        </is>
      </c>
      <c r="AT454" s="24" t="inlineStr">
        <is>
          <t>Antonia Ruzic</t>
        </is>
      </c>
      <c r="AU454" s="24" t="inlineStr">
        <is>
          <t>Antonia Ruzic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d777da58446bc099047b154203518e2585ef1a678f613f2b430f2589f7bf5cff</t>
        </is>
      </c>
      <c r="BB454" s="24" t="inlineStr">
        <is>
          <t>surface_blended_elo</t>
        </is>
      </c>
      <c r="BC454" s="24" t="inlineStr">
        <is>
          <t>tennis-surface-elo-v1</t>
        </is>
      </c>
      <c r="BD454" s="24" t="inlineStr">
        <is>
          <t>d777da58446bc099047b154203518e2585ef1a678f613f2b430f2589f7bf5cff</t>
        </is>
      </c>
      <c r="BE454" s="24" t="inlineStr">
        <is>
          <t>tennis-surface-elo-v1</t>
        </is>
      </c>
      <c r="BF454" s="24" t="inlineStr">
        <is>
          <t>1</t>
        </is>
      </c>
      <c r="BG454" s="24" t="inlineStr">
        <is>
          <t>d777da58446bc099047b154203518e2585ef1a678f613f2b430f2589f7bf5cff</t>
        </is>
      </c>
      <c r="BH454" s="24" t="inlineStr">
        <is>
          <t>2026-08-23T22:30:33.370707Z</t>
        </is>
      </c>
      <c r="BI454" s="24" t="inlineStr">
        <is>
          <t>["same_event","same_team_same_day","same_league_same_day"]</t>
        </is>
      </c>
      <c r="BJ454" s="25" t="n">
        <v>21.5</v>
      </c>
      <c r="BK454" s="26" t="n">
        <v>113</v>
      </c>
      <c r="BL454" s="27" t="n">
        <v>2.13</v>
      </c>
      <c r="BM454" s="28" t="n">
        <v>0.469484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0.469484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61b9bf061afd444d</t>
        </is>
      </c>
      <c r="B455" s="24" t="inlineStr">
        <is>
          <t>2026-08-23T22:31:14.888082Z</t>
        </is>
      </c>
      <c r="C455" s="24" t="inlineStr">
        <is>
          <t>2026-08-24T01:00Z</t>
        </is>
      </c>
      <c r="D455" s="24" t="inlineStr">
        <is>
          <t>341-2026:182510</t>
        </is>
      </c>
      <c r="E455" s="24" t="inlineStr">
        <is>
          <t>TENNIS</t>
        </is>
      </c>
      <c r="F455" s="24" t="inlineStr">
        <is>
          <t>Nikola Bartunkova</t>
        </is>
      </c>
      <c r="G455" s="24" t="inlineStr">
        <is>
          <t>Antonia Ruzic</t>
        </is>
      </c>
      <c r="H455" s="24" t="inlineStr">
        <is>
          <t>spread</t>
        </is>
      </c>
      <c r="I455" s="24" t="inlineStr">
        <is>
          <t>home</t>
        </is>
      </c>
      <c r="J455" s="25" t="n">
        <v>-3.5</v>
      </c>
      <c r="K455" s="24" t="inlineStr">
        <is>
          <t>polymarket_us</t>
        </is>
      </c>
      <c r="L455" s="26" t="n">
        <v>122</v>
      </c>
      <c r="M455" s="27" t="n">
        <v>2.22</v>
      </c>
      <c r="N455" s="28" t="n">
        <v>0.45045</v>
      </c>
      <c r="O455" s="28" t="n">
        <v>0.7644</v>
      </c>
      <c r="P455" s="28" t="n">
        <v>0.05</v>
      </c>
      <c r="Q455" s="28" t="n">
        <v>0.31395</v>
      </c>
      <c r="R455" s="26" t="n">
        <v>100</v>
      </c>
      <c r="S455" s="29" t="n">
        <v>2</v>
      </c>
      <c r="T455" s="24" t="inlineStr">
        <is>
          <t>tennis-surface-elo-v1</t>
        </is>
      </c>
      <c r="U455" s="24" t="inlineStr">
        <is>
          <t>settled</t>
        </is>
      </c>
      <c r="V455" s="24" t="inlineStr">
        <is>
          <t>loss</t>
        </is>
      </c>
      <c r="W455" s="26" t="n">
        <v>12</v>
      </c>
      <c r="X455" s="26" t="n">
        <v>7</v>
      </c>
      <c r="Y455" s="25" t="n"/>
      <c r="Z455" s="26" t="n"/>
      <c r="AA455" s="28" t="n"/>
      <c r="AB455" s="28" t="n"/>
      <c r="AC455" s="30" t="n">
        <v>-2</v>
      </c>
      <c r="AD455" s="24" t="inlineStr">
        <is>
          <t>2026-08-24T05:00:20.395978Z</t>
        </is>
      </c>
      <c r="AE455" s="31" t="inlineStr">
        <is>
          <t>Markov Game Handicap: Nikola Bartunkova +3.5 vs Antonia Ruzic Executable ask 0.4500 (asc-wta-antruz-nikbar-2026-08-23-gs-pos-3pt5).</t>
        </is>
      </c>
      <c r="AF455" s="31" t="inlineStr">
        <is>
          <t>Surface-blended Elo model; singles only, WTA+ATP market coverage, not yet locked-holdout qualified -- promoted by explicit operator directive, not genuine walk-forward validation.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Nikola Bartunkova</t>
        </is>
      </c>
      <c r="AQ455" s="24" t="inlineStr">
        <is>
          <t>Nikola Bartunkova</t>
        </is>
      </c>
      <c r="AR455" s="24" t="inlineStr">
        <is>
          <t>Nikola Bartunkova</t>
        </is>
      </c>
      <c r="AS455" s="24" t="inlineStr">
        <is>
          <t>Antonia Ruzic</t>
        </is>
      </c>
      <c r="AT455" s="24" t="inlineStr">
        <is>
          <t>Antonia Ruzic</t>
        </is>
      </c>
      <c r="AU455" s="24" t="inlineStr">
        <is>
          <t>Antonia Ruzic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d777da58446bc099047b154203518e2585ef1a678f613f2b430f2589f7bf5cff</t>
        </is>
      </c>
      <c r="BB455" s="24" t="inlineStr">
        <is>
          <t>surface_blended_elo</t>
        </is>
      </c>
      <c r="BC455" s="24" t="inlineStr">
        <is>
          <t>tennis-surface-elo-v1</t>
        </is>
      </c>
      <c r="BD455" s="24" t="inlineStr">
        <is>
          <t>d777da58446bc099047b154203518e2585ef1a678f613f2b430f2589f7bf5cff</t>
        </is>
      </c>
      <c r="BE455" s="24" t="inlineStr">
        <is>
          <t>tennis-surface-elo-v1</t>
        </is>
      </c>
      <c r="BF455" s="24" t="inlineStr">
        <is>
          <t>1</t>
        </is>
      </c>
      <c r="BG455" s="24" t="inlineStr">
        <is>
          <t>d777da58446bc099047b154203518e2585ef1a678f613f2b430f2589f7bf5cff</t>
        </is>
      </c>
      <c r="BH455" s="24" t="inlineStr">
        <is>
          <t>2026-08-23T22:30:33.369445Z</t>
        </is>
      </c>
      <c r="BI455" s="24" t="inlineStr">
        <is>
          <t>["same_event","same_team_same_day","same_league_same_day"]</t>
        </is>
      </c>
      <c r="BJ455" s="25" t="n">
        <v>-3.5</v>
      </c>
      <c r="BK455" s="26" t="n">
        <v>122</v>
      </c>
      <c r="BL455" s="27" t="n">
        <v>2.22</v>
      </c>
      <c r="BM455" s="28" t="n">
        <v>0.45045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0.45045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0d944641602e4883</t>
        </is>
      </c>
      <c r="B456" s="24" t="inlineStr">
        <is>
          <t>2026-08-23T22:31:14.888082Z</t>
        </is>
      </c>
      <c r="C456" s="24" t="inlineStr">
        <is>
          <t>2026-08-24T01:30Z</t>
        </is>
      </c>
      <c r="D456" s="24" t="inlineStr">
        <is>
          <t>341-2026:182487</t>
        </is>
      </c>
      <c r="E456" s="24" t="inlineStr">
        <is>
          <t>TENNIS</t>
        </is>
      </c>
      <c r="F456" s="24" t="inlineStr">
        <is>
          <t>Yuliia Starodubtseva</t>
        </is>
      </c>
      <c r="G456" s="24" t="inlineStr">
        <is>
          <t>Lilli Tagger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-194</v>
      </c>
      <c r="M456" s="27" t="n">
        <v>1.515464</v>
      </c>
      <c r="N456" s="28" t="n">
        <v>0.659864</v>
      </c>
      <c r="O456" s="28" t="n">
        <v>0.5834</v>
      </c>
      <c r="P456" s="28" t="n">
        <v>0.05</v>
      </c>
      <c r="Q456" s="28" t="n">
        <v>-0.076464</v>
      </c>
      <c r="R456" s="26" t="n">
        <v>0</v>
      </c>
      <c r="S456" s="29" t="n">
        <v>1</v>
      </c>
      <c r="T456" s="24" t="inlineStr">
        <is>
          <t>tennis-surface-elo-v1</t>
        </is>
      </c>
      <c r="U456" s="24" t="inlineStr">
        <is>
          <t>settled</t>
        </is>
      </c>
      <c r="V456" s="24" t="inlineStr">
        <is>
          <t>loss</t>
        </is>
      </c>
      <c r="W456" s="26" t="n">
        <v>1</v>
      </c>
      <c r="X456" s="26" t="n">
        <v>0</v>
      </c>
      <c r="Y456" s="25" t="n"/>
      <c r="Z456" s="26" t="n">
        <v>-194</v>
      </c>
      <c r="AA456" s="28" t="n">
        <v>0.66</v>
      </c>
      <c r="AB456" s="28" t="n">
        <v>0.000136</v>
      </c>
      <c r="AC456" s="30" t="n">
        <v>-1</v>
      </c>
      <c r="AD456" s="24" t="inlineStr">
        <is>
          <t>2026-08-24T04:47:23.044308Z</t>
        </is>
      </c>
      <c r="AE456" s="31" t="inlineStr">
        <is>
          <t>Surface-blended Elo on Hard: Yuliia Starodubtseva p=0.417 vs Lilli Tagger. Executable ask 0.6600 (aec-wta-liltag-yulsta-2026-08-23).</t>
        </is>
      </c>
      <c r="AF456" s="31" t="inlineStr">
        <is>
          <t>Surface-blended Elo model; singles only, WTA+ATP market coverage, not yet locked-holdout qualified -- promoted by explicit operator directive, not genuine walk-forward validation.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Yuliia Starodubtseva</t>
        </is>
      </c>
      <c r="AQ456" s="24" t="inlineStr">
        <is>
          <t>Yuliia Starodubtseva</t>
        </is>
      </c>
      <c r="AR456" s="24" t="inlineStr">
        <is>
          <t>Yuliia Starodubtseva</t>
        </is>
      </c>
      <c r="AS456" s="24" t="inlineStr">
        <is>
          <t>Lilli Tagger</t>
        </is>
      </c>
      <c r="AT456" s="24" t="inlineStr">
        <is>
          <t>Lilli Tagger</t>
        </is>
      </c>
      <c r="AU456" s="24" t="inlineStr">
        <is>
          <t>Lilli Tagger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d777da58446bc099047b154203518e2585ef1a678f613f2b430f2589f7bf5cff</t>
        </is>
      </c>
      <c r="BB456" s="24" t="inlineStr">
        <is>
          <t>surface_blended_elo</t>
        </is>
      </c>
      <c r="BC456" s="24" t="inlineStr">
        <is>
          <t>tennis-surface-elo-v1</t>
        </is>
      </c>
      <c r="BD456" s="24" t="inlineStr">
        <is>
          <t>d777da58446bc099047b154203518e2585ef1a678f613f2b430f2589f7bf5cff</t>
        </is>
      </c>
      <c r="BE456" s="24" t="inlineStr">
        <is>
          <t>tennis-surface-elo-v1</t>
        </is>
      </c>
      <c r="BF456" s="24" t="inlineStr">
        <is>
          <t>1</t>
        </is>
      </c>
      <c r="BG456" s="24" t="inlineStr">
        <is>
          <t>d777da58446bc099047b154203518e2585ef1a678f613f2b430f2589f7bf5cff</t>
        </is>
      </c>
      <c r="BH456" s="24" t="inlineStr">
        <is>
          <t>2026-08-23T22:30:33.433099Z</t>
        </is>
      </c>
      <c r="BI456" s="24" t="inlineStr">
        <is>
          <t>["same_event","same_team_same_day","same_league_same_day"]</t>
        </is>
      </c>
      <c r="BJ456" s="25" t="n"/>
      <c r="BK456" s="26" t="n">
        <v>-194</v>
      </c>
      <c r="BL456" s="27" t="n">
        <v>1.515464</v>
      </c>
      <c r="BM456" s="28" t="n">
        <v>0.659864</v>
      </c>
      <c r="BN456" s="28" t="n"/>
      <c r="BO456" s="28" t="n"/>
      <c r="BP456" s="25" t="n"/>
      <c r="BQ456" s="27" t="n">
        <v>1.515464</v>
      </c>
      <c r="BR456" s="28" t="n">
        <v>0.66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0.659864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b55c74d5a4a74d6f</t>
        </is>
      </c>
      <c r="B457" s="24" t="inlineStr">
        <is>
          <t>2026-08-23T22:31:14.888082Z</t>
        </is>
      </c>
      <c r="C457" s="24" t="inlineStr">
        <is>
          <t>2026-08-24T01:30Z</t>
        </is>
      </c>
      <c r="D457" s="24" t="inlineStr">
        <is>
          <t>341-2026:182487</t>
        </is>
      </c>
      <c r="E457" s="24" t="inlineStr">
        <is>
          <t>TENNIS</t>
        </is>
      </c>
      <c r="F457" s="24" t="inlineStr">
        <is>
          <t>Yuliia Starodubtseva</t>
        </is>
      </c>
      <c r="G457" s="24" t="inlineStr">
        <is>
          <t>Lilli Tagger</t>
        </is>
      </c>
      <c r="H457" s="24" t="inlineStr">
        <is>
          <t>spread</t>
        </is>
      </c>
      <c r="I457" s="24" t="inlineStr">
        <is>
          <t>home</t>
        </is>
      </c>
      <c r="J457" s="25" t="n">
        <v>-1.5</v>
      </c>
      <c r="K457" s="24" t="inlineStr">
        <is>
          <t>polymarket_us</t>
        </is>
      </c>
      <c r="L457" s="26" t="n">
        <v>-4900</v>
      </c>
      <c r="M457" s="27" t="n">
        <v>1.020408</v>
      </c>
      <c r="N457" s="28" t="n">
        <v>0.98</v>
      </c>
      <c r="O457" s="28" t="n">
        <v>0.6915</v>
      </c>
      <c r="P457" s="28" t="n">
        <v>0.05</v>
      </c>
      <c r="Q457" s="28" t="n">
        <v>-0.2885</v>
      </c>
      <c r="R457" s="26" t="n">
        <v>0</v>
      </c>
      <c r="S457" s="29" t="n">
        <v>1</v>
      </c>
      <c r="T457" s="24" t="inlineStr">
        <is>
          <t>tennis-surface-elo-v1</t>
        </is>
      </c>
      <c r="U457" s="24" t="inlineStr">
        <is>
          <t>settled</t>
        </is>
      </c>
      <c r="V457" s="24" t="inlineStr">
        <is>
          <t>push</t>
        </is>
      </c>
      <c r="W457" s="26" t="n"/>
      <c r="X457" s="26" t="n"/>
      <c r="Y457" s="25" t="n"/>
      <c r="Z457" s="26" t="n"/>
      <c r="AA457" s="28" t="n"/>
      <c r="AB457" s="28" t="n"/>
      <c r="AC457" s="30" t="n">
        <v>0</v>
      </c>
      <c r="AD457" s="24" t="inlineStr">
        <is>
          <t>2026-10-06T22:52:16.675322Z</t>
        </is>
      </c>
      <c r="AE457" s="31" t="inlineStr">
        <is>
          <t>Markov Game Handicap: Yuliia Starodubtseva +1.5 vs Lilli Tagger Executable ask 0.9800 (asc-wta-liltag-yulsta-2026-08-23-ss-pos-1pt5).</t>
        </is>
      </c>
      <c r="AF457" s="31" t="inlineStr">
        <is>
          <t>Surface-blended Elo model; singles only, WTA+ATP market coverage, not yet locked-holdout qualified -- promoted by explicit operator directive, not genuine walk-forward validation.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PAPER_CALL_LOW_EDGE</t>
        </is>
      </c>
      <c r="AP457" s="24" t="inlineStr">
        <is>
          <t>Yuliia Starodubtseva</t>
        </is>
      </c>
      <c r="AQ457" s="24" t="inlineStr">
        <is>
          <t>Yuliia Starodubtseva</t>
        </is>
      </c>
      <c r="AR457" s="24" t="inlineStr">
        <is>
          <t>Yuliia Starodubtseva</t>
        </is>
      </c>
      <c r="AS457" s="24" t="inlineStr">
        <is>
          <t>Lilli Tagger</t>
        </is>
      </c>
      <c r="AT457" s="24" t="inlineStr">
        <is>
          <t>Lilli Tagger</t>
        </is>
      </c>
      <c r="AU457" s="24" t="inlineStr">
        <is>
          <t>Lilli Tagger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d777da58446bc099047b154203518e2585ef1a678f613f2b430f2589f7bf5cff</t>
        </is>
      </c>
      <c r="BB457" s="24" t="inlineStr">
        <is>
          <t>surface_blended_elo</t>
        </is>
      </c>
      <c r="BC457" s="24" t="inlineStr">
        <is>
          <t>tennis-surface-elo-v1</t>
        </is>
      </c>
      <c r="BD457" s="24" t="inlineStr">
        <is>
          <t>d777da58446bc099047b154203518e2585ef1a678f613f2b430f2589f7bf5cff</t>
        </is>
      </c>
      <c r="BE457" s="24" t="inlineStr">
        <is>
          <t>tennis-surface-elo-v1</t>
        </is>
      </c>
      <c r="BF457" s="24" t="inlineStr">
        <is>
          <t>1</t>
        </is>
      </c>
      <c r="BG457" s="24" t="inlineStr">
        <is>
          <t>d777da58446bc099047b154203518e2585ef1a678f613f2b430f2589f7bf5cff</t>
        </is>
      </c>
      <c r="BH457" s="24" t="inlineStr">
        <is>
          <t>2026-08-23T22:30:33.438927Z</t>
        </is>
      </c>
      <c r="BI457" s="24" t="inlineStr">
        <is>
          <t>["same_event","same_team_same_day","same_league_same_day"]</t>
        </is>
      </c>
      <c r="BJ457" s="25" t="n">
        <v>-1.5</v>
      </c>
      <c r="BK457" s="26" t="n">
        <v>-4900</v>
      </c>
      <c r="BL457" s="27" t="n">
        <v>1.020408</v>
      </c>
      <c r="BM457" s="28" t="n">
        <v>0.98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inlineStr">
        <is>
          <t>UNSUPPORTED_TENNIS_SUBPERIOD_SETTLEMENT: exact set/period identity and result dimensions are unavailable</t>
        </is>
      </c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0.98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0067b0454c6e40b4</t>
        </is>
      </c>
      <c r="B458" s="24" t="inlineStr">
        <is>
          <t>2026-08-23T22:31:14.888082Z</t>
        </is>
      </c>
      <c r="C458" s="24" t="inlineStr">
        <is>
          <t>2026-08-24T01:30Z</t>
        </is>
      </c>
      <c r="D458" s="24" t="inlineStr">
        <is>
          <t>341-2026:182487</t>
        </is>
      </c>
      <c r="E458" s="24" t="inlineStr">
        <is>
          <t>TENNIS</t>
        </is>
      </c>
      <c r="F458" s="24" t="inlineStr">
        <is>
          <t>Yuliia Starodubtseva</t>
        </is>
      </c>
      <c r="G458" s="24" t="inlineStr">
        <is>
          <t>Lilli Tagger</t>
        </is>
      </c>
      <c r="H458" s="24" t="inlineStr">
        <is>
          <t>spread</t>
        </is>
      </c>
      <c r="I458" s="24" t="inlineStr">
        <is>
          <t>away</t>
        </is>
      </c>
      <c r="J458" s="25" t="n">
        <v>-3.5</v>
      </c>
      <c r="K458" s="24" t="inlineStr">
        <is>
          <t>polymarket_us</t>
        </is>
      </c>
      <c r="L458" s="26" t="n">
        <v>100</v>
      </c>
      <c r="M458" s="27" t="n">
        <v>2</v>
      </c>
      <c r="N458" s="28" t="n">
        <v>0.5</v>
      </c>
      <c r="O458" s="28" t="n">
        <v>0.7733</v>
      </c>
      <c r="P458" s="28" t="n">
        <v>0.05</v>
      </c>
      <c r="Q458" s="28" t="n">
        <v>0.2733</v>
      </c>
      <c r="R458" s="26" t="n">
        <v>100</v>
      </c>
      <c r="S458" s="29" t="n">
        <v>2</v>
      </c>
      <c r="T458" s="24" t="inlineStr">
        <is>
          <t>tennis-surface-elo-v1</t>
        </is>
      </c>
      <c r="U458" s="24" t="inlineStr">
        <is>
          <t>settled</t>
        </is>
      </c>
      <c r="V458" s="24" t="inlineStr">
        <is>
          <t>win</t>
        </is>
      </c>
      <c r="W458" s="26" t="n">
        <v>12</v>
      </c>
      <c r="X458" s="26" t="n">
        <v>7</v>
      </c>
      <c r="Y458" s="25" t="n"/>
      <c r="Z458" s="26" t="n"/>
      <c r="AA458" s="28" t="n"/>
      <c r="AB458" s="28" t="n"/>
      <c r="AC458" s="30" t="n">
        <v>2</v>
      </c>
      <c r="AD458" s="24" t="inlineStr">
        <is>
          <t>2026-08-24T04:47:39.138795Z</t>
        </is>
      </c>
      <c r="AE458" s="31" t="inlineStr">
        <is>
          <t>Markov Game Handicap: Yuliia Starodubtseva -3.5 vs Lilli Tagger Executable ask 0.5000 (asc-wta-liltag-yulsta-2026-08-23-gs-neg-3pt5).</t>
        </is>
      </c>
      <c r="AF458" s="31" t="inlineStr">
        <is>
          <t>Surface-blended Elo model; singles only, WTA+ATP market coverage, not yet locked-holdout qualified -- promoted by explicit operator directive, not genuine walk-forward validation.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Yuliia Starodubtseva</t>
        </is>
      </c>
      <c r="AQ458" s="24" t="inlineStr">
        <is>
          <t>Yuliia Starodubtseva</t>
        </is>
      </c>
      <c r="AR458" s="24" t="inlineStr">
        <is>
          <t>Yuliia Starodubtseva</t>
        </is>
      </c>
      <c r="AS458" s="24" t="inlineStr">
        <is>
          <t>Lilli Tagger</t>
        </is>
      </c>
      <c r="AT458" s="24" t="inlineStr">
        <is>
          <t>Lilli Tagger</t>
        </is>
      </c>
      <c r="AU458" s="24" t="inlineStr">
        <is>
          <t>Lilli Tagger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d777da58446bc099047b154203518e2585ef1a678f613f2b430f2589f7bf5cff</t>
        </is>
      </c>
      <c r="BB458" s="24" t="inlineStr">
        <is>
          <t>surface_blended_elo</t>
        </is>
      </c>
      <c r="BC458" s="24" t="inlineStr">
        <is>
          <t>tennis-surface-elo-v1</t>
        </is>
      </c>
      <c r="BD458" s="24" t="inlineStr">
        <is>
          <t>d777da58446bc099047b154203518e2585ef1a678f613f2b430f2589f7bf5cff</t>
        </is>
      </c>
      <c r="BE458" s="24" t="inlineStr">
        <is>
          <t>tennis-surface-elo-v1</t>
        </is>
      </c>
      <c r="BF458" s="24" t="inlineStr">
        <is>
          <t>1</t>
        </is>
      </c>
      <c r="BG458" s="24" t="inlineStr">
        <is>
          <t>d777da58446bc099047b154203518e2585ef1a678f613f2b430f2589f7bf5cff</t>
        </is>
      </c>
      <c r="BH458" s="24" t="inlineStr">
        <is>
          <t>2026-08-23T22:30:33.443156Z</t>
        </is>
      </c>
      <c r="BI458" s="24" t="inlineStr">
        <is>
          <t>["same_event","same_team_same_day","same_league_same_day"]</t>
        </is>
      </c>
      <c r="BJ458" s="25" t="n">
        <v>-3.5</v>
      </c>
      <c r="BK458" s="26" t="n">
        <v>100</v>
      </c>
      <c r="BL458" s="27" t="n">
        <v>2</v>
      </c>
      <c r="BM458" s="28" t="n">
        <v>0.5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d2a41afe4ae84721</t>
        </is>
      </c>
      <c r="B459" s="24" t="inlineStr">
        <is>
          <t>2026-08-23T22:31:14.888082Z</t>
        </is>
      </c>
      <c r="C459" s="24" t="inlineStr">
        <is>
          <t>2026-08-24T01:30Z</t>
        </is>
      </c>
      <c r="D459" s="24" t="inlineStr">
        <is>
          <t>341-2026:182487</t>
        </is>
      </c>
      <c r="E459" s="24" t="inlineStr">
        <is>
          <t>TENNIS</t>
        </is>
      </c>
      <c r="F459" s="24" t="inlineStr">
        <is>
          <t>Yuliia Starodubtseva</t>
        </is>
      </c>
      <c r="G459" s="24" t="inlineStr">
        <is>
          <t>Lilli Tagger</t>
        </is>
      </c>
      <c r="H459" s="24" t="inlineStr">
        <is>
          <t>total</t>
        </is>
      </c>
      <c r="I459" s="24" t="inlineStr">
        <is>
          <t>over</t>
        </is>
      </c>
      <c r="J459" s="25" t="n">
        <v>22.5</v>
      </c>
      <c r="K459" s="24" t="inlineStr">
        <is>
          <t>polymarket_us</t>
        </is>
      </c>
      <c r="L459" s="26" t="n">
        <v>138</v>
      </c>
      <c r="M459" s="27" t="n">
        <v>2.38</v>
      </c>
      <c r="N459" s="28" t="n">
        <v>0.420168</v>
      </c>
      <c r="O459" s="28" t="n">
        <v>0.7563</v>
      </c>
      <c r="P459" s="28" t="n">
        <v>0.05</v>
      </c>
      <c r="Q459" s="28" t="n">
        <v>0.336132</v>
      </c>
      <c r="R459" s="26" t="n">
        <v>100</v>
      </c>
      <c r="S459" s="29" t="n">
        <v>2</v>
      </c>
      <c r="T459" s="24" t="inlineStr">
        <is>
          <t>tennis-surface-elo-v1</t>
        </is>
      </c>
      <c r="U459" s="24" t="inlineStr">
        <is>
          <t>settled</t>
        </is>
      </c>
      <c r="V459" s="24" t="inlineStr">
        <is>
          <t>loss</t>
        </is>
      </c>
      <c r="W459" s="26" t="n">
        <v>12</v>
      </c>
      <c r="X459" s="26" t="n">
        <v>7</v>
      </c>
      <c r="Y459" s="25" t="n"/>
      <c r="Z459" s="26" t="n"/>
      <c r="AA459" s="28" t="n"/>
      <c r="AB459" s="28" t="n"/>
      <c r="AC459" s="30" t="n">
        <v>-2</v>
      </c>
      <c r="AD459" s="24" t="inlineStr">
        <is>
          <t>2026-08-24T04:47:46.315610Z</t>
        </is>
      </c>
      <c r="AE459" s="31" t="inlineStr">
        <is>
          <t>Markov Total Games: OVER 22.5 (Exp: 25.4 games) Executable ask 0.4200 (tsc-wta-liltag-yulsta-2026-08-23-tg-22pt5).</t>
        </is>
      </c>
      <c r="AF459" s="31" t="inlineStr">
        <is>
          <t>Surface-blended Elo model; singles only, WTA+ATP market coverage, not yet locked-holdout qualified -- promoted by explicit operator directive, not genuine walk-forward validation.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Yuliia Starodubtseva</t>
        </is>
      </c>
      <c r="AQ459" s="24" t="inlineStr">
        <is>
          <t>Yuliia Starodubtseva</t>
        </is>
      </c>
      <c r="AR459" s="24" t="inlineStr">
        <is>
          <t>Yuliia Starodubtseva</t>
        </is>
      </c>
      <c r="AS459" s="24" t="inlineStr">
        <is>
          <t>Lilli Tagger</t>
        </is>
      </c>
      <c r="AT459" s="24" t="inlineStr">
        <is>
          <t>Lilli Tagger</t>
        </is>
      </c>
      <c r="AU459" s="24" t="inlineStr">
        <is>
          <t>Lilli Tagger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d777da58446bc099047b154203518e2585ef1a678f613f2b430f2589f7bf5cff</t>
        </is>
      </c>
      <c r="BB459" s="24" t="inlineStr">
        <is>
          <t>surface_blended_elo</t>
        </is>
      </c>
      <c r="BC459" s="24" t="inlineStr">
        <is>
          <t>tennis-surface-elo-v1</t>
        </is>
      </c>
      <c r="BD459" s="24" t="inlineStr">
        <is>
          <t>d777da58446bc099047b154203518e2585ef1a678f613f2b430f2589f7bf5cff</t>
        </is>
      </c>
      <c r="BE459" s="24" t="inlineStr">
        <is>
          <t>tennis-surface-elo-v1</t>
        </is>
      </c>
      <c r="BF459" s="24" t="inlineStr">
        <is>
          <t>1</t>
        </is>
      </c>
      <c r="BG459" s="24" t="inlineStr">
        <is>
          <t>d777da58446bc099047b154203518e2585ef1a678f613f2b430f2589f7bf5cff</t>
        </is>
      </c>
      <c r="BH459" s="24" t="inlineStr">
        <is>
          <t>2026-08-23T22:30:33.484948Z</t>
        </is>
      </c>
      <c r="BI459" s="24" t="inlineStr">
        <is>
          <t>["same_event","same_team_same_day","same_league_same_day"]</t>
        </is>
      </c>
      <c r="BJ459" s="25" t="n">
        <v>22.5</v>
      </c>
      <c r="BK459" s="26" t="n">
        <v>138</v>
      </c>
      <c r="BL459" s="27" t="n">
        <v>2.38</v>
      </c>
      <c r="BM459" s="28" t="n">
        <v>0.420168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0.420168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4c817ebc529349b2</t>
        </is>
      </c>
      <c r="B460" s="24" t="inlineStr">
        <is>
          <t>2026-08-23T22:31:14.888082Z</t>
        </is>
      </c>
      <c r="C460" s="24" t="inlineStr">
        <is>
          <t>2026-08-24T00:00Z</t>
        </is>
      </c>
      <c r="D460" s="24" t="inlineStr">
        <is>
          <t>363-2026:184484</t>
        </is>
      </c>
      <c r="E460" s="24" t="inlineStr">
        <is>
          <t>TENNIS</t>
        </is>
      </c>
      <c r="F460" s="24" t="inlineStr">
        <is>
          <t>Darwin Blanch</t>
        </is>
      </c>
      <c r="G460" s="24" t="inlineStr">
        <is>
          <t>Rinky Hijikata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-213</v>
      </c>
      <c r="M460" s="27" t="n">
        <v>1.469484</v>
      </c>
      <c r="N460" s="28" t="n">
        <v>0.680511</v>
      </c>
      <c r="O460" s="28" t="n">
        <v>0.7237</v>
      </c>
      <c r="P460" s="28" t="n">
        <v>0.05</v>
      </c>
      <c r="Q460" s="28" t="n">
        <v>0.043189</v>
      </c>
      <c r="R460" s="26" t="n">
        <v>42</v>
      </c>
      <c r="S460" s="29" t="n">
        <v>1</v>
      </c>
      <c r="T460" s="24" t="inlineStr">
        <is>
          <t>tennis-surface-elo-v1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-213</v>
      </c>
      <c r="AA460" s="28" t="n">
        <v>0.68</v>
      </c>
      <c r="AB460" s="28" t="n">
        <v>0.010033</v>
      </c>
      <c r="AC460" s="30" t="n">
        <v>0.4926</v>
      </c>
      <c r="AD460" s="24" t="inlineStr">
        <is>
          <t>2026-08-24T03:19:39.539948Z</t>
        </is>
      </c>
      <c r="AE460" s="31" t="inlineStr">
        <is>
          <t>Surface-blended Elo on Hard: Darwin Blanch p=0.276 vs Rinky Hijikata. Executable ask 0.6800 (aec-atp-rinhij-darbla-2026-08-24).</t>
        </is>
      </c>
      <c r="AF460" s="31" t="inlineStr">
        <is>
          <t>Surface-blended Elo model; singles only, WTA+ATP market coverage, not yet locked-holdout qualified -- promoted by explicit operator directive, not genuine walk-forward validation.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Darwin Blanch</t>
        </is>
      </c>
      <c r="AQ460" s="24" t="inlineStr">
        <is>
          <t>Darwin Blanch</t>
        </is>
      </c>
      <c r="AR460" s="24" t="inlineStr">
        <is>
          <t>Darwin Blanch</t>
        </is>
      </c>
      <c r="AS460" s="24" t="inlineStr">
        <is>
          <t>Rinky Hijikata</t>
        </is>
      </c>
      <c r="AT460" s="24" t="inlineStr">
        <is>
          <t>Rinky Hijikata</t>
        </is>
      </c>
      <c r="AU460" s="24" t="inlineStr">
        <is>
          <t>Rinky Hijikata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d777da58446bc099047b154203518e2585ef1a678f613f2b430f2589f7bf5cff</t>
        </is>
      </c>
      <c r="BB460" s="24" t="inlineStr">
        <is>
          <t>surface_blended_elo</t>
        </is>
      </c>
      <c r="BC460" s="24" t="inlineStr">
        <is>
          <t>tennis-surface-elo-v1</t>
        </is>
      </c>
      <c r="BD460" s="24" t="inlineStr">
        <is>
          <t>d777da58446bc099047b154203518e2585ef1a678f613f2b430f2589f7bf5cff</t>
        </is>
      </c>
      <c r="BE460" s="24" t="inlineStr">
        <is>
          <t>tennis-surface-elo-v1</t>
        </is>
      </c>
      <c r="BF460" s="24" t="inlineStr">
        <is>
          <t>1</t>
        </is>
      </c>
      <c r="BG460" s="24" t="inlineStr">
        <is>
          <t>d777da58446bc099047b154203518e2585ef1a678f613f2b430f2589f7bf5cff</t>
        </is>
      </c>
      <c r="BH460" s="24" t="inlineStr">
        <is>
          <t>2026-08-23T22:30:33.748317Z</t>
        </is>
      </c>
      <c r="BI460" s="24" t="inlineStr">
        <is>
          <t>["same_event","same_team_same_day","same_league_same_day"]</t>
        </is>
      </c>
      <c r="BJ460" s="25" t="n"/>
      <c r="BK460" s="26" t="n">
        <v>-213</v>
      </c>
      <c r="BL460" s="27" t="n">
        <v>1.469484</v>
      </c>
      <c r="BM460" s="28" t="n">
        <v>0.680511</v>
      </c>
      <c r="BN460" s="28" t="n"/>
      <c r="BO460" s="28" t="n"/>
      <c r="BP460" s="25" t="n"/>
      <c r="BQ460" s="27" t="n">
        <v>1.469484</v>
      </c>
      <c r="BR460" s="28" t="n">
        <v>0.68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0.669967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73dd9089de8b49aa</t>
        </is>
      </c>
      <c r="B461" s="24" t="inlineStr">
        <is>
          <t>2026-08-23T22:31:14.888082Z</t>
        </is>
      </c>
      <c r="C461" s="24" t="inlineStr">
        <is>
          <t>2026-08-24T00:00Z</t>
        </is>
      </c>
      <c r="D461" s="24" t="inlineStr">
        <is>
          <t>363-2026:184484</t>
        </is>
      </c>
      <c r="E461" s="24" t="inlineStr">
        <is>
          <t>TENNIS</t>
        </is>
      </c>
      <c r="F461" s="24" t="inlineStr">
        <is>
          <t>Darwin Blanch</t>
        </is>
      </c>
      <c r="G461" s="24" t="inlineStr">
        <is>
          <t>Rinky Hijikata</t>
        </is>
      </c>
      <c r="H461" s="24" t="inlineStr">
        <is>
          <t>spread</t>
        </is>
      </c>
      <c r="I461" s="24" t="inlineStr">
        <is>
          <t>away</t>
        </is>
      </c>
      <c r="J461" s="25" t="n">
        <v>-2.5</v>
      </c>
      <c r="K461" s="24" t="inlineStr">
        <is>
          <t>polymarket_us</t>
        </is>
      </c>
      <c r="L461" s="26" t="n">
        <v>117</v>
      </c>
      <c r="M461" s="27" t="n">
        <v>2.17</v>
      </c>
      <c r="N461" s="28" t="n">
        <v>0.460829</v>
      </c>
      <c r="O461" s="28" t="n">
        <v>0.6139</v>
      </c>
      <c r="P461" s="28" t="n">
        <v>0.05</v>
      </c>
      <c r="Q461" s="28" t="n">
        <v>0.153071</v>
      </c>
      <c r="R461" s="26" t="n">
        <v>97</v>
      </c>
      <c r="S461" s="29" t="n">
        <v>1.75</v>
      </c>
      <c r="T461" s="24" t="inlineStr">
        <is>
          <t>tennis-surface-elo-v1</t>
        </is>
      </c>
      <c r="U461" s="24" t="inlineStr">
        <is>
          <t>settled</t>
        </is>
      </c>
      <c r="V461" s="24" t="inlineStr">
        <is>
          <t>loss</t>
        </is>
      </c>
      <c r="W461" s="26" t="n">
        <v>10</v>
      </c>
      <c r="X461" s="26" t="n">
        <v>13</v>
      </c>
      <c r="Y461" s="25" t="n"/>
      <c r="Z461" s="26" t="n"/>
      <c r="AA461" s="28" t="n"/>
      <c r="AB461" s="28" t="n"/>
      <c r="AC461" s="30" t="n">
        <v>-1.75</v>
      </c>
      <c r="AD461" s="24" t="inlineStr">
        <is>
          <t>2026-08-24T04:10:52.650827Z</t>
        </is>
      </c>
      <c r="AE461" s="31" t="inlineStr">
        <is>
          <t>Markov Game Handicap: Darwin Blanch -2.5 vs Rinky Hijikata Executable ask 0.4600 (asc-atp-rinhij-darbla-2026-08-24-gs-neg-2pt5).</t>
        </is>
      </c>
      <c r="AF461" s="31" t="inlineStr">
        <is>
          <t>Surface-blended Elo model; singles only, WTA+ATP market coverage, not yet locked-holdout qualified -- promoted by explicit operator directive, not genuine walk-forward validation.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Darwin Blanch</t>
        </is>
      </c>
      <c r="AQ461" s="24" t="inlineStr">
        <is>
          <t>Darwin Blanch</t>
        </is>
      </c>
      <c r="AR461" s="24" t="inlineStr">
        <is>
          <t>Darwin Blanch</t>
        </is>
      </c>
      <c r="AS461" s="24" t="inlineStr">
        <is>
          <t>Rinky Hijikata</t>
        </is>
      </c>
      <c r="AT461" s="24" t="inlineStr">
        <is>
          <t>Rinky Hijikata</t>
        </is>
      </c>
      <c r="AU461" s="24" t="inlineStr">
        <is>
          <t>Rinky Hijikata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d777da58446bc099047b154203518e2585ef1a678f613f2b430f2589f7bf5cff</t>
        </is>
      </c>
      <c r="BB461" s="24" t="inlineStr">
        <is>
          <t>surface_blended_elo</t>
        </is>
      </c>
      <c r="BC461" s="24" t="inlineStr">
        <is>
          <t>tennis-surface-elo-v1</t>
        </is>
      </c>
      <c r="BD461" s="24" t="inlineStr">
        <is>
          <t>d777da58446bc099047b154203518e2585ef1a678f613f2b430f2589f7bf5cff</t>
        </is>
      </c>
      <c r="BE461" s="24" t="inlineStr">
        <is>
          <t>tennis-surface-elo-v1</t>
        </is>
      </c>
      <c r="BF461" s="24" t="inlineStr">
        <is>
          <t>1</t>
        </is>
      </c>
      <c r="BG461" s="24" t="inlineStr">
        <is>
          <t>d777da58446bc099047b154203518e2585ef1a678f613f2b430f2589f7bf5cff</t>
        </is>
      </c>
      <c r="BH461" s="24" t="inlineStr">
        <is>
          <t>2026-08-23T22:30:33.743624Z</t>
        </is>
      </c>
      <c r="BI461" s="24" t="inlineStr">
        <is>
          <t>["same_event","same_team_same_day","same_league_same_day"]</t>
        </is>
      </c>
      <c r="BJ461" s="25" t="n">
        <v>-2.5</v>
      </c>
      <c r="BK461" s="26" t="n">
        <v>117</v>
      </c>
      <c r="BL461" s="27" t="n">
        <v>2.17</v>
      </c>
      <c r="BM461" s="28" t="n">
        <v>0.460829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0.460829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9be8053f38d24a80</t>
        </is>
      </c>
      <c r="B462" s="24" t="inlineStr">
        <is>
          <t>2026-08-23T22:31:14.888082Z</t>
        </is>
      </c>
      <c r="C462" s="24" t="inlineStr">
        <is>
          <t>2026-08-24T00:00Z</t>
        </is>
      </c>
      <c r="D462" s="24" t="inlineStr">
        <is>
          <t>363-2026:184484</t>
        </is>
      </c>
      <c r="E462" s="24" t="inlineStr">
        <is>
          <t>TENNIS</t>
        </is>
      </c>
      <c r="F462" s="24" t="inlineStr">
        <is>
          <t>Darwin Blanch</t>
        </is>
      </c>
      <c r="G462" s="24" t="inlineStr">
        <is>
          <t>Rinky Hijikata</t>
        </is>
      </c>
      <c r="H462" s="24" t="inlineStr">
        <is>
          <t>total</t>
        </is>
      </c>
      <c r="I462" s="24" t="inlineStr">
        <is>
          <t>over</t>
        </is>
      </c>
      <c r="J462" s="25" t="n">
        <v>23.5</v>
      </c>
      <c r="K462" s="24" t="inlineStr">
        <is>
          <t>polymarket_us</t>
        </is>
      </c>
      <c r="L462" s="26" t="n">
        <v>122</v>
      </c>
      <c r="M462" s="27" t="n">
        <v>2.22</v>
      </c>
      <c r="N462" s="28" t="n">
        <v>0.45045</v>
      </c>
      <c r="O462" s="28" t="n">
        <v>0.588</v>
      </c>
      <c r="P462" s="28" t="n">
        <v>0.05</v>
      </c>
      <c r="Q462" s="28" t="n">
        <v>0.13755</v>
      </c>
      <c r="R462" s="26" t="n">
        <v>89</v>
      </c>
      <c r="S462" s="29" t="n">
        <v>1.5</v>
      </c>
      <c r="T462" s="24" t="inlineStr">
        <is>
          <t>tennis-surface-elo-v1</t>
        </is>
      </c>
      <c r="U462" s="24" t="inlineStr">
        <is>
          <t>settled</t>
        </is>
      </c>
      <c r="V462" s="24" t="inlineStr">
        <is>
          <t>loss</t>
        </is>
      </c>
      <c r="W462" s="26" t="n">
        <v>10</v>
      </c>
      <c r="X462" s="26" t="n">
        <v>13</v>
      </c>
      <c r="Y462" s="25" t="n"/>
      <c r="Z462" s="26" t="n"/>
      <c r="AA462" s="28" t="n"/>
      <c r="AB462" s="28" t="n"/>
      <c r="AC462" s="30" t="n">
        <v>-1.5</v>
      </c>
      <c r="AD462" s="24" t="inlineStr">
        <is>
          <t>2026-08-24T04:11:40.577831Z</t>
        </is>
      </c>
      <c r="AE462" s="31" t="inlineStr">
        <is>
          <t>Markov Total Games: OVER 23.5 (Exp: 24.4 games) Executable ask 0.4500 (tsc-atp-rinhij-darbla-2026-08-24-tg-23pt5).</t>
        </is>
      </c>
      <c r="AF462" s="31" t="inlineStr">
        <is>
          <t>Surface-blended Elo model; singles only, WTA+ATP market coverage, not yet locked-holdout qualified -- promoted by explicit operator directive, not genuine walk-forward validation.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Darwin Blanch</t>
        </is>
      </c>
      <c r="AQ462" s="24" t="inlineStr">
        <is>
          <t>Darwin Blanch</t>
        </is>
      </c>
      <c r="AR462" s="24" t="inlineStr">
        <is>
          <t>Darwin Blanch</t>
        </is>
      </c>
      <c r="AS462" s="24" t="inlineStr">
        <is>
          <t>Rinky Hijikata</t>
        </is>
      </c>
      <c r="AT462" s="24" t="inlineStr">
        <is>
          <t>Rinky Hijikata</t>
        </is>
      </c>
      <c r="AU462" s="24" t="inlineStr">
        <is>
          <t>Rinky Hijikata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d777da58446bc099047b154203518e2585ef1a678f613f2b430f2589f7bf5cff</t>
        </is>
      </c>
      <c r="BB462" s="24" t="inlineStr">
        <is>
          <t>surface_blended_elo</t>
        </is>
      </c>
      <c r="BC462" s="24" t="inlineStr">
        <is>
          <t>tennis-surface-elo-v1</t>
        </is>
      </c>
      <c r="BD462" s="24" t="inlineStr">
        <is>
          <t>d777da58446bc099047b154203518e2585ef1a678f613f2b430f2589f7bf5cff</t>
        </is>
      </c>
      <c r="BE462" s="24" t="inlineStr">
        <is>
          <t>tennis-surface-elo-v1</t>
        </is>
      </c>
      <c r="BF462" s="24" t="inlineStr">
        <is>
          <t>1</t>
        </is>
      </c>
      <c r="BG462" s="24" t="inlineStr">
        <is>
          <t>d777da58446bc099047b154203518e2585ef1a678f613f2b430f2589f7bf5cff</t>
        </is>
      </c>
      <c r="BH462" s="24" t="inlineStr">
        <is>
          <t>2026-08-23T22:30:33.763788Z</t>
        </is>
      </c>
      <c r="BI462" s="24" t="inlineStr">
        <is>
          <t>["same_event","same_team_same_day","same_league_same_day"]</t>
        </is>
      </c>
      <c r="BJ462" s="25" t="n">
        <v>23.5</v>
      </c>
      <c r="BK462" s="26" t="n">
        <v>122</v>
      </c>
      <c r="BL462" s="27" t="n">
        <v>2.22</v>
      </c>
      <c r="BM462" s="28" t="n">
        <v>0.45045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0.45045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1572d917e0d34c46</t>
        </is>
      </c>
      <c r="B463" s="24" t="inlineStr">
        <is>
          <t>2026-08-24T01:37:44.499467Z</t>
        </is>
      </c>
      <c r="C463" s="24" t="inlineStr">
        <is>
          <t>2026-08-24T03:00Z</t>
        </is>
      </c>
      <c r="D463" s="24" t="inlineStr">
        <is>
          <t>341-2026:182490</t>
        </is>
      </c>
      <c r="E463" s="24" t="inlineStr">
        <is>
          <t>TENNIS</t>
        </is>
      </c>
      <c r="F463" s="24" t="inlineStr">
        <is>
          <t>Oleksandra Oliynykova</t>
        </is>
      </c>
      <c r="G463" s="24" t="inlineStr">
        <is>
          <t>Mayar Sherif</t>
        </is>
      </c>
      <c r="H463" s="24" t="inlineStr">
        <is>
          <t>moneyline</t>
        </is>
      </c>
      <c r="I463" s="24" t="inlineStr">
        <is>
          <t>home</t>
        </is>
      </c>
      <c r="J463" s="25" t="n"/>
      <c r="K463" s="24" t="inlineStr">
        <is>
          <t>polymarket_us</t>
        </is>
      </c>
      <c r="L463" s="26" t="n">
        <v>-104</v>
      </c>
      <c r="M463" s="27" t="n">
        <v>1.961538</v>
      </c>
      <c r="N463" s="28" t="n">
        <v>0.509804</v>
      </c>
      <c r="O463" s="28" t="n">
        <v>0.5515</v>
      </c>
      <c r="P463" s="28" t="n">
        <v>0.05</v>
      </c>
      <c r="Q463" s="28" t="n">
        <v>0.041696</v>
      </c>
      <c r="R463" s="26" t="n">
        <v>41</v>
      </c>
      <c r="S463" s="29" t="n">
        <v>1</v>
      </c>
      <c r="T463" s="24" t="inlineStr">
        <is>
          <t>tennis-surface-elo-v1</t>
        </is>
      </c>
      <c r="U463" s="24" t="inlineStr">
        <is>
          <t>settled</t>
        </is>
      </c>
      <c r="V463" s="24" t="inlineStr">
        <is>
          <t>loss</t>
        </is>
      </c>
      <c r="W463" s="26" t="n">
        <v>1</v>
      </c>
      <c r="X463" s="26" t="n">
        <v>0</v>
      </c>
      <c r="Y463" s="25" t="n"/>
      <c r="Z463" s="26" t="n">
        <v>-104</v>
      </c>
      <c r="AA463" s="28" t="n">
        <v>0.51</v>
      </c>
      <c r="AB463" s="28" t="n">
        <v>0.000196</v>
      </c>
      <c r="AC463" s="30" t="n">
        <v>-1</v>
      </c>
      <c r="AD463" s="24" t="inlineStr">
        <is>
          <t>2026-08-24T08:41:46.857939Z</t>
        </is>
      </c>
      <c r="AE463" s="31" t="inlineStr">
        <is>
          <t>Surface-blended Elo on Hard: Oleksandra Oliynykova p=0.448 vs Mayar Sherif. Executable ask 0.5100 (aec-wta-mayshe-oleoli-2026-08-23).</t>
        </is>
      </c>
      <c r="AF463" s="31" t="inlineStr">
        <is>
          <t>Surface-blended Elo model; singles only, WTA+ATP market coverage, not yet locked-holdout qualified -- promoted by explicit operator directive, not genuine walk-forward validation.</t>
        </is>
      </c>
      <c r="AG463" s="24" t="inlineStr">
        <is>
          <t>review_required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Oleksandra Oliynykova</t>
        </is>
      </c>
      <c r="AQ463" s="24" t="inlineStr">
        <is>
          <t>Oleksandra Oliynykova</t>
        </is>
      </c>
      <c r="AR463" s="24" t="inlineStr">
        <is>
          <t>Oleksandra Oliynykova</t>
        </is>
      </c>
      <c r="AS463" s="24" t="inlineStr">
        <is>
          <t>Mayar Sherif</t>
        </is>
      </c>
      <c r="AT463" s="24" t="inlineStr">
        <is>
          <t>Mayar Sherif</t>
        </is>
      </c>
      <c r="AU463" s="24" t="inlineStr">
        <is>
          <t>Mayar Sherif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d777da58446bc099047b154203518e2585ef1a678f613f2b430f2589f7bf5cff</t>
        </is>
      </c>
      <c r="BB463" s="24" t="inlineStr">
        <is>
          <t>surface_blended_elo</t>
        </is>
      </c>
      <c r="BC463" s="24" t="inlineStr">
        <is>
          <t>tennis-surface-elo-v1</t>
        </is>
      </c>
      <c r="BD463" s="24" t="inlineStr">
        <is>
          <t>d777da58446bc099047b154203518e2585ef1a678f613f2b430f2589f7bf5cff</t>
        </is>
      </c>
      <c r="BE463" s="24" t="inlineStr">
        <is>
          <t>tennis-surface-elo-v1</t>
        </is>
      </c>
      <c r="BF463" s="24" t="inlineStr">
        <is>
          <t>1</t>
        </is>
      </c>
      <c r="BG463" s="24" t="inlineStr">
        <is>
          <t>d777da58446bc099047b154203518e2585ef1a678f613f2b430f2589f7bf5cff</t>
        </is>
      </c>
      <c r="BH463" s="24" t="inlineStr">
        <is>
          <t>2026-08-24T01:37:26.003402Z</t>
        </is>
      </c>
      <c r="BI463" s="24" t="inlineStr">
        <is>
          <t>["same_event","same_team_same_day","same_league_same_day"]</t>
        </is>
      </c>
      <c r="BJ463" s="25" t="n"/>
      <c r="BK463" s="26" t="n">
        <v>-104</v>
      </c>
      <c r="BL463" s="27" t="n">
        <v>1.961538</v>
      </c>
      <c r="BM463" s="28" t="n">
        <v>0.509804</v>
      </c>
      <c r="BN463" s="28" t="n"/>
      <c r="BO463" s="28" t="n"/>
      <c r="BP463" s="25" t="n"/>
      <c r="BQ463" s="27" t="n">
        <v>1.961538</v>
      </c>
      <c r="BR463" s="28" t="n">
        <v>0.51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0.509804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b071b5dd69c54f10</t>
        </is>
      </c>
      <c r="B464" s="24" t="inlineStr">
        <is>
          <t>2026-08-24T01:37:44.499467Z</t>
        </is>
      </c>
      <c r="C464" s="24" t="inlineStr">
        <is>
          <t>2026-08-24T03:00Z</t>
        </is>
      </c>
      <c r="D464" s="24" t="inlineStr">
        <is>
          <t>341-2026:182490</t>
        </is>
      </c>
      <c r="E464" s="24" t="inlineStr">
        <is>
          <t>TENNIS</t>
        </is>
      </c>
      <c r="F464" s="24" t="inlineStr">
        <is>
          <t>Oleksandra Oliynykova</t>
        </is>
      </c>
      <c r="G464" s="24" t="inlineStr">
        <is>
          <t>Mayar Sherif</t>
        </is>
      </c>
      <c r="H464" s="24" t="inlineStr">
        <is>
          <t>spread</t>
        </is>
      </c>
      <c r="I464" s="24" t="inlineStr">
        <is>
          <t>home</t>
        </is>
      </c>
      <c r="J464" s="25" t="n">
        <v>-0.5</v>
      </c>
      <c r="K464" s="24" t="inlineStr">
        <is>
          <t>polymarket_us</t>
        </is>
      </c>
      <c r="L464" s="26" t="n">
        <v>-108</v>
      </c>
      <c r="M464" s="27" t="n">
        <v>1.925926</v>
      </c>
      <c r="N464" s="28" t="n">
        <v>0.519231</v>
      </c>
      <c r="O464" s="28" t="n">
        <v>0.5800999999999999</v>
      </c>
      <c r="P464" s="28" t="n">
        <v>0.05</v>
      </c>
      <c r="Q464" s="28" t="n">
        <v>0.060869</v>
      </c>
      <c r="R464" s="26" t="n">
        <v>50</v>
      </c>
      <c r="S464" s="29" t="n">
        <v>1</v>
      </c>
      <c r="T464" s="24" t="inlineStr">
        <is>
          <t>tennis-surface-elo-v1</t>
        </is>
      </c>
      <c r="U464" s="24" t="inlineStr">
        <is>
          <t>settled</t>
        </is>
      </c>
      <c r="V464" s="24" t="inlineStr">
        <is>
          <t>loss</t>
        </is>
      </c>
      <c r="W464" s="26" t="n">
        <v>12</v>
      </c>
      <c r="X464" s="26" t="n">
        <v>7</v>
      </c>
      <c r="Y464" s="25" t="n"/>
      <c r="Z464" s="26" t="n"/>
      <c r="AA464" s="28" t="n"/>
      <c r="AB464" s="28" t="n"/>
      <c r="AC464" s="30" t="n">
        <v>-1</v>
      </c>
      <c r="AD464" s="24" t="inlineStr">
        <is>
          <t>2026-08-24T08:41:48.741192Z</t>
        </is>
      </c>
      <c r="AE464" s="31" t="inlineStr">
        <is>
          <t>Markov Game Handicap: Oleksandra Oliynykova +0.5 vs Mayar Sherif Executable ask 0.5200 (asc-wta-mayshe-oleoli-2026-08-23-gs-pos-0pt5).</t>
        </is>
      </c>
      <c r="AF464" s="31" t="inlineStr">
        <is>
          <t>Surface-blended Elo model; singles only, WTA+ATP market coverage, not yet locked-holdout qualified -- promoted by explicit operator directive, not genuine walk-forward validation.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Oleksandra Oliynykova</t>
        </is>
      </c>
      <c r="AQ464" s="24" t="inlineStr">
        <is>
          <t>Oleksandra Oliynykova</t>
        </is>
      </c>
      <c r="AR464" s="24" t="inlineStr">
        <is>
          <t>Oleksandra Oliynykova</t>
        </is>
      </c>
      <c r="AS464" s="24" t="inlineStr">
        <is>
          <t>Mayar Sherif</t>
        </is>
      </c>
      <c r="AT464" s="24" t="inlineStr">
        <is>
          <t>Mayar Sherif</t>
        </is>
      </c>
      <c r="AU464" s="24" t="inlineStr">
        <is>
          <t>Mayar Sherif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d777da58446bc099047b154203518e2585ef1a678f613f2b430f2589f7bf5cff</t>
        </is>
      </c>
      <c r="BB464" s="24" t="inlineStr">
        <is>
          <t>surface_blended_elo</t>
        </is>
      </c>
      <c r="BC464" s="24" t="inlineStr">
        <is>
          <t>tennis-surface-elo-v1</t>
        </is>
      </c>
      <c r="BD464" s="24" t="inlineStr">
        <is>
          <t>d777da58446bc099047b154203518e2585ef1a678f613f2b430f2589f7bf5cff</t>
        </is>
      </c>
      <c r="BE464" s="24" t="inlineStr">
        <is>
          <t>tennis-surface-elo-v1</t>
        </is>
      </c>
      <c r="BF464" s="24" t="inlineStr">
        <is>
          <t>1</t>
        </is>
      </c>
      <c r="BG464" s="24" t="inlineStr">
        <is>
          <t>d777da58446bc099047b154203518e2585ef1a678f613f2b430f2589f7bf5cff</t>
        </is>
      </c>
      <c r="BH464" s="24" t="inlineStr">
        <is>
          <t>2026-08-24T01:37:26.004604Z</t>
        </is>
      </c>
      <c r="BI464" s="24" t="inlineStr">
        <is>
          <t>["same_event","same_team_same_day","same_league_same_day"]</t>
        </is>
      </c>
      <c r="BJ464" s="25" t="n">
        <v>-0.5</v>
      </c>
      <c r="BK464" s="26" t="n">
        <v>-108</v>
      </c>
      <c r="BL464" s="27" t="n">
        <v>1.925926</v>
      </c>
      <c r="BM464" s="28" t="n">
        <v>0.519231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0.519231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0536152f45494ebf</t>
        </is>
      </c>
      <c r="B465" s="24" t="inlineStr">
        <is>
          <t>2026-08-24T01:37:44.499467Z</t>
        </is>
      </c>
      <c r="C465" s="24" t="inlineStr">
        <is>
          <t>2026-08-24T03:00Z</t>
        </is>
      </c>
      <c r="D465" s="24" t="inlineStr">
        <is>
          <t>341-2026:182490</t>
        </is>
      </c>
      <c r="E465" s="24" t="inlineStr">
        <is>
          <t>TENNIS</t>
        </is>
      </c>
      <c r="F465" s="24" t="inlineStr">
        <is>
          <t>Oleksandra Oliynykova</t>
        </is>
      </c>
      <c r="G465" s="24" t="inlineStr">
        <is>
          <t>Mayar Sherif</t>
        </is>
      </c>
      <c r="H465" s="24" t="inlineStr">
        <is>
          <t>total</t>
        </is>
      </c>
      <c r="I465" s="24" t="inlineStr">
        <is>
          <t>over</t>
        </is>
      </c>
      <c r="J465" s="25" t="n">
        <v>22.5</v>
      </c>
      <c r="K465" s="24" t="inlineStr">
        <is>
          <t>polymarket_us</t>
        </is>
      </c>
      <c r="L465" s="26" t="n">
        <v>127</v>
      </c>
      <c r="M465" s="27" t="n">
        <v>2.27</v>
      </c>
      <c r="N465" s="28" t="n">
        <v>0.440529</v>
      </c>
      <c r="O465" s="28" t="n">
        <v>0.7726</v>
      </c>
      <c r="P465" s="28" t="n">
        <v>0.05</v>
      </c>
      <c r="Q465" s="28" t="n">
        <v>0.332071</v>
      </c>
      <c r="R465" s="26" t="n">
        <v>100</v>
      </c>
      <c r="S465" s="29" t="n">
        <v>2</v>
      </c>
      <c r="T465" s="24" t="inlineStr">
        <is>
          <t>tennis-surface-elo-v1</t>
        </is>
      </c>
      <c r="U465" s="24" t="inlineStr">
        <is>
          <t>settled</t>
        </is>
      </c>
      <c r="V465" s="24" t="inlineStr">
        <is>
          <t>loss</t>
        </is>
      </c>
      <c r="W465" s="26" t="n">
        <v>12</v>
      </c>
      <c r="X465" s="26" t="n">
        <v>7</v>
      </c>
      <c r="Y465" s="25" t="n"/>
      <c r="Z465" s="26" t="n"/>
      <c r="AA465" s="28" t="n"/>
      <c r="AB465" s="28" t="n"/>
      <c r="AC465" s="30" t="n">
        <v>-2</v>
      </c>
      <c r="AD465" s="24" t="inlineStr">
        <is>
          <t>2026-08-24T08:41:50.074314Z</t>
        </is>
      </c>
      <c r="AE465" s="31" t="inlineStr">
        <is>
          <t>Markov Total Games: OVER 22.5 (Exp: 25.6 games) Executable ask 0.4400 (tsc-wta-mayshe-oleoli-2026-08-23-tg-22pt5).</t>
        </is>
      </c>
      <c r="AF465" s="31" t="inlineStr">
        <is>
          <t>Surface-blended Elo model; singles only, WTA+ATP market coverage, not yet locked-holdout qualified -- promoted by explicit operator directive, not genuine walk-forward validation.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4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Oleksandra Oliynykova</t>
        </is>
      </c>
      <c r="AQ465" s="24" t="inlineStr">
        <is>
          <t>Oleksandra Oliynykova</t>
        </is>
      </c>
      <c r="AR465" s="24" t="inlineStr">
        <is>
          <t>Oleksandra Oliynykova</t>
        </is>
      </c>
      <c r="AS465" s="24" t="inlineStr">
        <is>
          <t>Mayar Sherif</t>
        </is>
      </c>
      <c r="AT465" s="24" t="inlineStr">
        <is>
          <t>Mayar Sherif</t>
        </is>
      </c>
      <c r="AU465" s="24" t="inlineStr">
        <is>
          <t>Mayar Sherif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d777da58446bc099047b154203518e2585ef1a678f613f2b430f2589f7bf5cff</t>
        </is>
      </c>
      <c r="BB465" s="24" t="inlineStr">
        <is>
          <t>surface_blended_elo</t>
        </is>
      </c>
      <c r="BC465" s="24" t="inlineStr">
        <is>
          <t>tennis-surface-elo-v1</t>
        </is>
      </c>
      <c r="BD465" s="24" t="inlineStr">
        <is>
          <t>d777da58446bc099047b154203518e2585ef1a678f613f2b430f2589f7bf5cff</t>
        </is>
      </c>
      <c r="BE465" s="24" t="inlineStr">
        <is>
          <t>tennis-surface-elo-v1</t>
        </is>
      </c>
      <c r="BF465" s="24" t="inlineStr">
        <is>
          <t>1</t>
        </is>
      </c>
      <c r="BG465" s="24" t="inlineStr">
        <is>
          <t>d777da58446bc099047b154203518e2585ef1a678f613f2b430f2589f7bf5cff</t>
        </is>
      </c>
      <c r="BH465" s="24" t="inlineStr">
        <is>
          <t>2026-08-24T01:37:26.011364Z</t>
        </is>
      </c>
      <c r="BI465" s="24" t="inlineStr">
        <is>
          <t>["same_event","same_team_same_day","same_league_same_day"]</t>
        </is>
      </c>
      <c r="BJ465" s="25" t="n">
        <v>22.5</v>
      </c>
      <c r="BK465" s="26" t="n">
        <v>127</v>
      </c>
      <c r="BL465" s="27" t="n">
        <v>2.27</v>
      </c>
      <c r="BM465" s="28" t="n">
        <v>0.440529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0.440529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a569df5a366a496f</t>
        </is>
      </c>
      <c r="B466" s="24" t="inlineStr">
        <is>
          <t>2026-08-24T15:00:21.020915Z</t>
        </is>
      </c>
      <c r="C466" s="24" t="inlineStr">
        <is>
          <t>2026-08-24T15:05Z</t>
        </is>
      </c>
      <c r="D466" s="24" t="inlineStr">
        <is>
          <t>1075-2026:182141</t>
        </is>
      </c>
      <c r="E466" s="24" t="inlineStr">
        <is>
          <t>TENNIS</t>
        </is>
      </c>
      <c r="F466" s="24" t="inlineStr">
        <is>
          <t>Jessica Bouzas Maneiro</t>
        </is>
      </c>
      <c r="G466" s="24" t="inlineStr">
        <is>
          <t>Ella Seidel</t>
        </is>
      </c>
      <c r="H466" s="24" t="inlineStr">
        <is>
          <t>moneyline</t>
        </is>
      </c>
      <c r="I466" s="24" t="inlineStr">
        <is>
          <t>away</t>
        </is>
      </c>
      <c r="J466" s="25" t="n"/>
      <c r="K466" s="24" t="inlineStr">
        <is>
          <t>polymarket_us</t>
        </is>
      </c>
      <c r="L466" s="26" t="n">
        <v>-213</v>
      </c>
      <c r="M466" s="27" t="n">
        <v>1.469484</v>
      </c>
      <c r="N466" s="28" t="n">
        <v>0.680511</v>
      </c>
      <c r="O466" s="28" t="n">
        <v>0.5777</v>
      </c>
      <c r="P466" s="28" t="n">
        <v>0.05</v>
      </c>
      <c r="Q466" s="28" t="n">
        <v>-0.102811</v>
      </c>
      <c r="R466" s="26" t="n">
        <v>0</v>
      </c>
      <c r="S466" s="29" t="n">
        <v>1</v>
      </c>
      <c r="T466" s="24" t="inlineStr">
        <is>
          <t>tennis-surface-elo-v1</t>
        </is>
      </c>
      <c r="U466" s="24" t="inlineStr">
        <is>
          <t>settled</t>
        </is>
      </c>
      <c r="V466" s="24" t="inlineStr">
        <is>
          <t>win</t>
        </is>
      </c>
      <c r="W466" s="26" t="n">
        <v>1</v>
      </c>
      <c r="X466" s="26" t="n">
        <v>0</v>
      </c>
      <c r="Y466" s="25" t="n"/>
      <c r="Z466" s="26" t="n">
        <v>-213</v>
      </c>
      <c r="AA466" s="28" t="n">
        <v>0.68</v>
      </c>
      <c r="AB466" s="28" t="n">
        <v>-0.000511</v>
      </c>
      <c r="AC466" s="30" t="n">
        <v>0.4695</v>
      </c>
      <c r="AD466" s="24" t="inlineStr">
        <is>
          <t>2026-08-24T16:59:35.145871Z</t>
        </is>
      </c>
      <c r="AE466" s="31" t="inlineStr">
        <is>
          <t>Surface-blended Elo on Hard: Jessica Bouzas Maneiro p=0.578 vs Ella Seidel. Executable ask 0.6800 (aec-wta-ellsei-jesman-2026-08-24).</t>
        </is>
      </c>
      <c r="AF466" s="31" t="inlineStr">
        <is>
          <t>Surface-blended Elo model; singles only, WTA+ATP market coverage, not yet locked-holdout qualified -- promoted by explicit operator directive, not genuine walk-forward validation.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Jessica Bouzas Maneiro</t>
        </is>
      </c>
      <c r="AQ466" s="24" t="inlineStr">
        <is>
          <t>Jessica Bouzas Maneiro</t>
        </is>
      </c>
      <c r="AR466" s="24" t="inlineStr">
        <is>
          <t>Jessica Bouzas Maneiro</t>
        </is>
      </c>
      <c r="AS466" s="24" t="inlineStr">
        <is>
          <t>Ella Seidel</t>
        </is>
      </c>
      <c r="AT466" s="24" t="inlineStr">
        <is>
          <t>Ella Seidel</t>
        </is>
      </c>
      <c r="AU466" s="24" t="inlineStr">
        <is>
          <t>Ella Seidel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d777da58446bc099047b154203518e2585ef1a678f613f2b430f2589f7bf5cff</t>
        </is>
      </c>
      <c r="BB466" s="24" t="inlineStr">
        <is>
          <t>surface_blended_elo</t>
        </is>
      </c>
      <c r="BC466" s="24" t="inlineStr">
        <is>
          <t>tennis-surface-elo-v1</t>
        </is>
      </c>
      <c r="BD466" s="24" t="inlineStr">
        <is>
          <t>d777da58446bc099047b154203518e2585ef1a678f613f2b430f2589f7bf5cff</t>
        </is>
      </c>
      <c r="BE466" s="24" t="inlineStr">
        <is>
          <t>tennis-surface-elo-v1</t>
        </is>
      </c>
      <c r="BF466" s="24" t="inlineStr">
        <is>
          <t>1</t>
        </is>
      </c>
      <c r="BG466" s="24" t="inlineStr">
        <is>
          <t>d777da58446bc099047b154203518e2585ef1a678f613f2b430f2589f7bf5cff</t>
        </is>
      </c>
      <c r="BH466" s="24" t="inlineStr">
        <is>
          <t>2026-08-24T14:59:18.921866Z</t>
        </is>
      </c>
      <c r="BI466" s="24" t="inlineStr">
        <is>
          <t>["same_event","same_team_same_day","same_league_same_day"]</t>
        </is>
      </c>
      <c r="BJ466" s="25" t="n"/>
      <c r="BK466" s="26" t="n">
        <v>-213</v>
      </c>
      <c r="BL466" s="27" t="n">
        <v>1.469484</v>
      </c>
      <c r="BM466" s="28" t="n">
        <v>0.680511</v>
      </c>
      <c r="BN466" s="28" t="n"/>
      <c r="BO466" s="28" t="n"/>
      <c r="BP466" s="25" t="n"/>
      <c r="BQ466" s="27" t="n">
        <v>1.469484</v>
      </c>
      <c r="BR466" s="28" t="n">
        <v>0.68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inlineStr">
        <is>
          <t>912ea31fc04c27f9326d104292db5f067048f8a3b847506125ffd8bb08ce1751</t>
        </is>
      </c>
      <c r="DE466" s="24" t="inlineStr">
        <is>
          <t>/Users/vincentc9002/model-prediction/data/odds/tennis/2026-08-24/polymarket_snapshots.jsonl</t>
        </is>
      </c>
      <c r="DF466" s="24" t="inlineStr">
        <is>
          <t>506136:2026-08-24T14:59:18.921866Z</t>
        </is>
      </c>
      <c r="DG466" s="24" t="n"/>
      <c r="DH466" s="24" t="n"/>
      <c r="DI466" s="24" t="n"/>
      <c r="DJ466" s="24" t="inlineStr">
        <is>
          <t>0.680511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2cd5c964bd4f43a2</t>
        </is>
      </c>
      <c r="B467" s="24" t="inlineStr">
        <is>
          <t>2026-08-24T15:00:21.020915Z</t>
        </is>
      </c>
      <c r="C467" s="24" t="inlineStr">
        <is>
          <t>2026-08-24T15:05Z</t>
        </is>
      </c>
      <c r="D467" s="24" t="inlineStr">
        <is>
          <t>1075-2026:182125</t>
        </is>
      </c>
      <c r="E467" s="24" t="inlineStr">
        <is>
          <t>TENNIS</t>
        </is>
      </c>
      <c r="F467" s="24" t="inlineStr">
        <is>
          <t>Julia Grabher</t>
        </is>
      </c>
      <c r="G467" s="24" t="inlineStr">
        <is>
          <t>Veronika Erjavec</t>
        </is>
      </c>
      <c r="H467" s="24" t="inlineStr">
        <is>
          <t>moneyline</t>
        </is>
      </c>
      <c r="I467" s="24" t="inlineStr">
        <is>
          <t>home</t>
        </is>
      </c>
      <c r="J467" s="25" t="n"/>
      <c r="K467" s="24" t="inlineStr">
        <is>
          <t>polymarket_us</t>
        </is>
      </c>
      <c r="L467" s="26" t="n">
        <v>122</v>
      </c>
      <c r="M467" s="27" t="n">
        <v>2.22</v>
      </c>
      <c r="N467" s="28" t="n">
        <v>0.45045</v>
      </c>
      <c r="O467" s="28" t="n">
        <v>0.584</v>
      </c>
      <c r="P467" s="28" t="n">
        <v>0.05</v>
      </c>
      <c r="Q467" s="28" t="n">
        <v>0.13355</v>
      </c>
      <c r="R467" s="26" t="n">
        <v>87</v>
      </c>
      <c r="S467" s="29" t="n">
        <v>1.5</v>
      </c>
      <c r="T467" s="24" t="inlineStr">
        <is>
          <t>tennis-surface-elo-v1</t>
        </is>
      </c>
      <c r="U467" s="24" t="inlineStr">
        <is>
          <t>settled</t>
        </is>
      </c>
      <c r="V467" s="24" t="inlineStr">
        <is>
          <t>loss</t>
        </is>
      </c>
      <c r="W467" s="26" t="n">
        <v>1</v>
      </c>
      <c r="X467" s="26" t="n">
        <v>0</v>
      </c>
      <c r="Y467" s="25" t="n"/>
      <c r="Z467" s="26" t="n">
        <v>127</v>
      </c>
      <c r="AA467" s="28" t="n">
        <v>0.44</v>
      </c>
      <c r="AB467" s="28" t="n">
        <v>-0.01045</v>
      </c>
      <c r="AC467" s="30" t="n">
        <v>-1.5</v>
      </c>
      <c r="AD467" s="24" t="inlineStr">
        <is>
          <t>2026-08-24T18:06:26.583860Z</t>
        </is>
      </c>
      <c r="AE467" s="31" t="inlineStr">
        <is>
          <t>Surface-blended Elo on Hard: Julia Grabher p=0.416 vs Veronika Erjavec. Executable ask 0.4500 (aec-wta-vererj-julgra-2026-08-23).</t>
        </is>
      </c>
      <c r="AF467" s="31" t="inlineStr">
        <is>
          <t>Surface-blended Elo model; singles only, WTA+ATP market coverage, not yet locked-holdout qualified -- promoted by explicit operator directive, not genuine walk-forward validation.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Julia Grabher</t>
        </is>
      </c>
      <c r="AQ467" s="24" t="inlineStr">
        <is>
          <t>Julia Grabher</t>
        </is>
      </c>
      <c r="AR467" s="24" t="inlineStr">
        <is>
          <t>Julia Grabher</t>
        </is>
      </c>
      <c r="AS467" s="24" t="inlineStr">
        <is>
          <t>Veronika Erjavec</t>
        </is>
      </c>
      <c r="AT467" s="24" t="inlineStr">
        <is>
          <t>Veronika Erjavec</t>
        </is>
      </c>
      <c r="AU467" s="24" t="inlineStr">
        <is>
          <t>Veronika Erjavec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d777da58446bc099047b154203518e2585ef1a678f613f2b430f2589f7bf5cff</t>
        </is>
      </c>
      <c r="BB467" s="24" t="inlineStr">
        <is>
          <t>surface_blended_elo</t>
        </is>
      </c>
      <c r="BC467" s="24" t="inlineStr">
        <is>
          <t>tennis-surface-elo-v1</t>
        </is>
      </c>
      <c r="BD467" s="24" t="inlineStr">
        <is>
          <t>d777da58446bc099047b154203518e2585ef1a678f613f2b430f2589f7bf5cff</t>
        </is>
      </c>
      <c r="BE467" s="24" t="inlineStr">
        <is>
          <t>tennis-surface-elo-v1</t>
        </is>
      </c>
      <c r="BF467" s="24" t="inlineStr">
        <is>
          <t>1</t>
        </is>
      </c>
      <c r="BG467" s="24" t="inlineStr">
        <is>
          <t>d777da58446bc099047b154203518e2585ef1a678f613f2b430f2589f7bf5cff</t>
        </is>
      </c>
      <c r="BH467" s="24" t="inlineStr">
        <is>
          <t>2026-08-24T11:51:07.255086Z</t>
        </is>
      </c>
      <c r="BI467" s="24" t="inlineStr">
        <is>
          <t>["same_event","same_team_same_day","same_league_same_day"]</t>
        </is>
      </c>
      <c r="BJ467" s="25" t="n"/>
      <c r="BK467" s="26" t="n">
        <v>122</v>
      </c>
      <c r="BL467" s="27" t="n">
        <v>2.22</v>
      </c>
      <c r="BM467" s="28" t="n">
        <v>0.45045</v>
      </c>
      <c r="BN467" s="28" t="n"/>
      <c r="BO467" s="28" t="n"/>
      <c r="BP467" s="25" t="n"/>
      <c r="BQ467" s="27" t="n">
        <v>2.27</v>
      </c>
      <c r="BR467" s="28" t="n">
        <v>0.44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inlineStr">
        <is>
          <t>03888b3213e09b075f337f708e64d94571d89f5d38ab9cdf6eb6fe1a8e352de6</t>
        </is>
      </c>
      <c r="DE467" s="24" t="inlineStr">
        <is>
          <t>/Users/vincentc9002/model-prediction/data/odds/tennis/2026-08-24/polymarket_snapshots.jsonl</t>
        </is>
      </c>
      <c r="DF467" s="24" t="inlineStr">
        <is>
          <t>498527:2026-08-24T11:51:07.255086Z</t>
        </is>
      </c>
      <c r="DG467" s="24" t="n"/>
      <c r="DH467" s="24" t="n"/>
      <c r="DI467" s="24" t="n"/>
      <c r="DJ467" s="24" t="inlineStr">
        <is>
          <t>0.45045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f18ae422436b46f5</t>
        </is>
      </c>
      <c r="B468" s="24" t="inlineStr">
        <is>
          <t>2026-08-24T15:00:21.020915Z</t>
        </is>
      </c>
      <c r="C468" s="24" t="inlineStr">
        <is>
          <t>2026-08-24T15:05Z</t>
        </is>
      </c>
      <c r="D468" s="24" t="inlineStr">
        <is>
          <t>1075-2026:182134</t>
        </is>
      </c>
      <c r="E468" s="24" t="inlineStr">
        <is>
          <t>TENNIS</t>
        </is>
      </c>
      <c r="F468" s="24" t="inlineStr">
        <is>
          <t>Kylie Collins</t>
        </is>
      </c>
      <c r="G468" s="24" t="inlineStr">
        <is>
          <t>Jaeda Daniel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355</v>
      </c>
      <c r="M468" s="27" t="n">
        <v>4.55</v>
      </c>
      <c r="N468" s="28" t="n">
        <v>0.21978</v>
      </c>
      <c r="O468" s="28" t="n">
        <v>0.5122</v>
      </c>
      <c r="P468" s="28" t="n">
        <v>0.05</v>
      </c>
      <c r="Q468" s="28" t="n">
        <v>0.29242</v>
      </c>
      <c r="R468" s="26" t="n">
        <v>100</v>
      </c>
      <c r="S468" s="29" t="n">
        <v>2</v>
      </c>
      <c r="T468" s="24" t="inlineStr">
        <is>
          <t>tennis-surface-elo-v1</t>
        </is>
      </c>
      <c r="U468" s="24" t="inlineStr">
        <is>
          <t>settled</t>
        </is>
      </c>
      <c r="V468" s="24" t="inlineStr">
        <is>
          <t>loss</t>
        </is>
      </c>
      <c r="W468" s="26" t="n">
        <v>1</v>
      </c>
      <c r="X468" s="26" t="n">
        <v>0</v>
      </c>
      <c r="Y468" s="25" t="n"/>
      <c r="Z468" s="26" t="n">
        <v>355</v>
      </c>
      <c r="AA468" s="28" t="n">
        <v>0.22</v>
      </c>
      <c r="AB468" s="28" t="n">
        <v>0.00022</v>
      </c>
      <c r="AC468" s="30" t="n">
        <v>-2</v>
      </c>
      <c r="AD468" s="24" t="inlineStr">
        <is>
          <t>2026-08-24T16:59:37.169794Z</t>
        </is>
      </c>
      <c r="AE468" s="31" t="inlineStr">
        <is>
          <t>Surface-blended Elo on Hard: Kylie Collins p=0.488 vs Jaeda Daniel. Executable ask 0.2200 (aec-wta-jaedan-kylcol-2026-08-24).</t>
        </is>
      </c>
      <c r="AF468" s="31" t="inlineStr">
        <is>
          <t>Surface-blended Elo model; singles only, WTA+ATP market coverage, not yet locked-holdout qualified -- promoted by explicit operator directive, not genuine walk-forward validation.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PAPER_CALL_MODEL_UNVALIDATED</t>
        </is>
      </c>
      <c r="AP468" s="24" t="inlineStr">
        <is>
          <t>Kylie Collins</t>
        </is>
      </c>
      <c r="AQ468" s="24" t="inlineStr">
        <is>
          <t>Kylie Collins</t>
        </is>
      </c>
      <c r="AR468" s="24" t="inlineStr">
        <is>
          <t>Kylie Collins</t>
        </is>
      </c>
      <c r="AS468" s="24" t="inlineStr">
        <is>
          <t>Jaeda Daniel</t>
        </is>
      </c>
      <c r="AT468" s="24" t="inlineStr">
        <is>
          <t>Jaeda Daniel</t>
        </is>
      </c>
      <c r="AU468" s="24" t="inlineStr">
        <is>
          <t>Jaeda Daniel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d777da58446bc099047b154203518e2585ef1a678f613f2b430f2589f7bf5cff</t>
        </is>
      </c>
      <c r="BB468" s="24" t="inlineStr">
        <is>
          <t>surface_blended_elo</t>
        </is>
      </c>
      <c r="BC468" s="24" t="inlineStr">
        <is>
          <t>tennis-surface-elo-v1</t>
        </is>
      </c>
      <c r="BD468" s="24" t="inlineStr">
        <is>
          <t>d777da58446bc099047b154203518e2585ef1a678f613f2b430f2589f7bf5cff</t>
        </is>
      </c>
      <c r="BE468" s="24" t="inlineStr">
        <is>
          <t>tennis-surface-elo-v1</t>
        </is>
      </c>
      <c r="BF468" s="24" t="inlineStr">
        <is>
          <t>1</t>
        </is>
      </c>
      <c r="BG468" s="24" t="inlineStr">
        <is>
          <t>d777da58446bc099047b154203518e2585ef1a678f613f2b430f2589f7bf5cff</t>
        </is>
      </c>
      <c r="BH468" s="24" t="inlineStr">
        <is>
          <t>2026-08-24T14:59:18.877337Z</t>
        </is>
      </c>
      <c r="BI468" s="24" t="inlineStr">
        <is>
          <t>["same_event","same_team_same_day","same_league_same_day"]</t>
        </is>
      </c>
      <c r="BJ468" s="25" t="n"/>
      <c r="BK468" s="26" t="n">
        <v>355</v>
      </c>
      <c r="BL468" s="27" t="n">
        <v>4.55</v>
      </c>
      <c r="BM468" s="28" t="n">
        <v>0.21978</v>
      </c>
      <c r="BN468" s="28" t="n"/>
      <c r="BO468" s="28" t="n"/>
      <c r="BP468" s="25" t="n"/>
      <c r="BQ468" s="27" t="n">
        <v>4.55</v>
      </c>
      <c r="BR468" s="28" t="n">
        <v>0.22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inlineStr">
        <is>
          <t>dd6b3a87c0a11d3cdc2537eebd6507fec1b68cf64fa73ed7d63a5adfb3af459f</t>
        </is>
      </c>
      <c r="DE468" s="24" t="inlineStr">
        <is>
          <t>/Users/vincentc9002/model-prediction/data/odds/tennis/2026-08-24/polymarket_snapshots.jsonl</t>
        </is>
      </c>
      <c r="DF468" s="24" t="inlineStr">
        <is>
          <t>507392:2026-08-24T14:59:18.877337Z</t>
        </is>
      </c>
      <c r="DG468" s="24" t="n"/>
      <c r="DH468" s="24" t="n"/>
      <c r="DI468" s="24" t="n"/>
      <c r="DJ468" s="24" t="inlineStr">
        <is>
          <t>0.21978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b5a9df538c974eee</t>
        </is>
      </c>
      <c r="B469" s="24" t="inlineStr">
        <is>
          <t>2026-08-24T15:00:21.020915Z</t>
        </is>
      </c>
      <c r="C469" s="24" t="inlineStr">
        <is>
          <t>2026-08-24T15:05Z</t>
        </is>
      </c>
      <c r="D469" s="24" t="inlineStr">
        <is>
          <t>189-2026:184693</t>
        </is>
      </c>
      <c r="E469" s="24" t="inlineStr">
        <is>
          <t>TENNIS</t>
        </is>
      </c>
      <c r="F469" s="24" t="inlineStr">
        <is>
          <t>You Xiaodi</t>
        </is>
      </c>
      <c r="G469" s="24" t="inlineStr">
        <is>
          <t>Zheng Qinwen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-1150</v>
      </c>
      <c r="M469" s="27" t="n">
        <v>1.086957</v>
      </c>
      <c r="N469" s="28" t="n">
        <v>0.92</v>
      </c>
      <c r="O469" s="28" t="n">
        <v>0.8332000000000001</v>
      </c>
      <c r="P469" s="28" t="n">
        <v>0.05</v>
      </c>
      <c r="Q469" s="28" t="n">
        <v>-0.0868</v>
      </c>
      <c r="R469" s="26" t="n">
        <v>0</v>
      </c>
      <c r="S469" s="29" t="n">
        <v>1</v>
      </c>
      <c r="T469" s="24" t="inlineStr">
        <is>
          <t>tennis-surface-elo-v1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/>
      <c r="AA469" s="28" t="n"/>
      <c r="AB469" s="28" t="n"/>
      <c r="AC469" s="30" t="n">
        <v>0.08699999999999999</v>
      </c>
      <c r="AD469" s="24" t="inlineStr">
        <is>
          <t>2026-08-24T16:59:39.289683Z</t>
        </is>
      </c>
      <c r="AE469" s="31" t="inlineStr">
        <is>
          <t>Surface-blended Elo on Hard: You Xiaodi p=0.167 vs Zheng Qinwen. Executable ask 0.9200 (aec-wta-qinzhe-xiayou-2026-08-24).</t>
        </is>
      </c>
      <c r="AF469" s="31" t="inlineStr">
        <is>
          <t>Surface-blended Elo model; singles only, WTA+ATP market coverage, not yet locked-holdout qualified -- promoted by explicit operator directive, not genuine walk-forward validation.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PAPER_CALL_LOW_EDGE</t>
        </is>
      </c>
      <c r="AP469" s="24" t="inlineStr">
        <is>
          <t>You Xiaodi</t>
        </is>
      </c>
      <c r="AQ469" s="24" t="inlineStr">
        <is>
          <t>You Xiaodi</t>
        </is>
      </c>
      <c r="AR469" s="24" t="inlineStr">
        <is>
          <t>You Xiaodi</t>
        </is>
      </c>
      <c r="AS469" s="24" t="inlineStr">
        <is>
          <t>Zheng Qinwen</t>
        </is>
      </c>
      <c r="AT469" s="24" t="inlineStr">
        <is>
          <t>Zheng Qinwen</t>
        </is>
      </c>
      <c r="AU469" s="24" t="inlineStr">
        <is>
          <t>Zheng Qinwen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d777da58446bc099047b154203518e2585ef1a678f613f2b430f2589f7bf5cff</t>
        </is>
      </c>
      <c r="BB469" s="24" t="inlineStr">
        <is>
          <t>surface_blended_elo</t>
        </is>
      </c>
      <c r="BC469" s="24" t="inlineStr">
        <is>
          <t>tennis-surface-elo-v1</t>
        </is>
      </c>
      <c r="BD469" s="24" t="inlineStr">
        <is>
          <t>d777da58446bc099047b154203518e2585ef1a678f613f2b430f2589f7bf5cff</t>
        </is>
      </c>
      <c r="BE469" s="24" t="inlineStr">
        <is>
          <t>tennis-surface-elo-v1</t>
        </is>
      </c>
      <c r="BF469" s="24" t="inlineStr">
        <is>
          <t>1</t>
        </is>
      </c>
      <c r="BG469" s="24" t="inlineStr">
        <is>
          <t>d777da58446bc099047b154203518e2585ef1a678f613f2b430f2589f7bf5cff</t>
        </is>
      </c>
      <c r="BH469" s="24" t="inlineStr">
        <is>
          <t>2026-08-24T14:59:18.916640Z</t>
        </is>
      </c>
      <c r="BI469" s="24" t="inlineStr">
        <is>
          <t>["same_event","same_team_same_day","same_league_same_day"]</t>
        </is>
      </c>
      <c r="BJ469" s="25" t="n"/>
      <c r="BK469" s="26" t="n">
        <v>-1150</v>
      </c>
      <c r="BL469" s="27" t="n">
        <v>1.086957</v>
      </c>
      <c r="BM469" s="28" t="n">
        <v>0.92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inlineStr">
        <is>
          <t>36a5a934600dfef8df4a2dc8235668b5fa0b7ef55dedcf242e92986d5f653d40</t>
        </is>
      </c>
      <c r="DE469" s="24" t="inlineStr">
        <is>
          <t>/Users/vincentc9002/model-prediction/data/odds/tennis/2026-08-24/polymarket_snapshots.jsonl</t>
        </is>
      </c>
      <c r="DF469" s="24" t="inlineStr">
        <is>
          <t>505981:2026-08-24T14:59:18.916640Z</t>
        </is>
      </c>
      <c r="DG469" s="24" t="n"/>
      <c r="DH469" s="24" t="n"/>
      <c r="DI469" s="24" t="n"/>
      <c r="DJ469" s="24" t="inlineStr">
        <is>
          <t>0.92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16896ba5683f49b9</t>
        </is>
      </c>
      <c r="B470" s="24" t="inlineStr">
        <is>
          <t>2026-08-24T15:00:21.020915Z</t>
        </is>
      </c>
      <c r="C470" s="24" t="inlineStr">
        <is>
          <t>2026-08-24T15:05Z</t>
        </is>
      </c>
      <c r="D470" s="24" t="inlineStr">
        <is>
          <t>189-2026:184694</t>
        </is>
      </c>
      <c r="E470" s="24" t="inlineStr">
        <is>
          <t>TENNIS</t>
        </is>
      </c>
      <c r="F470" s="24" t="inlineStr">
        <is>
          <t>Ma YeXin</t>
        </is>
      </c>
      <c r="G470" s="24" t="inlineStr">
        <is>
          <t>Clara Burel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-245</v>
      </c>
      <c r="M470" s="27" t="n">
        <v>1.408163</v>
      </c>
      <c r="N470" s="28" t="n">
        <v>0.710145</v>
      </c>
      <c r="O470" s="28" t="n">
        <v>0.5541</v>
      </c>
      <c r="P470" s="28" t="n">
        <v>0.05</v>
      </c>
      <c r="Q470" s="28" t="n">
        <v>-0.156045</v>
      </c>
      <c r="R470" s="26" t="n">
        <v>0</v>
      </c>
      <c r="S470" s="29" t="n">
        <v>1</v>
      </c>
      <c r="T470" s="24" t="inlineStr">
        <is>
          <t>tennis-surface-elo-v1</t>
        </is>
      </c>
      <c r="U470" s="24" t="inlineStr">
        <is>
          <t>settled</t>
        </is>
      </c>
      <c r="V470" s="24" t="inlineStr">
        <is>
          <t>win</t>
        </is>
      </c>
      <c r="W470" s="26" t="n">
        <v>0</v>
      </c>
      <c r="X470" s="26" t="n">
        <v>1</v>
      </c>
      <c r="Y470" s="25" t="n"/>
      <c r="Z470" s="26" t="n">
        <v>-245</v>
      </c>
      <c r="AA470" s="28" t="n">
        <v>0.71</v>
      </c>
      <c r="AB470" s="28" t="n">
        <v>-0.000145</v>
      </c>
      <c r="AC470" s="30" t="n">
        <v>0.4082</v>
      </c>
      <c r="AD470" s="24" t="inlineStr">
        <is>
          <t>2026-08-24T16:25:36.971867Z</t>
        </is>
      </c>
      <c r="AE470" s="31" t="inlineStr">
        <is>
          <t>Surface-blended Elo on Hard: Ma YeXin p=0.446 vs Clara Burel. Executable ask 0.7100 (aec-wta-clabur-yexma-2026-08-24).</t>
        </is>
      </c>
      <c r="AF470" s="31" t="inlineStr">
        <is>
          <t>Surface-blended Elo model; singles only, WTA+ATP market coverage, not yet locked-holdout qualified -- promoted by explicit operator directive, not genuine walk-forward validation.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Ma YeXin</t>
        </is>
      </c>
      <c r="AQ470" s="24" t="inlineStr">
        <is>
          <t>Ma YeXin</t>
        </is>
      </c>
      <c r="AR470" s="24" t="inlineStr">
        <is>
          <t>Ma YeXin</t>
        </is>
      </c>
      <c r="AS470" s="24" t="inlineStr">
        <is>
          <t>Clara Burel</t>
        </is>
      </c>
      <c r="AT470" s="24" t="inlineStr">
        <is>
          <t>Clara Burel</t>
        </is>
      </c>
      <c r="AU470" s="24" t="inlineStr">
        <is>
          <t>Clara Burel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d777da58446bc099047b154203518e2585ef1a678f613f2b430f2589f7bf5cff</t>
        </is>
      </c>
      <c r="BB470" s="24" t="inlineStr">
        <is>
          <t>surface_blended_elo</t>
        </is>
      </c>
      <c r="BC470" s="24" t="inlineStr">
        <is>
          <t>tennis-surface-elo-v1</t>
        </is>
      </c>
      <c r="BD470" s="24" t="inlineStr">
        <is>
          <t>d777da58446bc099047b154203518e2585ef1a678f613f2b430f2589f7bf5cff</t>
        </is>
      </c>
      <c r="BE470" s="24" t="inlineStr">
        <is>
          <t>tennis-surface-elo-v1</t>
        </is>
      </c>
      <c r="BF470" s="24" t="inlineStr">
        <is>
          <t>1</t>
        </is>
      </c>
      <c r="BG470" s="24" t="inlineStr">
        <is>
          <t>d777da58446bc099047b154203518e2585ef1a678f613f2b430f2589f7bf5cff</t>
        </is>
      </c>
      <c r="BH470" s="24" t="inlineStr">
        <is>
          <t>2026-08-24T14:59:18.916181Z</t>
        </is>
      </c>
      <c r="BI470" s="24" t="inlineStr">
        <is>
          <t>["same_event","same_team_same_day","same_league_same_day"]</t>
        </is>
      </c>
      <c r="BJ470" s="25" t="n"/>
      <c r="BK470" s="26" t="n">
        <v>-245</v>
      </c>
      <c r="BL470" s="27" t="n">
        <v>1.408163</v>
      </c>
      <c r="BM470" s="28" t="n">
        <v>0.710145</v>
      </c>
      <c r="BN470" s="28" t="n"/>
      <c r="BO470" s="28" t="n"/>
      <c r="BP470" s="25" t="n"/>
      <c r="BQ470" s="27" t="n">
        <v>1.408163</v>
      </c>
      <c r="BR470" s="28" t="n">
        <v>0.71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inlineStr">
        <is>
          <t>935499f54e6be8e9296c1d2e3fe0b814c51c94e2955fbda35545e0c79d61735e</t>
        </is>
      </c>
      <c r="DE470" s="24" t="inlineStr">
        <is>
          <t>/Users/vincentc9002/model-prediction/data/odds/tennis/2026-08-24/polymarket_snapshots.jsonl</t>
        </is>
      </c>
      <c r="DF470" s="24" t="inlineStr">
        <is>
          <t>505982:2026-08-24T14:59:18.916181Z</t>
        </is>
      </c>
      <c r="DG470" s="24" t="n"/>
      <c r="DH470" s="24" t="n"/>
      <c r="DI470" s="24" t="n"/>
      <c r="DJ470" s="24" t="inlineStr">
        <is>
          <t>0.710145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f34ddce377204269</t>
        </is>
      </c>
      <c r="B471" s="24" t="inlineStr">
        <is>
          <t>2026-08-24T15:00:21.020915Z</t>
        </is>
      </c>
      <c r="C471" s="24" t="inlineStr">
        <is>
          <t>2026-08-24T15:05Z</t>
        </is>
      </c>
      <c r="D471" s="24" t="inlineStr">
        <is>
          <t>189-2026:184695</t>
        </is>
      </c>
      <c r="E471" s="24" t="inlineStr">
        <is>
          <t>TENNIS</t>
        </is>
      </c>
      <c r="F471" s="24" t="inlineStr">
        <is>
          <t>Aliona Falei</t>
        </is>
      </c>
      <c r="G471" s="24" t="inlineStr">
        <is>
          <t>Elena Pridankina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polymarket_us</t>
        </is>
      </c>
      <c r="L471" s="26" t="n">
        <v>100</v>
      </c>
      <c r="M471" s="27" t="n">
        <v>2</v>
      </c>
      <c r="N471" s="28" t="n">
        <v>0.5</v>
      </c>
      <c r="O471" s="28" t="n">
        <v>0.6317</v>
      </c>
      <c r="P471" s="28" t="n">
        <v>0.05</v>
      </c>
      <c r="Q471" s="28" t="n">
        <v>0.1317</v>
      </c>
      <c r="R471" s="26" t="n">
        <v>86</v>
      </c>
      <c r="S471" s="29" t="n">
        <v>1.5</v>
      </c>
      <c r="T471" s="24" t="inlineStr">
        <is>
          <t>tennis-surface-elo-v1</t>
        </is>
      </c>
      <c r="U471" s="24" t="inlineStr">
        <is>
          <t>settled</t>
        </is>
      </c>
      <c r="V471" s="24" t="inlineStr">
        <is>
          <t>win</t>
        </is>
      </c>
      <c r="W471" s="26" t="n">
        <v>0</v>
      </c>
      <c r="X471" s="26" t="n">
        <v>1</v>
      </c>
      <c r="Y471" s="25" t="n"/>
      <c r="Z471" s="26" t="n">
        <v>100</v>
      </c>
      <c r="AA471" s="28" t="n">
        <v>0.5</v>
      </c>
      <c r="AB471" s="28" t="n">
        <v>0</v>
      </c>
      <c r="AC471" s="30" t="n">
        <v>1.5</v>
      </c>
      <c r="AD471" s="24" t="inlineStr">
        <is>
          <t>2026-08-24T16:59:41.357229Z</t>
        </is>
      </c>
      <c r="AE471" s="31" t="inlineStr">
        <is>
          <t>Surface-blended Elo on Hard: Aliona Falei p=0.368 vs Elena Pridankina. Executable ask 0.5000 (aec-wta-elepri-alifal-2026-08-24).</t>
        </is>
      </c>
      <c r="AF471" s="31" t="inlineStr">
        <is>
          <t>Surface-blended Elo model; singles only, WTA+ATP market coverage, not yet locked-holdout qualified -- promoted by explicit operator directive, not genuine walk-forward validation.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Aliona Falei</t>
        </is>
      </c>
      <c r="AQ471" s="24" t="inlineStr">
        <is>
          <t>Aliona Falei</t>
        </is>
      </c>
      <c r="AR471" s="24" t="inlineStr">
        <is>
          <t>Aliona Falei</t>
        </is>
      </c>
      <c r="AS471" s="24" t="inlineStr">
        <is>
          <t>Elena Pridankina</t>
        </is>
      </c>
      <c r="AT471" s="24" t="inlineStr">
        <is>
          <t>Elena Pridankina</t>
        </is>
      </c>
      <c r="AU471" s="24" t="inlineStr">
        <is>
          <t>Elena Pridankina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d777da58446bc099047b154203518e2585ef1a678f613f2b430f2589f7bf5cff</t>
        </is>
      </c>
      <c r="BB471" s="24" t="inlineStr">
        <is>
          <t>surface_blended_elo</t>
        </is>
      </c>
      <c r="BC471" s="24" t="inlineStr">
        <is>
          <t>tennis-surface-elo-v1</t>
        </is>
      </c>
      <c r="BD471" s="24" t="inlineStr">
        <is>
          <t>d777da58446bc099047b154203518e2585ef1a678f613f2b430f2589f7bf5cff</t>
        </is>
      </c>
      <c r="BE471" s="24" t="inlineStr">
        <is>
          <t>tennis-surface-elo-v1</t>
        </is>
      </c>
      <c r="BF471" s="24" t="inlineStr">
        <is>
          <t>1</t>
        </is>
      </c>
      <c r="BG471" s="24" t="inlineStr">
        <is>
          <t>d777da58446bc099047b154203518e2585ef1a678f613f2b430f2589f7bf5cff</t>
        </is>
      </c>
      <c r="BH471" s="24" t="inlineStr">
        <is>
          <t>2026-08-24T14:59:18.874680Z</t>
        </is>
      </c>
      <c r="BI471" s="24" t="inlineStr">
        <is>
          <t>["same_event","same_team_same_day","same_league_same_day"]</t>
        </is>
      </c>
      <c r="BJ471" s="25" t="n"/>
      <c r="BK471" s="26" t="n">
        <v>100</v>
      </c>
      <c r="BL471" s="27" t="n">
        <v>2</v>
      </c>
      <c r="BM471" s="28" t="n">
        <v>0.5</v>
      </c>
      <c r="BN471" s="28" t="n"/>
      <c r="BO471" s="28" t="n"/>
      <c r="BP471" s="25" t="n"/>
      <c r="BQ471" s="27" t="n">
        <v>2</v>
      </c>
      <c r="BR471" s="28" t="n">
        <v>0.5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True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inlineStr">
        <is>
          <t>e9767d9e7fdc7aa12a0c0d7e664f86aef9976ae4da169e311f8044b39fbcc418</t>
        </is>
      </c>
      <c r="DE471" s="24" t="inlineStr">
        <is>
          <t>/Users/vincentc9002/model-prediction/data/odds/tennis/2026-08-24/polymarket_snapshots.jsonl</t>
        </is>
      </c>
      <c r="DF471" s="24" t="inlineStr">
        <is>
          <t>505983:2026-08-24T14:59:18.874680Z</t>
        </is>
      </c>
      <c r="DG471" s="24" t="n"/>
      <c r="DH471" s="24" t="n"/>
      <c r="DI471" s="24" t="n"/>
      <c r="DJ471" s="24" t="inlineStr">
        <is>
          <t>0.5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ea26672c2a5e4144</t>
        </is>
      </c>
      <c r="B472" s="24" t="inlineStr">
        <is>
          <t>2026-08-24T15:00:21.020915Z</t>
        </is>
      </c>
      <c r="C472" s="24" t="inlineStr">
        <is>
          <t>2026-08-24T15:05Z</t>
        </is>
      </c>
      <c r="D472" s="24" t="inlineStr">
        <is>
          <t>189-2026:184697</t>
        </is>
      </c>
      <c r="E472" s="24" t="inlineStr">
        <is>
          <t>TENNIS</t>
        </is>
      </c>
      <c r="F472" s="24" t="inlineStr">
        <is>
          <t>Fiona Ferro</t>
        </is>
      </c>
      <c r="G472" s="24" t="inlineStr">
        <is>
          <t>Rebecca Marino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polymarket_us</t>
        </is>
      </c>
      <c r="L472" s="26" t="n">
        <v>-156</v>
      </c>
      <c r="M472" s="27" t="n">
        <v>1.641026</v>
      </c>
      <c r="N472" s="28" t="n">
        <v>0.609375</v>
      </c>
      <c r="O472" s="28" t="n">
        <v>0.6415999999999999</v>
      </c>
      <c r="P472" s="28" t="n">
        <v>0.05</v>
      </c>
      <c r="Q472" s="28" t="n">
        <v>0.032225</v>
      </c>
      <c r="R472" s="26" t="n">
        <v>36</v>
      </c>
      <c r="S472" s="29" t="n">
        <v>1</v>
      </c>
      <c r="T472" s="24" t="inlineStr">
        <is>
          <t>tennis-surface-elo-v1</t>
        </is>
      </c>
      <c r="U472" s="24" t="inlineStr">
        <is>
          <t>settled</t>
        </is>
      </c>
      <c r="V472" s="24" t="inlineStr">
        <is>
          <t>loss</t>
        </is>
      </c>
      <c r="W472" s="26" t="n">
        <v>0</v>
      </c>
      <c r="X472" s="26" t="n">
        <v>1</v>
      </c>
      <c r="Y472" s="25" t="n"/>
      <c r="Z472" s="26" t="n">
        <v>-156</v>
      </c>
      <c r="AA472" s="28" t="n">
        <v>0.61</v>
      </c>
      <c r="AB472" s="28" t="n">
        <v>0.000625</v>
      </c>
      <c r="AC472" s="30" t="n">
        <v>-1</v>
      </c>
      <c r="AD472" s="24" t="inlineStr">
        <is>
          <t>2026-08-24T16:25:39.526127Z</t>
        </is>
      </c>
      <c r="AE472" s="31" t="inlineStr">
        <is>
          <t>Surface-blended Elo on Hard: Fiona Ferro p=0.642 vs Rebecca Marino. Executable ask 0.6100 (aec-wta-rebmar-fiofer-2026-08-24).</t>
        </is>
      </c>
      <c r="AF472" s="31" t="inlineStr">
        <is>
          <t>Surface-blended Elo model; singles only, WTA+ATP market coverage, not yet locked-holdout qualified -- promoted by explicit operator directive, not genuine walk-forward validation.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Fiona Ferro</t>
        </is>
      </c>
      <c r="AQ472" s="24" t="inlineStr">
        <is>
          <t>Fiona Ferro</t>
        </is>
      </c>
      <c r="AR472" s="24" t="inlineStr">
        <is>
          <t>Fiona Ferro</t>
        </is>
      </c>
      <c r="AS472" s="24" t="inlineStr">
        <is>
          <t>Rebecca Marino</t>
        </is>
      </c>
      <c r="AT472" s="24" t="inlineStr">
        <is>
          <t>Rebecca Marino</t>
        </is>
      </c>
      <c r="AU472" s="24" t="inlineStr">
        <is>
          <t>Rebecca Marino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d777da58446bc099047b154203518e2585ef1a678f613f2b430f2589f7bf5cff</t>
        </is>
      </c>
      <c r="BB472" s="24" t="inlineStr">
        <is>
          <t>surface_blended_elo</t>
        </is>
      </c>
      <c r="BC472" s="24" t="inlineStr">
        <is>
          <t>tennis-surface-elo-v1</t>
        </is>
      </c>
      <c r="BD472" s="24" t="inlineStr">
        <is>
          <t>d777da58446bc099047b154203518e2585ef1a678f613f2b430f2589f7bf5cff</t>
        </is>
      </c>
      <c r="BE472" s="24" t="inlineStr">
        <is>
          <t>tennis-surface-elo-v1</t>
        </is>
      </c>
      <c r="BF472" s="24" t="inlineStr">
        <is>
          <t>1</t>
        </is>
      </c>
      <c r="BG472" s="24" t="inlineStr">
        <is>
          <t>d777da58446bc099047b154203518e2585ef1a678f613f2b430f2589f7bf5cff</t>
        </is>
      </c>
      <c r="BH472" s="24" t="inlineStr">
        <is>
          <t>2026-08-24T14:59:18.932892Z</t>
        </is>
      </c>
      <c r="BI472" s="24" t="inlineStr">
        <is>
          <t>["same_event","same_team_same_day","same_league_same_day"]</t>
        </is>
      </c>
      <c r="BJ472" s="25" t="n"/>
      <c r="BK472" s="26" t="n">
        <v>-156</v>
      </c>
      <c r="BL472" s="27" t="n">
        <v>1.641026</v>
      </c>
      <c r="BM472" s="28" t="n">
        <v>0.609375</v>
      </c>
      <c r="BN472" s="28" t="n"/>
      <c r="BO472" s="28" t="n"/>
      <c r="BP472" s="25" t="n"/>
      <c r="BQ472" s="27" t="n">
        <v>1.641026</v>
      </c>
      <c r="BR472" s="28" t="n">
        <v>0.61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inlineStr">
        <is>
          <t>7ce9132ff0808bcca4853b1db8940f0aaa8b98bd9dd96b7b8df6db90e4dcf0d2</t>
        </is>
      </c>
      <c r="DE472" s="24" t="inlineStr">
        <is>
          <t>/Users/vincentc9002/model-prediction/data/odds/tennis/2026-08-24/polymarket_snapshots.jsonl</t>
        </is>
      </c>
      <c r="DF472" s="24" t="inlineStr">
        <is>
          <t>505984:2026-08-24T14:59:18.932892Z</t>
        </is>
      </c>
      <c r="DG472" s="24" t="n"/>
      <c r="DH472" s="24" t="n"/>
      <c r="DI472" s="24" t="n"/>
      <c r="DJ472" s="24" t="inlineStr">
        <is>
          <t>0.609375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fc547713face437e</t>
        </is>
      </c>
      <c r="B473" s="24" t="inlineStr">
        <is>
          <t>2026-08-24T15:00:21.020915Z</t>
        </is>
      </c>
      <c r="C473" s="24" t="inlineStr">
        <is>
          <t>2026-08-24T15:05Z</t>
        </is>
      </c>
      <c r="D473" s="24" t="inlineStr">
        <is>
          <t>189-2026:184724</t>
        </is>
      </c>
      <c r="E473" s="24" t="inlineStr">
        <is>
          <t>TENNIS</t>
        </is>
      </c>
      <c r="F473" s="24" t="inlineStr">
        <is>
          <t>Alevtina Ibragimova</t>
        </is>
      </c>
      <c r="G473" s="24" t="inlineStr">
        <is>
          <t>Rebecca Sramkova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-376</v>
      </c>
      <c r="M473" s="27" t="n">
        <v>1.265957</v>
      </c>
      <c r="N473" s="28" t="n">
        <v>0.789916</v>
      </c>
      <c r="O473" s="28" t="n">
        <v>0.5441</v>
      </c>
      <c r="P473" s="28" t="n">
        <v>0.05</v>
      </c>
      <c r="Q473" s="28" t="n">
        <v>-0.245816</v>
      </c>
      <c r="R473" s="26" t="n">
        <v>0</v>
      </c>
      <c r="S473" s="29" t="n">
        <v>1</v>
      </c>
      <c r="T473" s="24" t="inlineStr">
        <is>
          <t>tennis-surface-elo-v1</t>
        </is>
      </c>
      <c r="U473" s="24" t="inlineStr">
        <is>
          <t>settled</t>
        </is>
      </c>
      <c r="V473" s="24" t="inlineStr">
        <is>
          <t>loss</t>
        </is>
      </c>
      <c r="W473" s="26" t="n">
        <v>1</v>
      </c>
      <c r="X473" s="26" t="n">
        <v>0</v>
      </c>
      <c r="Y473" s="25" t="n"/>
      <c r="Z473" s="26" t="n">
        <v>-376</v>
      </c>
      <c r="AA473" s="28" t="n">
        <v>0.79</v>
      </c>
      <c r="AB473" s="28" t="n">
        <v>8.4e-05</v>
      </c>
      <c r="AC473" s="30" t="n">
        <v>-1</v>
      </c>
      <c r="AD473" s="24" t="inlineStr">
        <is>
          <t>2026-08-24T16:59:43.049258Z</t>
        </is>
      </c>
      <c r="AE473" s="31" t="inlineStr">
        <is>
          <t>Surface-blended Elo on Hard: Alevtina Ibragimova p=0.456 vs Rebecca Sramkova. Executable ask 0.7900 (aec-wta-rebsra-aleibr-2026-08-24).</t>
        </is>
      </c>
      <c r="AF473" s="31" t="inlineStr">
        <is>
          <t>Surface-blended Elo model; singles only, WTA+ATP market coverage, not yet locked-holdout qualified -- promoted by explicit operator directive, not genuine walk-forward validation.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Alevtina Ibragimova</t>
        </is>
      </c>
      <c r="AQ473" s="24" t="inlineStr">
        <is>
          <t>Alevtina Ibragimova</t>
        </is>
      </c>
      <c r="AR473" s="24" t="inlineStr">
        <is>
          <t>Alevtina Ibragimova</t>
        </is>
      </c>
      <c r="AS473" s="24" t="inlineStr">
        <is>
          <t>Rebecca Sramkova</t>
        </is>
      </c>
      <c r="AT473" s="24" t="inlineStr">
        <is>
          <t>Rebecca Sramkova</t>
        </is>
      </c>
      <c r="AU473" s="24" t="inlineStr">
        <is>
          <t>Rebecca Sramkova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d777da58446bc099047b154203518e2585ef1a678f613f2b430f2589f7bf5cff</t>
        </is>
      </c>
      <c r="BB473" s="24" t="inlineStr">
        <is>
          <t>surface_blended_elo</t>
        </is>
      </c>
      <c r="BC473" s="24" t="inlineStr">
        <is>
          <t>tennis-surface-elo-v1</t>
        </is>
      </c>
      <c r="BD473" s="24" t="inlineStr">
        <is>
          <t>d777da58446bc099047b154203518e2585ef1a678f613f2b430f2589f7bf5cff</t>
        </is>
      </c>
      <c r="BE473" s="24" t="inlineStr">
        <is>
          <t>tennis-surface-elo-v1</t>
        </is>
      </c>
      <c r="BF473" s="24" t="inlineStr">
        <is>
          <t>1</t>
        </is>
      </c>
      <c r="BG473" s="24" t="inlineStr">
        <is>
          <t>d777da58446bc099047b154203518e2585ef1a678f613f2b430f2589f7bf5cff</t>
        </is>
      </c>
      <c r="BH473" s="24" t="inlineStr">
        <is>
          <t>2026-08-24T14:59:18.914204Z</t>
        </is>
      </c>
      <c r="BI473" s="24" t="inlineStr">
        <is>
          <t>["same_event","same_team_same_day","same_league_same_day"]</t>
        </is>
      </c>
      <c r="BJ473" s="25" t="n"/>
      <c r="BK473" s="26" t="n">
        <v>-376</v>
      </c>
      <c r="BL473" s="27" t="n">
        <v>1.265957</v>
      </c>
      <c r="BM473" s="28" t="n">
        <v>0.789916</v>
      </c>
      <c r="BN473" s="28" t="n"/>
      <c r="BO473" s="28" t="n"/>
      <c r="BP473" s="25" t="n"/>
      <c r="BQ473" s="27" t="n">
        <v>1.265957</v>
      </c>
      <c r="BR473" s="28" t="n">
        <v>0.79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inlineStr">
        <is>
          <t>c1d28f13385f6f549cf0814b5240ec21ca136299ecceef76f682e4e100642f35</t>
        </is>
      </c>
      <c r="DE473" s="24" t="inlineStr">
        <is>
          <t>/Users/vincentc9002/model-prediction/data/odds/tennis/2026-08-24/polymarket_snapshots.jsonl</t>
        </is>
      </c>
      <c r="DF473" s="24" t="inlineStr">
        <is>
          <t>505985:2026-08-24T14:59:18.914204Z</t>
        </is>
      </c>
      <c r="DG473" s="24" t="n"/>
      <c r="DH473" s="24" t="n"/>
      <c r="DI473" s="24" t="n"/>
      <c r="DJ473" s="24" t="inlineStr">
        <is>
          <t>0.789916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2f809c90ce464e78</t>
        </is>
      </c>
      <c r="B474" s="24" t="inlineStr">
        <is>
          <t>2026-08-24T15:00:21.020915Z</t>
        </is>
      </c>
      <c r="C474" s="24" t="inlineStr">
        <is>
          <t>2026-08-24T15:05Z</t>
        </is>
      </c>
      <c r="D474" s="24" t="inlineStr">
        <is>
          <t>189-2026:184728</t>
        </is>
      </c>
      <c r="E474" s="24" t="inlineStr">
        <is>
          <t>TENNIS</t>
        </is>
      </c>
      <c r="F474" s="24" t="inlineStr">
        <is>
          <t>Mariam Bolkvadze</t>
        </is>
      </c>
      <c r="G474" s="24" t="inlineStr">
        <is>
          <t>Erika Andreeva</t>
        </is>
      </c>
      <c r="H474" s="24" t="inlineStr">
        <is>
          <t>moneyline</t>
        </is>
      </c>
      <c r="I474" s="24" t="inlineStr">
        <is>
          <t>away</t>
        </is>
      </c>
      <c r="J474" s="25" t="n"/>
      <c r="K474" s="24" t="inlineStr">
        <is>
          <t>polymarket_us</t>
        </is>
      </c>
      <c r="L474" s="26" t="n">
        <v>203</v>
      </c>
      <c r="M474" s="27" t="n">
        <v>3.03</v>
      </c>
      <c r="N474" s="28" t="n">
        <v>0.330033</v>
      </c>
      <c r="O474" s="28" t="n">
        <v>0.5849</v>
      </c>
      <c r="P474" s="28" t="n">
        <v>0.05</v>
      </c>
      <c r="Q474" s="28" t="n">
        <v>0.254867</v>
      </c>
      <c r="R474" s="26" t="n">
        <v>100</v>
      </c>
      <c r="S474" s="29" t="n">
        <v>2</v>
      </c>
      <c r="T474" s="24" t="inlineStr">
        <is>
          <t>tennis-surface-elo-v1</t>
        </is>
      </c>
      <c r="U474" s="24" t="inlineStr">
        <is>
          <t>settled</t>
        </is>
      </c>
      <c r="V474" s="24" t="inlineStr">
        <is>
          <t>win</t>
        </is>
      </c>
      <c r="W474" s="26" t="n">
        <v>1</v>
      </c>
      <c r="X474" s="26" t="n">
        <v>0</v>
      </c>
      <c r="Y474" s="25" t="n"/>
      <c r="Z474" s="26" t="n">
        <v>203</v>
      </c>
      <c r="AA474" s="28" t="n">
        <v>0.33</v>
      </c>
      <c r="AB474" s="28" t="n">
        <v>-3.3e-05</v>
      </c>
      <c r="AC474" s="30" t="n">
        <v>4.06</v>
      </c>
      <c r="AD474" s="24" t="inlineStr">
        <is>
          <t>2026-08-24T16:59:45.089721Z</t>
        </is>
      </c>
      <c r="AE474" s="31" t="inlineStr">
        <is>
          <t>Surface-blended Elo on Hard: Mariam Bolkvadze p=0.585 vs Erika Andreeva. Executable ask 0.3300 (aec-wta-eriand-marbol-2026-08-24).</t>
        </is>
      </c>
      <c r="AF474" s="31" t="inlineStr">
        <is>
          <t>Surface-blended Elo model; singles only, WTA+ATP market coverage, not yet locked-holdout qualified -- promoted by explicit operator directive, not genuine walk-forward validation.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Mariam Bolkvadze</t>
        </is>
      </c>
      <c r="AQ474" s="24" t="inlineStr">
        <is>
          <t>Mariam Bolkvadze</t>
        </is>
      </c>
      <c r="AR474" s="24" t="inlineStr">
        <is>
          <t>Mariam Bolkvadze</t>
        </is>
      </c>
      <c r="AS474" s="24" t="inlineStr">
        <is>
          <t>Erika Andreeva</t>
        </is>
      </c>
      <c r="AT474" s="24" t="inlineStr">
        <is>
          <t>Erika Andreeva</t>
        </is>
      </c>
      <c r="AU474" s="24" t="inlineStr">
        <is>
          <t>Erika Andreeva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d777da58446bc099047b154203518e2585ef1a678f613f2b430f2589f7bf5cff</t>
        </is>
      </c>
      <c r="BB474" s="24" t="inlineStr">
        <is>
          <t>surface_blended_elo</t>
        </is>
      </c>
      <c r="BC474" s="24" t="inlineStr">
        <is>
          <t>tennis-surface-elo-v1</t>
        </is>
      </c>
      <c r="BD474" s="24" t="inlineStr">
        <is>
          <t>d777da58446bc099047b154203518e2585ef1a678f613f2b430f2589f7bf5cff</t>
        </is>
      </c>
      <c r="BE474" s="24" t="inlineStr">
        <is>
          <t>tennis-surface-elo-v1</t>
        </is>
      </c>
      <c r="BF474" s="24" t="inlineStr">
        <is>
          <t>1</t>
        </is>
      </c>
      <c r="BG474" s="24" t="inlineStr">
        <is>
          <t>d777da58446bc099047b154203518e2585ef1a678f613f2b430f2589f7bf5cff</t>
        </is>
      </c>
      <c r="BH474" s="24" t="inlineStr">
        <is>
          <t>2026-08-24T14:59:18.917143Z</t>
        </is>
      </c>
      <c r="BI474" s="24" t="inlineStr">
        <is>
          <t>["same_event","same_team_same_day","same_league_same_day"]</t>
        </is>
      </c>
      <c r="BJ474" s="25" t="n"/>
      <c r="BK474" s="26" t="n">
        <v>203</v>
      </c>
      <c r="BL474" s="27" t="n">
        <v>3.03</v>
      </c>
      <c r="BM474" s="28" t="n">
        <v>0.330033</v>
      </c>
      <c r="BN474" s="28" t="n"/>
      <c r="BO474" s="28" t="n"/>
      <c r="BP474" s="25" t="n"/>
      <c r="BQ474" s="27" t="n">
        <v>3.03</v>
      </c>
      <c r="BR474" s="28" t="n">
        <v>0.33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inlineStr">
        <is>
          <t>342987b56aab087b91e23d421d174ecd8a10acfbe78c06528373f2f2596e2f19</t>
        </is>
      </c>
      <c r="DE474" s="24" t="inlineStr">
        <is>
          <t>/Users/vincentc9002/model-prediction/data/odds/tennis/2026-08-24/polymarket_snapshots.jsonl</t>
        </is>
      </c>
      <c r="DF474" s="24" t="inlineStr">
        <is>
          <t>505986:2026-08-24T14:59:18.917143Z</t>
        </is>
      </c>
      <c r="DG474" s="24" t="n"/>
      <c r="DH474" s="24" t="n"/>
      <c r="DI474" s="24" t="n"/>
      <c r="DJ474" s="24" t="inlineStr">
        <is>
          <t>0.330033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dd4921d917f74a48</t>
        </is>
      </c>
      <c r="B475" s="24" t="inlineStr">
        <is>
          <t>2026-08-24T15:00:21.020915Z</t>
        </is>
      </c>
      <c r="C475" s="24" t="inlineStr">
        <is>
          <t>2026-08-24T15:05Z</t>
        </is>
      </c>
      <c r="D475" s="24" t="inlineStr">
        <is>
          <t>189-2026:184749</t>
        </is>
      </c>
      <c r="E475" s="24" t="inlineStr">
        <is>
          <t>TENNIS</t>
        </is>
      </c>
      <c r="F475" s="24" t="inlineStr">
        <is>
          <t>Julieta Pareja</t>
        </is>
      </c>
      <c r="G475" s="24" t="inlineStr">
        <is>
          <t>Kayla Day</t>
        </is>
      </c>
      <c r="H475" s="24" t="inlineStr">
        <is>
          <t>moneyline</t>
        </is>
      </c>
      <c r="I475" s="24" t="inlineStr">
        <is>
          <t>away</t>
        </is>
      </c>
      <c r="J475" s="25" t="n"/>
      <c r="K475" s="24" t="inlineStr">
        <is>
          <t>polymarket_us</t>
        </is>
      </c>
      <c r="L475" s="26" t="n">
        <v>194</v>
      </c>
      <c r="M475" s="27" t="n">
        <v>2.94</v>
      </c>
      <c r="N475" s="28" t="n">
        <v>0.340136</v>
      </c>
      <c r="O475" s="28" t="n">
        <v>0.5341</v>
      </c>
      <c r="P475" s="28" t="n">
        <v>0.05</v>
      </c>
      <c r="Q475" s="28" t="n">
        <v>0.193964</v>
      </c>
      <c r="R475" s="26" t="n">
        <v>100</v>
      </c>
      <c r="S475" s="29" t="n">
        <v>2</v>
      </c>
      <c r="T475" s="24" t="inlineStr">
        <is>
          <t>tennis-surface-elo-v1</t>
        </is>
      </c>
      <c r="U475" s="24" t="inlineStr">
        <is>
          <t>settled</t>
        </is>
      </c>
      <c r="V475" s="24" t="inlineStr">
        <is>
          <t>win</t>
        </is>
      </c>
      <c r="W475" s="26" t="n">
        <v>1</v>
      </c>
      <c r="X475" s="26" t="n">
        <v>0</v>
      </c>
      <c r="Y475" s="25" t="n"/>
      <c r="Z475" s="26" t="n">
        <v>194</v>
      </c>
      <c r="AA475" s="28" t="n">
        <v>0.34</v>
      </c>
      <c r="AB475" s="28" t="n">
        <v>-0.000136</v>
      </c>
      <c r="AC475" s="30" t="n">
        <v>3.88</v>
      </c>
      <c r="AD475" s="24" t="inlineStr">
        <is>
          <t>2026-08-24T16:59:47.124015Z</t>
        </is>
      </c>
      <c r="AE475" s="31" t="inlineStr">
        <is>
          <t>Surface-blended Elo on Hard: Julieta Pareja p=0.534 vs Kayla Day. Executable ask 0.3400 (aec-wta-kayday-julpar-2026-08-24).</t>
        </is>
      </c>
      <c r="AF475" s="31" t="inlineStr">
        <is>
          <t>Surface-blended Elo model; singles only, WTA+ATP market coverage, not yet locked-holdout qualified -- promoted by explicit operator directive, not genuine walk-forward validation.</t>
        </is>
      </c>
      <c r="AG475" s="24" t="inlineStr">
        <is>
          <t>not_applicable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Julieta Pareja</t>
        </is>
      </c>
      <c r="AQ475" s="24" t="inlineStr">
        <is>
          <t>Julieta Pareja</t>
        </is>
      </c>
      <c r="AR475" s="24" t="inlineStr">
        <is>
          <t>Julieta Pareja</t>
        </is>
      </c>
      <c r="AS475" s="24" t="inlineStr">
        <is>
          <t>Kayla Day</t>
        </is>
      </c>
      <c r="AT475" s="24" t="inlineStr">
        <is>
          <t>Kayla Day</t>
        </is>
      </c>
      <c r="AU475" s="24" t="inlineStr">
        <is>
          <t>Kayla Day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d777da58446bc099047b154203518e2585ef1a678f613f2b430f2589f7bf5cff</t>
        </is>
      </c>
      <c r="BB475" s="24" t="inlineStr">
        <is>
          <t>surface_blended_elo</t>
        </is>
      </c>
      <c r="BC475" s="24" t="inlineStr">
        <is>
          <t>tennis-surface-elo-v1</t>
        </is>
      </c>
      <c r="BD475" s="24" t="inlineStr">
        <is>
          <t>d777da58446bc099047b154203518e2585ef1a678f613f2b430f2589f7bf5cff</t>
        </is>
      </c>
      <c r="BE475" s="24" t="inlineStr">
        <is>
          <t>tennis-surface-elo-v1</t>
        </is>
      </c>
      <c r="BF475" s="24" t="inlineStr">
        <is>
          <t>1</t>
        </is>
      </c>
      <c r="BG475" s="24" t="inlineStr">
        <is>
          <t>d777da58446bc099047b154203518e2585ef1a678f613f2b430f2589f7bf5cff</t>
        </is>
      </c>
      <c r="BH475" s="24" t="inlineStr">
        <is>
          <t>2026-08-24T14:59:18.918310Z</t>
        </is>
      </c>
      <c r="BI475" s="24" t="inlineStr">
        <is>
          <t>["same_event","same_team_same_day","same_league_same_day"]</t>
        </is>
      </c>
      <c r="BJ475" s="25" t="n"/>
      <c r="BK475" s="26" t="n">
        <v>194</v>
      </c>
      <c r="BL475" s="27" t="n">
        <v>2.94</v>
      </c>
      <c r="BM475" s="28" t="n">
        <v>0.340136</v>
      </c>
      <c r="BN475" s="28" t="n"/>
      <c r="BO475" s="28" t="n"/>
      <c r="BP475" s="25" t="n"/>
      <c r="BQ475" s="27" t="n">
        <v>2.94</v>
      </c>
      <c r="BR475" s="28" t="n">
        <v>0.34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inlineStr">
        <is>
          <t>24b01169ad55539157472afade74e296ce48594752cd283784f858ad846f2b4a</t>
        </is>
      </c>
      <c r="DE475" s="24" t="inlineStr">
        <is>
          <t>/Users/vincentc9002/model-prediction/data/odds/tennis/2026-08-24/polymarket_snapshots.jsonl</t>
        </is>
      </c>
      <c r="DF475" s="24" t="inlineStr">
        <is>
          <t>505979:2026-08-24T14:59:18.918310Z</t>
        </is>
      </c>
      <c r="DG475" s="24" t="n"/>
      <c r="DH475" s="24" t="n"/>
      <c r="DI475" s="24" t="n"/>
      <c r="DJ475" s="24" t="inlineStr">
        <is>
          <t>0.340136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09cde997537142c0</t>
        </is>
      </c>
      <c r="B476" s="24" t="inlineStr">
        <is>
          <t>2026-08-24T15:00:21.020915Z</t>
        </is>
      </c>
      <c r="C476" s="24" t="inlineStr">
        <is>
          <t>2026-08-24T15:05Z</t>
        </is>
      </c>
      <c r="D476" s="24" t="inlineStr">
        <is>
          <t>189-2026:184750</t>
        </is>
      </c>
      <c r="E476" s="24" t="inlineStr">
        <is>
          <t>TENNIS</t>
        </is>
      </c>
      <c r="F476" s="24" t="inlineStr">
        <is>
          <t>Iryna Shymanovich</t>
        </is>
      </c>
      <c r="G476" s="24" t="inlineStr">
        <is>
          <t>Rebeka Masarova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-194</v>
      </c>
      <c r="M476" s="27" t="n">
        <v>1.515464</v>
      </c>
      <c r="N476" s="28" t="n">
        <v>0.659864</v>
      </c>
      <c r="O476" s="28" t="n">
        <v>0.5032</v>
      </c>
      <c r="P476" s="28" t="n">
        <v>0.05</v>
      </c>
      <c r="Q476" s="28" t="n">
        <v>-0.156664</v>
      </c>
      <c r="R476" s="26" t="n">
        <v>0</v>
      </c>
      <c r="S476" s="29" t="n">
        <v>1</v>
      </c>
      <c r="T476" s="24" t="inlineStr">
        <is>
          <t>tennis-surface-elo-v1</t>
        </is>
      </c>
      <c r="U476" s="24" t="inlineStr">
        <is>
          <t>settled</t>
        </is>
      </c>
      <c r="V476" s="24" t="inlineStr">
        <is>
          <t>loss</t>
        </is>
      </c>
      <c r="W476" s="26" t="n">
        <v>1</v>
      </c>
      <c r="X476" s="26" t="n">
        <v>0</v>
      </c>
      <c r="Y476" s="25" t="n"/>
      <c r="Z476" s="26" t="n">
        <v>-194</v>
      </c>
      <c r="AA476" s="28" t="n">
        <v>0.66</v>
      </c>
      <c r="AB476" s="28" t="n">
        <v>0.000136</v>
      </c>
      <c r="AC476" s="30" t="n">
        <v>-1</v>
      </c>
      <c r="AD476" s="24" t="inlineStr">
        <is>
          <t>2026-08-24T18:06:28.248975Z</t>
        </is>
      </c>
      <c r="AE476" s="31" t="inlineStr">
        <is>
          <t>Surface-blended Elo on Hard: Iryna Shymanovich p=0.497 vs Rebeka Masarova. Executable ask 0.6600 (aec-wta-rebmas-iryshy-2026-08-24).</t>
        </is>
      </c>
      <c r="AF476" s="31" t="inlineStr">
        <is>
          <t>Surface-blended Elo model; singles only, WTA+ATP market coverage, not yet locked-holdout qualified -- promoted by explicit operator directive, not genuine walk-forward validation.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Iryna Shymanovich</t>
        </is>
      </c>
      <c r="AQ476" s="24" t="inlineStr">
        <is>
          <t>Iryna Shymanovich</t>
        </is>
      </c>
      <c r="AR476" s="24" t="inlineStr">
        <is>
          <t>Iryna Shymanovich</t>
        </is>
      </c>
      <c r="AS476" s="24" t="inlineStr">
        <is>
          <t>Rebeka Masarova</t>
        </is>
      </c>
      <c r="AT476" s="24" t="inlineStr">
        <is>
          <t>Rebeka Masarova</t>
        </is>
      </c>
      <c r="AU476" s="24" t="inlineStr">
        <is>
          <t>Rebeka Masarova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d777da58446bc099047b154203518e2585ef1a678f613f2b430f2589f7bf5cff</t>
        </is>
      </c>
      <c r="BB476" s="24" t="inlineStr">
        <is>
          <t>surface_blended_elo</t>
        </is>
      </c>
      <c r="BC476" s="24" t="inlineStr">
        <is>
          <t>tennis-surface-elo-v1</t>
        </is>
      </c>
      <c r="BD476" s="24" t="inlineStr">
        <is>
          <t>d777da58446bc099047b154203518e2585ef1a678f613f2b430f2589f7bf5cff</t>
        </is>
      </c>
      <c r="BE476" s="24" t="inlineStr">
        <is>
          <t>tennis-surface-elo-v1</t>
        </is>
      </c>
      <c r="BF476" s="24" t="inlineStr">
        <is>
          <t>1</t>
        </is>
      </c>
      <c r="BG476" s="24" t="inlineStr">
        <is>
          <t>d777da58446bc099047b154203518e2585ef1a678f613f2b430f2589f7bf5cff</t>
        </is>
      </c>
      <c r="BH476" s="24" t="inlineStr">
        <is>
          <t>2026-08-24T14:59:18.886002Z</t>
        </is>
      </c>
      <c r="BI476" s="24" t="inlineStr">
        <is>
          <t>["same_event","same_team_same_day","same_league_same_day"]</t>
        </is>
      </c>
      <c r="BJ476" s="25" t="n"/>
      <c r="BK476" s="26" t="n">
        <v>-194</v>
      </c>
      <c r="BL476" s="27" t="n">
        <v>1.515464</v>
      </c>
      <c r="BM476" s="28" t="n">
        <v>0.659864</v>
      </c>
      <c r="BN476" s="28" t="n"/>
      <c r="BO476" s="28" t="n"/>
      <c r="BP476" s="25" t="n"/>
      <c r="BQ476" s="27" t="n">
        <v>1.515464</v>
      </c>
      <c r="BR476" s="28" t="n">
        <v>0.66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inlineStr">
        <is>
          <t>0c76491040ac767e9f88feb5bedf49b6444571e84b5e1c9abcb8b7d6ecc9a750</t>
        </is>
      </c>
      <c r="DE476" s="24" t="inlineStr">
        <is>
          <t>/Users/vincentc9002/model-prediction/data/odds/tennis/2026-08-24/polymarket_snapshots.jsonl</t>
        </is>
      </c>
      <c r="DF476" s="24" t="inlineStr">
        <is>
          <t>505980:2026-08-24T14:59:18.886002Z</t>
        </is>
      </c>
      <c r="DG476" s="24" t="n"/>
      <c r="DH476" s="24" t="n"/>
      <c r="DI476" s="24" t="n"/>
      <c r="DJ476" s="24" t="inlineStr">
        <is>
          <t>0.659864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af75cfb8188f4d3b</t>
        </is>
      </c>
      <c r="B477" s="24" t="inlineStr">
        <is>
          <t>2026-08-24T15:00:21.020915Z</t>
        </is>
      </c>
      <c r="C477" s="24" t="inlineStr">
        <is>
          <t>2026-08-24T15:05Z</t>
        </is>
      </c>
      <c r="D477" s="24" t="inlineStr">
        <is>
          <t>189-2026:184607</t>
        </is>
      </c>
      <c r="E477" s="24" t="inlineStr">
        <is>
          <t>TENNIS</t>
        </is>
      </c>
      <c r="F477" s="24" t="inlineStr">
        <is>
          <t>Roberto Carballes Baena</t>
        </is>
      </c>
      <c r="G477" s="24" t="inlineStr">
        <is>
          <t>Jacob Fearnley</t>
        </is>
      </c>
      <c r="H477" s="24" t="inlineStr">
        <is>
          <t>moneyline</t>
        </is>
      </c>
      <c r="I477" s="24" t="inlineStr">
        <is>
          <t>home</t>
        </is>
      </c>
      <c r="J477" s="25" t="n"/>
      <c r="K477" s="24" t="inlineStr">
        <is>
          <t>polymarket_us</t>
        </is>
      </c>
      <c r="L477" s="26" t="n">
        <v>-456</v>
      </c>
      <c r="M477" s="27" t="n">
        <v>1.219298</v>
      </c>
      <c r="N477" s="28" t="n">
        <v>0.820144</v>
      </c>
      <c r="O477" s="28" t="n">
        <v>0.5623</v>
      </c>
      <c r="P477" s="28" t="n">
        <v>0.05</v>
      </c>
      <c r="Q477" s="28" t="n">
        <v>-0.257844</v>
      </c>
      <c r="R477" s="26" t="n">
        <v>0</v>
      </c>
      <c r="S477" s="29" t="n">
        <v>1</v>
      </c>
      <c r="T477" s="24" t="inlineStr">
        <is>
          <t>tennis-surface-elo-v1</t>
        </is>
      </c>
      <c r="U477" s="24" t="inlineStr">
        <is>
          <t>settled</t>
        </is>
      </c>
      <c r="V477" s="24" t="inlineStr">
        <is>
          <t>win</t>
        </is>
      </c>
      <c r="W477" s="26" t="n">
        <v>0</v>
      </c>
      <c r="X477" s="26" t="n">
        <v>1</v>
      </c>
      <c r="Y477" s="25" t="n"/>
      <c r="Z477" s="26" t="n">
        <v>-456</v>
      </c>
      <c r="AA477" s="28" t="n">
        <v>0.82</v>
      </c>
      <c r="AB477" s="28" t="n">
        <v>-0.000144</v>
      </c>
      <c r="AC477" s="30" t="n">
        <v>0.2193</v>
      </c>
      <c r="AD477" s="24" t="inlineStr">
        <is>
          <t>2026-08-24T18:06:30.303151Z</t>
        </is>
      </c>
      <c r="AE477" s="31" t="inlineStr">
        <is>
          <t>Surface-blended Elo on Hard: Roberto Carballes Baena p=0.438 vs Jacob Fearnley. Executable ask 0.8200 (aec-atp-jacfea-robbae-2026-08-24).</t>
        </is>
      </c>
      <c r="AF477" s="31" t="inlineStr">
        <is>
          <t>Surface-blended Elo model; singles only, WTA+ATP market coverage, not yet locked-holdout qualified -- promoted by explicit operator directive, not genuine walk-forward validation.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Roberto Carballes Baena</t>
        </is>
      </c>
      <c r="AQ477" s="24" t="inlineStr">
        <is>
          <t>Roberto Carballes Baena</t>
        </is>
      </c>
      <c r="AR477" s="24" t="inlineStr">
        <is>
          <t>Roberto Carballes Baena</t>
        </is>
      </c>
      <c r="AS477" s="24" t="inlineStr">
        <is>
          <t>Jacob Fearnley</t>
        </is>
      </c>
      <c r="AT477" s="24" t="inlineStr">
        <is>
          <t>Jacob Fearnley</t>
        </is>
      </c>
      <c r="AU477" s="24" t="inlineStr">
        <is>
          <t>Jacob Fearnley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d777da58446bc099047b154203518e2585ef1a678f613f2b430f2589f7bf5cff</t>
        </is>
      </c>
      <c r="BB477" s="24" t="inlineStr">
        <is>
          <t>surface_blended_elo</t>
        </is>
      </c>
      <c r="BC477" s="24" t="inlineStr">
        <is>
          <t>tennis-surface-elo-v1</t>
        </is>
      </c>
      <c r="BD477" s="24" t="inlineStr">
        <is>
          <t>d777da58446bc099047b154203518e2585ef1a678f613f2b430f2589f7bf5cff</t>
        </is>
      </c>
      <c r="BE477" s="24" t="inlineStr">
        <is>
          <t>tennis-surface-elo-v1</t>
        </is>
      </c>
      <c r="BF477" s="24" t="inlineStr">
        <is>
          <t>1</t>
        </is>
      </c>
      <c r="BG477" s="24" t="inlineStr">
        <is>
          <t>d777da58446bc099047b154203518e2585ef1a678f613f2b430f2589f7bf5cff</t>
        </is>
      </c>
      <c r="BH477" s="24" t="inlineStr">
        <is>
          <t>2026-08-24T14:59:20.608493Z</t>
        </is>
      </c>
      <c r="BI477" s="24" t="inlineStr">
        <is>
          <t>["same_event","same_team_same_day","same_league_same_day"]</t>
        </is>
      </c>
      <c r="BJ477" s="25" t="n"/>
      <c r="BK477" s="26" t="n">
        <v>-456</v>
      </c>
      <c r="BL477" s="27" t="n">
        <v>1.219298</v>
      </c>
      <c r="BM477" s="28" t="n">
        <v>0.820144</v>
      </c>
      <c r="BN477" s="28" t="n"/>
      <c r="BO477" s="28" t="n"/>
      <c r="BP477" s="25" t="n"/>
      <c r="BQ477" s="27" t="n">
        <v>1.219298</v>
      </c>
      <c r="BR477" s="28" t="n">
        <v>0.82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inlineStr">
        <is>
          <t>369f690b48d14730cf54347c3cc3d0d571d25e359476e404a44028a4fd2cd326</t>
        </is>
      </c>
      <c r="DE477" s="24" t="inlineStr">
        <is>
          <t>/Users/vincentc9002/model-prediction/data/odds/tennis/2026-08-24/polymarket_snapshots.jsonl</t>
        </is>
      </c>
      <c r="DF477" s="24" t="inlineStr">
        <is>
          <t>505989:2026-08-24T14:59:20.608493Z</t>
        </is>
      </c>
      <c r="DG477" s="24" t="n"/>
      <c r="DH477" s="24" t="n"/>
      <c r="DI477" s="24" t="n"/>
      <c r="DJ477" s="24" t="inlineStr">
        <is>
          <t>0.820144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aaf7222f5afe4136</t>
        </is>
      </c>
      <c r="B478" s="24" t="inlineStr">
        <is>
          <t>2026-08-24T15:00:21.020915Z</t>
        </is>
      </c>
      <c r="C478" s="24" t="inlineStr">
        <is>
          <t>2026-08-24T15:05Z</t>
        </is>
      </c>
      <c r="D478" s="24" t="inlineStr">
        <is>
          <t>189-2026:184608</t>
        </is>
      </c>
      <c r="E478" s="24" t="inlineStr">
        <is>
          <t>TENNIS</t>
        </is>
      </c>
      <c r="F478" s="24" t="inlineStr">
        <is>
          <t>Juan Pablo Varillas</t>
        </is>
      </c>
      <c r="G478" s="24" t="inlineStr">
        <is>
          <t>Luka Pavlovic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-233</v>
      </c>
      <c r="M478" s="27" t="n">
        <v>1.429185</v>
      </c>
      <c r="N478" s="28" t="n">
        <v>0.6997</v>
      </c>
      <c r="O478" s="28" t="n">
        <v>0.6284</v>
      </c>
      <c r="P478" s="28" t="n">
        <v>0.05</v>
      </c>
      <c r="Q478" s="28" t="n">
        <v>-0.0713</v>
      </c>
      <c r="R478" s="26" t="n">
        <v>0</v>
      </c>
      <c r="S478" s="29" t="n">
        <v>1</v>
      </c>
      <c r="T478" s="24" t="inlineStr">
        <is>
          <t>tennis-surface-elo-v1</t>
        </is>
      </c>
      <c r="U478" s="24" t="inlineStr">
        <is>
          <t>settled</t>
        </is>
      </c>
      <c r="V478" s="24" t="inlineStr">
        <is>
          <t>win</t>
        </is>
      </c>
      <c r="W478" s="26" t="n">
        <v>0</v>
      </c>
      <c r="X478" s="26" t="n">
        <v>1</v>
      </c>
      <c r="Y478" s="25" t="n"/>
      <c r="Z478" s="26" t="n">
        <v>-233</v>
      </c>
      <c r="AA478" s="28" t="n">
        <v>0.7</v>
      </c>
      <c r="AB478" s="28" t="n">
        <v>0.0003</v>
      </c>
      <c r="AC478" s="30" t="n">
        <v>0.4292</v>
      </c>
      <c r="AD478" s="24" t="inlineStr">
        <is>
          <t>2026-08-24T20:36:33.148545Z</t>
        </is>
      </c>
      <c r="AE478" s="31" t="inlineStr">
        <is>
          <t>Surface-blended Elo on Hard: Juan Pablo Varillas p=0.372 vs Luka Pavlovic. Executable ask 0.7000 (aec-atp-lukpav-juavar-2026-08-24).</t>
        </is>
      </c>
      <c r="AF478" s="31" t="inlineStr">
        <is>
          <t>Surface-blended Elo model; singles only, WTA+ATP market coverage, not yet locked-holdout qualified -- promoted by explicit operator directive, not genuine walk-forward validation.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PAPER_CALL_LOW_EDGE</t>
        </is>
      </c>
      <c r="AP478" s="24" t="inlineStr">
        <is>
          <t>Juan Pablo Varillas</t>
        </is>
      </c>
      <c r="AQ478" s="24" t="inlineStr">
        <is>
          <t>Juan Pablo Varillas</t>
        </is>
      </c>
      <c r="AR478" s="24" t="inlineStr">
        <is>
          <t>Juan Pablo Varillas</t>
        </is>
      </c>
      <c r="AS478" s="24" t="inlineStr">
        <is>
          <t>Luka Pavlovic</t>
        </is>
      </c>
      <c r="AT478" s="24" t="inlineStr">
        <is>
          <t>Luka Pavlovic</t>
        </is>
      </c>
      <c r="AU478" s="24" t="inlineStr">
        <is>
          <t>Luka Pavlovic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d777da58446bc099047b154203518e2585ef1a678f613f2b430f2589f7bf5cff</t>
        </is>
      </c>
      <c r="BB478" s="24" t="inlineStr">
        <is>
          <t>surface_blended_elo</t>
        </is>
      </c>
      <c r="BC478" s="24" t="inlineStr">
        <is>
          <t>tennis-surface-elo-v1</t>
        </is>
      </c>
      <c r="BD478" s="24" t="inlineStr">
        <is>
          <t>d777da58446bc099047b154203518e2585ef1a678f613f2b430f2589f7bf5cff</t>
        </is>
      </c>
      <c r="BE478" s="24" t="inlineStr">
        <is>
          <t>tennis-surface-elo-v1</t>
        </is>
      </c>
      <c r="BF478" s="24" t="inlineStr">
        <is>
          <t>1</t>
        </is>
      </c>
      <c r="BG478" s="24" t="inlineStr">
        <is>
          <t>d777da58446bc099047b154203518e2585ef1a678f613f2b430f2589f7bf5cff</t>
        </is>
      </c>
      <c r="BH478" s="24" t="inlineStr">
        <is>
          <t>2026-08-24T14:59:19.870285Z</t>
        </is>
      </c>
      <c r="BI478" s="24" t="inlineStr">
        <is>
          <t>["same_event","same_team_same_day","same_league_same_day"]</t>
        </is>
      </c>
      <c r="BJ478" s="25" t="n"/>
      <c r="BK478" s="26" t="n">
        <v>-233</v>
      </c>
      <c r="BL478" s="27" t="n">
        <v>1.429185</v>
      </c>
      <c r="BM478" s="28" t="n">
        <v>0.6997</v>
      </c>
      <c r="BN478" s="28" t="n"/>
      <c r="BO478" s="28" t="n"/>
      <c r="BP478" s="25" t="n"/>
      <c r="BQ478" s="27" t="n">
        <v>1.429185</v>
      </c>
      <c r="BR478" s="28" t="n">
        <v>0.7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inlineStr">
        <is>
          <t>608b9ccf5f7482352858ab424dc4ea1e96ad3a9e3914e5223840ea1868d0145f</t>
        </is>
      </c>
      <c r="DE478" s="24" t="inlineStr">
        <is>
          <t>/Users/vincentc9002/model-prediction/data/odds/tennis/2026-08-24/polymarket_snapshots.jsonl</t>
        </is>
      </c>
      <c r="DF478" s="24" t="inlineStr">
        <is>
          <t>505991:2026-08-24T14:59:19.870285Z</t>
        </is>
      </c>
      <c r="DG478" s="24" t="n"/>
      <c r="DH478" s="24" t="n"/>
      <c r="DI478" s="24" t="n"/>
      <c r="DJ478" s="24" t="inlineStr">
        <is>
          <t>0.6997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cf0e40e41e644453</t>
        </is>
      </c>
      <c r="B479" s="24" t="inlineStr">
        <is>
          <t>2026-08-24T15:00:21.020915Z</t>
        </is>
      </c>
      <c r="C479" s="24" t="inlineStr">
        <is>
          <t>2026-08-24T15:05Z</t>
        </is>
      </c>
      <c r="D479" s="24" t="inlineStr">
        <is>
          <t>189-2026:184626</t>
        </is>
      </c>
      <c r="E479" s="24" t="inlineStr">
        <is>
          <t>TENNIS</t>
        </is>
      </c>
      <c r="F479" s="24" t="inlineStr">
        <is>
          <t>Jurij Rodionov</t>
        </is>
      </c>
      <c r="G479" s="24" t="inlineStr">
        <is>
          <t>Kimmer Coppejans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156</v>
      </c>
      <c r="M479" s="27" t="n">
        <v>2.56</v>
      </c>
      <c r="N479" s="28" t="n">
        <v>0.390625</v>
      </c>
      <c r="O479" s="28" t="n">
        <v>0.503</v>
      </c>
      <c r="P479" s="28" t="n">
        <v>0.05</v>
      </c>
      <c r="Q479" s="28" t="n">
        <v>0.112375</v>
      </c>
      <c r="R479" s="26" t="n">
        <v>76</v>
      </c>
      <c r="S479" s="29" t="n">
        <v>1.5</v>
      </c>
      <c r="T479" s="24" t="inlineStr">
        <is>
          <t>tennis-surface-elo-v1</t>
        </is>
      </c>
      <c r="U479" s="24" t="inlineStr">
        <is>
          <t>settled</t>
        </is>
      </c>
      <c r="V479" s="24" t="inlineStr">
        <is>
          <t>loss</t>
        </is>
      </c>
      <c r="W479" s="26" t="n">
        <v>1</v>
      </c>
      <c r="X479" s="26" t="n">
        <v>0</v>
      </c>
      <c r="Y479" s="25" t="n"/>
      <c r="Z479" s="26" t="n">
        <v>156</v>
      </c>
      <c r="AA479" s="28" t="n">
        <v>0.39</v>
      </c>
      <c r="AB479" s="28" t="n">
        <v>-0.000625</v>
      </c>
      <c r="AC479" s="30" t="n">
        <v>-1.5</v>
      </c>
      <c r="AD479" s="24" t="inlineStr">
        <is>
          <t>2026-08-24T16:59:49.246543Z</t>
        </is>
      </c>
      <c r="AE479" s="31" t="inlineStr">
        <is>
          <t>Surface-blended Elo on Hard: Jurij Rodionov p=0.497 vs Kimmer Coppejans. Executable ask 0.3900 (aec-atp-kimcop-jurrod-2026-08-24).</t>
        </is>
      </c>
      <c r="AF479" s="31" t="inlineStr">
        <is>
          <t>Surface-blended Elo model; singles only, WTA+ATP market coverage, not yet locked-holdout qualified -- promoted by explicit operator directive, not genuine walk-forward validation.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Jurij Rodionov</t>
        </is>
      </c>
      <c r="AQ479" s="24" t="inlineStr">
        <is>
          <t>Jurij Rodionov</t>
        </is>
      </c>
      <c r="AR479" s="24" t="inlineStr">
        <is>
          <t>Jurij Rodionov</t>
        </is>
      </c>
      <c r="AS479" s="24" t="inlineStr">
        <is>
          <t>Kimmer Coppejans</t>
        </is>
      </c>
      <c r="AT479" s="24" t="inlineStr">
        <is>
          <t>Kimmer Coppejans</t>
        </is>
      </c>
      <c r="AU479" s="24" t="inlineStr">
        <is>
          <t>Kimmer Coppejans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d777da58446bc099047b154203518e2585ef1a678f613f2b430f2589f7bf5cff</t>
        </is>
      </c>
      <c r="BB479" s="24" t="inlineStr">
        <is>
          <t>surface_blended_elo</t>
        </is>
      </c>
      <c r="BC479" s="24" t="inlineStr">
        <is>
          <t>tennis-surface-elo-v1</t>
        </is>
      </c>
      <c r="BD479" s="24" t="inlineStr">
        <is>
          <t>d777da58446bc099047b154203518e2585ef1a678f613f2b430f2589f7bf5cff</t>
        </is>
      </c>
      <c r="BE479" s="24" t="inlineStr">
        <is>
          <t>tennis-surface-elo-v1</t>
        </is>
      </c>
      <c r="BF479" s="24" t="inlineStr">
        <is>
          <t>1</t>
        </is>
      </c>
      <c r="BG479" s="24" t="inlineStr">
        <is>
          <t>d777da58446bc099047b154203518e2585ef1a678f613f2b430f2589f7bf5cff</t>
        </is>
      </c>
      <c r="BH479" s="24" t="inlineStr">
        <is>
          <t>2026-08-24T14:59:20.529912Z</t>
        </is>
      </c>
      <c r="BI479" s="24" t="inlineStr">
        <is>
          <t>["same_event","same_team_same_day","same_league_same_day"]</t>
        </is>
      </c>
      <c r="BJ479" s="25" t="n"/>
      <c r="BK479" s="26" t="n">
        <v>156</v>
      </c>
      <c r="BL479" s="27" t="n">
        <v>2.56</v>
      </c>
      <c r="BM479" s="28" t="n">
        <v>0.390625</v>
      </c>
      <c r="BN479" s="28" t="n"/>
      <c r="BO479" s="28" t="n"/>
      <c r="BP479" s="25" t="n"/>
      <c r="BQ479" s="27" t="n">
        <v>2.56</v>
      </c>
      <c r="BR479" s="28" t="n">
        <v>0.39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inlineStr">
        <is>
          <t>b378543061715347103deff5f4704f4b3f8d137aa14706b5b833b54bbefae37b</t>
        </is>
      </c>
      <c r="DE479" s="24" t="inlineStr">
        <is>
          <t>/Users/vincentc9002/model-prediction/data/odds/tennis/2026-08-24/polymarket_snapshots.jsonl</t>
        </is>
      </c>
      <c r="DF479" s="24" t="inlineStr">
        <is>
          <t>505994:2026-08-24T14:59:20.529912Z</t>
        </is>
      </c>
      <c r="DG479" s="24" t="n"/>
      <c r="DH479" s="24" t="n"/>
      <c r="DI479" s="24" t="n"/>
      <c r="DJ479" s="24" t="inlineStr">
        <is>
          <t>0.390625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bdb9b51a38a14ad4</t>
        </is>
      </c>
      <c r="B480" s="24" t="inlineStr">
        <is>
          <t>2026-08-24T15:00:21.020915Z</t>
        </is>
      </c>
      <c r="C480" s="24" t="inlineStr">
        <is>
          <t>2026-08-24T15:05Z</t>
        </is>
      </c>
      <c r="D480" s="24" t="inlineStr">
        <is>
          <t>189-2026:184634</t>
        </is>
      </c>
      <c r="E480" s="24" t="inlineStr">
        <is>
          <t>TENNIS</t>
        </is>
      </c>
      <c r="F480" s="24" t="inlineStr">
        <is>
          <t>Frederico Ferreira Silva</t>
        </is>
      </c>
      <c r="G480" s="24" t="inlineStr">
        <is>
          <t>Diego Dedura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-117</v>
      </c>
      <c r="M480" s="27" t="n">
        <v>1.854701</v>
      </c>
      <c r="N480" s="28" t="n">
        <v>0.539171</v>
      </c>
      <c r="O480" s="28" t="n">
        <v>0.524</v>
      </c>
      <c r="P480" s="28" t="n">
        <v>0.05</v>
      </c>
      <c r="Q480" s="28" t="n">
        <v>-0.015171</v>
      </c>
      <c r="R480" s="26" t="n">
        <v>12</v>
      </c>
      <c r="S480" s="29" t="n">
        <v>1</v>
      </c>
      <c r="T480" s="24" t="inlineStr">
        <is>
          <t>tennis-surface-elo-v1</t>
        </is>
      </c>
      <c r="U480" s="24" t="inlineStr">
        <is>
          <t>settled</t>
        </is>
      </c>
      <c r="V480" s="24" t="inlineStr">
        <is>
          <t>loss</t>
        </is>
      </c>
      <c r="W480" s="26" t="n">
        <v>1</v>
      </c>
      <c r="X480" s="26" t="n">
        <v>0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2026-08-24T16:59:51.272141Z</t>
        </is>
      </c>
      <c r="AE480" s="31" t="inlineStr">
        <is>
          <t>Surface-blended Elo on Hard: Frederico Ferreira Silva p=0.476 vs Diego Dedura. Executable ask 0.5400 (aec-atp-dieded-fresil-2026-08-24).</t>
        </is>
      </c>
      <c r="AF480" s="31" t="inlineStr">
        <is>
          <t>Surface-blended Elo model; singles only, WTA+ATP market coverage, not yet locked-holdout qualified -- promoted by explicit operator directive, not genuine walk-forward validation.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PAPER_CALL_MODEL_UNVALIDATED</t>
        </is>
      </c>
      <c r="AP480" s="24" t="inlineStr">
        <is>
          <t>Frederico Ferreira Silva</t>
        </is>
      </c>
      <c r="AQ480" s="24" t="inlineStr">
        <is>
          <t>Frederico Ferreira Silva</t>
        </is>
      </c>
      <c r="AR480" s="24" t="inlineStr">
        <is>
          <t>Frederico Ferreira Silva</t>
        </is>
      </c>
      <c r="AS480" s="24" t="inlineStr">
        <is>
          <t>Diego Dedura</t>
        </is>
      </c>
      <c r="AT480" s="24" t="inlineStr">
        <is>
          <t>Diego Dedura</t>
        </is>
      </c>
      <c r="AU480" s="24" t="inlineStr">
        <is>
          <t>Diego Dedura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d777da58446bc099047b154203518e2585ef1a678f613f2b430f2589f7bf5cff</t>
        </is>
      </c>
      <c r="BB480" s="24" t="inlineStr">
        <is>
          <t>surface_blended_elo</t>
        </is>
      </c>
      <c r="BC480" s="24" t="inlineStr">
        <is>
          <t>tennis-surface-elo-v1</t>
        </is>
      </c>
      <c r="BD480" s="24" t="inlineStr">
        <is>
          <t>d777da58446bc099047b154203518e2585ef1a678f613f2b430f2589f7bf5cff</t>
        </is>
      </c>
      <c r="BE480" s="24" t="inlineStr">
        <is>
          <t>tennis-surface-elo-v1</t>
        </is>
      </c>
      <c r="BF480" s="24" t="inlineStr">
        <is>
          <t>1</t>
        </is>
      </c>
      <c r="BG480" s="24" t="inlineStr">
        <is>
          <t>d777da58446bc099047b154203518e2585ef1a678f613f2b430f2589f7bf5cff</t>
        </is>
      </c>
      <c r="BH480" s="24" t="inlineStr">
        <is>
          <t>2026-08-24T14:59:20.361925Z</t>
        </is>
      </c>
      <c r="BI480" s="24" t="inlineStr">
        <is>
          <t>["same_event","same_team_same_day","same_league_same_day"]</t>
        </is>
      </c>
      <c r="BJ480" s="25" t="n"/>
      <c r="BK480" s="26" t="n">
        <v>-117</v>
      </c>
      <c r="BL480" s="27" t="n">
        <v>1.854701</v>
      </c>
      <c r="BM480" s="28" t="n">
        <v>0.539171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inlineStr">
        <is>
          <t>96c5a604a6e620424aad8f00af0b0c28e9848d7fab262e0171afbadd633a9fe1</t>
        </is>
      </c>
      <c r="DE480" s="24" t="inlineStr">
        <is>
          <t>/Users/vincentc9002/model-prediction/data/odds/tennis/2026-08-24/polymarket_snapshots.jsonl</t>
        </is>
      </c>
      <c r="DF480" s="24" t="inlineStr">
        <is>
          <t>505992:2026-08-24T14:59:20.361925Z</t>
        </is>
      </c>
      <c r="DG480" s="24" t="n"/>
      <c r="DH480" s="24" t="n"/>
      <c r="DI480" s="24" t="n"/>
      <c r="DJ480" s="24" t="inlineStr">
        <is>
          <t>0.539171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f5f569b2d453463e</t>
        </is>
      </c>
      <c r="B481" s="24" t="inlineStr">
        <is>
          <t>2026-08-24T15:00:21.020915Z</t>
        </is>
      </c>
      <c r="C481" s="24" t="inlineStr">
        <is>
          <t>2026-08-24T15:05Z</t>
        </is>
      </c>
      <c r="D481" s="24" t="inlineStr">
        <is>
          <t>189-2026:184635</t>
        </is>
      </c>
      <c r="E481" s="24" t="inlineStr">
        <is>
          <t>TENNIS</t>
        </is>
      </c>
      <c r="F481" s="24" t="inlineStr">
        <is>
          <t>Daniel Rincon</t>
        </is>
      </c>
      <c r="G481" s="24" t="inlineStr">
        <is>
          <t>Titouan Droguet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-488</v>
      </c>
      <c r="M481" s="27" t="n">
        <v>1.204918</v>
      </c>
      <c r="N481" s="28" t="n">
        <v>0.829932</v>
      </c>
      <c r="O481" s="28" t="n">
        <v>0.7093</v>
      </c>
      <c r="P481" s="28" t="n">
        <v>0.05</v>
      </c>
      <c r="Q481" s="28" t="n">
        <v>-0.120632</v>
      </c>
      <c r="R481" s="26" t="n">
        <v>0</v>
      </c>
      <c r="S481" s="29" t="n">
        <v>1</v>
      </c>
      <c r="T481" s="24" t="inlineStr">
        <is>
          <t>tennis-surface-elo-v1</t>
        </is>
      </c>
      <c r="U481" s="24" t="inlineStr">
        <is>
          <t>settled</t>
        </is>
      </c>
      <c r="V481" s="24" t="inlineStr">
        <is>
          <t>loss</t>
        </is>
      </c>
      <c r="W481" s="26" t="n">
        <v>1</v>
      </c>
      <c r="X481" s="26" t="n">
        <v>0</v>
      </c>
      <c r="Y481" s="25" t="n"/>
      <c r="Z481" s="26" t="n">
        <v>-488</v>
      </c>
      <c r="AA481" s="28" t="n">
        <v>0.83</v>
      </c>
      <c r="AB481" s="28" t="n">
        <v>6.8e-05</v>
      </c>
      <c r="AC481" s="30" t="n">
        <v>-1</v>
      </c>
      <c r="AD481" s="24" t="inlineStr">
        <is>
          <t>2026-08-24T20:36:35.422375Z</t>
        </is>
      </c>
      <c r="AE481" s="31" t="inlineStr">
        <is>
          <t>Surface-blended Elo on Hard: Daniel Rincon p=0.291 vs Titouan Droguet. Executable ask 0.8300 (aec-atp-titdro-danrin-2026-08-24).</t>
        </is>
      </c>
      <c r="AF481" s="31" t="inlineStr">
        <is>
          <t>Surface-blended Elo model; singles only, WTA+ATP market coverage, not yet locked-holdout qualified -- promoted by explicit operator directive, not genuine walk-forward validation.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Daniel Rincon</t>
        </is>
      </c>
      <c r="AQ481" s="24" t="inlineStr">
        <is>
          <t>Daniel Rincon</t>
        </is>
      </c>
      <c r="AR481" s="24" t="inlineStr">
        <is>
          <t>Daniel Rincon</t>
        </is>
      </c>
      <c r="AS481" s="24" t="inlineStr">
        <is>
          <t>Titouan Droguet</t>
        </is>
      </c>
      <c r="AT481" s="24" t="inlineStr">
        <is>
          <t>Titouan Droguet</t>
        </is>
      </c>
      <c r="AU481" s="24" t="inlineStr">
        <is>
          <t>Titouan Droguet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d777da58446bc099047b154203518e2585ef1a678f613f2b430f2589f7bf5cff</t>
        </is>
      </c>
      <c r="BB481" s="24" t="inlineStr">
        <is>
          <t>surface_blended_elo</t>
        </is>
      </c>
      <c r="BC481" s="24" t="inlineStr">
        <is>
          <t>tennis-surface-elo-v1</t>
        </is>
      </c>
      <c r="BD481" s="24" t="inlineStr">
        <is>
          <t>d777da58446bc099047b154203518e2585ef1a678f613f2b430f2589f7bf5cff</t>
        </is>
      </c>
      <c r="BE481" s="24" t="inlineStr">
        <is>
          <t>tennis-surface-elo-v1</t>
        </is>
      </c>
      <c r="BF481" s="24" t="inlineStr">
        <is>
          <t>1</t>
        </is>
      </c>
      <c r="BG481" s="24" t="inlineStr">
        <is>
          <t>d777da58446bc099047b154203518e2585ef1a678f613f2b430f2589f7bf5cff</t>
        </is>
      </c>
      <c r="BH481" s="24" t="inlineStr">
        <is>
          <t>2026-08-24T14:59:20.192677Z</t>
        </is>
      </c>
      <c r="BI481" s="24" t="inlineStr">
        <is>
          <t>["same_event","same_team_same_day","same_league_same_day"]</t>
        </is>
      </c>
      <c r="BJ481" s="25" t="n"/>
      <c r="BK481" s="26" t="n">
        <v>-488</v>
      </c>
      <c r="BL481" s="27" t="n">
        <v>1.204918</v>
      </c>
      <c r="BM481" s="28" t="n">
        <v>0.829932</v>
      </c>
      <c r="BN481" s="28" t="n"/>
      <c r="BO481" s="28" t="n"/>
      <c r="BP481" s="25" t="n"/>
      <c r="BQ481" s="27" t="n">
        <v>1.204918</v>
      </c>
      <c r="BR481" s="28" t="n">
        <v>0.83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inlineStr">
        <is>
          <t>b64d10f16abf7cac55ff1530224392cb8ca544499523e997a7f47352c750e706</t>
        </is>
      </c>
      <c r="DE481" s="24" t="inlineStr">
        <is>
          <t>/Users/vincentc9002/model-prediction/data/odds/tennis/2026-08-24/polymarket_snapshots.jsonl</t>
        </is>
      </c>
      <c r="DF481" s="24" t="inlineStr">
        <is>
          <t>505996:2026-08-24T14:59:20.192677Z</t>
        </is>
      </c>
      <c r="DG481" s="24" t="n"/>
      <c r="DH481" s="24" t="n"/>
      <c r="DI481" s="24" t="n"/>
      <c r="DJ481" s="24" t="inlineStr">
        <is>
          <t>0.829932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71870afc97b14523</t>
        </is>
      </c>
      <c r="B482" s="24" t="inlineStr">
        <is>
          <t>2026-08-24T15:00:21.020915Z</t>
        </is>
      </c>
      <c r="C482" s="24" t="inlineStr">
        <is>
          <t>2026-08-24T15:05Z</t>
        </is>
      </c>
      <c r="D482" s="24" t="inlineStr">
        <is>
          <t>189-2026:184637</t>
        </is>
      </c>
      <c r="E482" s="24" t="inlineStr">
        <is>
          <t>TENNIS</t>
        </is>
      </c>
      <c r="F482" s="24" t="inlineStr">
        <is>
          <t>Jordan Lee</t>
        </is>
      </c>
      <c r="G482" s="24" t="inlineStr">
        <is>
          <t>Mark Lajal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-809</v>
      </c>
      <c r="M482" s="27" t="n">
        <v>1.123609</v>
      </c>
      <c r="N482" s="28" t="n">
        <v>0.889989</v>
      </c>
      <c r="O482" s="28" t="n">
        <v>0.5496</v>
      </c>
      <c r="P482" s="28" t="n">
        <v>0.05</v>
      </c>
      <c r="Q482" s="28" t="n">
        <v>-0.340389</v>
      </c>
      <c r="R482" s="26" t="n">
        <v>0</v>
      </c>
      <c r="S482" s="29" t="n">
        <v>1</v>
      </c>
      <c r="T482" s="24" t="inlineStr">
        <is>
          <t>tennis-surface-elo-v1</t>
        </is>
      </c>
      <c r="U482" s="24" t="inlineStr">
        <is>
          <t>settled</t>
        </is>
      </c>
      <c r="V482" s="24" t="inlineStr">
        <is>
          <t>loss</t>
        </is>
      </c>
      <c r="W482" s="26" t="n">
        <v>1</v>
      </c>
      <c r="X482" s="26" t="n">
        <v>0</v>
      </c>
      <c r="Y482" s="25" t="n"/>
      <c r="Z482" s="26" t="n">
        <v>-809</v>
      </c>
      <c r="AA482" s="28" t="n">
        <v>0.89</v>
      </c>
      <c r="AB482" s="28" t="n">
        <v>1.1e-05</v>
      </c>
      <c r="AC482" s="30" t="n">
        <v>-1</v>
      </c>
      <c r="AD482" s="24" t="inlineStr">
        <is>
          <t>2026-08-24T18:06:32.420361Z</t>
        </is>
      </c>
      <c r="AE482" s="31" t="inlineStr">
        <is>
          <t>Surface-blended Elo on Hard: Jordan Lee p=0.450 vs Mark Lajal. Executable ask 0.8900 (aec-atp-marlaj-jorlee-2026-08-24).</t>
        </is>
      </c>
      <c r="AF482" s="31" t="inlineStr">
        <is>
          <t>Surface-blended Elo model; singles only, WTA+ATP market coverage, not yet locked-holdout qualified -- promoted by explicit operator directive, not genuine walk-forward validation.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PAPER_CALL_MODEL_UNVALIDATED</t>
        </is>
      </c>
      <c r="AP482" s="24" t="inlineStr">
        <is>
          <t>Jordan Lee</t>
        </is>
      </c>
      <c r="AQ482" s="24" t="inlineStr">
        <is>
          <t>Jordan Lee</t>
        </is>
      </c>
      <c r="AR482" s="24" t="inlineStr">
        <is>
          <t>Jordan Lee</t>
        </is>
      </c>
      <c r="AS482" s="24" t="inlineStr">
        <is>
          <t>Mark Lajal</t>
        </is>
      </c>
      <c r="AT482" s="24" t="inlineStr">
        <is>
          <t>Mark Lajal</t>
        </is>
      </c>
      <c r="AU482" s="24" t="inlineStr">
        <is>
          <t>Mark Lajal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d777da58446bc099047b154203518e2585ef1a678f613f2b430f2589f7bf5cff</t>
        </is>
      </c>
      <c r="BB482" s="24" t="inlineStr">
        <is>
          <t>surface_blended_elo</t>
        </is>
      </c>
      <c r="BC482" s="24" t="inlineStr">
        <is>
          <t>tennis-surface-elo-v1</t>
        </is>
      </c>
      <c r="BD482" s="24" t="inlineStr">
        <is>
          <t>d777da58446bc099047b154203518e2585ef1a678f613f2b430f2589f7bf5cff</t>
        </is>
      </c>
      <c r="BE482" s="24" t="inlineStr">
        <is>
          <t>tennis-surface-elo-v1</t>
        </is>
      </c>
      <c r="BF482" s="24" t="inlineStr">
        <is>
          <t>1</t>
        </is>
      </c>
      <c r="BG482" s="24" t="inlineStr">
        <is>
          <t>d777da58446bc099047b154203518e2585ef1a678f613f2b430f2589f7bf5cff</t>
        </is>
      </c>
      <c r="BH482" s="24" t="inlineStr">
        <is>
          <t>2026-08-24T14:59:19.987769Z</t>
        </is>
      </c>
      <c r="BI482" s="24" t="inlineStr">
        <is>
          <t>["same_event","same_team_same_day","same_league_same_day"]</t>
        </is>
      </c>
      <c r="BJ482" s="25" t="n"/>
      <c r="BK482" s="26" t="n">
        <v>-809</v>
      </c>
      <c r="BL482" s="27" t="n">
        <v>1.123609</v>
      </c>
      <c r="BM482" s="28" t="n">
        <v>0.889989</v>
      </c>
      <c r="BN482" s="28" t="n"/>
      <c r="BO482" s="28" t="n"/>
      <c r="BP482" s="25" t="n"/>
      <c r="BQ482" s="27" t="n">
        <v>1.123609</v>
      </c>
      <c r="BR482" s="28" t="n">
        <v>0.89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inlineStr">
        <is>
          <t>8340eaa488b273cea7790091bd0fd545ce23b035927d5cea03c67aa468b621ac</t>
        </is>
      </c>
      <c r="DE482" s="24" t="inlineStr">
        <is>
          <t>/Users/vincentc9002/model-prediction/data/odds/tennis/2026-08-24/polymarket_snapshots.jsonl</t>
        </is>
      </c>
      <c r="DF482" s="24" t="inlineStr">
        <is>
          <t>505998:2026-08-24T14:59:19.987769Z</t>
        </is>
      </c>
      <c r="DG482" s="24" t="n"/>
      <c r="DH482" s="24" t="n"/>
      <c r="DI482" s="24" t="n"/>
      <c r="DJ482" s="24" t="inlineStr">
        <is>
          <t>0.889989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d63771231fe14329</t>
        </is>
      </c>
      <c r="B483" s="24" t="inlineStr">
        <is>
          <t>2026-08-24T16:28:07.904064Z</t>
        </is>
      </c>
      <c r="C483" s="24" t="inlineStr">
        <is>
          <t>2026-08-24T16:30Z</t>
        </is>
      </c>
      <c r="D483" s="24" t="inlineStr">
        <is>
          <t>1075-2026:182128</t>
        </is>
      </c>
      <c r="E483" s="24" t="inlineStr">
        <is>
          <t>TENNIS</t>
        </is>
      </c>
      <c r="F483" s="24" t="inlineStr">
        <is>
          <t>Taylah Preston</t>
        </is>
      </c>
      <c r="G483" s="24" t="inlineStr">
        <is>
          <t>Oksana Selekhmeteva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150</v>
      </c>
      <c r="M483" s="27" t="n">
        <v>2.5</v>
      </c>
      <c r="N483" s="28" t="n">
        <v>0.4</v>
      </c>
      <c r="O483" s="28" t="n">
        <v>0.6005</v>
      </c>
      <c r="P483" s="28" t="n">
        <v>0.05</v>
      </c>
      <c r="Q483" s="28" t="n">
        <v>0.2005</v>
      </c>
      <c r="R483" s="26" t="n">
        <v>100</v>
      </c>
      <c r="S483" s="29" t="n">
        <v>2</v>
      </c>
      <c r="T483" s="24" t="inlineStr">
        <is>
          <t>tennis-surface-elo-v1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1</v>
      </c>
      <c r="Y483" s="25" t="n"/>
      <c r="Z483" s="26" t="n">
        <v>163</v>
      </c>
      <c r="AA483" s="28" t="n">
        <v>0.38</v>
      </c>
      <c r="AB483" s="28" t="n">
        <v>-0.02</v>
      </c>
      <c r="AC483" s="30" t="n">
        <v>3</v>
      </c>
      <c r="AD483" s="24" t="inlineStr">
        <is>
          <t>2026-08-24T20:36:41.536378Z</t>
        </is>
      </c>
      <c r="AE483" s="31" t="inlineStr">
        <is>
          <t>Surface-blended Elo on Hard: Taylah Preston p=0.399 vs Oksana Selekhmeteva. Executable ask 0.4000 (aec-wta-okssel-taypre-2026-08-24).</t>
        </is>
      </c>
      <c r="AF483" s="31" t="inlineStr">
        <is>
          <t>Surface-blended Elo model; singles only, WTA+ATP market coverage, not yet locked-holdout qualified -- promoted by explicit operator directive, not genuine walk-forward validation.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Taylah Preston</t>
        </is>
      </c>
      <c r="AQ483" s="24" t="inlineStr">
        <is>
          <t>Taylah Preston</t>
        </is>
      </c>
      <c r="AR483" s="24" t="inlineStr">
        <is>
          <t>Taylah Preston</t>
        </is>
      </c>
      <c r="AS483" s="24" t="inlineStr">
        <is>
          <t>Oksana Selekhmeteva</t>
        </is>
      </c>
      <c r="AT483" s="24" t="inlineStr">
        <is>
          <t>Oksana Selekhmeteva</t>
        </is>
      </c>
      <c r="AU483" s="24" t="inlineStr">
        <is>
          <t>Oksana Selekhmeteva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d777da58446bc099047b154203518e2585ef1a678f613f2b430f2589f7bf5cff</t>
        </is>
      </c>
      <c r="BB483" s="24" t="inlineStr">
        <is>
          <t>surface_blended_elo</t>
        </is>
      </c>
      <c r="BC483" s="24" t="inlineStr">
        <is>
          <t>tennis-surface-elo-v1</t>
        </is>
      </c>
      <c r="BD483" s="24" t="inlineStr">
        <is>
          <t>d777da58446bc099047b154203518e2585ef1a678f613f2b430f2589f7bf5cff</t>
        </is>
      </c>
      <c r="BE483" s="24" t="inlineStr">
        <is>
          <t>tennis-surface-elo-v1</t>
        </is>
      </c>
      <c r="BF483" s="24" t="inlineStr">
        <is>
          <t>1</t>
        </is>
      </c>
      <c r="BG483" s="24" t="inlineStr">
        <is>
          <t>d777da58446bc099047b154203518e2585ef1a678f613f2b430f2589f7bf5cff</t>
        </is>
      </c>
      <c r="BH483" s="24" t="inlineStr">
        <is>
          <t>2026-08-24T14:59:18.929942Z</t>
        </is>
      </c>
      <c r="BI483" s="24" t="inlineStr">
        <is>
          <t>["same_event","same_team_same_day","same_league_same_day"]</t>
        </is>
      </c>
      <c r="BJ483" s="25" t="n"/>
      <c r="BK483" s="26" t="n">
        <v>150</v>
      </c>
      <c r="BL483" s="27" t="n">
        <v>2.5</v>
      </c>
      <c r="BM483" s="28" t="n">
        <v>0.4</v>
      </c>
      <c r="BN483" s="28" t="n"/>
      <c r="BO483" s="28" t="n"/>
      <c r="BP483" s="25" t="n"/>
      <c r="BQ483" s="27" t="n">
        <v>2.63</v>
      </c>
      <c r="BR483" s="28" t="n">
        <v>0.38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inlineStr">
        <is>
          <t>64843459bafa1736b5fad04d7ae2655a45c407bd814f59dd71881a8b2b503b61</t>
        </is>
      </c>
      <c r="DE483" s="24" t="inlineStr">
        <is>
          <t>/Users/vincentc9002/model-prediction/data/odds/tennis/2026-08-24/polymarket_snapshots.jsonl</t>
        </is>
      </c>
      <c r="DF483" s="24" t="inlineStr">
        <is>
          <t>505221:2026-08-24T14:59:18.929942Z</t>
        </is>
      </c>
      <c r="DG483" s="24" t="n"/>
      <c r="DH483" s="24" t="n"/>
      <c r="DI483" s="24" t="n"/>
      <c r="DJ483" s="24" t="inlineStr">
        <is>
          <t>0.4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604d013983914ad6</t>
        </is>
      </c>
      <c r="B484" s="24" t="inlineStr">
        <is>
          <t>2026-08-24T16:28:07.904064Z</t>
        </is>
      </c>
      <c r="C484" s="24" t="inlineStr">
        <is>
          <t>2026-08-24T16:30Z</t>
        </is>
      </c>
      <c r="D484" s="24" t="inlineStr">
        <is>
          <t>1075-2026:182131</t>
        </is>
      </c>
      <c r="E484" s="24" t="inlineStr">
        <is>
          <t>TENNIS</t>
        </is>
      </c>
      <c r="F484" s="24" t="inlineStr">
        <is>
          <t>Capucine Jauffret</t>
        </is>
      </c>
      <c r="G484" s="24" t="inlineStr">
        <is>
          <t>Lois Boisson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-1900</v>
      </c>
      <c r="M484" s="27" t="n">
        <v>1.052632</v>
      </c>
      <c r="N484" s="28" t="n">
        <v>0.95</v>
      </c>
      <c r="O484" s="28" t="n">
        <v>0.6562</v>
      </c>
      <c r="P484" s="28" t="n">
        <v>0.05</v>
      </c>
      <c r="Q484" s="28" t="n">
        <v>-0.2938</v>
      </c>
      <c r="R484" s="26" t="n">
        <v>0</v>
      </c>
      <c r="S484" s="29" t="n">
        <v>1</v>
      </c>
      <c r="T484" s="24" t="inlineStr">
        <is>
          <t>tennis-surface-elo-v1</t>
        </is>
      </c>
      <c r="U484" s="24" t="inlineStr">
        <is>
          <t>settled</t>
        </is>
      </c>
      <c r="V484" s="24" t="inlineStr">
        <is>
          <t>loss</t>
        </is>
      </c>
      <c r="W484" s="26" t="n">
        <v>1</v>
      </c>
      <c r="X484" s="26" t="n">
        <v>0</v>
      </c>
      <c r="Y484" s="25" t="n"/>
      <c r="Z484" s="26" t="n">
        <v>-2400</v>
      </c>
      <c r="AA484" s="28" t="n">
        <v>0.96</v>
      </c>
      <c r="AB484" s="28" t="n">
        <v>0.01</v>
      </c>
      <c r="AC484" s="30" t="n">
        <v>-1</v>
      </c>
      <c r="AD484" s="24" t="inlineStr">
        <is>
          <t>2026-08-24T20:36:43.393667Z</t>
        </is>
      </c>
      <c r="AE484" s="31" t="inlineStr">
        <is>
          <t>Surface-blended Elo on Hard: Capucine Jauffret p=0.344 vs Lois Boisson. Executable ask 0.9500 (aec-wta-loiboi-capjau-2026-08-24).</t>
        </is>
      </c>
      <c r="AF484" s="31" t="inlineStr">
        <is>
          <t>Surface-blended Elo model; singles only, WTA+ATP market coverage, not yet locked-holdout qualified -- promoted by explicit operator directive, not genuine walk-forward validation.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PAPER_CALL_MODEL_UNVALIDATED</t>
        </is>
      </c>
      <c r="AP484" s="24" t="inlineStr">
        <is>
          <t>Capucine Jauffret</t>
        </is>
      </c>
      <c r="AQ484" s="24" t="inlineStr">
        <is>
          <t>Capucine Jauffret</t>
        </is>
      </c>
      <c r="AR484" s="24" t="inlineStr">
        <is>
          <t>Capucine Jauffret</t>
        </is>
      </c>
      <c r="AS484" s="24" t="inlineStr">
        <is>
          <t>Lois Boisson</t>
        </is>
      </c>
      <c r="AT484" s="24" t="inlineStr">
        <is>
          <t>Lois Boisson</t>
        </is>
      </c>
      <c r="AU484" s="24" t="inlineStr">
        <is>
          <t>Lois Boisson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d777da58446bc099047b154203518e2585ef1a678f613f2b430f2589f7bf5cff</t>
        </is>
      </c>
      <c r="BB484" s="24" t="inlineStr">
        <is>
          <t>surface_blended_elo</t>
        </is>
      </c>
      <c r="BC484" s="24" t="inlineStr">
        <is>
          <t>tennis-surface-elo-v1</t>
        </is>
      </c>
      <c r="BD484" s="24" t="inlineStr">
        <is>
          <t>d777da58446bc099047b154203518e2585ef1a678f613f2b430f2589f7bf5cff</t>
        </is>
      </c>
      <c r="BE484" s="24" t="inlineStr">
        <is>
          <t>tennis-surface-elo-v1</t>
        </is>
      </c>
      <c r="BF484" s="24" t="inlineStr">
        <is>
          <t>1</t>
        </is>
      </c>
      <c r="BG484" s="24" t="inlineStr">
        <is>
          <t>d777da58446bc099047b154203518e2585ef1a678f613f2b430f2589f7bf5cff</t>
        </is>
      </c>
      <c r="BH484" s="24" t="inlineStr">
        <is>
          <t>2026-08-24T11:51:07.238388Z</t>
        </is>
      </c>
      <c r="BI484" s="24" t="inlineStr">
        <is>
          <t>["same_event","same_team_same_day","same_league_same_day"]</t>
        </is>
      </c>
      <c r="BJ484" s="25" t="n"/>
      <c r="BK484" s="26" t="n">
        <v>-1900</v>
      </c>
      <c r="BL484" s="27" t="n">
        <v>1.052632</v>
      </c>
      <c r="BM484" s="28" t="n">
        <v>0.95</v>
      </c>
      <c r="BN484" s="28" t="n"/>
      <c r="BO484" s="28" t="n"/>
      <c r="BP484" s="25" t="n"/>
      <c r="BQ484" s="27" t="n">
        <v>1.041667</v>
      </c>
      <c r="BR484" s="28" t="n">
        <v>0.96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inlineStr">
        <is>
          <t>a4a6661e8d5e86e0335476347973b750451f1f3d2548d037d106a28aacfa2507</t>
        </is>
      </c>
      <c r="DE484" s="24" t="inlineStr">
        <is>
          <t>/Users/vincentc9002/model-prediction/data/odds/tennis/2026-08-24/polymarket_snapshots.jsonl</t>
        </is>
      </c>
      <c r="DF484" s="24" t="inlineStr">
        <is>
          <t>505684:2026-08-24T11:51:07.238388Z</t>
        </is>
      </c>
      <c r="DG484" s="24" t="n"/>
      <c r="DH484" s="24" t="n"/>
      <c r="DI484" s="24" t="n"/>
      <c r="DJ484" s="24" t="inlineStr">
        <is>
          <t>0.95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899a5b9d0b934d9e</t>
        </is>
      </c>
      <c r="B485" s="24" t="inlineStr">
        <is>
          <t>2026-08-24T16:28:07.904064Z</t>
        </is>
      </c>
      <c r="C485" s="24" t="inlineStr">
        <is>
          <t>2026-08-24T16:30Z</t>
        </is>
      </c>
      <c r="D485" s="24" t="inlineStr">
        <is>
          <t>189-2026:184729</t>
        </is>
      </c>
      <c r="E485" s="24" t="inlineStr">
        <is>
          <t>TENNIS</t>
        </is>
      </c>
      <c r="F485" s="24" t="inlineStr">
        <is>
          <t>Carole Monnet</t>
        </is>
      </c>
      <c r="G485" s="24" t="inlineStr">
        <is>
          <t>Anouk Koevermans</t>
        </is>
      </c>
      <c r="H485" s="24" t="inlineStr">
        <is>
          <t>moneyline</t>
        </is>
      </c>
      <c r="I485" s="24" t="inlineStr">
        <is>
          <t>away</t>
        </is>
      </c>
      <c r="J485" s="25" t="n"/>
      <c r="K485" s="24" t="inlineStr">
        <is>
          <t>polymarket_us</t>
        </is>
      </c>
      <c r="L485" s="26" t="n">
        <v>144</v>
      </c>
      <c r="M485" s="27" t="n">
        <v>2.44</v>
      </c>
      <c r="N485" s="28" t="n">
        <v>0.409836</v>
      </c>
      <c r="O485" s="28" t="n">
        <v>0.5078</v>
      </c>
      <c r="P485" s="28" t="n">
        <v>0.05</v>
      </c>
      <c r="Q485" s="28" t="n">
        <v>0.097964</v>
      </c>
      <c r="R485" s="26" t="n">
        <v>69</v>
      </c>
      <c r="S485" s="29" t="n">
        <v>1.25</v>
      </c>
      <c r="T485" s="24" t="inlineStr">
        <is>
          <t>tennis-surface-elo-v1</t>
        </is>
      </c>
      <c r="U485" s="24" t="inlineStr">
        <is>
          <t>settled</t>
        </is>
      </c>
      <c r="V485" s="24" t="inlineStr">
        <is>
          <t>loss</t>
        </is>
      </c>
      <c r="W485" s="26" t="n">
        <v>0</v>
      </c>
      <c r="X485" s="26" t="n">
        <v>1</v>
      </c>
      <c r="Y485" s="25" t="n"/>
      <c r="Z485" s="26" t="n">
        <v>144</v>
      </c>
      <c r="AA485" s="28" t="n">
        <v>0.41</v>
      </c>
      <c r="AB485" s="28" t="n">
        <v>0.000164</v>
      </c>
      <c r="AC485" s="30" t="n">
        <v>-1.25</v>
      </c>
      <c r="AD485" s="24" t="inlineStr">
        <is>
          <t>2026-08-24T20:36:45.529268Z</t>
        </is>
      </c>
      <c r="AE485" s="31" t="inlineStr">
        <is>
          <t>Surface-blended Elo on Hard: Carole Monnet p=0.508 vs Anouk Koevermans. Executable ask 0.4100 (aec-wta-anokoe-carmon-2026-08-24).</t>
        </is>
      </c>
      <c r="AF485" s="31" t="inlineStr">
        <is>
          <t>Surface-blended Elo model; singles only, WTA+ATP market coverage, not yet locked-holdout qualified -- promoted by explicit operator directive, not genuine walk-forward validation.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Carole Monnet</t>
        </is>
      </c>
      <c r="AQ485" s="24" t="inlineStr">
        <is>
          <t>Carole Monnet</t>
        </is>
      </c>
      <c r="AR485" s="24" t="inlineStr">
        <is>
          <t>Carole Monnet</t>
        </is>
      </c>
      <c r="AS485" s="24" t="inlineStr">
        <is>
          <t>Anouk Koevermans</t>
        </is>
      </c>
      <c r="AT485" s="24" t="inlineStr">
        <is>
          <t>Anouk Koevermans</t>
        </is>
      </c>
      <c r="AU485" s="24" t="inlineStr">
        <is>
          <t>Anouk Koevermans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d777da58446bc099047b154203518e2585ef1a678f613f2b430f2589f7bf5cff</t>
        </is>
      </c>
      <c r="BB485" s="24" t="inlineStr">
        <is>
          <t>surface_blended_elo</t>
        </is>
      </c>
      <c r="BC485" s="24" t="inlineStr">
        <is>
          <t>tennis-surface-elo-v1</t>
        </is>
      </c>
      <c r="BD485" s="24" t="inlineStr">
        <is>
          <t>d777da58446bc099047b154203518e2585ef1a678f613f2b430f2589f7bf5cff</t>
        </is>
      </c>
      <c r="BE485" s="24" t="inlineStr">
        <is>
          <t>tennis-surface-elo-v1</t>
        </is>
      </c>
      <c r="BF485" s="24" t="inlineStr">
        <is>
          <t>1</t>
        </is>
      </c>
      <c r="BG485" s="24" t="inlineStr">
        <is>
          <t>d777da58446bc099047b154203518e2585ef1a678f613f2b430f2589f7bf5cff</t>
        </is>
      </c>
      <c r="BH485" s="24" t="inlineStr">
        <is>
          <t>2026-08-24T16:27:01.742747Z</t>
        </is>
      </c>
      <c r="BI485" s="24" t="inlineStr">
        <is>
          <t>["same_event","same_team_same_day","same_league_same_day"]</t>
        </is>
      </c>
      <c r="BJ485" s="25" t="n"/>
      <c r="BK485" s="26" t="n">
        <v>144</v>
      </c>
      <c r="BL485" s="27" t="n">
        <v>2.44</v>
      </c>
      <c r="BM485" s="28" t="n">
        <v>0.409836</v>
      </c>
      <c r="BN485" s="28" t="n"/>
      <c r="BO485" s="28" t="n"/>
      <c r="BP485" s="25" t="n"/>
      <c r="BQ485" s="27" t="n">
        <v>2.44</v>
      </c>
      <c r="BR485" s="28" t="n">
        <v>0.41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inlineStr">
        <is>
          <t>6dd2a79596895018e7bae3657333a4a54b5c01e4f8342e43025d6c7454ab4cd4</t>
        </is>
      </c>
      <c r="DE485" s="24" t="inlineStr">
        <is>
          <t>/Users/vincentc9002/model-prediction/data/odds/tennis/2026-08-24/polymarket_snapshots.jsonl</t>
        </is>
      </c>
      <c r="DF485" s="24" t="inlineStr">
        <is>
          <t>505995:2026-08-24T16:27:01.742747Z</t>
        </is>
      </c>
      <c r="DG485" s="24" t="n"/>
      <c r="DH485" s="24" t="n"/>
      <c r="DI485" s="24" t="n"/>
      <c r="DJ485" s="24" t="inlineStr">
        <is>
          <t>0.409836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a5e8148c6cf74f44</t>
        </is>
      </c>
      <c r="B486" s="24" t="inlineStr">
        <is>
          <t>2026-08-24T16:28:07.904064Z</t>
        </is>
      </c>
      <c r="C486" s="24" t="inlineStr">
        <is>
          <t>2026-08-24T16:30Z</t>
        </is>
      </c>
      <c r="D486" s="24" t="inlineStr">
        <is>
          <t>189-2026:184740</t>
        </is>
      </c>
      <c r="E486" s="24" t="inlineStr">
        <is>
          <t>TENNIS</t>
        </is>
      </c>
      <c r="F486" s="24" t="inlineStr">
        <is>
          <t>Anastasia Gasanova</t>
        </is>
      </c>
      <c r="G486" s="24" t="inlineStr">
        <is>
          <t>Madison Brengle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-163</v>
      </c>
      <c r="M486" s="27" t="n">
        <v>1.613497</v>
      </c>
      <c r="N486" s="28" t="n">
        <v>0.619772</v>
      </c>
      <c r="O486" s="28" t="n">
        <v>0.6525</v>
      </c>
      <c r="P486" s="28" t="n">
        <v>0.05</v>
      </c>
      <c r="Q486" s="28" t="n">
        <v>0.032728</v>
      </c>
      <c r="R486" s="26" t="n">
        <v>36</v>
      </c>
      <c r="S486" s="29" t="n">
        <v>1</v>
      </c>
      <c r="T486" s="24" t="inlineStr">
        <is>
          <t>tennis-surface-elo-v1</t>
        </is>
      </c>
      <c r="U486" s="24" t="inlineStr">
        <is>
          <t>settled</t>
        </is>
      </c>
      <c r="V486" s="24" t="inlineStr">
        <is>
          <t>loss</t>
        </is>
      </c>
      <c r="W486" s="26" t="n">
        <v>0</v>
      </c>
      <c r="X486" s="26" t="n">
        <v>1</v>
      </c>
      <c r="Y486" s="25" t="n"/>
      <c r="Z486" s="26" t="n">
        <v>-163</v>
      </c>
      <c r="AA486" s="28" t="n">
        <v>0.62</v>
      </c>
      <c r="AB486" s="28" t="n">
        <v>0.000228</v>
      </c>
      <c r="AC486" s="30" t="n">
        <v>-1</v>
      </c>
      <c r="AD486" s="24" t="inlineStr">
        <is>
          <t>2026-08-24T20:36:47.658959Z</t>
        </is>
      </c>
      <c r="AE486" s="31" t="inlineStr">
        <is>
          <t>Surface-blended Elo on Hard: Anastasia Gasanova p=0.653 vs Madison Brengle. Executable ask 0.6200 (aec-wta-madbre-anagas-2026-08-24).</t>
        </is>
      </c>
      <c r="AF486" s="31" t="inlineStr">
        <is>
          <t>Surface-blended Elo model; singles only, WTA+ATP market coverage, not yet locked-holdout qualified -- promoted by explicit operator directive, not genuine walk-forward validation.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Anastasia Gasanova</t>
        </is>
      </c>
      <c r="AQ486" s="24" t="inlineStr">
        <is>
          <t>Anastasia Gasanova</t>
        </is>
      </c>
      <c r="AR486" s="24" t="inlineStr">
        <is>
          <t>Anastasia Gasanova</t>
        </is>
      </c>
      <c r="AS486" s="24" t="inlineStr">
        <is>
          <t>Madison Brengle</t>
        </is>
      </c>
      <c r="AT486" s="24" t="inlineStr">
        <is>
          <t>Madison Brengle</t>
        </is>
      </c>
      <c r="AU486" s="24" t="inlineStr">
        <is>
          <t>Madison Brengle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d777da58446bc099047b154203518e2585ef1a678f613f2b430f2589f7bf5cff</t>
        </is>
      </c>
      <c r="BB486" s="24" t="inlineStr">
        <is>
          <t>surface_blended_elo</t>
        </is>
      </c>
      <c r="BC486" s="24" t="inlineStr">
        <is>
          <t>tennis-surface-elo-v1</t>
        </is>
      </c>
      <c r="BD486" s="24" t="inlineStr">
        <is>
          <t>d777da58446bc099047b154203518e2585ef1a678f613f2b430f2589f7bf5cff</t>
        </is>
      </c>
      <c r="BE486" s="24" t="inlineStr">
        <is>
          <t>tennis-surface-elo-v1</t>
        </is>
      </c>
      <c r="BF486" s="24" t="inlineStr">
        <is>
          <t>1</t>
        </is>
      </c>
      <c r="BG486" s="24" t="inlineStr">
        <is>
          <t>d777da58446bc099047b154203518e2585ef1a678f613f2b430f2589f7bf5cff</t>
        </is>
      </c>
      <c r="BH486" s="24" t="inlineStr">
        <is>
          <t>2026-08-24T16:27:01.763175Z</t>
        </is>
      </c>
      <c r="BI486" s="24" t="inlineStr">
        <is>
          <t>["same_event","same_team_same_day","same_league_same_day"]</t>
        </is>
      </c>
      <c r="BJ486" s="25" t="n"/>
      <c r="BK486" s="26" t="n">
        <v>-163</v>
      </c>
      <c r="BL486" s="27" t="n">
        <v>1.613497</v>
      </c>
      <c r="BM486" s="28" t="n">
        <v>0.619772</v>
      </c>
      <c r="BN486" s="28" t="n"/>
      <c r="BO486" s="28" t="n"/>
      <c r="BP486" s="25" t="n"/>
      <c r="BQ486" s="27" t="n">
        <v>1.613497</v>
      </c>
      <c r="BR486" s="28" t="n">
        <v>0.62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inlineStr">
        <is>
          <t>fd0469cdd4d2b30bcbdac03d85d14faed28de4e44d5aa97ac2988f41f20e0090</t>
        </is>
      </c>
      <c r="DE486" s="24" t="inlineStr">
        <is>
          <t>/Users/vincentc9002/model-prediction/data/odds/tennis/2026-08-24/polymarket_snapshots.jsonl</t>
        </is>
      </c>
      <c r="DF486" s="24" t="inlineStr">
        <is>
          <t>505990:2026-08-24T16:27:01.763175Z</t>
        </is>
      </c>
      <c r="DG486" s="24" t="n"/>
      <c r="DH486" s="24" t="n"/>
      <c r="DI486" s="24" t="n"/>
      <c r="DJ486" s="24" t="inlineStr">
        <is>
          <t>0.619772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65bd1877852446fe</t>
        </is>
      </c>
      <c r="B487" s="24" t="inlineStr">
        <is>
          <t>2026-08-24T16:28:07.904064Z</t>
        </is>
      </c>
      <c r="C487" s="24" t="inlineStr">
        <is>
          <t>2026-08-24T16:30Z</t>
        </is>
      </c>
      <c r="D487" s="24" t="inlineStr">
        <is>
          <t>189-2026:184746</t>
        </is>
      </c>
      <c r="E487" s="24" t="inlineStr">
        <is>
          <t>TENNIS</t>
        </is>
      </c>
      <c r="F487" s="24" t="inlineStr">
        <is>
          <t>Lina Gjorcheska</t>
        </is>
      </c>
      <c r="G487" s="24" t="inlineStr">
        <is>
          <t>Mai Hontama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-400</v>
      </c>
      <c r="M487" s="27" t="n">
        <v>1.25</v>
      </c>
      <c r="N487" s="28" t="n">
        <v>0.8</v>
      </c>
      <c r="O487" s="28" t="n">
        <v>0.5981</v>
      </c>
      <c r="P487" s="28" t="n">
        <v>0.05</v>
      </c>
      <c r="Q487" s="28" t="n">
        <v>-0.2019</v>
      </c>
      <c r="R487" s="26" t="n">
        <v>0</v>
      </c>
      <c r="S487" s="29" t="n">
        <v>1</v>
      </c>
      <c r="T487" s="24" t="inlineStr">
        <is>
          <t>tennis-surface-elo-v1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1</v>
      </c>
      <c r="Y487" s="25" t="n"/>
      <c r="Z487" s="26" t="n">
        <v>-400</v>
      </c>
      <c r="AA487" s="28" t="n">
        <v>0.8</v>
      </c>
      <c r="AB487" s="28" t="n">
        <v>0</v>
      </c>
      <c r="AC487" s="30" t="n">
        <v>0.25</v>
      </c>
      <c r="AD487" s="24" t="inlineStr">
        <is>
          <t>2026-08-24T20:36:49.772481Z</t>
        </is>
      </c>
      <c r="AE487" s="31" t="inlineStr">
        <is>
          <t>Surface-blended Elo on Hard: Lina Gjorcheska p=0.402 vs Mai Hontama. Executable ask 0.8000 (aec-wta-maihon-lingjo-2026-08-24).</t>
        </is>
      </c>
      <c r="AF487" s="31" t="inlineStr">
        <is>
          <t>Surface-blended Elo model; singles only, WTA+ATP market coverage, not yet locked-holdout qualified -- promoted by explicit operator directive, not genuine walk-forward validation.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Lina Gjorcheska</t>
        </is>
      </c>
      <c r="AQ487" s="24" t="inlineStr">
        <is>
          <t>Lina Gjorcheska</t>
        </is>
      </c>
      <c r="AR487" s="24" t="inlineStr">
        <is>
          <t>Lina Gjorcheska</t>
        </is>
      </c>
      <c r="AS487" s="24" t="inlineStr">
        <is>
          <t>Mai Hontama</t>
        </is>
      </c>
      <c r="AT487" s="24" t="inlineStr">
        <is>
          <t>Mai Hontama</t>
        </is>
      </c>
      <c r="AU487" s="24" t="inlineStr">
        <is>
          <t>Mai Hontama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d777da58446bc099047b154203518e2585ef1a678f613f2b430f2589f7bf5cff</t>
        </is>
      </c>
      <c r="BB487" s="24" t="inlineStr">
        <is>
          <t>surface_blended_elo</t>
        </is>
      </c>
      <c r="BC487" s="24" t="inlineStr">
        <is>
          <t>tennis-surface-elo-v1</t>
        </is>
      </c>
      <c r="BD487" s="24" t="inlineStr">
        <is>
          <t>d777da58446bc099047b154203518e2585ef1a678f613f2b430f2589f7bf5cff</t>
        </is>
      </c>
      <c r="BE487" s="24" t="inlineStr">
        <is>
          <t>tennis-surface-elo-v1</t>
        </is>
      </c>
      <c r="BF487" s="24" t="inlineStr">
        <is>
          <t>1</t>
        </is>
      </c>
      <c r="BG487" s="24" t="inlineStr">
        <is>
          <t>d777da58446bc099047b154203518e2585ef1a678f613f2b430f2589f7bf5cff</t>
        </is>
      </c>
      <c r="BH487" s="24" t="inlineStr">
        <is>
          <t>2026-08-24T16:27:01.754700Z</t>
        </is>
      </c>
      <c r="BI487" s="24" t="inlineStr">
        <is>
          <t>["same_event","same_team_same_day","same_league_same_day"]</t>
        </is>
      </c>
      <c r="BJ487" s="25" t="n"/>
      <c r="BK487" s="26" t="n">
        <v>-400</v>
      </c>
      <c r="BL487" s="27" t="n">
        <v>1.25</v>
      </c>
      <c r="BM487" s="28" t="n">
        <v>0.8</v>
      </c>
      <c r="BN487" s="28" t="n"/>
      <c r="BO487" s="28" t="n"/>
      <c r="BP487" s="25" t="n"/>
      <c r="BQ487" s="27" t="n">
        <v>1.25</v>
      </c>
      <c r="BR487" s="28" t="n">
        <v>0.8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inlineStr">
        <is>
          <t>c3e3c6688c152c38754c58bd4a87869ea18d370f406b3cbffdae3dfc7f0ec789</t>
        </is>
      </c>
      <c r="DE487" s="24" t="inlineStr">
        <is>
          <t>/Users/vincentc9002/model-prediction/data/odds/tennis/2026-08-24/polymarket_snapshots.jsonl</t>
        </is>
      </c>
      <c r="DF487" s="24" t="inlineStr">
        <is>
          <t>505987:2026-08-24T16:27:01.754700Z</t>
        </is>
      </c>
      <c r="DG487" s="24" t="n"/>
      <c r="DH487" s="24" t="n"/>
      <c r="DI487" s="24" t="n"/>
      <c r="DJ487" s="24" t="inlineStr">
        <is>
          <t>0.8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0f3551f609a748a2</t>
        </is>
      </c>
      <c r="B488" s="24" t="inlineStr">
        <is>
          <t>2026-08-24T16:28:07.904064Z</t>
        </is>
      </c>
      <c r="C488" s="24" t="inlineStr">
        <is>
          <t>2026-08-24T16:35Z</t>
        </is>
      </c>
      <c r="D488" s="24" t="inlineStr">
        <is>
          <t>189-2026:184751</t>
        </is>
      </c>
      <c r="E488" s="24" t="inlineStr">
        <is>
          <t>TENNIS</t>
        </is>
      </c>
      <c r="F488" s="24" t="inlineStr">
        <is>
          <t>Andrea Lazaro Garcia</t>
        </is>
      </c>
      <c r="G488" s="24" t="inlineStr">
        <is>
          <t>Elina Avanesyan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-194</v>
      </c>
      <c r="M488" s="27" t="n">
        <v>1.515464</v>
      </c>
      <c r="N488" s="28" t="n">
        <v>0.659864</v>
      </c>
      <c r="O488" s="28" t="n">
        <v>0.5331</v>
      </c>
      <c r="P488" s="28" t="n">
        <v>0.05</v>
      </c>
      <c r="Q488" s="28" t="n">
        <v>-0.126764</v>
      </c>
      <c r="R488" s="26" t="n">
        <v>0</v>
      </c>
      <c r="S488" s="29" t="n">
        <v>1</v>
      </c>
      <c r="T488" s="24" t="inlineStr">
        <is>
          <t>tennis-surface-elo-v1</t>
        </is>
      </c>
      <c r="U488" s="24" t="inlineStr">
        <is>
          <t>settled</t>
        </is>
      </c>
      <c r="V488" s="24" t="inlineStr">
        <is>
          <t>loss</t>
        </is>
      </c>
      <c r="W488" s="26" t="n">
        <v>1</v>
      </c>
      <c r="X488" s="26" t="n">
        <v>0</v>
      </c>
      <c r="Y488" s="25" t="n"/>
      <c r="Z488" s="26" t="n">
        <v>-194</v>
      </c>
      <c r="AA488" s="28" t="n">
        <v>0.66</v>
      </c>
      <c r="AB488" s="28" t="n">
        <v>0.000136</v>
      </c>
      <c r="AC488" s="30" t="n">
        <v>-1</v>
      </c>
      <c r="AD488" s="24" t="inlineStr">
        <is>
          <t>2026-08-24T20:36:51.900974Z</t>
        </is>
      </c>
      <c r="AE488" s="31" t="inlineStr">
        <is>
          <t>Surface-blended Elo on Hard: Andrea Lazaro Garcia p=0.467 vs Elina Avanesyan. Executable ask 0.6600 (aec-wta-eliava-andgar-2026-08-24).</t>
        </is>
      </c>
      <c r="AF488" s="31" t="inlineStr">
        <is>
          <t>Surface-blended Elo model; singles only, WTA+ATP market coverage, not yet locked-holdout qualified -- promoted by explicit operator directive, not genuine walk-forward validation.</t>
        </is>
      </c>
      <c r="AG488" s="24" t="inlineStr">
        <is>
          <t>review_required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Andrea Lazaro Garcia</t>
        </is>
      </c>
      <c r="AQ488" s="24" t="inlineStr">
        <is>
          <t>Andrea Lazaro Garcia</t>
        </is>
      </c>
      <c r="AR488" s="24" t="inlineStr">
        <is>
          <t>Andrea Lazaro Garcia</t>
        </is>
      </c>
      <c r="AS488" s="24" t="inlineStr">
        <is>
          <t>Elina Avanesyan</t>
        </is>
      </c>
      <c r="AT488" s="24" t="inlineStr">
        <is>
          <t>Elina Avanesyan</t>
        </is>
      </c>
      <c r="AU488" s="24" t="inlineStr">
        <is>
          <t>Elina Avanesyan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d777da58446bc099047b154203518e2585ef1a678f613f2b430f2589f7bf5cff</t>
        </is>
      </c>
      <c r="BB488" s="24" t="inlineStr">
        <is>
          <t>surface_blended_elo</t>
        </is>
      </c>
      <c r="BC488" s="24" t="inlineStr">
        <is>
          <t>tennis-surface-elo-v1</t>
        </is>
      </c>
      <c r="BD488" s="24" t="inlineStr">
        <is>
          <t>d777da58446bc099047b154203518e2585ef1a678f613f2b430f2589f7bf5cff</t>
        </is>
      </c>
      <c r="BE488" s="24" t="inlineStr">
        <is>
          <t>tennis-surface-elo-v1</t>
        </is>
      </c>
      <c r="BF488" s="24" t="inlineStr">
        <is>
          <t>1</t>
        </is>
      </c>
      <c r="BG488" s="24" t="inlineStr">
        <is>
          <t>d777da58446bc099047b154203518e2585ef1a678f613f2b430f2589f7bf5cff</t>
        </is>
      </c>
      <c r="BH488" s="24" t="inlineStr">
        <is>
          <t>2026-08-24T16:27:01.741746Z</t>
        </is>
      </c>
      <c r="BI488" s="24" t="inlineStr">
        <is>
          <t>["same_event","same_team_same_day","same_league_same_day"]</t>
        </is>
      </c>
      <c r="BJ488" s="25" t="n"/>
      <c r="BK488" s="26" t="n">
        <v>-194</v>
      </c>
      <c r="BL488" s="27" t="n">
        <v>1.515464</v>
      </c>
      <c r="BM488" s="28" t="n">
        <v>0.659864</v>
      </c>
      <c r="BN488" s="28" t="n"/>
      <c r="BO488" s="28" t="n"/>
      <c r="BP488" s="25" t="n"/>
      <c r="BQ488" s="27" t="n">
        <v>1.515464</v>
      </c>
      <c r="BR488" s="28" t="n">
        <v>0.66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inlineStr">
        <is>
          <t>c027471481edcc71c22bac69feb4210f97b331433a95287e1b5eec6dc1a49e88</t>
        </is>
      </c>
      <c r="DE488" s="24" t="inlineStr">
        <is>
          <t>/Users/vincentc9002/model-prediction/data/odds/tennis/2026-08-24/polymarket_snapshots.jsonl</t>
        </is>
      </c>
      <c r="DF488" s="24" t="inlineStr">
        <is>
          <t>505988:2026-08-24T16:27:01.741746Z</t>
        </is>
      </c>
      <c r="DG488" s="24" t="n"/>
      <c r="DH488" s="24" t="n"/>
      <c r="DI488" s="24" t="n"/>
      <c r="DJ488" s="24" t="inlineStr">
        <is>
          <t>0.659864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ca8d88d479f344b9</t>
        </is>
      </c>
      <c r="B489" s="24" t="inlineStr">
        <is>
          <t>2026-08-24T16:28:07.904064Z</t>
        </is>
      </c>
      <c r="C489" s="24" t="inlineStr">
        <is>
          <t>2026-08-24T16:45Z</t>
        </is>
      </c>
      <c r="D489" s="24" t="inlineStr">
        <is>
          <t>189-2026:184735</t>
        </is>
      </c>
      <c r="E489" s="24" t="inlineStr">
        <is>
          <t>TENNIS</t>
        </is>
      </c>
      <c r="F489" s="24" t="inlineStr">
        <is>
          <t>Lisa Pigato</t>
        </is>
      </c>
      <c r="G489" s="24" t="inlineStr">
        <is>
          <t>Linda Klimovicova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-186</v>
      </c>
      <c r="M489" s="27" t="n">
        <v>1.537634</v>
      </c>
      <c r="N489" s="28" t="n">
        <v>0.65035</v>
      </c>
      <c r="O489" s="28" t="n">
        <v>0.591</v>
      </c>
      <c r="P489" s="28" t="n">
        <v>0.05</v>
      </c>
      <c r="Q489" s="28" t="n">
        <v>-0.05935</v>
      </c>
      <c r="R489" s="26" t="n">
        <v>0</v>
      </c>
      <c r="S489" s="29" t="n">
        <v>1</v>
      </c>
      <c r="T489" s="24" t="inlineStr">
        <is>
          <t>tennis-surface-elo-v1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1</v>
      </c>
      <c r="Y489" s="25" t="n"/>
      <c r="Z489" s="26" t="n">
        <v>-186</v>
      </c>
      <c r="AA489" s="28" t="n">
        <v>0.65</v>
      </c>
      <c r="AB489" s="28" t="n">
        <v>-0.00035</v>
      </c>
      <c r="AC489" s="30" t="n">
        <v>0.5376</v>
      </c>
      <c r="AD489" s="24" t="inlineStr">
        <is>
          <t>2026-08-24T20:36:53.989169Z</t>
        </is>
      </c>
      <c r="AE489" s="31" t="inlineStr">
        <is>
          <t>Surface-blended Elo on Hard: Lisa Pigato p=0.409 vs Linda Klimovicova. Executable ask 0.6500 (aec-wta-linkli-lispig-2026-08-24).</t>
        </is>
      </c>
      <c r="AF489" s="31" t="inlineStr">
        <is>
          <t>Surface-blended Elo model; singles only, WTA+ATP market coverage, not yet locked-holdout qualified -- promoted by explicit operator directive, not genuine walk-forward validation.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Lisa Pigato</t>
        </is>
      </c>
      <c r="AQ489" s="24" t="inlineStr">
        <is>
          <t>Lisa Pigato</t>
        </is>
      </c>
      <c r="AR489" s="24" t="inlineStr">
        <is>
          <t>Lisa Pigato</t>
        </is>
      </c>
      <c r="AS489" s="24" t="inlineStr">
        <is>
          <t>Linda Klimovicova</t>
        </is>
      </c>
      <c r="AT489" s="24" t="inlineStr">
        <is>
          <t>Linda Klimovicova</t>
        </is>
      </c>
      <c r="AU489" s="24" t="inlineStr">
        <is>
          <t>Linda Klimovicova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d777da58446bc099047b154203518e2585ef1a678f613f2b430f2589f7bf5cff</t>
        </is>
      </c>
      <c r="BB489" s="24" t="inlineStr">
        <is>
          <t>surface_blended_elo</t>
        </is>
      </c>
      <c r="BC489" s="24" t="inlineStr">
        <is>
          <t>tennis-surface-elo-v1</t>
        </is>
      </c>
      <c r="BD489" s="24" t="inlineStr">
        <is>
          <t>d777da58446bc099047b154203518e2585ef1a678f613f2b430f2589f7bf5cff</t>
        </is>
      </c>
      <c r="BE489" s="24" t="inlineStr">
        <is>
          <t>tennis-surface-elo-v1</t>
        </is>
      </c>
      <c r="BF489" s="24" t="inlineStr">
        <is>
          <t>1</t>
        </is>
      </c>
      <c r="BG489" s="24" t="inlineStr">
        <is>
          <t>d777da58446bc099047b154203518e2585ef1a678f613f2b430f2589f7bf5cff</t>
        </is>
      </c>
      <c r="BH489" s="24" t="inlineStr">
        <is>
          <t>2026-08-24T16:27:01.746558Z</t>
        </is>
      </c>
      <c r="BI489" s="24" t="inlineStr">
        <is>
          <t>["same_event","same_team_same_day","same_league_same_day"]</t>
        </is>
      </c>
      <c r="BJ489" s="25" t="n"/>
      <c r="BK489" s="26" t="n">
        <v>-186</v>
      </c>
      <c r="BL489" s="27" t="n">
        <v>1.537634</v>
      </c>
      <c r="BM489" s="28" t="n">
        <v>0.65035</v>
      </c>
      <c r="BN489" s="28" t="n"/>
      <c r="BO489" s="28" t="n"/>
      <c r="BP489" s="25" t="n"/>
      <c r="BQ489" s="27" t="n">
        <v>1.537634</v>
      </c>
      <c r="BR489" s="28" t="n">
        <v>0.65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inlineStr">
        <is>
          <t>0e24b1c97d32550cc2e0f310289cf9a166ea1fc6d174a3736853ab3b8ad45ecf</t>
        </is>
      </c>
      <c r="DE489" s="24" t="inlineStr">
        <is>
          <t>/Users/vincentc9002/model-prediction/data/odds/tennis/2026-08-24/polymarket_snapshots.jsonl</t>
        </is>
      </c>
      <c r="DF489" s="24" t="inlineStr">
        <is>
          <t>505997:2026-08-24T16:27:01.746558Z</t>
        </is>
      </c>
      <c r="DG489" s="24" t="n"/>
      <c r="DH489" s="24" t="n"/>
      <c r="DI489" s="24" t="n"/>
      <c r="DJ489" s="24" t="inlineStr">
        <is>
          <t>0.65035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8b9397a90dce42b3</t>
        </is>
      </c>
      <c r="B490" s="24" t="inlineStr">
        <is>
          <t>2026-08-24T16:28:07.904064Z</t>
        </is>
      </c>
      <c r="C490" s="24" t="inlineStr">
        <is>
          <t>2026-08-24T16:30Z</t>
        </is>
      </c>
      <c r="D490" s="24" t="inlineStr">
        <is>
          <t>189-2026:184615</t>
        </is>
      </c>
      <c r="E490" s="24" t="inlineStr">
        <is>
          <t>TENNIS</t>
        </is>
      </c>
      <c r="F490" s="24" t="inlineStr">
        <is>
          <t>Elias Ymer</t>
        </is>
      </c>
      <c r="G490" s="24" t="inlineStr">
        <is>
          <t>Franco Roncadelli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-488</v>
      </c>
      <c r="M490" s="27" t="n">
        <v>1.204918</v>
      </c>
      <c r="N490" s="28" t="n">
        <v>0.829932</v>
      </c>
      <c r="O490" s="28" t="n">
        <v>0.5075</v>
      </c>
      <c r="P490" s="28" t="n">
        <v>0.05</v>
      </c>
      <c r="Q490" s="28" t="n">
        <v>-0.322432</v>
      </c>
      <c r="R490" s="26" t="n">
        <v>0</v>
      </c>
      <c r="S490" s="29" t="n">
        <v>1</v>
      </c>
      <c r="T490" s="24" t="inlineStr">
        <is>
          <t>tennis-surface-elo-v1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-488</v>
      </c>
      <c r="AA490" s="28" t="n">
        <v>0.83</v>
      </c>
      <c r="AB490" s="28" t="n">
        <v>6.8e-05</v>
      </c>
      <c r="AC490" s="30" t="n">
        <v>0.2049</v>
      </c>
      <c r="AD490" s="24" t="inlineStr">
        <is>
          <t>2026-08-24T20:36:56.059046Z</t>
        </is>
      </c>
      <c r="AE490" s="31" t="inlineStr">
        <is>
          <t>Surface-blended Elo on Hard: Elias Ymer p=0.508 vs Franco Roncadelli. Executable ask 0.8300 (aec-atp-fraron-eliyme-2026-08-24).</t>
        </is>
      </c>
      <c r="AF490" s="31" t="inlineStr">
        <is>
          <t>Surface-blended Elo model; singles only, WTA+ATP market coverage, not yet locked-holdout qualified -- promoted by explicit operator directive, not genuine walk-forward validation.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Elias Ymer</t>
        </is>
      </c>
      <c r="AQ490" s="24" t="inlineStr">
        <is>
          <t>Elias Ymer</t>
        </is>
      </c>
      <c r="AR490" s="24" t="inlineStr">
        <is>
          <t>Elias Ymer</t>
        </is>
      </c>
      <c r="AS490" s="24" t="inlineStr">
        <is>
          <t>Franco Roncadelli</t>
        </is>
      </c>
      <c r="AT490" s="24" t="inlineStr">
        <is>
          <t>Franco Roncadelli</t>
        </is>
      </c>
      <c r="AU490" s="24" t="inlineStr">
        <is>
          <t>Franco Roncadelli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d777da58446bc099047b154203518e2585ef1a678f613f2b430f2589f7bf5cff</t>
        </is>
      </c>
      <c r="BB490" s="24" t="inlineStr">
        <is>
          <t>surface_blended_elo</t>
        </is>
      </c>
      <c r="BC490" s="24" t="inlineStr">
        <is>
          <t>tennis-surface-elo-v1</t>
        </is>
      </c>
      <c r="BD490" s="24" t="inlineStr">
        <is>
          <t>d777da58446bc099047b154203518e2585ef1a678f613f2b430f2589f7bf5cff</t>
        </is>
      </c>
      <c r="BE490" s="24" t="inlineStr">
        <is>
          <t>tennis-surface-elo-v1</t>
        </is>
      </c>
      <c r="BF490" s="24" t="inlineStr">
        <is>
          <t>1</t>
        </is>
      </c>
      <c r="BG490" s="24" t="inlineStr">
        <is>
          <t>d777da58446bc099047b154203518e2585ef1a678f613f2b430f2589f7bf5cff</t>
        </is>
      </c>
      <c r="BH490" s="24" t="inlineStr">
        <is>
          <t>2026-08-24T16:27:02.920877Z</t>
        </is>
      </c>
      <c r="BI490" s="24" t="inlineStr">
        <is>
          <t>["same_event","same_team_same_day","same_league_same_day"]</t>
        </is>
      </c>
      <c r="BJ490" s="25" t="n"/>
      <c r="BK490" s="26" t="n">
        <v>-488</v>
      </c>
      <c r="BL490" s="27" t="n">
        <v>1.204918</v>
      </c>
      <c r="BM490" s="28" t="n">
        <v>0.829932</v>
      </c>
      <c r="BN490" s="28" t="n"/>
      <c r="BO490" s="28" t="n"/>
      <c r="BP490" s="25" t="n"/>
      <c r="BQ490" s="27" t="n">
        <v>1.204918</v>
      </c>
      <c r="BR490" s="28" t="n">
        <v>0.83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inlineStr">
        <is>
          <t>08928fe700d0351dde08f04f1e04c4061d126d67bddc66f3d173e69166660d5f</t>
        </is>
      </c>
      <c r="DE490" s="24" t="inlineStr">
        <is>
          <t>/Users/vincentc9002/model-prediction/data/odds/tennis/2026-08-24/polymarket_snapshots.jsonl</t>
        </is>
      </c>
      <c r="DF490" s="24" t="inlineStr">
        <is>
          <t>506005:2026-08-24T16:27:02.920877Z</t>
        </is>
      </c>
      <c r="DG490" s="24" t="n"/>
      <c r="DH490" s="24" t="n"/>
      <c r="DI490" s="24" t="n"/>
      <c r="DJ490" s="24" t="inlineStr">
        <is>
          <t>0.829932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f4b503f45c524172</t>
        </is>
      </c>
      <c r="B491" s="24" t="inlineStr">
        <is>
          <t>2026-08-24T16:28:07.904064Z</t>
        </is>
      </c>
      <c r="C491" s="24" t="inlineStr">
        <is>
          <t>2026-08-24T16:45Z</t>
        </is>
      </c>
      <c r="D491" s="24" t="inlineStr">
        <is>
          <t>189-2026:184631</t>
        </is>
      </c>
      <c r="E491" s="24" t="inlineStr">
        <is>
          <t>TENNIS</t>
        </is>
      </c>
      <c r="F491" s="24" t="inlineStr">
        <is>
          <t>Kilian Feldbausch</t>
        </is>
      </c>
      <c r="G491" s="24" t="inlineStr">
        <is>
          <t>Vilius Gaubas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-117</v>
      </c>
      <c r="M491" s="27" t="n">
        <v>1.854701</v>
      </c>
      <c r="N491" s="28" t="n">
        <v>0.539171</v>
      </c>
      <c r="O491" s="28" t="n">
        <v>0.5054999999999999</v>
      </c>
      <c r="P491" s="28" t="n">
        <v>0.05</v>
      </c>
      <c r="Q491" s="28" t="n">
        <v>-0.033671</v>
      </c>
      <c r="R491" s="26" t="n">
        <v>3</v>
      </c>
      <c r="S491" s="29" t="n">
        <v>1</v>
      </c>
      <c r="T491" s="24" t="inlineStr">
        <is>
          <t>tennis-surface-elo-v1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-117</v>
      </c>
      <c r="AA491" s="28" t="n">
        <v>0.54</v>
      </c>
      <c r="AB491" s="28" t="n">
        <v>0.000829</v>
      </c>
      <c r="AC491" s="30" t="n">
        <v>0.8547</v>
      </c>
      <c r="AD491" s="24" t="inlineStr">
        <is>
          <t>2026-08-24T20:36:58.212333Z</t>
        </is>
      </c>
      <c r="AE491" s="31" t="inlineStr">
        <is>
          <t>Surface-blended Elo on Hard: Kilian Feldbausch p=0.495 vs Vilius Gaubas. Executable ask 0.5400 (aec-atp-vilgau-kilfel-2026-08-24).</t>
        </is>
      </c>
      <c r="AF491" s="31" t="inlineStr">
        <is>
          <t>Surface-blended Elo model; singles only, WTA+ATP market coverage, not yet locked-holdout qualified -- promoted by explicit operator directive, not genuine walk-forward validation.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Kilian Feldbausch</t>
        </is>
      </c>
      <c r="AQ491" s="24" t="inlineStr">
        <is>
          <t>Kilian Feldbausch</t>
        </is>
      </c>
      <c r="AR491" s="24" t="inlineStr">
        <is>
          <t>Kilian Feldbausch</t>
        </is>
      </c>
      <c r="AS491" s="24" t="inlineStr">
        <is>
          <t>Vilius Gaubas</t>
        </is>
      </c>
      <c r="AT491" s="24" t="inlineStr">
        <is>
          <t>Vilius Gaubas</t>
        </is>
      </c>
      <c r="AU491" s="24" t="inlineStr">
        <is>
          <t>Vilius Gaubas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d777da58446bc099047b154203518e2585ef1a678f613f2b430f2589f7bf5cff</t>
        </is>
      </c>
      <c r="BB491" s="24" t="inlineStr">
        <is>
          <t>surface_blended_elo</t>
        </is>
      </c>
      <c r="BC491" s="24" t="inlineStr">
        <is>
          <t>tennis-surface-elo-v1</t>
        </is>
      </c>
      <c r="BD491" s="24" t="inlineStr">
        <is>
          <t>d777da58446bc099047b154203518e2585ef1a678f613f2b430f2589f7bf5cff</t>
        </is>
      </c>
      <c r="BE491" s="24" t="inlineStr">
        <is>
          <t>tennis-surface-elo-v1</t>
        </is>
      </c>
      <c r="BF491" s="24" t="inlineStr">
        <is>
          <t>1</t>
        </is>
      </c>
      <c r="BG491" s="24" t="inlineStr">
        <is>
          <t>d777da58446bc099047b154203518e2585ef1a678f613f2b430f2589f7bf5cff</t>
        </is>
      </c>
      <c r="BH491" s="24" t="inlineStr">
        <is>
          <t>2026-08-24T14:59:19.709993Z</t>
        </is>
      </c>
      <c r="BI491" s="24" t="inlineStr">
        <is>
          <t>["same_event","same_team_same_day","same_league_same_day"]</t>
        </is>
      </c>
      <c r="BJ491" s="25" t="n"/>
      <c r="BK491" s="26" t="n">
        <v>-117</v>
      </c>
      <c r="BL491" s="27" t="n">
        <v>1.854701</v>
      </c>
      <c r="BM491" s="28" t="n">
        <v>0.539171</v>
      </c>
      <c r="BN491" s="28" t="n"/>
      <c r="BO491" s="28" t="n"/>
      <c r="BP491" s="25" t="n"/>
      <c r="BQ491" s="27" t="n">
        <v>1.854701</v>
      </c>
      <c r="BR491" s="28" t="n">
        <v>0.54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inlineStr">
        <is>
          <t>dfc49ff9810e2d450f8f3a7b6edc8df9d1eef99cbcf96723cfdb2dd03eac217f</t>
        </is>
      </c>
      <c r="DE491" s="24" t="inlineStr">
        <is>
          <t>/Users/vincentc9002/model-prediction/data/odds/tennis/2026-08-24/polymarket_snapshots.jsonl</t>
        </is>
      </c>
      <c r="DF491" s="24" t="inlineStr">
        <is>
          <t>505999:2026-08-24T14:59:19.709993Z</t>
        </is>
      </c>
      <c r="DG491" s="24" t="n"/>
      <c r="DH491" s="24" t="n"/>
      <c r="DI491" s="24" t="n"/>
      <c r="DJ491" s="24" t="inlineStr">
        <is>
          <t>0.539171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f8b3ffeb236840fc</t>
        </is>
      </c>
      <c r="B492" s="24" t="inlineStr">
        <is>
          <t>2026-08-24T16:28:07.904064Z</t>
        </is>
      </c>
      <c r="C492" s="24" t="inlineStr">
        <is>
          <t>2026-08-24T16:30Z</t>
        </is>
      </c>
      <c r="D492" s="24" t="inlineStr">
        <is>
          <t>189-2026:184632</t>
        </is>
      </c>
      <c r="E492" s="24" t="inlineStr">
        <is>
          <t>TENNIS</t>
        </is>
      </c>
      <c r="F492" s="24" t="inlineStr">
        <is>
          <t>Liam Broady</t>
        </is>
      </c>
      <c r="G492" s="24" t="inlineStr">
        <is>
          <t>Marco Cecchinato</t>
        </is>
      </c>
      <c r="H492" s="24" t="inlineStr">
        <is>
          <t>moneyline</t>
        </is>
      </c>
      <c r="I492" s="24" t="inlineStr">
        <is>
          <t>home</t>
        </is>
      </c>
      <c r="J492" s="25" t="n"/>
      <c r="K492" s="24" t="inlineStr">
        <is>
          <t>polymarket_us</t>
        </is>
      </c>
      <c r="L492" s="26" t="n">
        <v>257</v>
      </c>
      <c r="M492" s="27" t="n">
        <v>3.57</v>
      </c>
      <c r="N492" s="28" t="n">
        <v>0.280112</v>
      </c>
      <c r="O492" s="28" t="n">
        <v>0.5865</v>
      </c>
      <c r="P492" s="28" t="n">
        <v>0.05</v>
      </c>
      <c r="Q492" s="28" t="n">
        <v>0.306388</v>
      </c>
      <c r="R492" s="26" t="n">
        <v>100</v>
      </c>
      <c r="S492" s="29" t="n">
        <v>2</v>
      </c>
      <c r="T492" s="24" t="inlineStr">
        <is>
          <t>tennis-surface-elo-v1</t>
        </is>
      </c>
      <c r="U492" s="24" t="inlineStr">
        <is>
          <t>settled</t>
        </is>
      </c>
      <c r="V492" s="24" t="inlineStr">
        <is>
          <t>win</t>
        </is>
      </c>
      <c r="W492" s="26" t="n">
        <v>0</v>
      </c>
      <c r="X492" s="26" t="n">
        <v>1</v>
      </c>
      <c r="Y492" s="25" t="n"/>
      <c r="Z492" s="26" t="n">
        <v>257</v>
      </c>
      <c r="AA492" s="28" t="n">
        <v>0.28</v>
      </c>
      <c r="AB492" s="28" t="n">
        <v>-0.000112</v>
      </c>
      <c r="AC492" s="30" t="n">
        <v>5.14</v>
      </c>
      <c r="AD492" s="24" t="inlineStr">
        <is>
          <t>2026-08-24T20:37:00.314010Z</t>
        </is>
      </c>
      <c r="AE492" s="31" t="inlineStr">
        <is>
          <t>Surface-blended Elo on Hard: Liam Broady p=0.414 vs Marco Cecchinato. Executable ask 0.2800 (aec-atp-marcec-liabro-2026-08-24).</t>
        </is>
      </c>
      <c r="AF492" s="31" t="inlineStr">
        <is>
          <t>Surface-blended Elo model; singles only, WTA+ATP market coverage, not yet locked-holdout qualified -- promoted by explicit operator directive, not genuine walk-forward validation.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Liam Broady</t>
        </is>
      </c>
      <c r="AQ492" s="24" t="inlineStr">
        <is>
          <t>Liam Broady</t>
        </is>
      </c>
      <c r="AR492" s="24" t="inlineStr">
        <is>
          <t>Liam Broady</t>
        </is>
      </c>
      <c r="AS492" s="24" t="inlineStr">
        <is>
          <t>Marco Cecchinato</t>
        </is>
      </c>
      <c r="AT492" s="24" t="inlineStr">
        <is>
          <t>Marco Cecchinato</t>
        </is>
      </c>
      <c r="AU492" s="24" t="inlineStr">
        <is>
          <t>Marco Cecchinato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d777da58446bc099047b154203518e2585ef1a678f613f2b430f2589f7bf5cff</t>
        </is>
      </c>
      <c r="BB492" s="24" t="inlineStr">
        <is>
          <t>surface_blended_elo</t>
        </is>
      </c>
      <c r="BC492" s="24" t="inlineStr">
        <is>
          <t>tennis-surface-elo-v1</t>
        </is>
      </c>
      <c r="BD492" s="24" t="inlineStr">
        <is>
          <t>d777da58446bc099047b154203518e2585ef1a678f613f2b430f2589f7bf5cff</t>
        </is>
      </c>
      <c r="BE492" s="24" t="inlineStr">
        <is>
          <t>tennis-surface-elo-v1</t>
        </is>
      </c>
      <c r="BF492" s="24" t="inlineStr">
        <is>
          <t>1</t>
        </is>
      </c>
      <c r="BG492" s="24" t="inlineStr">
        <is>
          <t>d777da58446bc099047b154203518e2585ef1a678f613f2b430f2589f7bf5cff</t>
        </is>
      </c>
      <c r="BH492" s="24" t="inlineStr">
        <is>
          <t>2026-08-24T16:27:02.758743Z</t>
        </is>
      </c>
      <c r="BI492" s="24" t="inlineStr">
        <is>
          <t>["same_event","same_team_same_day","same_league_same_day"]</t>
        </is>
      </c>
      <c r="BJ492" s="25" t="n"/>
      <c r="BK492" s="26" t="n">
        <v>257</v>
      </c>
      <c r="BL492" s="27" t="n">
        <v>3.57</v>
      </c>
      <c r="BM492" s="28" t="n">
        <v>0.280112</v>
      </c>
      <c r="BN492" s="28" t="n"/>
      <c r="BO492" s="28" t="n"/>
      <c r="BP492" s="25" t="n"/>
      <c r="BQ492" s="27" t="n">
        <v>3.57</v>
      </c>
      <c r="BR492" s="28" t="n">
        <v>0.28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inlineStr">
        <is>
          <t>776434c76098bd515d5a1aa82fc18d7ecaaa31080f043aad3acd127b78a90245</t>
        </is>
      </c>
      <c r="DE492" s="24" t="inlineStr">
        <is>
          <t>/Users/vincentc9002/model-prediction/data/odds/tennis/2026-08-24/polymarket_snapshots.jsonl</t>
        </is>
      </c>
      <c r="DF492" s="24" t="inlineStr">
        <is>
          <t>506013:2026-08-24T16:27:02.758743Z</t>
        </is>
      </c>
      <c r="DG492" s="24" t="n"/>
      <c r="DH492" s="24" t="n"/>
      <c r="DI492" s="24" t="n"/>
      <c r="DJ492" s="24" t="inlineStr">
        <is>
          <t>0.280112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dc64bb982cec45eb</t>
        </is>
      </c>
      <c r="B493" s="24" t="inlineStr">
        <is>
          <t>2026-08-24T16:28:07.904064Z</t>
        </is>
      </c>
      <c r="C493" s="24" t="inlineStr">
        <is>
          <t>2026-08-24T16:30Z</t>
        </is>
      </c>
      <c r="D493" s="24" t="inlineStr">
        <is>
          <t>189-2026:184652</t>
        </is>
      </c>
      <c r="E493" s="24" t="inlineStr">
        <is>
          <t>TENNIS</t>
        </is>
      </c>
      <c r="F493" s="24" t="inlineStr">
        <is>
          <t>Aziz Dougaz</t>
        </is>
      </c>
      <c r="G493" s="24" t="inlineStr">
        <is>
          <t>Federico Agustin Gomez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113</v>
      </c>
      <c r="M493" s="27" t="n">
        <v>2.13</v>
      </c>
      <c r="N493" s="28" t="n">
        <v>0.469484</v>
      </c>
      <c r="O493" s="28" t="n">
        <v>0.6435</v>
      </c>
      <c r="P493" s="28" t="n">
        <v>0.05</v>
      </c>
      <c r="Q493" s="28" t="n">
        <v>0.174016</v>
      </c>
      <c r="R493" s="26" t="n">
        <v>100</v>
      </c>
      <c r="S493" s="29" t="n">
        <v>1.75</v>
      </c>
      <c r="T493" s="24" t="inlineStr">
        <is>
          <t>tennis-surface-elo-v1</t>
        </is>
      </c>
      <c r="U493" s="24" t="inlineStr">
        <is>
          <t>settled</t>
        </is>
      </c>
      <c r="V493" s="24" t="inlineStr">
        <is>
          <t>loss</t>
        </is>
      </c>
      <c r="W493" s="26" t="n">
        <v>1</v>
      </c>
      <c r="X493" s="26" t="n">
        <v>0</v>
      </c>
      <c r="Y493" s="25" t="n"/>
      <c r="Z493" s="26" t="n">
        <v>113</v>
      </c>
      <c r="AA493" s="28" t="n">
        <v>0.47</v>
      </c>
      <c r="AB493" s="28" t="n">
        <v>0.000516</v>
      </c>
      <c r="AC493" s="30" t="n">
        <v>-1.75</v>
      </c>
      <c r="AD493" s="24" t="inlineStr">
        <is>
          <t>2026-08-24T20:37:02.060956Z</t>
        </is>
      </c>
      <c r="AE493" s="31" t="inlineStr">
        <is>
          <t>Surface-blended Elo on Hard: Aziz Dougaz p=0.357 vs Federico Agustin Gomez. Executable ask 0.4700 (aec-atp-fedgom-azidou-2026-08-24).</t>
        </is>
      </c>
      <c r="AF493" s="31" t="inlineStr">
        <is>
          <t>Surface-blended Elo model; singles only, WTA+ATP market coverage, not yet locked-holdout qualified -- promoted by explicit operator directive, not genuine walk-forward validation.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model_qualified</t>
        </is>
      </c>
      <c r="AL493" s="26" t="n">
        <v>4</v>
      </c>
      <c r="AM493" s="24" t="inlineStr">
        <is>
          <t>QUALIFIED_SHADOW_CALL</t>
        </is>
      </c>
      <c r="AN493" s="24" t="inlineStr">
        <is>
          <t>CALL</t>
        </is>
      </c>
      <c r="AO493" s="24" t="inlineStr">
        <is>
          <t>QUALIFIED</t>
        </is>
      </c>
      <c r="AP493" s="24" t="inlineStr">
        <is>
          <t>Aziz Dougaz</t>
        </is>
      </c>
      <c r="AQ493" s="24" t="inlineStr">
        <is>
          <t>Aziz Dougaz</t>
        </is>
      </c>
      <c r="AR493" s="24" t="inlineStr">
        <is>
          <t>Aziz Dougaz</t>
        </is>
      </c>
      <c r="AS493" s="24" t="inlineStr">
        <is>
          <t>Federico Agustin Gomez</t>
        </is>
      </c>
      <c r="AT493" s="24" t="inlineStr">
        <is>
          <t>Federico Agustin Gomez</t>
        </is>
      </c>
      <c r="AU493" s="24" t="inlineStr">
        <is>
          <t>Federico Agustin Gomez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d777da58446bc099047b154203518e2585ef1a678f613f2b430f2589f7bf5cff</t>
        </is>
      </c>
      <c r="BB493" s="24" t="inlineStr">
        <is>
          <t>surface_blended_elo</t>
        </is>
      </c>
      <c r="BC493" s="24" t="inlineStr">
        <is>
          <t>tennis-surface-elo-v1</t>
        </is>
      </c>
      <c r="BD493" s="24" t="inlineStr">
        <is>
          <t>d777da58446bc099047b154203518e2585ef1a678f613f2b430f2589f7bf5cff</t>
        </is>
      </c>
      <c r="BE493" s="24" t="inlineStr">
        <is>
          <t>tennis-surface-elo-v1</t>
        </is>
      </c>
      <c r="BF493" s="24" t="inlineStr">
        <is>
          <t>1</t>
        </is>
      </c>
      <c r="BG493" s="24" t="inlineStr">
        <is>
          <t>d777da58446bc099047b154203518e2585ef1a678f613f2b430f2589f7bf5cff</t>
        </is>
      </c>
      <c r="BH493" s="24" t="inlineStr">
        <is>
          <t>2026-08-24T16:27:03.168392Z</t>
        </is>
      </c>
      <c r="BI493" s="24" t="inlineStr">
        <is>
          <t>["same_event","same_team_same_day","same_league_same_day"]</t>
        </is>
      </c>
      <c r="BJ493" s="25" t="n"/>
      <c r="BK493" s="26" t="n">
        <v>113</v>
      </c>
      <c r="BL493" s="27" t="n">
        <v>2.13</v>
      </c>
      <c r="BM493" s="28" t="n">
        <v>0.469484</v>
      </c>
      <c r="BN493" s="28" t="n"/>
      <c r="BO493" s="28" t="n"/>
      <c r="BP493" s="25" t="n"/>
      <c r="BQ493" s="27" t="n">
        <v>2.13</v>
      </c>
      <c r="BR493" s="28" t="n">
        <v>0.47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inlineStr">
        <is>
          <t>5f7900f090b2496e4b69ae85ba79e7905ed9f0148d1a2ccebd68efc4fe51ce23</t>
        </is>
      </c>
      <c r="DE493" s="24" t="inlineStr">
        <is>
          <t>/Users/vincentc9002/model-prediction/data/odds/tennis/2026-08-24/polymarket_snapshots.jsonl</t>
        </is>
      </c>
      <c r="DF493" s="24" t="inlineStr">
        <is>
          <t>506011:2026-08-24T16:27:03.168392Z</t>
        </is>
      </c>
      <c r="DG493" s="24" t="n"/>
      <c r="DH493" s="24" t="n"/>
      <c r="DI493" s="24" t="n"/>
      <c r="DJ493" s="24" t="inlineStr">
        <is>
          <t>0.469484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22f5cd19b6bd440a</t>
        </is>
      </c>
      <c r="B494" s="24" t="inlineStr">
        <is>
          <t>2026-08-24T16:28:07.904064Z</t>
        </is>
      </c>
      <c r="C494" s="24" t="inlineStr">
        <is>
          <t>2026-08-24T16:45Z</t>
        </is>
      </c>
      <c r="D494" s="24" t="inlineStr">
        <is>
          <t>189-2026:184629</t>
        </is>
      </c>
      <c r="E494" s="24" t="inlineStr">
        <is>
          <t>TENNIS</t>
        </is>
      </c>
      <c r="F494" s="24" t="inlineStr">
        <is>
          <t>Genaro Alberto Olivieri</t>
        </is>
      </c>
      <c r="G494" s="24" t="inlineStr">
        <is>
          <t>Guy Den Ouden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-456</v>
      </c>
      <c r="M494" s="27" t="n">
        <v>1.219298</v>
      </c>
      <c r="N494" s="28" t="n">
        <v>0.820144</v>
      </c>
      <c r="O494" s="28" t="n">
        <v>0.5688</v>
      </c>
      <c r="P494" s="28" t="n">
        <v>0.05</v>
      </c>
      <c r="Q494" s="28" t="n">
        <v>-0.251344</v>
      </c>
      <c r="R494" s="26" t="n">
        <v>0</v>
      </c>
      <c r="S494" s="29" t="n">
        <v>1</v>
      </c>
      <c r="T494" s="24" t="inlineStr">
        <is>
          <t>tennis-surface-elo-v1</t>
        </is>
      </c>
      <c r="U494" s="24" t="inlineStr">
        <is>
          <t>settled</t>
        </is>
      </c>
      <c r="V494" s="24" t="inlineStr">
        <is>
          <t>loss</t>
        </is>
      </c>
      <c r="W494" s="26" t="n">
        <v>1</v>
      </c>
      <c r="X494" s="26" t="n">
        <v>0</v>
      </c>
      <c r="Y494" s="25" t="n"/>
      <c r="Z494" s="26" t="n">
        <v>-456</v>
      </c>
      <c r="AA494" s="28" t="n">
        <v>0.82</v>
      </c>
      <c r="AB494" s="28" t="n">
        <v>-0.000144</v>
      </c>
      <c r="AC494" s="30" t="n">
        <v>-1</v>
      </c>
      <c r="AD494" s="24" t="inlineStr">
        <is>
          <t>2026-08-24T20:37:03.774142Z</t>
        </is>
      </c>
      <c r="AE494" s="31" t="inlineStr">
        <is>
          <t>Surface-blended Elo on Hard: Genaro Alberto Olivieri p=0.431 vs Guy Den Ouden. Executable ask 0.8200 (aec-atp-guyoud-genoli-2026-08-24).</t>
        </is>
      </c>
      <c r="AF494" s="31" t="inlineStr">
        <is>
          <t>Surface-blended Elo model; singles only, WTA+ATP market coverage, not yet locked-holdout qualified -- promoted by explicit operator directive, not genuine walk-forward validation.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Genaro Alberto Olivieri</t>
        </is>
      </c>
      <c r="AQ494" s="24" t="inlineStr">
        <is>
          <t>Genaro Alberto Olivieri</t>
        </is>
      </c>
      <c r="AR494" s="24" t="inlineStr">
        <is>
          <t>Genaro Alberto Olivieri</t>
        </is>
      </c>
      <c r="AS494" s="24" t="inlineStr">
        <is>
          <t>Guy Den Ouden</t>
        </is>
      </c>
      <c r="AT494" s="24" t="inlineStr">
        <is>
          <t>Guy Den Ouden</t>
        </is>
      </c>
      <c r="AU494" s="24" t="inlineStr">
        <is>
          <t>Guy Den Ouden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d777da58446bc099047b154203518e2585ef1a678f613f2b430f2589f7bf5cff</t>
        </is>
      </c>
      <c r="BB494" s="24" t="inlineStr">
        <is>
          <t>surface_blended_elo</t>
        </is>
      </c>
      <c r="BC494" s="24" t="inlineStr">
        <is>
          <t>tennis-surface-elo-v1</t>
        </is>
      </c>
      <c r="BD494" s="24" t="inlineStr">
        <is>
          <t>d777da58446bc099047b154203518e2585ef1a678f613f2b430f2589f7bf5cff</t>
        </is>
      </c>
      <c r="BE494" s="24" t="inlineStr">
        <is>
          <t>tennis-surface-elo-v1</t>
        </is>
      </c>
      <c r="BF494" s="24" t="inlineStr">
        <is>
          <t>1</t>
        </is>
      </c>
      <c r="BG494" s="24" t="inlineStr">
        <is>
          <t>d777da58446bc099047b154203518e2585ef1a678f613f2b430f2589f7bf5cff</t>
        </is>
      </c>
      <c r="BH494" s="24" t="inlineStr">
        <is>
          <t>2026-08-24T16:27:03.643551Z</t>
        </is>
      </c>
      <c r="BI494" s="24" t="inlineStr">
        <is>
          <t>["same_event","same_team_same_day","same_league_same_day"]</t>
        </is>
      </c>
      <c r="BJ494" s="25" t="n"/>
      <c r="BK494" s="26" t="n">
        <v>-456</v>
      </c>
      <c r="BL494" s="27" t="n">
        <v>1.219298</v>
      </c>
      <c r="BM494" s="28" t="n">
        <v>0.820144</v>
      </c>
      <c r="BN494" s="28" t="n"/>
      <c r="BO494" s="28" t="n"/>
      <c r="BP494" s="25" t="n"/>
      <c r="BQ494" s="27" t="n">
        <v>1.219298</v>
      </c>
      <c r="BR494" s="28" t="n">
        <v>0.82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inlineStr">
        <is>
          <t>a6af847abd1a992f2b9c2433a144f9917dddf112bc5662e2c1deacb7c3aa371d</t>
        </is>
      </c>
      <c r="DE494" s="24" t="inlineStr">
        <is>
          <t>/Users/vincentc9002/model-prediction/data/odds/tennis/2026-08-24/polymarket_snapshots.jsonl</t>
        </is>
      </c>
      <c r="DF494" s="24" t="inlineStr">
        <is>
          <t>506001:2026-08-24T16:27:03.643551Z</t>
        </is>
      </c>
      <c r="DG494" s="24" t="n"/>
      <c r="DH494" s="24" t="n"/>
      <c r="DI494" s="24" t="n"/>
      <c r="DJ494" s="24" t="inlineStr">
        <is>
          <t>0.820144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c5dec0835a674654</t>
        </is>
      </c>
      <c r="B495" s="24" t="inlineStr">
        <is>
          <t>2026-08-24T16:28:07.904064Z</t>
        </is>
      </c>
      <c r="C495" s="24" t="inlineStr">
        <is>
          <t>2026-08-24T16:45Z</t>
        </is>
      </c>
      <c r="D495" s="24" t="inlineStr">
        <is>
          <t>189-2026:184651</t>
        </is>
      </c>
      <c r="E495" s="24" t="inlineStr">
        <is>
          <t>TENNIS</t>
        </is>
      </c>
      <c r="F495" s="24" t="inlineStr">
        <is>
          <t>Lautaro Midon</t>
        </is>
      </c>
      <c r="G495" s="24" t="inlineStr">
        <is>
          <t>Kyrian Jacquet</t>
        </is>
      </c>
      <c r="H495" s="24" t="inlineStr">
        <is>
          <t>moneyline</t>
        </is>
      </c>
      <c r="I495" s="24" t="inlineStr">
        <is>
          <t>away</t>
        </is>
      </c>
      <c r="J495" s="25" t="n"/>
      <c r="K495" s="24" t="inlineStr">
        <is>
          <t>polymarket_us</t>
        </is>
      </c>
      <c r="L495" s="26" t="n">
        <v>488</v>
      </c>
      <c r="M495" s="27" t="n">
        <v>5.88</v>
      </c>
      <c r="N495" s="28" t="n">
        <v>0.170068</v>
      </c>
      <c r="O495" s="28" t="n">
        <v>0.5024</v>
      </c>
      <c r="P495" s="28" t="n">
        <v>0.05</v>
      </c>
      <c r="Q495" s="28" t="n">
        <v>0.332332</v>
      </c>
      <c r="R495" s="26" t="n">
        <v>100</v>
      </c>
      <c r="S495" s="29" t="n">
        <v>2</v>
      </c>
      <c r="T495" s="24" t="inlineStr">
        <is>
          <t>tennis-surface-elo-v1</t>
        </is>
      </c>
      <c r="U495" s="24" t="inlineStr">
        <is>
          <t>settled</t>
        </is>
      </c>
      <c r="V495" s="24" t="inlineStr">
        <is>
          <t>loss</t>
        </is>
      </c>
      <c r="W495" s="26" t="n">
        <v>0</v>
      </c>
      <c r="X495" s="26" t="n">
        <v>1</v>
      </c>
      <c r="Y495" s="25" t="n"/>
      <c r="Z495" s="26" t="n">
        <v>488</v>
      </c>
      <c r="AA495" s="28" t="n">
        <v>0.17</v>
      </c>
      <c r="AB495" s="28" t="n">
        <v>-6.8e-05</v>
      </c>
      <c r="AC495" s="30" t="n">
        <v>-2</v>
      </c>
      <c r="AD495" s="24" t="inlineStr">
        <is>
          <t>2026-08-24T20:37:05.830997Z</t>
        </is>
      </c>
      <c r="AE495" s="31" t="inlineStr">
        <is>
          <t>Surface-blended Elo on Hard: Lautaro Midon p=0.502 vs Kyrian Jacquet. Executable ask 0.1700 (aec-atp-kyrjac-laumid-2026-08-24).</t>
        </is>
      </c>
      <c r="AF495" s="31" t="inlineStr">
        <is>
          <t>Surface-blended Elo model; singles only, WTA+ATP market coverage, not yet locked-holdout qualified -- promoted by explicit operator directive, not genuine walk-forward validation.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Lautaro Midon</t>
        </is>
      </c>
      <c r="AQ495" s="24" t="inlineStr">
        <is>
          <t>Lautaro Midon</t>
        </is>
      </c>
      <c r="AR495" s="24" t="inlineStr">
        <is>
          <t>Lautaro Midon</t>
        </is>
      </c>
      <c r="AS495" s="24" t="inlineStr">
        <is>
          <t>Kyrian Jacquet</t>
        </is>
      </c>
      <c r="AT495" s="24" t="inlineStr">
        <is>
          <t>Kyrian Jacquet</t>
        </is>
      </c>
      <c r="AU495" s="24" t="inlineStr">
        <is>
          <t>Kyrian Jacquet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d777da58446bc099047b154203518e2585ef1a678f613f2b430f2589f7bf5cff</t>
        </is>
      </c>
      <c r="BB495" s="24" t="inlineStr">
        <is>
          <t>surface_blended_elo</t>
        </is>
      </c>
      <c r="BC495" s="24" t="inlineStr">
        <is>
          <t>tennis-surface-elo-v1</t>
        </is>
      </c>
      <c r="BD495" s="24" t="inlineStr">
        <is>
          <t>d777da58446bc099047b154203518e2585ef1a678f613f2b430f2589f7bf5cff</t>
        </is>
      </c>
      <c r="BE495" s="24" t="inlineStr">
        <is>
          <t>tennis-surface-elo-v1</t>
        </is>
      </c>
      <c r="BF495" s="24" t="inlineStr">
        <is>
          <t>1</t>
        </is>
      </c>
      <c r="BG495" s="24" t="inlineStr">
        <is>
          <t>d777da58446bc099047b154203518e2585ef1a678f613f2b430f2589f7bf5cff</t>
        </is>
      </c>
      <c r="BH495" s="24" t="inlineStr">
        <is>
          <t>2026-08-24T16:27:03.529510Z</t>
        </is>
      </c>
      <c r="BI495" s="24" t="inlineStr">
        <is>
          <t>["same_event","same_team_same_day","same_league_same_day"]</t>
        </is>
      </c>
      <c r="BJ495" s="25" t="n"/>
      <c r="BK495" s="26" t="n">
        <v>488</v>
      </c>
      <c r="BL495" s="27" t="n">
        <v>5.88</v>
      </c>
      <c r="BM495" s="28" t="n">
        <v>0.170068</v>
      </c>
      <c r="BN495" s="28" t="n"/>
      <c r="BO495" s="28" t="n"/>
      <c r="BP495" s="25" t="n"/>
      <c r="BQ495" s="27" t="n">
        <v>5.88</v>
      </c>
      <c r="BR495" s="28" t="n">
        <v>0.17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inlineStr">
        <is>
          <t>9f6e5d591624f0b5bbeff18d83fc7f2da650229e07f24d04f0dee055b3acdab6</t>
        </is>
      </c>
      <c r="DE495" s="24" t="inlineStr">
        <is>
          <t>/Users/vincentc9002/model-prediction/data/odds/tennis/2026-08-24/polymarket_snapshots.jsonl</t>
        </is>
      </c>
      <c r="DF495" s="24" t="inlineStr">
        <is>
          <t>506009:2026-08-24T16:27:03.529510Z</t>
        </is>
      </c>
      <c r="DG495" s="24" t="n"/>
      <c r="DH495" s="24" t="n"/>
      <c r="DI495" s="24" t="n"/>
      <c r="DJ495" s="24" t="inlineStr">
        <is>
          <t>0.170068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49204c7b204d438b</t>
        </is>
      </c>
      <c r="B496" s="24" t="inlineStr">
        <is>
          <t>2026-08-24T17:02:10.415217Z</t>
        </is>
      </c>
      <c r="C496" s="24" t="inlineStr">
        <is>
          <t>2026-08-24T18:00Z</t>
        </is>
      </c>
      <c r="D496" s="24" t="inlineStr">
        <is>
          <t>1075-2026:182129</t>
        </is>
      </c>
      <c r="E496" s="24" t="inlineStr">
        <is>
          <t>TENNIS</t>
        </is>
      </c>
      <c r="F496" s="24" t="inlineStr">
        <is>
          <t>Tereza Valentova</t>
        </is>
      </c>
      <c r="G496" s="24" t="inlineStr">
        <is>
          <t>Ariana Arseneault</t>
        </is>
      </c>
      <c r="H496" s="24" t="inlineStr">
        <is>
          <t>moneyline</t>
        </is>
      </c>
      <c r="I496" s="24" t="inlineStr">
        <is>
          <t>away</t>
        </is>
      </c>
      <c r="J496" s="25" t="n"/>
      <c r="K496" s="24" t="inlineStr">
        <is>
          <t>polymarket_us</t>
        </is>
      </c>
      <c r="L496" s="26" t="n">
        <v>-1900</v>
      </c>
      <c r="M496" s="27" t="n">
        <v>1.052632</v>
      </c>
      <c r="N496" s="28" t="n">
        <v>0.95</v>
      </c>
      <c r="O496" s="28" t="n">
        <v>0.7601</v>
      </c>
      <c r="P496" s="28" t="n">
        <v>0.05</v>
      </c>
      <c r="Q496" s="28" t="n">
        <v>-0.1899</v>
      </c>
      <c r="R496" s="26" t="n">
        <v>0</v>
      </c>
      <c r="S496" s="29" t="n">
        <v>1</v>
      </c>
      <c r="T496" s="24" t="inlineStr">
        <is>
          <t>tennis-surface-elo-v1</t>
        </is>
      </c>
      <c r="U496" s="24" t="inlineStr">
        <is>
          <t>settled</t>
        </is>
      </c>
      <c r="V496" s="24" t="inlineStr">
        <is>
          <t>win</t>
        </is>
      </c>
      <c r="W496" s="26" t="n">
        <v>1</v>
      </c>
      <c r="X496" s="26" t="n">
        <v>0</v>
      </c>
      <c r="Y496" s="25" t="n"/>
      <c r="Z496" s="26" t="n">
        <v>-1900</v>
      </c>
      <c r="AA496" s="28" t="n">
        <v>0.95</v>
      </c>
      <c r="AB496" s="28" t="n">
        <v>0</v>
      </c>
      <c r="AC496" s="30" t="n">
        <v>0.0526</v>
      </c>
      <c r="AD496" s="24" t="inlineStr">
        <is>
          <t>2026-08-24T20:37:11.936754Z</t>
        </is>
      </c>
      <c r="AE496" s="31" t="inlineStr">
        <is>
          <t>Surface-blended Elo on Hard: Tereza Valentova p=0.760 vs Ariana Arseneault. Executable ask 0.9500 (aec-wta-ariars-terval-2026-08-24).</t>
        </is>
      </c>
      <c r="AF496" s="31" t="inlineStr">
        <is>
          <t>Surface-blended Elo model; singles only, WTA+ATP market coverage, not yet locked-holdout qualified -- promoted by explicit operator directive, not genuine walk-forward validation.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Tereza Valentova</t>
        </is>
      </c>
      <c r="AQ496" s="24" t="inlineStr">
        <is>
          <t>Tereza Valentova</t>
        </is>
      </c>
      <c r="AR496" s="24" t="inlineStr">
        <is>
          <t>Tereza Valentova</t>
        </is>
      </c>
      <c r="AS496" s="24" t="inlineStr">
        <is>
          <t>Ariana Arseneault</t>
        </is>
      </c>
      <c r="AT496" s="24" t="inlineStr">
        <is>
          <t>Ariana Arseneault</t>
        </is>
      </c>
      <c r="AU496" s="24" t="inlineStr">
        <is>
          <t>Ariana Arseneault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d777da58446bc099047b154203518e2585ef1a678f613f2b430f2589f7bf5cff</t>
        </is>
      </c>
      <c r="BB496" s="24" t="inlineStr">
        <is>
          <t>surface_blended_elo</t>
        </is>
      </c>
      <c r="BC496" s="24" t="inlineStr">
        <is>
          <t>tennis-surface-elo-v1</t>
        </is>
      </c>
      <c r="BD496" s="24" t="inlineStr">
        <is>
          <t>d777da58446bc099047b154203518e2585ef1a678f613f2b430f2589f7bf5cff</t>
        </is>
      </c>
      <c r="BE496" s="24" t="inlineStr">
        <is>
          <t>tennis-surface-elo-v1</t>
        </is>
      </c>
      <c r="BF496" s="24" t="inlineStr">
        <is>
          <t>1</t>
        </is>
      </c>
      <c r="BG496" s="24" t="inlineStr">
        <is>
          <t>d777da58446bc099047b154203518e2585ef1a678f613f2b430f2589f7bf5cff</t>
        </is>
      </c>
      <c r="BH496" s="24" t="inlineStr">
        <is>
          <t>2026-08-24T17:01:10.178035Z</t>
        </is>
      </c>
      <c r="BI496" s="24" t="inlineStr">
        <is>
          <t>["same_event","same_team_same_day","same_league_same_day"]</t>
        </is>
      </c>
      <c r="BJ496" s="25" t="n"/>
      <c r="BK496" s="26" t="n">
        <v>-1900</v>
      </c>
      <c r="BL496" s="27" t="n">
        <v>1.052632</v>
      </c>
      <c r="BM496" s="28" t="n">
        <v>0.95</v>
      </c>
      <c r="BN496" s="28" t="n"/>
      <c r="BO496" s="28" t="n"/>
      <c r="BP496" s="25" t="n"/>
      <c r="BQ496" s="27" t="n">
        <v>1.052632</v>
      </c>
      <c r="BR496" s="28" t="n">
        <v>0.95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False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inlineStr">
        <is>
          <t>07a62f7c9855a445fa0a69f4c8322d61618ea37802d25555c6fff2c4709172f3</t>
        </is>
      </c>
      <c r="DE496" s="24" t="inlineStr">
        <is>
          <t>/Users/vincentc9002/model-prediction/data/odds/tennis/2026-08-24/polymarket_snapshots.jsonl</t>
        </is>
      </c>
      <c r="DF496" s="24" t="inlineStr">
        <is>
          <t>506137:2026-08-24T17:01:10.178035Z</t>
        </is>
      </c>
      <c r="DG496" s="24" t="n"/>
      <c r="DH496" s="24" t="n"/>
      <c r="DI496" s="24" t="n"/>
      <c r="DJ496" s="24" t="inlineStr">
        <is>
          <t>0.95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0710f9d846304d5e</t>
        </is>
      </c>
      <c r="B497" s="24" t="inlineStr">
        <is>
          <t>2026-08-24T17:02:10.415217Z</t>
        </is>
      </c>
      <c r="C497" s="24" t="inlineStr">
        <is>
          <t>2026-08-24T18:00Z</t>
        </is>
      </c>
      <c r="D497" s="24" t="inlineStr">
        <is>
          <t>1075-2026:182142</t>
        </is>
      </c>
      <c r="E497" s="24" t="inlineStr">
        <is>
          <t>TENNIS</t>
        </is>
      </c>
      <c r="F497" s="24" t="inlineStr">
        <is>
          <t>Kaitlin Quevedo</t>
        </is>
      </c>
      <c r="G497" s="24" t="inlineStr">
        <is>
          <t>Ekaterina Ovcharenko</t>
        </is>
      </c>
      <c r="H497" s="24" t="inlineStr">
        <is>
          <t>moneyline</t>
        </is>
      </c>
      <c r="I497" s="24" t="inlineStr">
        <is>
          <t>away</t>
        </is>
      </c>
      <c r="J497" s="25" t="n"/>
      <c r="K497" s="24" t="inlineStr">
        <is>
          <t>polymarket_us</t>
        </is>
      </c>
      <c r="L497" s="26" t="n">
        <v>-1329</v>
      </c>
      <c r="M497" s="27" t="n">
        <v>1.075245</v>
      </c>
      <c r="N497" s="28" t="n">
        <v>0.930021</v>
      </c>
      <c r="O497" s="28" t="n">
        <v>0.7312</v>
      </c>
      <c r="P497" s="28" t="n">
        <v>0.05</v>
      </c>
      <c r="Q497" s="28" t="n">
        <v>-0.198821</v>
      </c>
      <c r="R497" s="26" t="n">
        <v>0</v>
      </c>
      <c r="S497" s="29" t="n">
        <v>1</v>
      </c>
      <c r="T497" s="24" t="inlineStr">
        <is>
          <t>tennis-surface-elo-v1</t>
        </is>
      </c>
      <c r="U497" s="24" t="inlineStr">
        <is>
          <t>settled</t>
        </is>
      </c>
      <c r="V497" s="24" t="inlineStr">
        <is>
          <t>loss</t>
        </is>
      </c>
      <c r="W497" s="26" t="n">
        <v>0</v>
      </c>
      <c r="X497" s="26" t="n">
        <v>1</v>
      </c>
      <c r="Y497" s="25" t="n"/>
      <c r="Z497" s="26" t="n">
        <v>-1329</v>
      </c>
      <c r="AA497" s="28" t="n">
        <v>0.93</v>
      </c>
      <c r="AB497" s="28" t="n">
        <v>-2.1e-05</v>
      </c>
      <c r="AC497" s="30" t="n">
        <v>-1</v>
      </c>
      <c r="AD497" s="24" t="inlineStr">
        <is>
          <t>2026-08-25T00:19:31.334740Z</t>
        </is>
      </c>
      <c r="AE497" s="31" t="inlineStr">
        <is>
          <t>Surface-blended Elo on Hard: Kaitlin Quevedo p=0.731 vs Ekaterina Ovcharenko. Executable ask 0.9300 (aec-wta-ekaovc-kaique-2026-08-24).</t>
        </is>
      </c>
      <c r="AF497" s="31" t="inlineStr">
        <is>
          <t>Surface-blended Elo model; singles only, WTA+ATP market coverage, not yet locked-holdout qualified -- promoted by explicit operator directive, not genuine walk-forward validation.</t>
        </is>
      </c>
      <c r="AG497" s="24" t="inlineStr">
        <is>
          <t>review_required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Kaitlin Quevedo</t>
        </is>
      </c>
      <c r="AQ497" s="24" t="inlineStr">
        <is>
          <t>Kaitlin Quevedo</t>
        </is>
      </c>
      <c r="AR497" s="24" t="inlineStr">
        <is>
          <t>Kaitlin Quevedo</t>
        </is>
      </c>
      <c r="AS497" s="24" t="inlineStr">
        <is>
          <t>Ekaterina Ovcharenko</t>
        </is>
      </c>
      <c r="AT497" s="24" t="inlineStr">
        <is>
          <t>Ekaterina Ovcharenko</t>
        </is>
      </c>
      <c r="AU497" s="24" t="inlineStr">
        <is>
          <t>Ekaterina Ovcharenko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d777da58446bc099047b154203518e2585ef1a678f613f2b430f2589f7bf5cff</t>
        </is>
      </c>
      <c r="BB497" s="24" t="inlineStr">
        <is>
          <t>surface_blended_elo</t>
        </is>
      </c>
      <c r="BC497" s="24" t="inlineStr">
        <is>
          <t>tennis-surface-elo-v1</t>
        </is>
      </c>
      <c r="BD497" s="24" t="inlineStr">
        <is>
          <t>d777da58446bc099047b154203518e2585ef1a678f613f2b430f2589f7bf5cff</t>
        </is>
      </c>
      <c r="BE497" s="24" t="inlineStr">
        <is>
          <t>tennis-surface-elo-v1</t>
        </is>
      </c>
      <c r="BF497" s="24" t="inlineStr">
        <is>
          <t>1</t>
        </is>
      </c>
      <c r="BG497" s="24" t="inlineStr">
        <is>
          <t>d777da58446bc099047b154203518e2585ef1a678f613f2b430f2589f7bf5cff</t>
        </is>
      </c>
      <c r="BH497" s="24" t="inlineStr">
        <is>
          <t>2026-08-24T17:01:10.226671Z</t>
        </is>
      </c>
      <c r="BI497" s="24" t="inlineStr">
        <is>
          <t>["same_event","same_team_same_day","same_league_same_day"]</t>
        </is>
      </c>
      <c r="BJ497" s="25" t="n"/>
      <c r="BK497" s="26" t="n">
        <v>-1329</v>
      </c>
      <c r="BL497" s="27" t="n">
        <v>1.075245</v>
      </c>
      <c r="BM497" s="28" t="n">
        <v>0.930021</v>
      </c>
      <c r="BN497" s="28" t="n"/>
      <c r="BO497" s="28" t="n"/>
      <c r="BP497" s="25" t="n"/>
      <c r="BQ497" s="27" t="n">
        <v>1.075245</v>
      </c>
      <c r="BR497" s="28" t="n">
        <v>0.93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inlineStr">
        <is>
          <t>9ce55620c8029916ce5e7ba3bcba3843959f363edcf187198240a2cb4f896f6e</t>
        </is>
      </c>
      <c r="DE497" s="24" t="inlineStr">
        <is>
          <t>/Users/vincentc9002/model-prediction/data/odds/tennis/2026-08-24/polymarket_snapshots.jsonl</t>
        </is>
      </c>
      <c r="DF497" s="24" t="inlineStr">
        <is>
          <t>506138:2026-08-24T17:01:10.226671Z</t>
        </is>
      </c>
      <c r="DG497" s="24" t="n"/>
      <c r="DH497" s="24" t="n"/>
      <c r="DI497" s="24" t="n"/>
      <c r="DJ497" s="24" t="inlineStr">
        <is>
          <t>0.930021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b4f5941b75b14bf7</t>
        </is>
      </c>
      <c r="B498" s="24" t="inlineStr">
        <is>
          <t>2026-08-24T17:02:10.415217Z</t>
        </is>
      </c>
      <c r="C498" s="24" t="inlineStr">
        <is>
          <t>2026-08-24T18:00Z</t>
        </is>
      </c>
      <c r="D498" s="24" t="inlineStr">
        <is>
          <t>189-2026:184690</t>
        </is>
      </c>
      <c r="E498" s="24" t="inlineStr">
        <is>
          <t>TENNIS</t>
        </is>
      </c>
      <c r="F498" s="24" t="inlineStr">
        <is>
          <t>Ayana Akli</t>
        </is>
      </c>
      <c r="G498" s="24" t="inlineStr">
        <is>
          <t>Mia Ristic</t>
        </is>
      </c>
      <c r="H498" s="24" t="inlineStr">
        <is>
          <t>moneyline</t>
        </is>
      </c>
      <c r="I498" s="24" t="inlineStr">
        <is>
          <t>home</t>
        </is>
      </c>
      <c r="J498" s="25" t="n"/>
      <c r="K498" s="24" t="inlineStr">
        <is>
          <t>polymarket_us</t>
        </is>
      </c>
      <c r="L498" s="26" t="n">
        <v>127</v>
      </c>
      <c r="M498" s="27" t="n">
        <v>2.27</v>
      </c>
      <c r="N498" s="28" t="n">
        <v>0.440529</v>
      </c>
      <c r="O498" s="28" t="n">
        <v>0.571</v>
      </c>
      <c r="P498" s="28" t="n">
        <v>0.05</v>
      </c>
      <c r="Q498" s="28" t="n">
        <v>0.130471</v>
      </c>
      <c r="R498" s="26" t="n">
        <v>85</v>
      </c>
      <c r="S498" s="29" t="n">
        <v>1.5</v>
      </c>
      <c r="T498" s="24" t="inlineStr">
        <is>
          <t>tennis-surface-elo-v1</t>
        </is>
      </c>
      <c r="U498" s="24" t="inlineStr">
        <is>
          <t>settled</t>
        </is>
      </c>
      <c r="V498" s="24" t="inlineStr">
        <is>
          <t>win</t>
        </is>
      </c>
      <c r="W498" s="26" t="n">
        <v>0</v>
      </c>
      <c r="X498" s="26" t="n">
        <v>1</v>
      </c>
      <c r="Y498" s="25" t="n"/>
      <c r="Z498" s="26" t="n">
        <v>127</v>
      </c>
      <c r="AA498" s="28" t="n">
        <v>0.44</v>
      </c>
      <c r="AB498" s="28" t="n">
        <v>-0.000529</v>
      </c>
      <c r="AC498" s="30" t="n">
        <v>1.905</v>
      </c>
      <c r="AD498" s="24" t="inlineStr">
        <is>
          <t>2026-08-24T21:13:09.935863Z</t>
        </is>
      </c>
      <c r="AE498" s="31" t="inlineStr">
        <is>
          <t>Surface-blended Elo on Hard: Ayana Akli p=0.429 vs Mia Ristic. Executable ask 0.4400 (aec-wta-miaris-ayaakl-2026-08-24).</t>
        </is>
      </c>
      <c r="AF498" s="31" t="inlineStr">
        <is>
          <t>Surface-blended Elo model; singles only, WTA+ATP market coverage, not yet locked-holdout qualified -- promoted by explicit operator directive, not genuine walk-forward validation.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Ayana Akli</t>
        </is>
      </c>
      <c r="AQ498" s="24" t="inlineStr">
        <is>
          <t>Ayana Akli</t>
        </is>
      </c>
      <c r="AR498" s="24" t="inlineStr">
        <is>
          <t>Ayana Akli</t>
        </is>
      </c>
      <c r="AS498" s="24" t="inlineStr">
        <is>
          <t>Mia Ristic</t>
        </is>
      </c>
      <c r="AT498" s="24" t="inlineStr">
        <is>
          <t>Mia Ristic</t>
        </is>
      </c>
      <c r="AU498" s="24" t="inlineStr">
        <is>
          <t>Mia Ristic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d777da58446bc099047b154203518e2585ef1a678f613f2b430f2589f7bf5cff</t>
        </is>
      </c>
      <c r="BB498" s="24" t="inlineStr">
        <is>
          <t>surface_blended_elo</t>
        </is>
      </c>
      <c r="BC498" s="24" t="inlineStr">
        <is>
          <t>tennis-surface-elo-v1</t>
        </is>
      </c>
      <c r="BD498" s="24" t="inlineStr">
        <is>
          <t>d777da58446bc099047b154203518e2585ef1a678f613f2b430f2589f7bf5cff</t>
        </is>
      </c>
      <c r="BE498" s="24" t="inlineStr">
        <is>
          <t>tennis-surface-elo-v1</t>
        </is>
      </c>
      <c r="BF498" s="24" t="inlineStr">
        <is>
          <t>1</t>
        </is>
      </c>
      <c r="BG498" s="24" t="inlineStr">
        <is>
          <t>d777da58446bc099047b154203518e2585ef1a678f613f2b430f2589f7bf5cff</t>
        </is>
      </c>
      <c r="BH498" s="24" t="inlineStr">
        <is>
          <t>2026-08-24T17:01:10.225005Z</t>
        </is>
      </c>
      <c r="BI498" s="24" t="inlineStr">
        <is>
          <t>["same_event","same_team_same_day","same_league_same_day"]</t>
        </is>
      </c>
      <c r="BJ498" s="25" t="n"/>
      <c r="BK498" s="26" t="n">
        <v>127</v>
      </c>
      <c r="BL498" s="27" t="n">
        <v>2.27</v>
      </c>
      <c r="BM498" s="28" t="n">
        <v>0.440529</v>
      </c>
      <c r="BN498" s="28" t="n"/>
      <c r="BO498" s="28" t="n"/>
      <c r="BP498" s="25" t="n"/>
      <c r="BQ498" s="27" t="n">
        <v>2.27</v>
      </c>
      <c r="BR498" s="28" t="n">
        <v>0.44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inlineStr">
        <is>
          <t>7fa97d1dfb5c0b649b95fc1318d219cd515c29f875a59c4a70583bbd872b03b0</t>
        </is>
      </c>
      <c r="DE498" s="24" t="inlineStr">
        <is>
          <t>/Users/vincentc9002/model-prediction/data/odds/tennis/2026-08-24/polymarket_snapshots.jsonl</t>
        </is>
      </c>
      <c r="DF498" s="24" t="inlineStr">
        <is>
          <t>506014:2026-08-24T17:01:10.225005Z</t>
        </is>
      </c>
      <c r="DG498" s="24" t="n"/>
      <c r="DH498" s="24" t="n"/>
      <c r="DI498" s="24" t="n"/>
      <c r="DJ498" s="24" t="inlineStr">
        <is>
          <t>0.440529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48f2bfff425a41ac</t>
        </is>
      </c>
      <c r="B499" s="24" t="inlineStr">
        <is>
          <t>2026-08-24T17:02:10.415217Z</t>
        </is>
      </c>
      <c r="C499" s="24" t="inlineStr">
        <is>
          <t>2026-08-24T18:00Z</t>
        </is>
      </c>
      <c r="D499" s="24" t="inlineStr">
        <is>
          <t>189-2026:184705</t>
        </is>
      </c>
      <c r="E499" s="24" t="inlineStr">
        <is>
          <t>TENNIS</t>
        </is>
      </c>
      <c r="F499" s="24" t="inlineStr">
        <is>
          <t>Francisca Jorge</t>
        </is>
      </c>
      <c r="G499" s="24" t="inlineStr">
        <is>
          <t>Victoria Jimenez Kasintseva</t>
        </is>
      </c>
      <c r="H499" s="24" t="inlineStr">
        <is>
          <t>moneyline</t>
        </is>
      </c>
      <c r="I499" s="24" t="inlineStr">
        <is>
          <t>home</t>
        </is>
      </c>
      <c r="J499" s="25" t="n"/>
      <c r="K499" s="24" t="inlineStr">
        <is>
          <t>polymarket_us</t>
        </is>
      </c>
      <c r="L499" s="26" t="n">
        <v>-186</v>
      </c>
      <c r="M499" s="27" t="n">
        <v>1.537634</v>
      </c>
      <c r="N499" s="28" t="n">
        <v>0.65035</v>
      </c>
      <c r="O499" s="28" t="n">
        <v>0.6186</v>
      </c>
      <c r="P499" s="28" t="n">
        <v>0.05</v>
      </c>
      <c r="Q499" s="28" t="n">
        <v>-0.03175</v>
      </c>
      <c r="R499" s="26" t="n">
        <v>4</v>
      </c>
      <c r="S499" s="29" t="n">
        <v>1</v>
      </c>
      <c r="T499" s="24" t="inlineStr">
        <is>
          <t>tennis-surface-elo-v1</t>
        </is>
      </c>
      <c r="U499" s="24" t="inlineStr">
        <is>
          <t>settled</t>
        </is>
      </c>
      <c r="V499" s="24" t="inlineStr">
        <is>
          <t>loss</t>
        </is>
      </c>
      <c r="W499" s="26" t="n">
        <v>1</v>
      </c>
      <c r="X499" s="26" t="n">
        <v>0</v>
      </c>
      <c r="Y499" s="25" t="n"/>
      <c r="Z499" s="26" t="n">
        <v>-186</v>
      </c>
      <c r="AA499" s="28" t="n">
        <v>0.65</v>
      </c>
      <c r="AB499" s="28" t="n">
        <v>-0.00035</v>
      </c>
      <c r="AC499" s="30" t="n">
        <v>-1</v>
      </c>
      <c r="AD499" s="24" t="inlineStr">
        <is>
          <t>2026-08-25T00:19:33.503333Z</t>
        </is>
      </c>
      <c r="AE499" s="31" t="inlineStr">
        <is>
          <t>Surface-blended Elo on Hard: Francisca Jorge p=0.381 vs Victoria Jimenez Kasintseva. Executable ask 0.6500 (aec-wta-vickas-frajor-2026-08-24).</t>
        </is>
      </c>
      <c r="AF499" s="31" t="inlineStr">
        <is>
          <t>Surface-blended Elo model; singles only, WTA+ATP market coverage, not yet locked-holdout qualified -- promoted by explicit operator directive, not genuine walk-forward validation.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Francisca Jorge</t>
        </is>
      </c>
      <c r="AQ499" s="24" t="inlineStr">
        <is>
          <t>Francisca Jorge</t>
        </is>
      </c>
      <c r="AR499" s="24" t="inlineStr">
        <is>
          <t>Francisca Jorge</t>
        </is>
      </c>
      <c r="AS499" s="24" t="inlineStr">
        <is>
          <t>Victoria Jimenez Kasintseva</t>
        </is>
      </c>
      <c r="AT499" s="24" t="inlineStr">
        <is>
          <t>Victoria Jimenez Kasintseva</t>
        </is>
      </c>
      <c r="AU499" s="24" t="inlineStr">
        <is>
          <t>Victoria Jimenez Kasintseva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d777da58446bc099047b154203518e2585ef1a678f613f2b430f2589f7bf5cff</t>
        </is>
      </c>
      <c r="BB499" s="24" t="inlineStr">
        <is>
          <t>surface_blended_elo</t>
        </is>
      </c>
      <c r="BC499" s="24" t="inlineStr">
        <is>
          <t>tennis-surface-elo-v1</t>
        </is>
      </c>
      <c r="BD499" s="24" t="inlineStr">
        <is>
          <t>d777da58446bc099047b154203518e2585ef1a678f613f2b430f2589f7bf5cff</t>
        </is>
      </c>
      <c r="BE499" s="24" t="inlineStr">
        <is>
          <t>tennis-surface-elo-v1</t>
        </is>
      </c>
      <c r="BF499" s="24" t="inlineStr">
        <is>
          <t>1</t>
        </is>
      </c>
      <c r="BG499" s="24" t="inlineStr">
        <is>
          <t>d777da58446bc099047b154203518e2585ef1a678f613f2b430f2589f7bf5cff</t>
        </is>
      </c>
      <c r="BH499" s="24" t="inlineStr">
        <is>
          <t>2026-08-24T17:01:10.201691Z</t>
        </is>
      </c>
      <c r="BI499" s="24" t="inlineStr">
        <is>
          <t>["same_event","same_team_same_day","same_league_same_day"]</t>
        </is>
      </c>
      <c r="BJ499" s="25" t="n"/>
      <c r="BK499" s="26" t="n">
        <v>-186</v>
      </c>
      <c r="BL499" s="27" t="n">
        <v>1.537634</v>
      </c>
      <c r="BM499" s="28" t="n">
        <v>0.65035</v>
      </c>
      <c r="BN499" s="28" t="n"/>
      <c r="BO499" s="28" t="n"/>
      <c r="BP499" s="25" t="n"/>
      <c r="BQ499" s="27" t="n">
        <v>1.537634</v>
      </c>
      <c r="BR499" s="28" t="n">
        <v>0.65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inlineStr">
        <is>
          <t>6c0d96b16f981ab0c053d9a953fdfec9a89a22c72286979230aad09ef6aafe70</t>
        </is>
      </c>
      <c r="DE499" s="24" t="inlineStr">
        <is>
          <t>/Users/vincentc9002/model-prediction/data/odds/tennis/2026-08-24/polymarket_snapshots.jsonl</t>
        </is>
      </c>
      <c r="DF499" s="24" t="inlineStr">
        <is>
          <t>506012:2026-08-24T17:01:10.201691Z</t>
        </is>
      </c>
      <c r="DG499" s="24" t="n"/>
      <c r="DH499" s="24" t="n"/>
      <c r="DI499" s="24" t="n"/>
      <c r="DJ499" s="24" t="inlineStr">
        <is>
          <t>0.65035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d3be0540e5ee438b</t>
        </is>
      </c>
      <c r="B500" s="24" t="inlineStr">
        <is>
          <t>2026-08-24T17:02:10.415217Z</t>
        </is>
      </c>
      <c r="C500" s="24" t="inlineStr">
        <is>
          <t>2026-08-24T18:00Z</t>
        </is>
      </c>
      <c r="D500" s="24" t="inlineStr">
        <is>
          <t>189-2026:184716</t>
        </is>
      </c>
      <c r="E500" s="24" t="inlineStr">
        <is>
          <t>TENNIS</t>
        </is>
      </c>
      <c r="F500" s="24" t="inlineStr">
        <is>
          <t>Heather Watson</t>
        </is>
      </c>
      <c r="G500" s="24" t="inlineStr">
        <is>
          <t>Claire Liu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polymarket_us</t>
        </is>
      </c>
      <c r="L500" s="26" t="n">
        <v>-223</v>
      </c>
      <c r="M500" s="27" t="n">
        <v>1.44843</v>
      </c>
      <c r="N500" s="28" t="n">
        <v>0.690402</v>
      </c>
      <c r="O500" s="28" t="n">
        <v>0.6116</v>
      </c>
      <c r="P500" s="28" t="n">
        <v>0.05</v>
      </c>
      <c r="Q500" s="28" t="n">
        <v>-0.078802</v>
      </c>
      <c r="R500" s="26" t="n">
        <v>0</v>
      </c>
      <c r="S500" s="29" t="n">
        <v>1</v>
      </c>
      <c r="T500" s="24" t="inlineStr">
        <is>
          <t>tennis-surface-elo-v1</t>
        </is>
      </c>
      <c r="U500" s="24" t="inlineStr">
        <is>
          <t>settled</t>
        </is>
      </c>
      <c r="V500" s="24" t="inlineStr">
        <is>
          <t>loss</t>
        </is>
      </c>
      <c r="W500" s="26" t="n">
        <v>1</v>
      </c>
      <c r="X500" s="26" t="n">
        <v>0</v>
      </c>
      <c r="Y500" s="25" t="n"/>
      <c r="Z500" s="26" t="n">
        <v>-223</v>
      </c>
      <c r="AA500" s="28" t="n">
        <v>0.6899999999999999</v>
      </c>
      <c r="AB500" s="28" t="n">
        <v>-0.000402</v>
      </c>
      <c r="AC500" s="30" t="n">
        <v>-1</v>
      </c>
      <c r="AD500" s="24" t="inlineStr">
        <is>
          <t>2026-08-25T00:19:35.581207Z</t>
        </is>
      </c>
      <c r="AE500" s="31" t="inlineStr">
        <is>
          <t>Surface-blended Elo on Hard: Heather Watson p=0.388 vs Claire Liu. Executable ask 0.6900 (aec-wta-claliu-heawat-2026-08-24).</t>
        </is>
      </c>
      <c r="AF500" s="31" t="inlineStr">
        <is>
          <t>Surface-blended Elo model; singles only, WTA+ATP market coverage, not yet locked-holdout qualified -- promoted by explicit operator directive, not genuine walk-forward validation.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Heather Watson</t>
        </is>
      </c>
      <c r="AQ500" s="24" t="inlineStr">
        <is>
          <t>Heather Watson</t>
        </is>
      </c>
      <c r="AR500" s="24" t="inlineStr">
        <is>
          <t>Heather Watson</t>
        </is>
      </c>
      <c r="AS500" s="24" t="inlineStr">
        <is>
          <t>Claire Liu</t>
        </is>
      </c>
      <c r="AT500" s="24" t="inlineStr">
        <is>
          <t>Claire Liu</t>
        </is>
      </c>
      <c r="AU500" s="24" t="inlineStr">
        <is>
          <t>Claire Liu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d777da58446bc099047b154203518e2585ef1a678f613f2b430f2589f7bf5cff</t>
        </is>
      </c>
      <c r="BB500" s="24" t="inlineStr">
        <is>
          <t>surface_blended_elo</t>
        </is>
      </c>
      <c r="BC500" s="24" t="inlineStr">
        <is>
          <t>tennis-surface-elo-v1</t>
        </is>
      </c>
      <c r="BD500" s="24" t="inlineStr">
        <is>
          <t>d777da58446bc099047b154203518e2585ef1a678f613f2b430f2589f7bf5cff</t>
        </is>
      </c>
      <c r="BE500" s="24" t="inlineStr">
        <is>
          <t>tennis-surface-elo-v1</t>
        </is>
      </c>
      <c r="BF500" s="24" t="inlineStr">
        <is>
          <t>1</t>
        </is>
      </c>
      <c r="BG500" s="24" t="inlineStr">
        <is>
          <t>d777da58446bc099047b154203518e2585ef1a678f613f2b430f2589f7bf5cff</t>
        </is>
      </c>
      <c r="BH500" s="24" t="inlineStr">
        <is>
          <t>2026-08-24T17:01:10.272576Z</t>
        </is>
      </c>
      <c r="BI500" s="24" t="inlineStr">
        <is>
          <t>["same_event","same_team_same_day","same_league_same_day"]</t>
        </is>
      </c>
      <c r="BJ500" s="25" t="n"/>
      <c r="BK500" s="26" t="n">
        <v>-223</v>
      </c>
      <c r="BL500" s="27" t="n">
        <v>1.44843</v>
      </c>
      <c r="BM500" s="28" t="n">
        <v>0.690402</v>
      </c>
      <c r="BN500" s="28" t="n"/>
      <c r="BO500" s="28" t="n"/>
      <c r="BP500" s="25" t="n"/>
      <c r="BQ500" s="27" t="n">
        <v>1.44843</v>
      </c>
      <c r="BR500" s="28" t="n">
        <v>0.6899999999999999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inlineStr">
        <is>
          <t>31f5e49fa610b261b1af8e0a685343e4bacf9570dd301ce1dc84f2f806772842</t>
        </is>
      </c>
      <c r="DE500" s="24" t="inlineStr">
        <is>
          <t>/Users/vincentc9002/model-prediction/data/odds/tennis/2026-08-24/polymarket_snapshots.jsonl</t>
        </is>
      </c>
      <c r="DF500" s="24" t="inlineStr">
        <is>
          <t>506003:2026-08-24T17:01:10.272576Z</t>
        </is>
      </c>
      <c r="DG500" s="24" t="n"/>
      <c r="DH500" s="24" t="n"/>
      <c r="DI500" s="24" t="n"/>
      <c r="DJ500" s="24" t="inlineStr">
        <is>
          <t>0.690402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b786c10cf0c64a85</t>
        </is>
      </c>
      <c r="B501" s="24" t="inlineStr">
        <is>
          <t>2026-08-24T17:02:10.415217Z</t>
        </is>
      </c>
      <c r="C501" s="24" t="inlineStr">
        <is>
          <t>2026-08-24T18:00Z</t>
        </is>
      </c>
      <c r="D501" s="24" t="inlineStr">
        <is>
          <t>189-2026:184717</t>
        </is>
      </c>
      <c r="E501" s="24" t="inlineStr">
        <is>
          <t>TENNIS</t>
        </is>
      </c>
      <c r="F501" s="24" t="inlineStr">
        <is>
          <t>Zhu Lin</t>
        </is>
      </c>
      <c r="G501" s="24" t="inlineStr">
        <is>
          <t>Angela Fita Boluda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-669</v>
      </c>
      <c r="M501" s="27" t="n">
        <v>1.149477</v>
      </c>
      <c r="N501" s="28" t="n">
        <v>0.869961</v>
      </c>
      <c r="O501" s="28" t="n">
        <v>0.6473</v>
      </c>
      <c r="P501" s="28" t="n">
        <v>0.05</v>
      </c>
      <c r="Q501" s="28" t="n">
        <v>-0.222661</v>
      </c>
      <c r="R501" s="26" t="n">
        <v>0</v>
      </c>
      <c r="S501" s="29" t="n">
        <v>1</v>
      </c>
      <c r="T501" s="24" t="inlineStr">
        <is>
          <t>tennis-surface-elo-v1</t>
        </is>
      </c>
      <c r="U501" s="24" t="inlineStr">
        <is>
          <t>settled</t>
        </is>
      </c>
      <c r="V501" s="24" t="inlineStr">
        <is>
          <t>loss</t>
        </is>
      </c>
      <c r="W501" s="26" t="n">
        <v>0</v>
      </c>
      <c r="X501" s="26" t="n">
        <v>1</v>
      </c>
      <c r="Y501" s="25" t="n"/>
      <c r="Z501" s="26" t="n"/>
      <c r="AA501" s="28" t="n"/>
      <c r="AB501" s="28" t="n"/>
      <c r="AC501" s="30" t="n">
        <v>-1</v>
      </c>
      <c r="AD501" s="24" t="inlineStr">
        <is>
          <t>2026-08-25T00:19:37.746157Z</t>
        </is>
      </c>
      <c r="AE501" s="31" t="inlineStr">
        <is>
          <t>Surface-blended Elo on Hard: Zhu Lin p=0.647 vs Angela Fita Boluda. Executable ask 0.8700 (aec-wta-angbol-linzhu-2026-08-24).</t>
        </is>
      </c>
      <c r="AF501" s="31" t="inlineStr">
        <is>
          <t>Surface-blended Elo model; singles only, WTA+ATP market coverage, not yet locked-holdout qualified -- promoted by explicit operator directive, not genuine walk-forward validation.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Zhu Lin</t>
        </is>
      </c>
      <c r="AQ501" s="24" t="inlineStr">
        <is>
          <t>Zhu Lin</t>
        </is>
      </c>
      <c r="AR501" s="24" t="inlineStr">
        <is>
          <t>Zhu Lin</t>
        </is>
      </c>
      <c r="AS501" s="24" t="inlineStr">
        <is>
          <t>Angela Fita Boluda</t>
        </is>
      </c>
      <c r="AT501" s="24" t="inlineStr">
        <is>
          <t>Angela Fita Boluda</t>
        </is>
      </c>
      <c r="AU501" s="24" t="inlineStr">
        <is>
          <t>Angela Fita Boluda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d777da58446bc099047b154203518e2585ef1a678f613f2b430f2589f7bf5cff</t>
        </is>
      </c>
      <c r="BB501" s="24" t="inlineStr">
        <is>
          <t>surface_blended_elo</t>
        </is>
      </c>
      <c r="BC501" s="24" t="inlineStr">
        <is>
          <t>tennis-surface-elo-v1</t>
        </is>
      </c>
      <c r="BD501" s="24" t="inlineStr">
        <is>
          <t>d777da58446bc099047b154203518e2585ef1a678f613f2b430f2589f7bf5cff</t>
        </is>
      </c>
      <c r="BE501" s="24" t="inlineStr">
        <is>
          <t>tennis-surface-elo-v1</t>
        </is>
      </c>
      <c r="BF501" s="24" t="inlineStr">
        <is>
          <t>1</t>
        </is>
      </c>
      <c r="BG501" s="24" t="inlineStr">
        <is>
          <t>d777da58446bc099047b154203518e2585ef1a678f613f2b430f2589f7bf5cff</t>
        </is>
      </c>
      <c r="BH501" s="24" t="inlineStr">
        <is>
          <t>2026-08-24T17:01:10.182944Z</t>
        </is>
      </c>
      <c r="BI501" s="24" t="inlineStr">
        <is>
          <t>["same_event","same_team_same_day","same_league_same_day"]</t>
        </is>
      </c>
      <c r="BJ501" s="25" t="n"/>
      <c r="BK501" s="26" t="n">
        <v>-669</v>
      </c>
      <c r="BL501" s="27" t="n">
        <v>1.149477</v>
      </c>
      <c r="BM501" s="28" t="n">
        <v>0.869961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inlineStr">
        <is>
          <t>263cbdf8097fdc8ee17bc4c857ef79234fbde3fddf608d4be48a6fe8222fb730</t>
        </is>
      </c>
      <c r="DE501" s="24" t="inlineStr">
        <is>
          <t>/Users/vincentc9002/model-prediction/data/odds/tennis/2026-08-24/polymarket_snapshots.jsonl</t>
        </is>
      </c>
      <c r="DF501" s="24" t="inlineStr">
        <is>
          <t>506006:2026-08-24T17:01:10.182944Z</t>
        </is>
      </c>
      <c r="DG501" s="24" t="n"/>
      <c r="DH501" s="24" t="n"/>
      <c r="DI501" s="24" t="n"/>
      <c r="DJ501" s="24" t="inlineStr">
        <is>
          <t>0.869961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ee03010348614776</t>
        </is>
      </c>
      <c r="B502" s="24" t="inlineStr">
        <is>
          <t>2026-08-24T17:02:10.415217Z</t>
        </is>
      </c>
      <c r="C502" s="24" t="inlineStr">
        <is>
          <t>2026-08-24T18:00Z</t>
        </is>
      </c>
      <c r="D502" s="24" t="inlineStr">
        <is>
          <t>189-2026:184725</t>
        </is>
      </c>
      <c r="E502" s="24" t="inlineStr">
        <is>
          <t>TENNIS</t>
        </is>
      </c>
      <c r="F502" s="24" t="inlineStr">
        <is>
          <t>Kayla Cross</t>
        </is>
      </c>
      <c r="G502" s="24" t="inlineStr">
        <is>
          <t>Robin Montgomery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-355</v>
      </c>
      <c r="M502" s="27" t="n">
        <v>1.28169</v>
      </c>
      <c r="N502" s="28" t="n">
        <v>0.78022</v>
      </c>
      <c r="O502" s="28" t="n">
        <v>0.7996</v>
      </c>
      <c r="P502" s="28" t="n">
        <v>0.05</v>
      </c>
      <c r="Q502" s="28" t="n">
        <v>0.01938</v>
      </c>
      <c r="R502" s="26" t="n">
        <v>30</v>
      </c>
      <c r="S502" s="29" t="n">
        <v>1</v>
      </c>
      <c r="T502" s="24" t="inlineStr">
        <is>
          <t>tennis-surface-elo-v1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>
        <v>-355</v>
      </c>
      <c r="AA502" s="28" t="n">
        <v>0.78</v>
      </c>
      <c r="AB502" s="28" t="n">
        <v>-0.00022</v>
      </c>
      <c r="AC502" s="30" t="n">
        <v>0.2817</v>
      </c>
      <c r="AD502" s="24" t="inlineStr">
        <is>
          <t>2026-08-25T00:19:39.822707Z</t>
        </is>
      </c>
      <c r="AE502" s="31" t="inlineStr">
        <is>
          <t>Surface-blended Elo on Hard: Kayla Cross p=0.200 vs Robin Montgomery. Executable ask 0.7800 (aec-wta-robmon-kaycro-2026-08-24).</t>
        </is>
      </c>
      <c r="AF502" s="31" t="inlineStr">
        <is>
          <t>Surface-blended Elo model; singles only, WTA+ATP market coverage, not yet locked-holdout qualified -- promoted by explicit operator directive, not genuine walk-forward validation.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Kayla Cross</t>
        </is>
      </c>
      <c r="AQ502" s="24" t="inlineStr">
        <is>
          <t>Kayla Cross</t>
        </is>
      </c>
      <c r="AR502" s="24" t="inlineStr">
        <is>
          <t>Kayla Cross</t>
        </is>
      </c>
      <c r="AS502" s="24" t="inlineStr">
        <is>
          <t>Robin Montgomery</t>
        </is>
      </c>
      <c r="AT502" s="24" t="inlineStr">
        <is>
          <t>Robin Montgomery</t>
        </is>
      </c>
      <c r="AU502" s="24" t="inlineStr">
        <is>
          <t>Robin Montgomery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d777da58446bc099047b154203518e2585ef1a678f613f2b430f2589f7bf5cff</t>
        </is>
      </c>
      <c r="BB502" s="24" t="inlineStr">
        <is>
          <t>surface_blended_elo</t>
        </is>
      </c>
      <c r="BC502" s="24" t="inlineStr">
        <is>
          <t>tennis-surface-elo-v1</t>
        </is>
      </c>
      <c r="BD502" s="24" t="inlineStr">
        <is>
          <t>d777da58446bc099047b154203518e2585ef1a678f613f2b430f2589f7bf5cff</t>
        </is>
      </c>
      <c r="BE502" s="24" t="inlineStr">
        <is>
          <t>tennis-surface-elo-v1</t>
        </is>
      </c>
      <c r="BF502" s="24" t="inlineStr">
        <is>
          <t>1</t>
        </is>
      </c>
      <c r="BG502" s="24" t="inlineStr">
        <is>
          <t>d777da58446bc099047b154203518e2585ef1a678f613f2b430f2589f7bf5cff</t>
        </is>
      </c>
      <c r="BH502" s="24" t="inlineStr">
        <is>
          <t>2026-08-24T17:01:10.249034Z</t>
        </is>
      </c>
      <c r="BI502" s="24" t="inlineStr">
        <is>
          <t>["same_event","same_team_same_day","same_league_same_day"]</t>
        </is>
      </c>
      <c r="BJ502" s="25" t="n"/>
      <c r="BK502" s="26" t="n">
        <v>-355</v>
      </c>
      <c r="BL502" s="27" t="n">
        <v>1.28169</v>
      </c>
      <c r="BM502" s="28" t="n">
        <v>0.78022</v>
      </c>
      <c r="BN502" s="28" t="n"/>
      <c r="BO502" s="28" t="n"/>
      <c r="BP502" s="25" t="n"/>
      <c r="BQ502" s="27" t="n">
        <v>1.28169</v>
      </c>
      <c r="BR502" s="28" t="n">
        <v>0.78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inlineStr">
        <is>
          <t>02c4e4e7dd2469431651ad94f038128e699dfc5f95c187a106fcdd740cd67ed9</t>
        </is>
      </c>
      <c r="DE502" s="24" t="inlineStr">
        <is>
          <t>/Users/vincentc9002/model-prediction/data/odds/tennis/2026-08-24/polymarket_snapshots.jsonl</t>
        </is>
      </c>
      <c r="DF502" s="24" t="inlineStr">
        <is>
          <t>506000:2026-08-24T17:01:10.249034Z</t>
        </is>
      </c>
      <c r="DG502" s="24" t="n"/>
      <c r="DH502" s="24" t="n"/>
      <c r="DI502" s="24" t="n"/>
      <c r="DJ502" s="24" t="inlineStr">
        <is>
          <t>0.78022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8d80234e5b3d4e8e</t>
        </is>
      </c>
      <c r="B503" s="24" t="inlineStr">
        <is>
          <t>2026-08-24T17:02:10.415217Z</t>
        </is>
      </c>
      <c r="C503" s="24" t="inlineStr">
        <is>
          <t>2026-08-24T18:00Z</t>
        </is>
      </c>
      <c r="D503" s="24" t="inlineStr">
        <is>
          <t>189-2026:184726</t>
        </is>
      </c>
      <c r="E503" s="24" t="inlineStr">
        <is>
          <t>TENNIS</t>
        </is>
      </c>
      <c r="F503" s="24" t="inlineStr">
        <is>
          <t>Jeline Vandromme</t>
        </is>
      </c>
      <c r="G503" s="24" t="inlineStr">
        <is>
          <t>Greet Minnen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127</v>
      </c>
      <c r="M503" s="27" t="n">
        <v>2.27</v>
      </c>
      <c r="N503" s="28" t="n">
        <v>0.440529</v>
      </c>
      <c r="O503" s="28" t="n">
        <v>0.5081</v>
      </c>
      <c r="P503" s="28" t="n">
        <v>0.05</v>
      </c>
      <c r="Q503" s="28" t="n">
        <v>0.06757100000000001</v>
      </c>
      <c r="R503" s="26" t="n">
        <v>54</v>
      </c>
      <c r="S503" s="29" t="n">
        <v>1</v>
      </c>
      <c r="T503" s="24" t="inlineStr">
        <is>
          <t>tennis-surface-elo-v1</t>
        </is>
      </c>
      <c r="U503" s="24" t="inlineStr">
        <is>
          <t>settled</t>
        </is>
      </c>
      <c r="V503" s="24" t="inlineStr">
        <is>
          <t>loss</t>
        </is>
      </c>
      <c r="W503" s="26" t="n">
        <v>1</v>
      </c>
      <c r="X503" s="26" t="n">
        <v>0</v>
      </c>
      <c r="Y503" s="25" t="n"/>
      <c r="Z503" s="26" t="n">
        <v>127</v>
      </c>
      <c r="AA503" s="28" t="n">
        <v>0.44</v>
      </c>
      <c r="AB503" s="28" t="n">
        <v>-0.000529</v>
      </c>
      <c r="AC503" s="30" t="n">
        <v>-1</v>
      </c>
      <c r="AD503" s="24" t="inlineStr">
        <is>
          <t>2026-08-25T00:19:41.988758Z</t>
        </is>
      </c>
      <c r="AE503" s="31" t="inlineStr">
        <is>
          <t>Surface-blended Elo on Hard: Jeline Vandromme p=0.492 vs Greet Minnen. Executable ask 0.4400 (aec-wta-gremin-jelvan-2026-08-24).</t>
        </is>
      </c>
      <c r="AF503" s="31" t="inlineStr">
        <is>
          <t>Surface-blended Elo model; singles only, WTA+ATP market coverage, not yet locked-holdout qualified -- promoted by explicit operator directive, not genuine walk-forward validation.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Jeline Vandromme</t>
        </is>
      </c>
      <c r="AQ503" s="24" t="inlineStr">
        <is>
          <t>Jeline Vandromme</t>
        </is>
      </c>
      <c r="AR503" s="24" t="inlineStr">
        <is>
          <t>Jeline Vandromme</t>
        </is>
      </c>
      <c r="AS503" s="24" t="inlineStr">
        <is>
          <t>Greet Minnen</t>
        </is>
      </c>
      <c r="AT503" s="24" t="inlineStr">
        <is>
          <t>Greet Minnen</t>
        </is>
      </c>
      <c r="AU503" s="24" t="inlineStr">
        <is>
          <t>Greet Minnen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d777da58446bc099047b154203518e2585ef1a678f613f2b430f2589f7bf5cff</t>
        </is>
      </c>
      <c r="BB503" s="24" t="inlineStr">
        <is>
          <t>surface_blended_elo</t>
        </is>
      </c>
      <c r="BC503" s="24" t="inlineStr">
        <is>
          <t>tennis-surface-elo-v1</t>
        </is>
      </c>
      <c r="BD503" s="24" t="inlineStr">
        <is>
          <t>d777da58446bc099047b154203518e2585ef1a678f613f2b430f2589f7bf5cff</t>
        </is>
      </c>
      <c r="BE503" s="24" t="inlineStr">
        <is>
          <t>tennis-surface-elo-v1</t>
        </is>
      </c>
      <c r="BF503" s="24" t="inlineStr">
        <is>
          <t>1</t>
        </is>
      </c>
      <c r="BG503" s="24" t="inlineStr">
        <is>
          <t>d777da58446bc099047b154203518e2585ef1a678f613f2b430f2589f7bf5cff</t>
        </is>
      </c>
      <c r="BH503" s="24" t="inlineStr">
        <is>
          <t>2026-08-24T17:01:10.223396Z</t>
        </is>
      </c>
      <c r="BI503" s="24" t="inlineStr">
        <is>
          <t>["same_event","same_team_same_day","same_league_same_day"]</t>
        </is>
      </c>
      <c r="BJ503" s="25" t="n"/>
      <c r="BK503" s="26" t="n">
        <v>127</v>
      </c>
      <c r="BL503" s="27" t="n">
        <v>2.27</v>
      </c>
      <c r="BM503" s="28" t="n">
        <v>0.440529</v>
      </c>
      <c r="BN503" s="28" t="n"/>
      <c r="BO503" s="28" t="n"/>
      <c r="BP503" s="25" t="n"/>
      <c r="BQ503" s="27" t="n">
        <v>2.27</v>
      </c>
      <c r="BR503" s="28" t="n">
        <v>0.44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inlineStr">
        <is>
          <t>b1552cc984b02de117d93320b770bbcbcc64fe13980cbf9e022cf7c98bda9856</t>
        </is>
      </c>
      <c r="DE503" s="24" t="inlineStr">
        <is>
          <t>/Users/vincentc9002/model-prediction/data/odds/tennis/2026-08-24/polymarket_snapshots.jsonl</t>
        </is>
      </c>
      <c r="DF503" s="24" t="inlineStr">
        <is>
          <t>506002:2026-08-24T17:01:10.223396Z</t>
        </is>
      </c>
      <c r="DG503" s="24" t="n"/>
      <c r="DH503" s="24" t="n"/>
      <c r="DI503" s="24" t="n"/>
      <c r="DJ503" s="24" t="inlineStr">
        <is>
          <t>0.440529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fddd07f998dc4e85</t>
        </is>
      </c>
      <c r="B504" s="24" t="inlineStr">
        <is>
          <t>2026-08-24T17:02:10.415217Z</t>
        </is>
      </c>
      <c r="C504" s="24" t="inlineStr">
        <is>
          <t>2026-08-24T18:00Z</t>
        </is>
      </c>
      <c r="D504" s="24" t="inlineStr">
        <is>
          <t>189-2026:184744</t>
        </is>
      </c>
      <c r="E504" s="24" t="inlineStr">
        <is>
          <t>TENNIS</t>
        </is>
      </c>
      <c r="F504" s="24" t="inlineStr">
        <is>
          <t>Luisina Giovannini</t>
        </is>
      </c>
      <c r="G504" s="24" t="inlineStr">
        <is>
          <t>Lucia Bronzetti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-376</v>
      </c>
      <c r="M504" s="27" t="n">
        <v>1.265957</v>
      </c>
      <c r="N504" s="28" t="n">
        <v>0.789916</v>
      </c>
      <c r="O504" s="28" t="n">
        <v>0.6544</v>
      </c>
      <c r="P504" s="28" t="n">
        <v>0.05</v>
      </c>
      <c r="Q504" s="28" t="n">
        <v>-0.135516</v>
      </c>
      <c r="R504" s="26" t="n">
        <v>0</v>
      </c>
      <c r="S504" s="29" t="n">
        <v>1</v>
      </c>
      <c r="T504" s="24" t="inlineStr">
        <is>
          <t>tennis-surface-elo-v1</t>
        </is>
      </c>
      <c r="U504" s="24" t="inlineStr">
        <is>
          <t>settled</t>
        </is>
      </c>
      <c r="V504" s="24" t="inlineStr">
        <is>
          <t>win</t>
        </is>
      </c>
      <c r="W504" s="26" t="n">
        <v>0</v>
      </c>
      <c r="X504" s="26" t="n">
        <v>1</v>
      </c>
      <c r="Y504" s="25" t="n"/>
      <c r="Z504" s="26" t="n">
        <v>-376</v>
      </c>
      <c r="AA504" s="28" t="n">
        <v>0.79</v>
      </c>
      <c r="AB504" s="28" t="n">
        <v>8.4e-05</v>
      </c>
      <c r="AC504" s="30" t="n">
        <v>0.266</v>
      </c>
      <c r="AD504" s="24" t="inlineStr">
        <is>
          <t>2026-08-24T20:37:14.061219Z</t>
        </is>
      </c>
      <c r="AE504" s="31" t="inlineStr">
        <is>
          <t>Surface-blended Elo on Hard: Luisina Giovannini p=0.346 vs Lucia Bronzetti. Executable ask 0.7900 (aec-wta-lucbro-luigio-2026-08-24).</t>
        </is>
      </c>
      <c r="AF504" s="31" t="inlineStr">
        <is>
          <t>Surface-blended Elo model; singles only, WTA+ATP market coverage, not yet locked-holdout qualified -- promoted by explicit operator directive, not genuine walk-forward validation.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Luisina Giovannini</t>
        </is>
      </c>
      <c r="AQ504" s="24" t="inlineStr">
        <is>
          <t>Luisina Giovannini</t>
        </is>
      </c>
      <c r="AR504" s="24" t="inlineStr">
        <is>
          <t>Luisina Giovannini</t>
        </is>
      </c>
      <c r="AS504" s="24" t="inlineStr">
        <is>
          <t>Lucia Bronzetti</t>
        </is>
      </c>
      <c r="AT504" s="24" t="inlineStr">
        <is>
          <t>Lucia Bronzetti</t>
        </is>
      </c>
      <c r="AU504" s="24" t="inlineStr">
        <is>
          <t>Lucia Bronzetti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d777da58446bc099047b154203518e2585ef1a678f613f2b430f2589f7bf5cff</t>
        </is>
      </c>
      <c r="BB504" s="24" t="inlineStr">
        <is>
          <t>surface_blended_elo</t>
        </is>
      </c>
      <c r="BC504" s="24" t="inlineStr">
        <is>
          <t>tennis-surface-elo-v1</t>
        </is>
      </c>
      <c r="BD504" s="24" t="inlineStr">
        <is>
          <t>d777da58446bc099047b154203518e2585ef1a678f613f2b430f2589f7bf5cff</t>
        </is>
      </c>
      <c r="BE504" s="24" t="inlineStr">
        <is>
          <t>tennis-surface-elo-v1</t>
        </is>
      </c>
      <c r="BF504" s="24" t="inlineStr">
        <is>
          <t>1</t>
        </is>
      </c>
      <c r="BG504" s="24" t="inlineStr">
        <is>
          <t>d777da58446bc099047b154203518e2585ef1a678f613f2b430f2589f7bf5cff</t>
        </is>
      </c>
      <c r="BH504" s="24" t="inlineStr">
        <is>
          <t>2026-08-24T17:01:10.260871Z</t>
        </is>
      </c>
      <c r="BI504" s="24" t="inlineStr">
        <is>
          <t>["same_event","same_team_same_day","same_league_same_day"]</t>
        </is>
      </c>
      <c r="BJ504" s="25" t="n"/>
      <c r="BK504" s="26" t="n">
        <v>-376</v>
      </c>
      <c r="BL504" s="27" t="n">
        <v>1.265957</v>
      </c>
      <c r="BM504" s="28" t="n">
        <v>0.789916</v>
      </c>
      <c r="BN504" s="28" t="n"/>
      <c r="BO504" s="28" t="n"/>
      <c r="BP504" s="25" t="n"/>
      <c r="BQ504" s="27" t="n">
        <v>1.265957</v>
      </c>
      <c r="BR504" s="28" t="n">
        <v>0.79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False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inlineStr">
        <is>
          <t>27385963d1245241d3cee8cf2181429739ae9af9ee026ca2600f825fc939437f</t>
        </is>
      </c>
      <c r="DE504" s="24" t="inlineStr">
        <is>
          <t>/Users/vincentc9002/model-prediction/data/odds/tennis/2026-08-24/polymarket_snapshots.jsonl</t>
        </is>
      </c>
      <c r="DF504" s="24" t="inlineStr">
        <is>
          <t>506008:2026-08-24T17:01:10.260871Z</t>
        </is>
      </c>
      <c r="DG504" s="24" t="n"/>
      <c r="DH504" s="24" t="n"/>
      <c r="DI504" s="24" t="n"/>
      <c r="DJ504" s="24" t="inlineStr">
        <is>
          <t>0.789916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fa672d1f79e84d37</t>
        </is>
      </c>
      <c r="B505" s="24" t="inlineStr">
        <is>
          <t>2026-08-24T17:02:10.415217Z</t>
        </is>
      </c>
      <c r="C505" s="24" t="inlineStr">
        <is>
          <t>2026-08-24T18:00Z</t>
        </is>
      </c>
      <c r="D505" s="24" t="inlineStr">
        <is>
          <t>189-2026:184745</t>
        </is>
      </c>
      <c r="E505" s="24" t="inlineStr">
        <is>
          <t>TENNIS</t>
        </is>
      </c>
      <c r="F505" s="24" t="inlineStr">
        <is>
          <t>Julie Struplova</t>
        </is>
      </c>
      <c r="G505" s="24" t="inlineStr">
        <is>
          <t>Polina Iatcenko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-426</v>
      </c>
      <c r="M505" s="27" t="n">
        <v>1.234742</v>
      </c>
      <c r="N505" s="28" t="n">
        <v>0.809886</v>
      </c>
      <c r="O505" s="28" t="n">
        <v>0.5342</v>
      </c>
      <c r="P505" s="28" t="n">
        <v>0.05</v>
      </c>
      <c r="Q505" s="28" t="n">
        <v>-0.275686</v>
      </c>
      <c r="R505" s="26" t="n">
        <v>0</v>
      </c>
      <c r="S505" s="29" t="n">
        <v>1</v>
      </c>
      <c r="T505" s="24" t="inlineStr">
        <is>
          <t>tennis-surface-elo-v1</t>
        </is>
      </c>
      <c r="U505" s="24" t="inlineStr">
        <is>
          <t>settled</t>
        </is>
      </c>
      <c r="V505" s="24" t="inlineStr">
        <is>
          <t>win</t>
        </is>
      </c>
      <c r="W505" s="26" t="n">
        <v>0</v>
      </c>
      <c r="X505" s="26" t="n">
        <v>1</v>
      </c>
      <c r="Y505" s="25" t="n"/>
      <c r="Z505" s="26" t="n">
        <v>-426</v>
      </c>
      <c r="AA505" s="28" t="n">
        <v>0.8100000000000001</v>
      </c>
      <c r="AB505" s="28" t="n">
        <v>0.000114</v>
      </c>
      <c r="AC505" s="30" t="n">
        <v>0.2347</v>
      </c>
      <c r="AD505" s="24" t="inlineStr">
        <is>
          <t>2026-08-24T20:37:16.234998Z</t>
        </is>
      </c>
      <c r="AE505" s="31" t="inlineStr">
        <is>
          <t>Surface-blended Elo on Hard: Julie Struplova p=0.466 vs Polina Iatcenko. Executable ask 0.8100 (aec-wta-poliat-julstr-2026-08-24).</t>
        </is>
      </c>
      <c r="AF505" s="31" t="inlineStr">
        <is>
          <t>Surface-blended Elo model; singles only, WTA+ATP market coverage, not yet locked-holdout qualified -- promoted by explicit operator directive, not genuine walk-forward validation.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PAPER_CALL_MODEL_UNVALIDATED</t>
        </is>
      </c>
      <c r="AP505" s="24" t="inlineStr">
        <is>
          <t>Julie Struplova</t>
        </is>
      </c>
      <c r="AQ505" s="24" t="inlineStr">
        <is>
          <t>Julie Struplova</t>
        </is>
      </c>
      <c r="AR505" s="24" t="inlineStr">
        <is>
          <t>Julie Struplova</t>
        </is>
      </c>
      <c r="AS505" s="24" t="inlineStr">
        <is>
          <t>Polina Iatcenko</t>
        </is>
      </c>
      <c r="AT505" s="24" t="inlineStr">
        <is>
          <t>Polina Iatcenko</t>
        </is>
      </c>
      <c r="AU505" s="24" t="inlineStr">
        <is>
          <t>Polina Iatcenko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d777da58446bc099047b154203518e2585ef1a678f613f2b430f2589f7bf5cff</t>
        </is>
      </c>
      <c r="BB505" s="24" t="inlineStr">
        <is>
          <t>surface_blended_elo</t>
        </is>
      </c>
      <c r="BC505" s="24" t="inlineStr">
        <is>
          <t>tennis-surface-elo-v1</t>
        </is>
      </c>
      <c r="BD505" s="24" t="inlineStr">
        <is>
          <t>d777da58446bc099047b154203518e2585ef1a678f613f2b430f2589f7bf5cff</t>
        </is>
      </c>
      <c r="BE505" s="24" t="inlineStr">
        <is>
          <t>tennis-surface-elo-v1</t>
        </is>
      </c>
      <c r="BF505" s="24" t="inlineStr">
        <is>
          <t>1</t>
        </is>
      </c>
      <c r="BG505" s="24" t="inlineStr">
        <is>
          <t>d777da58446bc099047b154203518e2585ef1a678f613f2b430f2589f7bf5cff</t>
        </is>
      </c>
      <c r="BH505" s="24" t="inlineStr">
        <is>
          <t>2026-08-24T17:01:10.241882Z</t>
        </is>
      </c>
      <c r="BI505" s="24" t="inlineStr">
        <is>
          <t>["same_event","same_team_same_day","same_league_same_day"]</t>
        </is>
      </c>
      <c r="BJ505" s="25" t="n"/>
      <c r="BK505" s="26" t="n">
        <v>-426</v>
      </c>
      <c r="BL505" s="27" t="n">
        <v>1.234742</v>
      </c>
      <c r="BM505" s="28" t="n">
        <v>0.809886</v>
      </c>
      <c r="BN505" s="28" t="n"/>
      <c r="BO505" s="28" t="n"/>
      <c r="BP505" s="25" t="n"/>
      <c r="BQ505" s="27" t="n">
        <v>1.234742</v>
      </c>
      <c r="BR505" s="28" t="n">
        <v>0.8100000000000001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inlineStr">
        <is>
          <t>2b1d259971c9dac2c7de12f1c6195d4b2fdf9f961ebe5d22b98c28d55e66026d</t>
        </is>
      </c>
      <c r="DE505" s="24" t="inlineStr">
        <is>
          <t>/Users/vincentc9002/model-prediction/data/odds/tennis/2026-08-24/polymarket_snapshots.jsonl</t>
        </is>
      </c>
      <c r="DF505" s="24" t="inlineStr">
        <is>
          <t>506010:2026-08-24T17:01:10.241882Z</t>
        </is>
      </c>
      <c r="DG505" s="24" t="n"/>
      <c r="DH505" s="24" t="n"/>
      <c r="DI505" s="24" t="n"/>
      <c r="DJ505" s="24" t="inlineStr">
        <is>
          <t>0.809886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b7875bb7c37e4975</t>
        </is>
      </c>
      <c r="B506" s="24" t="inlineStr">
        <is>
          <t>2026-08-24T17:02:10.415217Z</t>
        </is>
      </c>
      <c r="C506" s="24" t="inlineStr">
        <is>
          <t>2026-08-24T18:00Z</t>
        </is>
      </c>
      <c r="D506" s="24" t="inlineStr">
        <is>
          <t>189-2026:184614</t>
        </is>
      </c>
      <c r="E506" s="24" t="inlineStr">
        <is>
          <t>TENNIS</t>
        </is>
      </c>
      <c r="F506" s="24" t="inlineStr">
        <is>
          <t>Billy Harris</t>
        </is>
      </c>
      <c r="G506" s="24" t="inlineStr">
        <is>
          <t>Gonzalo Bueno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156</v>
      </c>
      <c r="M506" s="27" t="n">
        <v>2.56</v>
      </c>
      <c r="N506" s="28" t="n">
        <v>0.390625</v>
      </c>
      <c r="O506" s="28" t="n">
        <v>0.7012</v>
      </c>
      <c r="P506" s="28" t="n">
        <v>0.05</v>
      </c>
      <c r="Q506" s="28" t="n">
        <v>0.310575</v>
      </c>
      <c r="R506" s="26" t="n">
        <v>100</v>
      </c>
      <c r="S506" s="29" t="n">
        <v>2</v>
      </c>
      <c r="T506" s="24" t="inlineStr">
        <is>
          <t>tennis-surface-elo-v1</t>
        </is>
      </c>
      <c r="U506" s="24" t="inlineStr">
        <is>
          <t>settled</t>
        </is>
      </c>
      <c r="V506" s="24" t="inlineStr">
        <is>
          <t>loss</t>
        </is>
      </c>
      <c r="W506" s="26" t="n">
        <v>1</v>
      </c>
      <c r="X506" s="26" t="n">
        <v>0</v>
      </c>
      <c r="Y506" s="25" t="n"/>
      <c r="Z506" s="26" t="n">
        <v>156</v>
      </c>
      <c r="AA506" s="28" t="n">
        <v>0.39</v>
      </c>
      <c r="AB506" s="28" t="n">
        <v>-0.000625</v>
      </c>
      <c r="AC506" s="30" t="n">
        <v>-2</v>
      </c>
      <c r="AD506" s="24" t="inlineStr">
        <is>
          <t>2026-08-24T20:37:18.340776Z</t>
        </is>
      </c>
      <c r="AE506" s="31" t="inlineStr">
        <is>
          <t>Surface-blended Elo on Hard: Billy Harris p=0.299 vs Gonzalo Bueno. Executable ask 0.3900 (aec-atp-gonbue-bilhar-2026-08-24).</t>
        </is>
      </c>
      <c r="AF506" s="31" t="inlineStr">
        <is>
          <t>Surface-blended Elo model; singles only, WTA+ATP market coverage, not yet locked-holdout qualified -- promoted by explicit operator directive, not genuine walk-forward validation.</t>
        </is>
      </c>
      <c r="AG506" s="24" t="inlineStr">
        <is>
          <t>review_required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Billy Harris</t>
        </is>
      </c>
      <c r="AQ506" s="24" t="inlineStr">
        <is>
          <t>Billy Harris</t>
        </is>
      </c>
      <c r="AR506" s="24" t="inlineStr">
        <is>
          <t>Billy Harris</t>
        </is>
      </c>
      <c r="AS506" s="24" t="inlineStr">
        <is>
          <t>Gonzalo Bueno</t>
        </is>
      </c>
      <c r="AT506" s="24" t="inlineStr">
        <is>
          <t>Gonzalo Bueno</t>
        </is>
      </c>
      <c r="AU506" s="24" t="inlineStr">
        <is>
          <t>Gonzalo Bueno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d777da58446bc099047b154203518e2585ef1a678f613f2b430f2589f7bf5cff</t>
        </is>
      </c>
      <c r="BB506" s="24" t="inlineStr">
        <is>
          <t>surface_blended_elo</t>
        </is>
      </c>
      <c r="BC506" s="24" t="inlineStr">
        <is>
          <t>tennis-surface-elo-v1</t>
        </is>
      </c>
      <c r="BD506" s="24" t="inlineStr">
        <is>
          <t>d777da58446bc099047b154203518e2585ef1a678f613f2b430f2589f7bf5cff</t>
        </is>
      </c>
      <c r="BE506" s="24" t="inlineStr">
        <is>
          <t>tennis-surface-elo-v1</t>
        </is>
      </c>
      <c r="BF506" s="24" t="inlineStr">
        <is>
          <t>1</t>
        </is>
      </c>
      <c r="BG506" s="24" t="inlineStr">
        <is>
          <t>d777da58446bc099047b154203518e2585ef1a678f613f2b430f2589f7bf5cff</t>
        </is>
      </c>
      <c r="BH506" s="24" t="inlineStr">
        <is>
          <t>2026-08-24T17:01:12.064892Z</t>
        </is>
      </c>
      <c r="BI506" s="24" t="inlineStr">
        <is>
          <t>["same_event","same_team_same_day","same_league_same_day"]</t>
        </is>
      </c>
      <c r="BJ506" s="25" t="n"/>
      <c r="BK506" s="26" t="n">
        <v>156</v>
      </c>
      <c r="BL506" s="27" t="n">
        <v>2.56</v>
      </c>
      <c r="BM506" s="28" t="n">
        <v>0.390625</v>
      </c>
      <c r="BN506" s="28" t="n"/>
      <c r="BO506" s="28" t="n"/>
      <c r="BP506" s="25" t="n"/>
      <c r="BQ506" s="27" t="n">
        <v>2.56</v>
      </c>
      <c r="BR506" s="28" t="n">
        <v>0.39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inlineStr">
        <is>
          <t>425ffbe5efd8fabaec4e9742e828d8310e0e9b6fc0957222369b2f77aa4b0555</t>
        </is>
      </c>
      <c r="DE506" s="24" t="inlineStr">
        <is>
          <t>/Users/vincentc9002/model-prediction/data/odds/tennis/2026-08-24/polymarket_snapshots.jsonl</t>
        </is>
      </c>
      <c r="DF506" s="24" t="inlineStr">
        <is>
          <t>506018:2026-08-24T17:01:12.064892Z</t>
        </is>
      </c>
      <c r="DG506" s="24" t="n"/>
      <c r="DH506" s="24" t="n"/>
      <c r="DI506" s="24" t="n"/>
      <c r="DJ506" s="24" t="inlineStr">
        <is>
          <t>0.390625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56b3d9ce77064bb8</t>
        </is>
      </c>
      <c r="B507" s="24" t="inlineStr">
        <is>
          <t>2026-08-24T17:02:10.415217Z</t>
        </is>
      </c>
      <c r="C507" s="24" t="inlineStr">
        <is>
          <t>2026-08-24T18:00Z</t>
        </is>
      </c>
      <c r="D507" s="24" t="inlineStr">
        <is>
          <t>189-2026:184633</t>
        </is>
      </c>
      <c r="E507" s="24" t="inlineStr">
        <is>
          <t>TENNIS</t>
        </is>
      </c>
      <c r="F507" s="24" t="inlineStr">
        <is>
          <t>Alejandro Moro Canas</t>
        </is>
      </c>
      <c r="G507" s="24" t="inlineStr">
        <is>
          <t>Remy Bertola</t>
        </is>
      </c>
      <c r="H507" s="24" t="inlineStr">
        <is>
          <t>moneyline</t>
        </is>
      </c>
      <c r="I507" s="24" t="inlineStr">
        <is>
          <t>home</t>
        </is>
      </c>
      <c r="J507" s="25" t="n"/>
      <c r="K507" s="24" t="inlineStr">
        <is>
          <t>polymarket_us</t>
        </is>
      </c>
      <c r="L507" s="26" t="n">
        <v>170</v>
      </c>
      <c r="M507" s="27" t="n">
        <v>2.7</v>
      </c>
      <c r="N507" s="28" t="n">
        <v>0.37037</v>
      </c>
      <c r="O507" s="28" t="n">
        <v>0.5698</v>
      </c>
      <c r="P507" s="28" t="n">
        <v>0.05</v>
      </c>
      <c r="Q507" s="28" t="n">
        <v>0.19943</v>
      </c>
      <c r="R507" s="26" t="n">
        <v>100</v>
      </c>
      <c r="S507" s="29" t="n">
        <v>2</v>
      </c>
      <c r="T507" s="24" t="inlineStr">
        <is>
          <t>tennis-surface-elo-v1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1</v>
      </c>
      <c r="Y507" s="25" t="n"/>
      <c r="Z507" s="26" t="n">
        <v>170</v>
      </c>
      <c r="AA507" s="28" t="n">
        <v>0.37</v>
      </c>
      <c r="AB507" s="28" t="n">
        <v>-0.00037</v>
      </c>
      <c r="AC507" s="30" t="n">
        <v>3.4</v>
      </c>
      <c r="AD507" s="24" t="inlineStr">
        <is>
          <t>2026-08-24T20:37:19.971057Z</t>
        </is>
      </c>
      <c r="AE507" s="31" t="inlineStr">
        <is>
          <t>Surface-blended Elo on Hard: Alejandro Moro Canas p=0.430 vs Remy Bertola. Executable ask 0.3700 (aec-atp-rember-alecan-2026-08-24).</t>
        </is>
      </c>
      <c r="AF507" s="31" t="inlineStr">
        <is>
          <t>Surface-blended Elo model; singles only, WTA+ATP market coverage, not yet locked-holdout qualified -- promoted by explicit operator directive, not genuine walk-forward validation.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Alejandro Moro Canas</t>
        </is>
      </c>
      <c r="AQ507" s="24" t="inlineStr">
        <is>
          <t>Alejandro Moro Canas</t>
        </is>
      </c>
      <c r="AR507" s="24" t="inlineStr">
        <is>
          <t>Alejandro Moro Canas</t>
        </is>
      </c>
      <c r="AS507" s="24" t="inlineStr">
        <is>
          <t>Remy Bertola</t>
        </is>
      </c>
      <c r="AT507" s="24" t="inlineStr">
        <is>
          <t>Remy Bertola</t>
        </is>
      </c>
      <c r="AU507" s="24" t="inlineStr">
        <is>
          <t>Remy Bertola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d777da58446bc099047b154203518e2585ef1a678f613f2b430f2589f7bf5cff</t>
        </is>
      </c>
      <c r="BB507" s="24" t="inlineStr">
        <is>
          <t>surface_blended_elo</t>
        </is>
      </c>
      <c r="BC507" s="24" t="inlineStr">
        <is>
          <t>tennis-surface-elo-v1</t>
        </is>
      </c>
      <c r="BD507" s="24" t="inlineStr">
        <is>
          <t>d777da58446bc099047b154203518e2585ef1a678f613f2b430f2589f7bf5cff</t>
        </is>
      </c>
      <c r="BE507" s="24" t="inlineStr">
        <is>
          <t>tennis-surface-elo-v1</t>
        </is>
      </c>
      <c r="BF507" s="24" t="inlineStr">
        <is>
          <t>1</t>
        </is>
      </c>
      <c r="BG507" s="24" t="inlineStr">
        <is>
          <t>d777da58446bc099047b154203518e2585ef1a678f613f2b430f2589f7bf5cff</t>
        </is>
      </c>
      <c r="BH507" s="24" t="inlineStr">
        <is>
          <t>2026-08-24T17:01:13.272494Z</t>
        </is>
      </c>
      <c r="BI507" s="24" t="inlineStr">
        <is>
          <t>["same_event","same_team_same_day","same_league_same_day"]</t>
        </is>
      </c>
      <c r="BJ507" s="25" t="n"/>
      <c r="BK507" s="26" t="n">
        <v>170</v>
      </c>
      <c r="BL507" s="27" t="n">
        <v>2.7</v>
      </c>
      <c r="BM507" s="28" t="n">
        <v>0.37037</v>
      </c>
      <c r="BN507" s="28" t="n"/>
      <c r="BO507" s="28" t="n"/>
      <c r="BP507" s="25" t="n"/>
      <c r="BQ507" s="27" t="n">
        <v>2.7</v>
      </c>
      <c r="BR507" s="28" t="n">
        <v>0.37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inlineStr">
        <is>
          <t>1a5a00a6456ea6634444cfd56bd75d71635463569b9f91ae3664a490b39bdef3</t>
        </is>
      </c>
      <c r="DE507" s="24" t="inlineStr">
        <is>
          <t>/Users/vincentc9002/model-prediction/data/odds/tennis/2026-08-24/polymarket_snapshots.jsonl</t>
        </is>
      </c>
      <c r="DF507" s="24" t="inlineStr">
        <is>
          <t>506024:2026-08-24T17:01:13.272494Z</t>
        </is>
      </c>
      <c r="DG507" s="24" t="n"/>
      <c r="DH507" s="24" t="n"/>
      <c r="DI507" s="24" t="n"/>
      <c r="DJ507" s="24" t="inlineStr">
        <is>
          <t>0.37037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925ca21f568f490b</t>
        </is>
      </c>
      <c r="B508" s="24" t="inlineStr">
        <is>
          <t>2026-08-24T17:02:10.415217Z</t>
        </is>
      </c>
      <c r="C508" s="24" t="inlineStr">
        <is>
          <t>2026-08-24T18:00Z</t>
        </is>
      </c>
      <c r="D508" s="24" t="inlineStr">
        <is>
          <t>189-2026:184639</t>
        </is>
      </c>
      <c r="E508" s="24" t="inlineStr">
        <is>
          <t>TENNIS</t>
        </is>
      </c>
      <c r="F508" s="24" t="inlineStr">
        <is>
          <t>Stefano Travaglia</t>
        </is>
      </c>
      <c r="G508" s="24" t="inlineStr">
        <is>
          <t>Harry Wendelken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polymarket_us</t>
        </is>
      </c>
      <c r="L508" s="26" t="n">
        <v>-144</v>
      </c>
      <c r="M508" s="27" t="n">
        <v>1.694444</v>
      </c>
      <c r="N508" s="28" t="n">
        <v>0.590164</v>
      </c>
      <c r="O508" s="28" t="n">
        <v>0.5203</v>
      </c>
      <c r="P508" s="28" t="n">
        <v>0.05</v>
      </c>
      <c r="Q508" s="28" t="n">
        <v>-0.069864</v>
      </c>
      <c r="R508" s="26" t="n">
        <v>0</v>
      </c>
      <c r="S508" s="29" t="n">
        <v>1</v>
      </c>
      <c r="T508" s="24" t="inlineStr">
        <is>
          <t>tennis-surface-elo-v1</t>
        </is>
      </c>
      <c r="U508" s="24" t="inlineStr">
        <is>
          <t>settled</t>
        </is>
      </c>
      <c r="V508" s="24" t="inlineStr">
        <is>
          <t>win</t>
        </is>
      </c>
      <c r="W508" s="26" t="n">
        <v>0</v>
      </c>
      <c r="X508" s="26" t="n">
        <v>1</v>
      </c>
      <c r="Y508" s="25" t="n"/>
      <c r="Z508" s="26" t="n">
        <v>-144</v>
      </c>
      <c r="AA508" s="28" t="n">
        <v>0.59</v>
      </c>
      <c r="AB508" s="28" t="n">
        <v>-0.000164</v>
      </c>
      <c r="AC508" s="30" t="n">
        <v>0.6944</v>
      </c>
      <c r="AD508" s="24" t="inlineStr">
        <is>
          <t>2026-08-25T00:19:44.096405Z</t>
        </is>
      </c>
      <c r="AE508" s="31" t="inlineStr">
        <is>
          <t>Surface-blended Elo on Hard: Stefano Travaglia p=0.480 vs Harry Wendelken. Executable ask 0.5900 (aec-atp-harwen-stetra-2026-08-24).</t>
        </is>
      </c>
      <c r="AF508" s="31" t="inlineStr">
        <is>
          <t>Surface-blended Elo model; singles only, WTA+ATP market coverage, not yet locked-holdout qualified -- promoted by explicit operator directive, not genuine walk-forward validation.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PAPER_CALL_MODEL_UNVALIDATED</t>
        </is>
      </c>
      <c r="AP508" s="24" t="inlineStr">
        <is>
          <t>Stefano Travaglia</t>
        </is>
      </c>
      <c r="AQ508" s="24" t="inlineStr">
        <is>
          <t>Stefano Travaglia</t>
        </is>
      </c>
      <c r="AR508" s="24" t="inlineStr">
        <is>
          <t>Stefano Travaglia</t>
        </is>
      </c>
      <c r="AS508" s="24" t="inlineStr">
        <is>
          <t>Harry Wendelken</t>
        </is>
      </c>
      <c r="AT508" s="24" t="inlineStr">
        <is>
          <t>Harry Wendelken</t>
        </is>
      </c>
      <c r="AU508" s="24" t="inlineStr">
        <is>
          <t>Harry Wendelken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d777da58446bc099047b154203518e2585ef1a678f613f2b430f2589f7bf5cff</t>
        </is>
      </c>
      <c r="BB508" s="24" t="inlineStr">
        <is>
          <t>surface_blended_elo</t>
        </is>
      </c>
      <c r="BC508" s="24" t="inlineStr">
        <is>
          <t>tennis-surface-elo-v1</t>
        </is>
      </c>
      <c r="BD508" s="24" t="inlineStr">
        <is>
          <t>d777da58446bc099047b154203518e2585ef1a678f613f2b430f2589f7bf5cff</t>
        </is>
      </c>
      <c r="BE508" s="24" t="inlineStr">
        <is>
          <t>tennis-surface-elo-v1</t>
        </is>
      </c>
      <c r="BF508" s="24" t="inlineStr">
        <is>
          <t>1</t>
        </is>
      </c>
      <c r="BG508" s="24" t="inlineStr">
        <is>
          <t>d777da58446bc099047b154203518e2585ef1a678f613f2b430f2589f7bf5cff</t>
        </is>
      </c>
      <c r="BH508" s="24" t="inlineStr">
        <is>
          <t>2026-08-24T17:01:12.150145Z</t>
        </is>
      </c>
      <c r="BI508" s="24" t="inlineStr">
        <is>
          <t>["same_event","same_team_same_day","same_league_same_day"]</t>
        </is>
      </c>
      <c r="BJ508" s="25" t="n"/>
      <c r="BK508" s="26" t="n">
        <v>-144</v>
      </c>
      <c r="BL508" s="27" t="n">
        <v>1.694444</v>
      </c>
      <c r="BM508" s="28" t="n">
        <v>0.590164</v>
      </c>
      <c r="BN508" s="28" t="n"/>
      <c r="BO508" s="28" t="n"/>
      <c r="BP508" s="25" t="n"/>
      <c r="BQ508" s="27" t="n">
        <v>1.694444</v>
      </c>
      <c r="BR508" s="28" t="n">
        <v>0.59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inlineStr">
        <is>
          <t>4454cc62e393b0036ac8e95923099f169ba45670f5a11a0641ec02f70d865a8d</t>
        </is>
      </c>
      <c r="DE508" s="24" t="inlineStr">
        <is>
          <t>/Users/vincentc9002/model-prediction/data/odds/tennis/2026-08-24/polymarket_snapshots.jsonl</t>
        </is>
      </c>
      <c r="DF508" s="24" t="inlineStr">
        <is>
          <t>506026:2026-08-24T17:01:12.150145Z</t>
        </is>
      </c>
      <c r="DG508" s="24" t="n"/>
      <c r="DH508" s="24" t="n"/>
      <c r="DI508" s="24" t="n"/>
      <c r="DJ508" s="24" t="inlineStr">
        <is>
          <t>0.590164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879aacff2e8d445e</t>
        </is>
      </c>
      <c r="B509" s="24" t="inlineStr">
        <is>
          <t>2026-08-24T17:02:10.415217Z</t>
        </is>
      </c>
      <c r="C509" s="24" t="inlineStr">
        <is>
          <t>2026-08-24T18:00Z</t>
        </is>
      </c>
      <c r="D509" s="24" t="inlineStr">
        <is>
          <t>189-2026:184646</t>
        </is>
      </c>
      <c r="E509" s="24" t="inlineStr">
        <is>
          <t>TENNIS</t>
        </is>
      </c>
      <c r="F509" s="24" t="inlineStr">
        <is>
          <t>Francesco Maestrelli</t>
        </is>
      </c>
      <c r="G509" s="24" t="inlineStr">
        <is>
          <t>Toby Samuel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-376</v>
      </c>
      <c r="M509" s="27" t="n">
        <v>1.265957</v>
      </c>
      <c r="N509" s="28" t="n">
        <v>0.789916</v>
      </c>
      <c r="O509" s="28" t="n">
        <v>0.6597</v>
      </c>
      <c r="P509" s="28" t="n">
        <v>0.05</v>
      </c>
      <c r="Q509" s="28" t="n">
        <v>-0.130216</v>
      </c>
      <c r="R509" s="26" t="n">
        <v>0</v>
      </c>
      <c r="S509" s="29" t="n">
        <v>1</v>
      </c>
      <c r="T509" s="24" t="inlineStr">
        <is>
          <t>tennis-surface-elo-v1</t>
        </is>
      </c>
      <c r="U509" s="24" t="inlineStr">
        <is>
          <t>settled</t>
        </is>
      </c>
      <c r="V509" s="24" t="inlineStr">
        <is>
          <t>win</t>
        </is>
      </c>
      <c r="W509" s="26" t="n">
        <v>0</v>
      </c>
      <c r="X509" s="26" t="n">
        <v>1</v>
      </c>
      <c r="Y509" s="25" t="n"/>
      <c r="Z509" s="26" t="n">
        <v>-376</v>
      </c>
      <c r="AA509" s="28" t="n">
        <v>0.79</v>
      </c>
      <c r="AB509" s="28" t="n">
        <v>8.4e-05</v>
      </c>
      <c r="AC509" s="30" t="n">
        <v>0.266</v>
      </c>
      <c r="AD509" s="24" t="inlineStr">
        <is>
          <t>2026-08-24T21:13:11.760620Z</t>
        </is>
      </c>
      <c r="AE509" s="31" t="inlineStr">
        <is>
          <t>Surface-blended Elo on Hard: Francesco Maestrelli p=0.340 vs Toby Samuel. Executable ask 0.7900 (aec-atp-tobsam-framae-2026-08-24).</t>
        </is>
      </c>
      <c r="AF509" s="31" t="inlineStr">
        <is>
          <t>Surface-blended Elo model; singles only, WTA+ATP market coverage, not yet locked-holdout qualified -- promoted by explicit operator directive, not genuine walk-forward validation.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Francesco Maestrelli</t>
        </is>
      </c>
      <c r="AQ509" s="24" t="inlineStr">
        <is>
          <t>Francesco Maestrelli</t>
        </is>
      </c>
      <c r="AR509" s="24" t="inlineStr">
        <is>
          <t>Francesco Maestrelli</t>
        </is>
      </c>
      <c r="AS509" s="24" t="inlineStr">
        <is>
          <t>Toby Samuel</t>
        </is>
      </c>
      <c r="AT509" s="24" t="inlineStr">
        <is>
          <t>Toby Samuel</t>
        </is>
      </c>
      <c r="AU509" s="24" t="inlineStr">
        <is>
          <t>Toby Samuel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d777da58446bc099047b154203518e2585ef1a678f613f2b430f2589f7bf5cff</t>
        </is>
      </c>
      <c r="BB509" s="24" t="inlineStr">
        <is>
          <t>surface_blended_elo</t>
        </is>
      </c>
      <c r="BC509" s="24" t="inlineStr">
        <is>
          <t>tennis-surface-elo-v1</t>
        </is>
      </c>
      <c r="BD509" s="24" t="inlineStr">
        <is>
          <t>d777da58446bc099047b154203518e2585ef1a678f613f2b430f2589f7bf5cff</t>
        </is>
      </c>
      <c r="BE509" s="24" t="inlineStr">
        <is>
          <t>tennis-surface-elo-v1</t>
        </is>
      </c>
      <c r="BF509" s="24" t="inlineStr">
        <is>
          <t>1</t>
        </is>
      </c>
      <c r="BG509" s="24" t="inlineStr">
        <is>
          <t>d777da58446bc099047b154203518e2585ef1a678f613f2b430f2589f7bf5cff</t>
        </is>
      </c>
      <c r="BH509" s="24" t="inlineStr">
        <is>
          <t>2026-08-24T17:01:13.787459Z</t>
        </is>
      </c>
      <c r="BI509" s="24" t="inlineStr">
        <is>
          <t>["same_event","same_team_same_day","same_league_same_day"]</t>
        </is>
      </c>
      <c r="BJ509" s="25" t="n"/>
      <c r="BK509" s="26" t="n">
        <v>-376</v>
      </c>
      <c r="BL509" s="27" t="n">
        <v>1.265957</v>
      </c>
      <c r="BM509" s="28" t="n">
        <v>0.789916</v>
      </c>
      <c r="BN509" s="28" t="n"/>
      <c r="BO509" s="28" t="n"/>
      <c r="BP509" s="25" t="n"/>
      <c r="BQ509" s="27" t="n">
        <v>1.265957</v>
      </c>
      <c r="BR509" s="28" t="n">
        <v>0.79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inlineStr">
        <is>
          <t>11970bddda75fc73f80269559157985f9f3971d820bb88af7720691f3586bc42</t>
        </is>
      </c>
      <c r="DE509" s="24" t="inlineStr">
        <is>
          <t>/Users/vincentc9002/model-prediction/data/odds/tennis/2026-08-24/polymarket_snapshots.jsonl</t>
        </is>
      </c>
      <c r="DF509" s="24" t="inlineStr">
        <is>
          <t>506016:2026-08-24T17:01:13.787459Z</t>
        </is>
      </c>
      <c r="DG509" s="24" t="n"/>
      <c r="DH509" s="24" t="n"/>
      <c r="DI509" s="24" t="n"/>
      <c r="DJ509" s="24" t="inlineStr">
        <is>
          <t>0.789916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59d1817c235b45ae</t>
        </is>
      </c>
      <c r="B510" s="24" t="inlineStr">
        <is>
          <t>2026-08-24T17:02:10.415217Z</t>
        </is>
      </c>
      <c r="C510" s="24" t="inlineStr">
        <is>
          <t>2026-08-24T18:00Z</t>
        </is>
      </c>
      <c r="D510" s="24" t="inlineStr">
        <is>
          <t>189-2026:184653</t>
        </is>
      </c>
      <c r="E510" s="24" t="inlineStr">
        <is>
          <t>TENNIS</t>
        </is>
      </c>
      <c r="F510" s="24" t="inlineStr">
        <is>
          <t>August Holmgren</t>
        </is>
      </c>
      <c r="G510" s="24" t="inlineStr">
        <is>
          <t>Andrea Guerrieri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113</v>
      </c>
      <c r="M510" s="27" t="n">
        <v>2.13</v>
      </c>
      <c r="N510" s="28" t="n">
        <v>0.469484</v>
      </c>
      <c r="O510" s="28" t="n">
        <v>0.5023</v>
      </c>
      <c r="P510" s="28" t="n">
        <v>0.05</v>
      </c>
      <c r="Q510" s="28" t="n">
        <v>0.032816</v>
      </c>
      <c r="R510" s="26" t="n">
        <v>36</v>
      </c>
      <c r="S510" s="29" t="n">
        <v>1</v>
      </c>
      <c r="T510" s="24" t="inlineStr">
        <is>
          <t>tennis-surface-elo-v1</t>
        </is>
      </c>
      <c r="U510" s="24" t="inlineStr">
        <is>
          <t>settled</t>
        </is>
      </c>
      <c r="V510" s="24" t="inlineStr">
        <is>
          <t>win</t>
        </is>
      </c>
      <c r="W510" s="26" t="n">
        <v>0</v>
      </c>
      <c r="X510" s="26" t="n">
        <v>1</v>
      </c>
      <c r="Y510" s="25" t="n"/>
      <c r="Z510" s="26" t="n">
        <v>113</v>
      </c>
      <c r="AA510" s="28" t="n">
        <v>0.47</v>
      </c>
      <c r="AB510" s="28" t="n">
        <v>0.000516</v>
      </c>
      <c r="AC510" s="30" t="n">
        <v>1.13</v>
      </c>
      <c r="AD510" s="24" t="inlineStr">
        <is>
          <t>2026-08-24T21:13:13.857745Z</t>
        </is>
      </c>
      <c r="AE510" s="31" t="inlineStr">
        <is>
          <t>Surface-blended Elo on Hard: August Holmgren p=0.498 vs Andrea Guerrieri. Executable ask 0.4700 (aec-atp-andgue-aughol-2026-08-24).</t>
        </is>
      </c>
      <c r="AF510" s="31" t="inlineStr">
        <is>
          <t>Surface-blended Elo model; singles only, WTA+ATP market coverage, not yet locked-holdout qualified -- promoted by explicit operator directive, not genuine walk-forward validation.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PAPER_CALL_MODEL_UNVALIDATED</t>
        </is>
      </c>
      <c r="AP510" s="24" t="inlineStr">
        <is>
          <t>August Holmgren</t>
        </is>
      </c>
      <c r="AQ510" s="24" t="inlineStr">
        <is>
          <t>August Holmgren</t>
        </is>
      </c>
      <c r="AR510" s="24" t="inlineStr">
        <is>
          <t>August Holmgren</t>
        </is>
      </c>
      <c r="AS510" s="24" t="inlineStr">
        <is>
          <t>Andrea Guerrieri</t>
        </is>
      </c>
      <c r="AT510" s="24" t="inlineStr">
        <is>
          <t>Andrea Guerrieri</t>
        </is>
      </c>
      <c r="AU510" s="24" t="inlineStr">
        <is>
          <t>Andrea Guerrieri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d777da58446bc099047b154203518e2585ef1a678f613f2b430f2589f7bf5cff</t>
        </is>
      </c>
      <c r="BB510" s="24" t="inlineStr">
        <is>
          <t>surface_blended_elo</t>
        </is>
      </c>
      <c r="BC510" s="24" t="inlineStr">
        <is>
          <t>tennis-surface-elo-v1</t>
        </is>
      </c>
      <c r="BD510" s="24" t="inlineStr">
        <is>
          <t>d777da58446bc099047b154203518e2585ef1a678f613f2b430f2589f7bf5cff</t>
        </is>
      </c>
      <c r="BE510" s="24" t="inlineStr">
        <is>
          <t>tennis-surface-elo-v1</t>
        </is>
      </c>
      <c r="BF510" s="24" t="inlineStr">
        <is>
          <t>1</t>
        </is>
      </c>
      <c r="BG510" s="24" t="inlineStr">
        <is>
          <t>d777da58446bc099047b154203518e2585ef1a678f613f2b430f2589f7bf5cff</t>
        </is>
      </c>
      <c r="BH510" s="24" t="inlineStr">
        <is>
          <t>2026-08-24T17:01:12.872407Z</t>
        </is>
      </c>
      <c r="BI510" s="24" t="inlineStr">
        <is>
          <t>["same_event","same_team_same_day","same_league_same_day"]</t>
        </is>
      </c>
      <c r="BJ510" s="25" t="n"/>
      <c r="BK510" s="26" t="n">
        <v>113</v>
      </c>
      <c r="BL510" s="27" t="n">
        <v>2.13</v>
      </c>
      <c r="BM510" s="28" t="n">
        <v>0.469484</v>
      </c>
      <c r="BN510" s="28" t="n"/>
      <c r="BO510" s="28" t="n"/>
      <c r="BP510" s="25" t="n"/>
      <c r="BQ510" s="27" t="n">
        <v>2.13</v>
      </c>
      <c r="BR510" s="28" t="n">
        <v>0.47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inlineStr">
        <is>
          <t>98a865104974e0e7284e2ccdafa1f90fa56e3d3b4d8f24ea5af9b7c2908370c0</t>
        </is>
      </c>
      <c r="DE510" s="24" t="inlineStr">
        <is>
          <t>/Users/vincentc9002/model-prediction/data/odds/tennis/2026-08-24/polymarket_snapshots.jsonl</t>
        </is>
      </c>
      <c r="DF510" s="24" t="inlineStr">
        <is>
          <t>506020:2026-08-24T17:01:12.872407Z</t>
        </is>
      </c>
      <c r="DG510" s="24" t="n"/>
      <c r="DH510" s="24" t="n"/>
      <c r="DI510" s="24" t="n"/>
      <c r="DJ510" s="24" t="inlineStr">
        <is>
          <t>0.469484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e1961f78ef374ed0</t>
        </is>
      </c>
      <c r="B511" s="24" t="inlineStr">
        <is>
          <t>2026-08-24T17:02:10.415217Z</t>
        </is>
      </c>
      <c r="C511" s="24" t="inlineStr">
        <is>
          <t>2026-08-24T18:00Z</t>
        </is>
      </c>
      <c r="D511" s="24" t="inlineStr">
        <is>
          <t>189-2026:184658</t>
        </is>
      </c>
      <c r="E511" s="24" t="inlineStr">
        <is>
          <t>TENNIS</t>
        </is>
      </c>
      <c r="F511" s="24" t="inlineStr">
        <is>
          <t>Gustavo Heide</t>
        </is>
      </c>
      <c r="G511" s="24" t="inlineStr">
        <is>
          <t>Joel Josef Schwaerzler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-117</v>
      </c>
      <c r="M511" s="27" t="n">
        <v>1.854701</v>
      </c>
      <c r="N511" s="28" t="n">
        <v>0.539171</v>
      </c>
      <c r="O511" s="28" t="n">
        <v>0.5105</v>
      </c>
      <c r="P511" s="28" t="n">
        <v>0.05</v>
      </c>
      <c r="Q511" s="28" t="n">
        <v>-0.028671</v>
      </c>
      <c r="R511" s="26" t="n">
        <v>6</v>
      </c>
      <c r="S511" s="29" t="n">
        <v>1</v>
      </c>
      <c r="T511" s="24" t="inlineStr">
        <is>
          <t>tennis-surface-elo-v1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/>
      <c r="AA511" s="28" t="n"/>
      <c r="AB511" s="28" t="n"/>
      <c r="AC511" s="30" t="n">
        <v>0.8547</v>
      </c>
      <c r="AD511" s="24" t="inlineStr">
        <is>
          <t>2026-08-24T20:37:21.693283Z</t>
        </is>
      </c>
      <c r="AE511" s="31" t="inlineStr">
        <is>
          <t>Surface-blended Elo on Hard: Gustavo Heide p=0.489 vs Joel Josef Schwaerzler. Executable ask 0.5400 (aec-atp-joesch-gushei-2026-08-24).</t>
        </is>
      </c>
      <c r="AF511" s="31" t="inlineStr">
        <is>
          <t>Surface-blended Elo model; singles only, WTA+ATP market coverage, not yet locked-holdout qualified -- promoted by explicit operator directive, not genuine walk-forward validation.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Gustavo Heide</t>
        </is>
      </c>
      <c r="AQ511" s="24" t="inlineStr">
        <is>
          <t>Gustavo Heide</t>
        </is>
      </c>
      <c r="AR511" s="24" t="inlineStr">
        <is>
          <t>Gustavo Heide</t>
        </is>
      </c>
      <c r="AS511" s="24" t="inlineStr">
        <is>
          <t>Joel Josef Schwaerzler</t>
        </is>
      </c>
      <c r="AT511" s="24" t="inlineStr">
        <is>
          <t>Joel Josef Schwaerzler</t>
        </is>
      </c>
      <c r="AU511" s="24" t="inlineStr">
        <is>
          <t>Joel Josef Schwaerzler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d777da58446bc099047b154203518e2585ef1a678f613f2b430f2589f7bf5cff</t>
        </is>
      </c>
      <c r="BB511" s="24" t="inlineStr">
        <is>
          <t>surface_blended_elo</t>
        </is>
      </c>
      <c r="BC511" s="24" t="inlineStr">
        <is>
          <t>tennis-surface-elo-v1</t>
        </is>
      </c>
      <c r="BD511" s="24" t="inlineStr">
        <is>
          <t>d777da58446bc099047b154203518e2585ef1a678f613f2b430f2589f7bf5cff</t>
        </is>
      </c>
      <c r="BE511" s="24" t="inlineStr">
        <is>
          <t>tennis-surface-elo-v1</t>
        </is>
      </c>
      <c r="BF511" s="24" t="inlineStr">
        <is>
          <t>1</t>
        </is>
      </c>
      <c r="BG511" s="24" t="inlineStr">
        <is>
          <t>d777da58446bc099047b154203518e2585ef1a678f613f2b430f2589f7bf5cff</t>
        </is>
      </c>
      <c r="BH511" s="24" t="inlineStr">
        <is>
          <t>2026-08-24T17:01:12.320802Z</t>
        </is>
      </c>
      <c r="BI511" s="24" t="inlineStr">
        <is>
          <t>["same_event","same_team_same_day","same_league_same_day"]</t>
        </is>
      </c>
      <c r="BJ511" s="25" t="n"/>
      <c r="BK511" s="26" t="n">
        <v>-117</v>
      </c>
      <c r="BL511" s="27" t="n">
        <v>1.854701</v>
      </c>
      <c r="BM511" s="28" t="n">
        <v>0.539171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inlineStr">
        <is>
          <t>03e73747295a774a796ea67e5dde81fc1c584f27c79082907d2d39490eefb609</t>
        </is>
      </c>
      <c r="DE511" s="24" t="inlineStr">
        <is>
          <t>/Users/vincentc9002/model-prediction/data/odds/tennis/2026-08-24/polymarket_snapshots.jsonl</t>
        </is>
      </c>
      <c r="DF511" s="24" t="inlineStr">
        <is>
          <t>506022:2026-08-24T17:01:12.320802Z</t>
        </is>
      </c>
      <c r="DG511" s="24" t="n"/>
      <c r="DH511" s="24" t="n"/>
      <c r="DI511" s="24" t="n"/>
      <c r="DJ511" s="24" t="inlineStr">
        <is>
          <t>0.539171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4a78578030644b81</t>
        </is>
      </c>
      <c r="B512" s="24" t="inlineStr">
        <is>
          <t>2026-08-24T17:02:10.415217Z</t>
        </is>
      </c>
      <c r="C512" s="24" t="inlineStr">
        <is>
          <t>2026-08-24T18:00Z</t>
        </is>
      </c>
      <c r="D512" s="24" t="inlineStr">
        <is>
          <t>363-2026:184500</t>
        </is>
      </c>
      <c r="E512" s="24" t="inlineStr">
        <is>
          <t>TENNIS</t>
        </is>
      </c>
      <c r="F512" s="24" t="inlineStr">
        <is>
          <t>James Duckworth</t>
        </is>
      </c>
      <c r="G512" s="24" t="inlineStr">
        <is>
          <t>Quinn Vandecasteele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285</v>
      </c>
      <c r="M512" s="27" t="n">
        <v>3.85</v>
      </c>
      <c r="N512" s="28" t="n">
        <v>0.25974</v>
      </c>
      <c r="O512" s="28" t="n">
        <v>0.556</v>
      </c>
      <c r="P512" s="28" t="n">
        <v>0.05</v>
      </c>
      <c r="Q512" s="28" t="n">
        <v>0.29626</v>
      </c>
      <c r="R512" s="26" t="n">
        <v>100</v>
      </c>
      <c r="S512" s="29" t="n">
        <v>2</v>
      </c>
      <c r="T512" s="24" t="inlineStr">
        <is>
          <t>tennis-surface-elo-v1</t>
        </is>
      </c>
      <c r="U512" s="24" t="inlineStr">
        <is>
          <t>settled</t>
        </is>
      </c>
      <c r="V512" s="24" t="inlineStr">
        <is>
          <t>loss</t>
        </is>
      </c>
      <c r="W512" s="26" t="n">
        <v>1</v>
      </c>
      <c r="X512" s="26" t="n">
        <v>0</v>
      </c>
      <c r="Y512" s="25" t="n"/>
      <c r="Z512" s="26" t="n">
        <v>285</v>
      </c>
      <c r="AA512" s="28" t="n">
        <v>0.26</v>
      </c>
      <c r="AB512" s="28" t="n">
        <v>0.00026</v>
      </c>
      <c r="AC512" s="30" t="n">
        <v>-2</v>
      </c>
      <c r="AD512" s="24" t="inlineStr">
        <is>
          <t>2026-08-24T20:37:23.837257Z</t>
        </is>
      </c>
      <c r="AE512" s="31" t="inlineStr">
        <is>
          <t>Surface-blended Elo on Hard: James Duckworth p=0.444 vs Quinn Vandecasteele. Executable ask 0.2600 (aec-atp-quivan-jamduc-2026-08-24).</t>
        </is>
      </c>
      <c r="AF512" s="31" t="inlineStr">
        <is>
          <t>Surface-blended Elo model; singles only, WTA+ATP market coverage, not yet locked-holdout qualified -- promoted by explicit operator directive, not genuine walk-forward validation.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PAPER_CALL_MODEL_UNVALIDATED</t>
        </is>
      </c>
      <c r="AP512" s="24" t="inlineStr">
        <is>
          <t>James Duckworth</t>
        </is>
      </c>
      <c r="AQ512" s="24" t="inlineStr">
        <is>
          <t>James Duckworth</t>
        </is>
      </c>
      <c r="AR512" s="24" t="inlineStr">
        <is>
          <t>James Duckworth</t>
        </is>
      </c>
      <c r="AS512" s="24" t="inlineStr">
        <is>
          <t>Quinn Vandecasteele</t>
        </is>
      </c>
      <c r="AT512" s="24" t="inlineStr">
        <is>
          <t>Quinn Vandecasteele</t>
        </is>
      </c>
      <c r="AU512" s="24" t="inlineStr">
        <is>
          <t>Quinn Vandecasteele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d777da58446bc099047b154203518e2585ef1a678f613f2b430f2589f7bf5cff</t>
        </is>
      </c>
      <c r="BB512" s="24" t="inlineStr">
        <is>
          <t>surface_blended_elo</t>
        </is>
      </c>
      <c r="BC512" s="24" t="inlineStr">
        <is>
          <t>tennis-surface-elo-v1</t>
        </is>
      </c>
      <c r="BD512" s="24" t="inlineStr">
        <is>
          <t>d777da58446bc099047b154203518e2585ef1a678f613f2b430f2589f7bf5cff</t>
        </is>
      </c>
      <c r="BE512" s="24" t="inlineStr">
        <is>
          <t>tennis-surface-elo-v1</t>
        </is>
      </c>
      <c r="BF512" s="24" t="inlineStr">
        <is>
          <t>1</t>
        </is>
      </c>
      <c r="BG512" s="24" t="inlineStr">
        <is>
          <t>d777da58446bc099047b154203518e2585ef1a678f613f2b430f2589f7bf5cff</t>
        </is>
      </c>
      <c r="BH512" s="24" t="inlineStr">
        <is>
          <t>2026-08-24T17:01:12.544805Z</t>
        </is>
      </c>
      <c r="BI512" s="24" t="inlineStr">
        <is>
          <t>["same_event","same_team_same_day","same_league_same_day"]</t>
        </is>
      </c>
      <c r="BJ512" s="25" t="n"/>
      <c r="BK512" s="26" t="n">
        <v>285</v>
      </c>
      <c r="BL512" s="27" t="n">
        <v>3.85</v>
      </c>
      <c r="BM512" s="28" t="n">
        <v>0.25974</v>
      </c>
      <c r="BN512" s="28" t="n"/>
      <c r="BO512" s="28" t="n"/>
      <c r="BP512" s="25" t="n"/>
      <c r="BQ512" s="27" t="n">
        <v>3.85</v>
      </c>
      <c r="BR512" s="28" t="n">
        <v>0.26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inlineStr">
        <is>
          <t>2a42288441aeec068a6ad97e04cd9dcc5afbc7e540f44852753a0fb5caa94d2b</t>
        </is>
      </c>
      <c r="DE512" s="24" t="inlineStr">
        <is>
          <t>/Users/vincentc9002/model-prediction/data/odds/tennis/2026-08-24/polymarket_snapshots.jsonl</t>
        </is>
      </c>
      <c r="DF512" s="24" t="inlineStr">
        <is>
          <t>506027:2026-08-24T17:01:12.544805Z</t>
        </is>
      </c>
      <c r="DG512" s="24" t="n"/>
      <c r="DH512" s="24" t="n"/>
      <c r="DI512" s="24" t="n"/>
      <c r="DJ512" s="24" t="inlineStr">
        <is>
          <t>0.25974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4c234a9c64284bd2</t>
        </is>
      </c>
      <c r="B513" s="24" t="inlineStr">
        <is>
          <t>2026-08-24T17:02:10.415217Z</t>
        </is>
      </c>
      <c r="C513" s="24" t="inlineStr">
        <is>
          <t>2026-08-24T18:00Z</t>
        </is>
      </c>
      <c r="D513" s="24" t="inlineStr">
        <is>
          <t>363-2026:184485</t>
        </is>
      </c>
      <c r="E513" s="24" t="inlineStr">
        <is>
          <t>TENNIS</t>
        </is>
      </c>
      <c r="F513" s="24" t="inlineStr">
        <is>
          <t>Benjamin Bonzi</t>
        </is>
      </c>
      <c r="G513" s="24" t="inlineStr">
        <is>
          <t>Kamil Majchrzak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-203</v>
      </c>
      <c r="M513" s="27" t="n">
        <v>1.492611</v>
      </c>
      <c r="N513" s="28" t="n">
        <v>0.669967</v>
      </c>
      <c r="O513" s="28" t="n">
        <v>0.5658</v>
      </c>
      <c r="P513" s="28" t="n">
        <v>0.05</v>
      </c>
      <c r="Q513" s="28" t="n">
        <v>-0.104167</v>
      </c>
      <c r="R513" s="26" t="n">
        <v>0</v>
      </c>
      <c r="S513" s="29" t="n">
        <v>1</v>
      </c>
      <c r="T513" s="24" t="inlineStr">
        <is>
          <t>tennis-surface-elo-v1</t>
        </is>
      </c>
      <c r="U513" s="24" t="inlineStr">
        <is>
          <t>settled</t>
        </is>
      </c>
      <c r="V513" s="24" t="inlineStr">
        <is>
          <t>loss</t>
        </is>
      </c>
      <c r="W513" s="26" t="n">
        <v>1</v>
      </c>
      <c r="X513" s="26" t="n">
        <v>0</v>
      </c>
      <c r="Y513" s="25" t="n"/>
      <c r="Z513" s="26" t="n">
        <v>-203</v>
      </c>
      <c r="AA513" s="28" t="n">
        <v>0.67</v>
      </c>
      <c r="AB513" s="28" t="n">
        <v>3.3e-05</v>
      </c>
      <c r="AC513" s="30" t="n">
        <v>-1</v>
      </c>
      <c r="AD513" s="24" t="inlineStr">
        <is>
          <t>2026-08-24T20:37:25.931408Z</t>
        </is>
      </c>
      <c r="AE513" s="31" t="inlineStr">
        <is>
          <t>Surface-blended Elo on Hard: Benjamin Bonzi p=0.434 vs Kamil Majchrzak. Executable ask 0.6700 (aec-atp-kammaj-benbon-2026-08-24).</t>
        </is>
      </c>
      <c r="AF513" s="31" t="inlineStr">
        <is>
          <t>Surface-blended Elo model; singles only, WTA+ATP market coverage, not yet locked-holdout qualified -- promoted by explicit operator directive, not genuine walk-forward validation.</t>
        </is>
      </c>
      <c r="AG513" s="24" t="inlineStr">
        <is>
          <t>review_required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Benjamin Bonzi</t>
        </is>
      </c>
      <c r="AQ513" s="24" t="inlineStr">
        <is>
          <t>Benjamin Bonzi</t>
        </is>
      </c>
      <c r="AR513" s="24" t="inlineStr">
        <is>
          <t>Benjamin Bonzi</t>
        </is>
      </c>
      <c r="AS513" s="24" t="inlineStr">
        <is>
          <t>Kamil Majchrzak</t>
        </is>
      </c>
      <c r="AT513" s="24" t="inlineStr">
        <is>
          <t>Kamil Majchrzak</t>
        </is>
      </c>
      <c r="AU513" s="24" t="inlineStr">
        <is>
          <t>Kamil Majchrzak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d777da58446bc099047b154203518e2585ef1a678f613f2b430f2589f7bf5cff</t>
        </is>
      </c>
      <c r="BB513" s="24" t="inlineStr">
        <is>
          <t>surface_blended_elo</t>
        </is>
      </c>
      <c r="BC513" s="24" t="inlineStr">
        <is>
          <t>tennis-surface-elo-v1</t>
        </is>
      </c>
      <c r="BD513" s="24" t="inlineStr">
        <is>
          <t>d777da58446bc099047b154203518e2585ef1a678f613f2b430f2589f7bf5cff</t>
        </is>
      </c>
      <c r="BE513" s="24" t="inlineStr">
        <is>
          <t>tennis-surface-elo-v1</t>
        </is>
      </c>
      <c r="BF513" s="24" t="inlineStr">
        <is>
          <t>1</t>
        </is>
      </c>
      <c r="BG513" s="24" t="inlineStr">
        <is>
          <t>d777da58446bc099047b154203518e2585ef1a678f613f2b430f2589f7bf5cff</t>
        </is>
      </c>
      <c r="BH513" s="24" t="inlineStr">
        <is>
          <t>2026-08-24T17:01:13.344527Z</t>
        </is>
      </c>
      <c r="BI513" s="24" t="inlineStr">
        <is>
          <t>["same_event","same_team_same_day","same_league_same_day"]</t>
        </is>
      </c>
      <c r="BJ513" s="25" t="n"/>
      <c r="BK513" s="26" t="n">
        <v>-203</v>
      </c>
      <c r="BL513" s="27" t="n">
        <v>1.492611</v>
      </c>
      <c r="BM513" s="28" t="n">
        <v>0.669967</v>
      </c>
      <c r="BN513" s="28" t="n"/>
      <c r="BO513" s="28" t="n"/>
      <c r="BP513" s="25" t="n"/>
      <c r="BQ513" s="27" t="n">
        <v>1.492611</v>
      </c>
      <c r="BR513" s="28" t="n">
        <v>0.67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inlineStr">
        <is>
          <t>2b566f4fdc3f324479e03fe1f2252b3843403908a975b9dfe7b502e4e06f3b85</t>
        </is>
      </c>
      <c r="DE513" s="24" t="inlineStr">
        <is>
          <t>/Users/vincentc9002/model-prediction/data/odds/tennis/2026-08-24/polymarket_snapshots.jsonl</t>
        </is>
      </c>
      <c r="DF513" s="24" t="inlineStr">
        <is>
          <t>494198:2026-08-24T17:01:13.344527Z</t>
        </is>
      </c>
      <c r="DG513" s="24" t="n"/>
      <c r="DH513" s="24" t="n"/>
      <c r="DI513" s="24" t="n"/>
      <c r="DJ513" s="24" t="inlineStr">
        <is>
          <t>0.669967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81952b8e9a8646d7</t>
        </is>
      </c>
      <c r="B514" s="24" t="inlineStr">
        <is>
          <t>2026-08-24T17:02:10.415217Z</t>
        </is>
      </c>
      <c r="C514" s="24" t="inlineStr">
        <is>
          <t>2026-08-24T18:00Z</t>
        </is>
      </c>
      <c r="D514" s="24" t="inlineStr">
        <is>
          <t>363-2026:184489</t>
        </is>
      </c>
      <c r="E514" s="24" t="inlineStr">
        <is>
          <t>TENNIS</t>
        </is>
      </c>
      <c r="F514" s="24" t="inlineStr">
        <is>
          <t>Marcos Giron</t>
        </is>
      </c>
      <c r="G514" s="24" t="inlineStr">
        <is>
          <t>Dhakshineswar Suresh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-245</v>
      </c>
      <c r="M514" s="27" t="n">
        <v>1.408163</v>
      </c>
      <c r="N514" s="28" t="n">
        <v>0.710145</v>
      </c>
      <c r="O514" s="28" t="n">
        <v>0.5365</v>
      </c>
      <c r="P514" s="28" t="n">
        <v>0.05</v>
      </c>
      <c r="Q514" s="28" t="n">
        <v>-0.173645</v>
      </c>
      <c r="R514" s="26" t="n">
        <v>0</v>
      </c>
      <c r="S514" s="29" t="n">
        <v>1</v>
      </c>
      <c r="T514" s="24" t="inlineStr">
        <is>
          <t>tennis-surface-elo-v1</t>
        </is>
      </c>
      <c r="U514" s="24" t="inlineStr">
        <is>
          <t>settled</t>
        </is>
      </c>
      <c r="V514" s="24" t="inlineStr">
        <is>
          <t>loss</t>
        </is>
      </c>
      <c r="W514" s="26" t="n">
        <v>0</v>
      </c>
      <c r="X514" s="26" t="n">
        <v>1</v>
      </c>
      <c r="Y514" s="25" t="n"/>
      <c r="Z514" s="26" t="n">
        <v>-245</v>
      </c>
      <c r="AA514" s="28" t="n">
        <v>0.71</v>
      </c>
      <c r="AB514" s="28" t="n">
        <v>-0.000145</v>
      </c>
      <c r="AC514" s="30" t="n">
        <v>-1</v>
      </c>
      <c r="AD514" s="24" t="inlineStr">
        <is>
          <t>2026-08-24T20:37:28.049909Z</t>
        </is>
      </c>
      <c r="AE514" s="31" t="inlineStr">
        <is>
          <t>Surface-blended Elo on Hard: Marcos Giron p=0.536 vs Dhakshineswar Suresh. Executable ask 0.7100 (aec-atp-dhasur-margir-2026-08-24).</t>
        </is>
      </c>
      <c r="AF514" s="31" t="inlineStr">
        <is>
          <t>Surface-blended Elo model; singles only, WTA+ATP market coverage, not yet locked-holdout qualified -- promoted by explicit operator directive, not genuine walk-forward validation.</t>
        </is>
      </c>
      <c r="AG514" s="24" t="inlineStr">
        <is>
          <t>review_required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PAPER_CALL_MODEL_UNVALIDATED</t>
        </is>
      </c>
      <c r="AP514" s="24" t="inlineStr">
        <is>
          <t>Marcos Giron</t>
        </is>
      </c>
      <c r="AQ514" s="24" t="inlineStr">
        <is>
          <t>Marcos Giron</t>
        </is>
      </c>
      <c r="AR514" s="24" t="inlineStr">
        <is>
          <t>Marcos Giron</t>
        </is>
      </c>
      <c r="AS514" s="24" t="inlineStr">
        <is>
          <t>Dhakshineswar Suresh</t>
        </is>
      </c>
      <c r="AT514" s="24" t="inlineStr">
        <is>
          <t>Dhakshineswar Suresh</t>
        </is>
      </c>
      <c r="AU514" s="24" t="inlineStr">
        <is>
          <t>Dhakshineswar Suresh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d777da58446bc099047b154203518e2585ef1a678f613f2b430f2589f7bf5cff</t>
        </is>
      </c>
      <c r="BB514" s="24" t="inlineStr">
        <is>
          <t>surface_blended_elo</t>
        </is>
      </c>
      <c r="BC514" s="24" t="inlineStr">
        <is>
          <t>tennis-surface-elo-v1</t>
        </is>
      </c>
      <c r="BD514" s="24" t="inlineStr">
        <is>
          <t>d777da58446bc099047b154203518e2585ef1a678f613f2b430f2589f7bf5cff</t>
        </is>
      </c>
      <c r="BE514" s="24" t="inlineStr">
        <is>
          <t>tennis-surface-elo-v1</t>
        </is>
      </c>
      <c r="BF514" s="24" t="inlineStr">
        <is>
          <t>1</t>
        </is>
      </c>
      <c r="BG514" s="24" t="inlineStr">
        <is>
          <t>d777da58446bc099047b154203518e2585ef1a678f613f2b430f2589f7bf5cff</t>
        </is>
      </c>
      <c r="BH514" s="24" t="inlineStr">
        <is>
          <t>2026-08-24T17:01:13.081543Z</t>
        </is>
      </c>
      <c r="BI514" s="24" t="inlineStr">
        <is>
          <t>["same_event","same_team_same_day","same_league_same_day"]</t>
        </is>
      </c>
      <c r="BJ514" s="25" t="n"/>
      <c r="BK514" s="26" t="n">
        <v>-245</v>
      </c>
      <c r="BL514" s="27" t="n">
        <v>1.408163</v>
      </c>
      <c r="BM514" s="28" t="n">
        <v>0.710145</v>
      </c>
      <c r="BN514" s="28" t="n"/>
      <c r="BO514" s="28" t="n"/>
      <c r="BP514" s="25" t="n"/>
      <c r="BQ514" s="27" t="n">
        <v>1.408163</v>
      </c>
      <c r="BR514" s="28" t="n">
        <v>0.71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inlineStr">
        <is>
          <t>92d706172aa451cc0c0fb7f0fac17b87295a10cee87540744cc29f1e45089a11</t>
        </is>
      </c>
      <c r="DE514" s="24" t="inlineStr">
        <is>
          <t>/Users/vincentc9002/model-prediction/data/odds/tennis/2026-08-24/polymarket_snapshots.jsonl</t>
        </is>
      </c>
      <c r="DF514" s="24" t="inlineStr">
        <is>
          <t>506029:2026-08-24T17:01:13.081543Z</t>
        </is>
      </c>
      <c r="DG514" s="24" t="n"/>
      <c r="DH514" s="24" t="n"/>
      <c r="DI514" s="24" t="n"/>
      <c r="DJ514" s="24" t="inlineStr">
        <is>
          <t>0.710145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2e7911129f3141b1</t>
        </is>
      </c>
      <c r="B515" s="24" t="inlineStr">
        <is>
          <t>2026-08-24T17:02:10.415217Z</t>
        </is>
      </c>
      <c r="C515" s="24" t="inlineStr">
        <is>
          <t>2026-08-24T18:00Z</t>
        </is>
      </c>
      <c r="D515" s="24" t="inlineStr">
        <is>
          <t>363-2026:184507</t>
        </is>
      </c>
      <c r="E515" s="24" t="inlineStr">
        <is>
          <t>TENNIS</t>
        </is>
      </c>
      <c r="F515" s="24" t="inlineStr">
        <is>
          <t>Vit Kopriva</t>
        </is>
      </c>
      <c r="G515" s="24" t="inlineStr">
        <is>
          <t>Lorenzo Sonego</t>
        </is>
      </c>
      <c r="H515" s="24" t="inlineStr">
        <is>
          <t>moneyline</t>
        </is>
      </c>
      <c r="I515" s="24" t="inlineStr">
        <is>
          <t>home</t>
        </is>
      </c>
      <c r="J515" s="25" t="n"/>
      <c r="K515" s="24" t="inlineStr">
        <is>
          <t>polymarket_us</t>
        </is>
      </c>
      <c r="L515" s="26" t="n">
        <v>-144</v>
      </c>
      <c r="M515" s="27" t="n">
        <v>1.694444</v>
      </c>
      <c r="N515" s="28" t="n">
        <v>0.590164</v>
      </c>
      <c r="O515" s="28" t="n">
        <v>0.5349</v>
      </c>
      <c r="P515" s="28" t="n">
        <v>0.05</v>
      </c>
      <c r="Q515" s="28" t="n">
        <v>-0.055264</v>
      </c>
      <c r="R515" s="26" t="n">
        <v>0</v>
      </c>
      <c r="S515" s="29" t="n">
        <v>1</v>
      </c>
      <c r="T515" s="24" t="inlineStr">
        <is>
          <t>tennis-surface-elo-v1</t>
        </is>
      </c>
      <c r="U515" s="24" t="inlineStr">
        <is>
          <t>settled</t>
        </is>
      </c>
      <c r="V515" s="24" t="inlineStr">
        <is>
          <t>win</t>
        </is>
      </c>
      <c r="W515" s="26" t="n">
        <v>0</v>
      </c>
      <c r="X515" s="26" t="n">
        <v>1</v>
      </c>
      <c r="Y515" s="25" t="n"/>
      <c r="Z515" s="26" t="n">
        <v>-144</v>
      </c>
      <c r="AA515" s="28" t="n">
        <v>0.59</v>
      </c>
      <c r="AB515" s="28" t="n">
        <v>-0.000164</v>
      </c>
      <c r="AC515" s="30" t="n">
        <v>0.6944</v>
      </c>
      <c r="AD515" s="24" t="inlineStr">
        <is>
          <t>2026-08-24T21:13:16.041192Z</t>
        </is>
      </c>
      <c r="AE515" s="31" t="inlineStr">
        <is>
          <t>Surface-blended Elo on Hard: Vit Kopriva p=0.465 vs Lorenzo Sonego. Executable ask 0.5900 (aec-atp-lorson-vitkop-2026-08-24).</t>
        </is>
      </c>
      <c r="AF515" s="31" t="inlineStr">
        <is>
          <t>Surface-blended Elo model; singles only, WTA+ATP market coverage, not yet locked-holdout qualified -- promoted by explicit operator directive, not genuine walk-forward validation.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PAPER_CALL_LOW_EDGE</t>
        </is>
      </c>
      <c r="AP515" s="24" t="inlineStr">
        <is>
          <t>Vit Kopriva</t>
        </is>
      </c>
      <c r="AQ515" s="24" t="inlineStr">
        <is>
          <t>Vit Kopriva</t>
        </is>
      </c>
      <c r="AR515" s="24" t="inlineStr">
        <is>
          <t>Vit Kopriva</t>
        </is>
      </c>
      <c r="AS515" s="24" t="inlineStr">
        <is>
          <t>Lorenzo Sonego</t>
        </is>
      </c>
      <c r="AT515" s="24" t="inlineStr">
        <is>
          <t>Lorenzo Sonego</t>
        </is>
      </c>
      <c r="AU515" s="24" t="inlineStr">
        <is>
          <t>Lorenzo Sonego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d777da58446bc099047b154203518e2585ef1a678f613f2b430f2589f7bf5cff</t>
        </is>
      </c>
      <c r="BB515" s="24" t="inlineStr">
        <is>
          <t>surface_blended_elo</t>
        </is>
      </c>
      <c r="BC515" s="24" t="inlineStr">
        <is>
          <t>tennis-surface-elo-v1</t>
        </is>
      </c>
      <c r="BD515" s="24" t="inlineStr">
        <is>
          <t>d777da58446bc099047b154203518e2585ef1a678f613f2b430f2589f7bf5cff</t>
        </is>
      </c>
      <c r="BE515" s="24" t="inlineStr">
        <is>
          <t>tennis-surface-elo-v1</t>
        </is>
      </c>
      <c r="BF515" s="24" t="inlineStr">
        <is>
          <t>1</t>
        </is>
      </c>
      <c r="BG515" s="24" t="inlineStr">
        <is>
          <t>d777da58446bc099047b154203518e2585ef1a678f613f2b430f2589f7bf5cff</t>
        </is>
      </c>
      <c r="BH515" s="24" t="inlineStr">
        <is>
          <t>2026-08-24T17:01:12.706892Z</t>
        </is>
      </c>
      <c r="BI515" s="24" t="inlineStr">
        <is>
          <t>["same_event","same_team_same_day","same_league_same_day"]</t>
        </is>
      </c>
      <c r="BJ515" s="25" t="n"/>
      <c r="BK515" s="26" t="n">
        <v>-144</v>
      </c>
      <c r="BL515" s="27" t="n">
        <v>1.694444</v>
      </c>
      <c r="BM515" s="28" t="n">
        <v>0.590164</v>
      </c>
      <c r="BN515" s="28" t="n"/>
      <c r="BO515" s="28" t="n"/>
      <c r="BP515" s="25" t="n"/>
      <c r="BQ515" s="27" t="n">
        <v>1.694444</v>
      </c>
      <c r="BR515" s="28" t="n">
        <v>0.59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inlineStr">
        <is>
          <t>7c8f83f25291d60b869f500e8450925edcddf4fc2ccca7662cae8f4a7e4b0561</t>
        </is>
      </c>
      <c r="DE515" s="24" t="inlineStr">
        <is>
          <t>/Users/vincentc9002/model-prediction/data/odds/tennis/2026-08-24/polymarket_snapshots.jsonl</t>
        </is>
      </c>
      <c r="DF515" s="24" t="inlineStr">
        <is>
          <t>494189:2026-08-24T17:01:12.706892Z</t>
        </is>
      </c>
      <c r="DG515" s="24" t="n"/>
      <c r="DH515" s="24" t="n"/>
      <c r="DI515" s="24" t="n"/>
      <c r="DJ515" s="24" t="inlineStr">
        <is>
          <t>0.590164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e013e8b874ff4b0f</t>
        </is>
      </c>
      <c r="B516" s="24" t="inlineStr">
        <is>
          <t>2026-08-24T18:08:56.901017Z</t>
        </is>
      </c>
      <c r="C516" s="24" t="inlineStr">
        <is>
          <t>2026-08-24T19:00Z</t>
        </is>
      </c>
      <c r="D516" s="24" t="inlineStr">
        <is>
          <t>1075-2026:182132</t>
        </is>
      </c>
      <c r="E516" s="24" t="inlineStr">
        <is>
          <t>TENNIS</t>
        </is>
      </c>
      <c r="F516" s="24" t="inlineStr">
        <is>
          <t>Fiona Crawley</t>
        </is>
      </c>
      <c r="G516" s="24" t="inlineStr">
        <is>
          <t>Simona Waltert</t>
        </is>
      </c>
      <c r="H516" s="24" t="inlineStr">
        <is>
          <t>moneyline</t>
        </is>
      </c>
      <c r="I516" s="24" t="inlineStr">
        <is>
          <t>home</t>
        </is>
      </c>
      <c r="J516" s="25" t="n"/>
      <c r="K516" s="24" t="inlineStr">
        <is>
          <t>polymarket_us</t>
        </is>
      </c>
      <c r="L516" s="26" t="n">
        <v>-213</v>
      </c>
      <c r="M516" s="27" t="n">
        <v>1.469484</v>
      </c>
      <c r="N516" s="28" t="n">
        <v>0.680511</v>
      </c>
      <c r="O516" s="28" t="n">
        <v>0.6414</v>
      </c>
      <c r="P516" s="28" t="n">
        <v>0.05</v>
      </c>
      <c r="Q516" s="28" t="n">
        <v>-0.039111</v>
      </c>
      <c r="R516" s="26" t="n">
        <v>0</v>
      </c>
      <c r="S516" s="29" t="n">
        <v>1</v>
      </c>
      <c r="T516" s="24" t="inlineStr">
        <is>
          <t>tennis-surface-elo-v1</t>
        </is>
      </c>
      <c r="U516" s="24" t="inlineStr">
        <is>
          <t>settled</t>
        </is>
      </c>
      <c r="V516" s="24" t="inlineStr">
        <is>
          <t>loss</t>
        </is>
      </c>
      <c r="W516" s="26" t="n">
        <v>1</v>
      </c>
      <c r="X516" s="26" t="n">
        <v>0</v>
      </c>
      <c r="Y516" s="25" t="n"/>
      <c r="Z516" s="26" t="n">
        <v>-203</v>
      </c>
      <c r="AA516" s="28" t="n">
        <v>0.67</v>
      </c>
      <c r="AB516" s="28" t="n">
        <v>-0.010511</v>
      </c>
      <c r="AC516" s="30" t="n">
        <v>-1</v>
      </c>
      <c r="AD516" s="24" t="inlineStr">
        <is>
          <t>2026-08-25T00:19:46.276297Z</t>
        </is>
      </c>
      <c r="AE516" s="31" t="inlineStr">
        <is>
          <t>Surface-blended Elo on Hard: Fiona Crawley p=0.359 vs Simona Waltert. Executable ask 0.6800 (aec-wta-simwal-fiocra-2026-08-23).</t>
        </is>
      </c>
      <c r="AF516" s="31" t="inlineStr">
        <is>
          <t>Surface-blended Elo model; singles only, WTA+ATP market coverage, not yet locked-holdout qualified -- promoted by explicit operator directive, not genuine walk-forward validation.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paper_call</t>
        </is>
      </c>
      <c r="AL516" s="26" t="n">
        <v>4</v>
      </c>
      <c r="AM516" s="24" t="inlineStr">
        <is>
          <t>RESEARCH_OBSERVATION</t>
        </is>
      </c>
      <c r="AN516" s="24" t="inlineStr">
        <is>
          <t>CALL</t>
        </is>
      </c>
      <c r="AO516" s="24" t="inlineStr">
        <is>
          <t>PAPER_CALL_MODEL_UNVALIDATED</t>
        </is>
      </c>
      <c r="AP516" s="24" t="inlineStr">
        <is>
          <t>Fiona Crawley</t>
        </is>
      </c>
      <c r="AQ516" s="24" t="inlineStr">
        <is>
          <t>Fiona Crawley</t>
        </is>
      </c>
      <c r="AR516" s="24" t="inlineStr">
        <is>
          <t>Fiona Crawley</t>
        </is>
      </c>
      <c r="AS516" s="24" t="inlineStr">
        <is>
          <t>Simona Waltert</t>
        </is>
      </c>
      <c r="AT516" s="24" t="inlineStr">
        <is>
          <t>Simona Waltert</t>
        </is>
      </c>
      <c r="AU516" s="24" t="inlineStr">
        <is>
          <t>Simona Waltert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d777da58446bc099047b154203518e2585ef1a678f613f2b430f2589f7bf5cff</t>
        </is>
      </c>
      <c r="BB516" s="24" t="inlineStr">
        <is>
          <t>surface_blended_elo</t>
        </is>
      </c>
      <c r="BC516" s="24" t="inlineStr">
        <is>
          <t>tennis-surface-elo-v1</t>
        </is>
      </c>
      <c r="BD516" s="24" t="inlineStr">
        <is>
          <t>d777da58446bc099047b154203518e2585ef1a678f613f2b430f2589f7bf5cff</t>
        </is>
      </c>
      <c r="BE516" s="24" t="inlineStr">
        <is>
          <t>tennis-surface-elo-v1</t>
        </is>
      </c>
      <c r="BF516" s="24" t="inlineStr">
        <is>
          <t>1</t>
        </is>
      </c>
      <c r="BG516" s="24" t="inlineStr">
        <is>
          <t>d777da58446bc099047b154203518e2585ef1a678f613f2b430f2589f7bf5cff</t>
        </is>
      </c>
      <c r="BH516" s="24" t="inlineStr">
        <is>
          <t>2026-08-24T11:51:07.269802Z</t>
        </is>
      </c>
      <c r="BI516" s="24" t="inlineStr">
        <is>
          <t>["same_event","same_team_same_day","same_league_same_day"]</t>
        </is>
      </c>
      <c r="BJ516" s="25" t="n"/>
      <c r="BK516" s="26" t="n">
        <v>-213</v>
      </c>
      <c r="BL516" s="27" t="n">
        <v>1.469484</v>
      </c>
      <c r="BM516" s="28" t="n">
        <v>0.680511</v>
      </c>
      <c r="BN516" s="28" t="n"/>
      <c r="BO516" s="28" t="n"/>
      <c r="BP516" s="25" t="n"/>
      <c r="BQ516" s="27" t="n">
        <v>1.492611</v>
      </c>
      <c r="BR516" s="28" t="n">
        <v>0.67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False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inlineStr">
        <is>
          <t>09ec9af82eb929439fa3565f8138c9c6800b10329cc7ac3493defd266b791b58</t>
        </is>
      </c>
      <c r="DE516" s="24" t="inlineStr">
        <is>
          <t>/Users/vincentc9002/model-prediction/data/odds/tennis/2026-08-24/polymarket_snapshots.jsonl</t>
        </is>
      </c>
      <c r="DF516" s="24" t="inlineStr">
        <is>
          <t>498525:2026-08-24T11:51:07.269802Z</t>
        </is>
      </c>
      <c r="DG516" s="24" t="n"/>
      <c r="DH516" s="24" t="n"/>
      <c r="DI516" s="24" t="n"/>
      <c r="DJ516" s="24" t="inlineStr">
        <is>
          <t>0.680511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5bce0a4ad27d43ea</t>
        </is>
      </c>
      <c r="B517" s="24" t="inlineStr">
        <is>
          <t>2026-08-24T18:08:56.901017Z</t>
        </is>
      </c>
      <c r="C517" s="24" t="inlineStr">
        <is>
          <t>2026-08-24T19:30Z</t>
        </is>
      </c>
      <c r="D517" s="24" t="inlineStr">
        <is>
          <t>1075-2026:182138</t>
        </is>
      </c>
      <c r="E517" s="24" t="inlineStr">
        <is>
          <t>TENNIS</t>
        </is>
      </c>
      <c r="F517" s="24" t="inlineStr">
        <is>
          <t>Lizette Cabrera</t>
        </is>
      </c>
      <c r="G517" s="24" t="inlineStr">
        <is>
          <t>Talia Gibson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-1011</v>
      </c>
      <c r="M517" s="27" t="n">
        <v>1.098912</v>
      </c>
      <c r="N517" s="28" t="n">
        <v>0.909991</v>
      </c>
      <c r="O517" s="28" t="n">
        <v>0.7163</v>
      </c>
      <c r="P517" s="28" t="n">
        <v>0.05</v>
      </c>
      <c r="Q517" s="28" t="n">
        <v>-0.193691</v>
      </c>
      <c r="R517" s="26" t="n">
        <v>0</v>
      </c>
      <c r="S517" s="29" t="n">
        <v>1</v>
      </c>
      <c r="T517" s="24" t="inlineStr">
        <is>
          <t>tennis-surface-elo-v1</t>
        </is>
      </c>
      <c r="U517" s="24" t="inlineStr">
        <is>
          <t>settled</t>
        </is>
      </c>
      <c r="V517" s="24" t="inlineStr">
        <is>
          <t>loss</t>
        </is>
      </c>
      <c r="W517" s="26" t="n">
        <v>1</v>
      </c>
      <c r="X517" s="26" t="n">
        <v>0</v>
      </c>
      <c r="Y517" s="25" t="n"/>
      <c r="Z517" s="26" t="n">
        <v>-900</v>
      </c>
      <c r="AA517" s="28" t="n">
        <v>0.9</v>
      </c>
      <c r="AB517" s="28" t="n">
        <v>-0.009991</v>
      </c>
      <c r="AC517" s="30" t="n">
        <v>-1</v>
      </c>
      <c r="AD517" s="24" t="inlineStr">
        <is>
          <t>2026-08-25T00:19:48.407830Z</t>
        </is>
      </c>
      <c r="AE517" s="31" t="inlineStr">
        <is>
          <t>Surface-blended Elo on Hard: Lizette Cabrera p=0.284 vs Talia Gibson. Executable ask 0.9100 (aec-wta-talgib-lizcab-2026-08-23).</t>
        </is>
      </c>
      <c r="AF517" s="31" t="inlineStr">
        <is>
          <t>Surface-blended Elo model; singles only, WTA+ATP market coverage, not yet locked-holdout qualified -- promoted by explicit operator directive, not genuine walk-forward validation.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Lizette Cabrera</t>
        </is>
      </c>
      <c r="AQ517" s="24" t="inlineStr">
        <is>
          <t>Lizette Cabrera</t>
        </is>
      </c>
      <c r="AR517" s="24" t="inlineStr">
        <is>
          <t>Lizette Cabrera</t>
        </is>
      </c>
      <c r="AS517" s="24" t="inlineStr">
        <is>
          <t>Talia Gibson</t>
        </is>
      </c>
      <c r="AT517" s="24" t="inlineStr">
        <is>
          <t>Talia Gibson</t>
        </is>
      </c>
      <c r="AU517" s="24" t="inlineStr">
        <is>
          <t>Talia Gibson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d777da58446bc099047b154203518e2585ef1a678f613f2b430f2589f7bf5cff</t>
        </is>
      </c>
      <c r="BB517" s="24" t="inlineStr">
        <is>
          <t>surface_blended_elo</t>
        </is>
      </c>
      <c r="BC517" s="24" t="inlineStr">
        <is>
          <t>tennis-surface-elo-v1</t>
        </is>
      </c>
      <c r="BD517" s="24" t="inlineStr">
        <is>
          <t>d777da58446bc099047b154203518e2585ef1a678f613f2b430f2589f7bf5cff</t>
        </is>
      </c>
      <c r="BE517" s="24" t="inlineStr">
        <is>
          <t>tennis-surface-elo-v1</t>
        </is>
      </c>
      <c r="BF517" s="24" t="inlineStr">
        <is>
          <t>1</t>
        </is>
      </c>
      <c r="BG517" s="24" t="inlineStr">
        <is>
          <t>d777da58446bc099047b154203518e2585ef1a678f613f2b430f2589f7bf5cff</t>
        </is>
      </c>
      <c r="BH517" s="24" t="inlineStr">
        <is>
          <t>2026-08-24T11:51:07.272236Z</t>
        </is>
      </c>
      <c r="BI517" s="24" t="inlineStr">
        <is>
          <t>["same_event","same_team_same_day","same_league_same_day"]</t>
        </is>
      </c>
      <c r="BJ517" s="25" t="n"/>
      <c r="BK517" s="26" t="n">
        <v>-1011</v>
      </c>
      <c r="BL517" s="27" t="n">
        <v>1.098912</v>
      </c>
      <c r="BM517" s="28" t="n">
        <v>0.909991</v>
      </c>
      <c r="BN517" s="28" t="n"/>
      <c r="BO517" s="28" t="n"/>
      <c r="BP517" s="25" t="n"/>
      <c r="BQ517" s="27" t="n">
        <v>1.111111</v>
      </c>
      <c r="BR517" s="28" t="n">
        <v>0.9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inlineStr">
        <is>
          <t>d5cc0511345febee49581139d5c0a850866206a68d3cb1a2b51025be4e7f21bb</t>
        </is>
      </c>
      <c r="DE517" s="24" t="inlineStr">
        <is>
          <t>/Users/vincentc9002/model-prediction/data/odds/tennis/2026-08-24/polymarket_snapshots.jsonl</t>
        </is>
      </c>
      <c r="DF517" s="24" t="inlineStr">
        <is>
          <t>498523:2026-08-24T11:51:07.272236Z</t>
        </is>
      </c>
      <c r="DG517" s="24" t="n"/>
      <c r="DH517" s="24" t="n"/>
      <c r="DI517" s="24" t="n"/>
      <c r="DJ517" s="24" t="inlineStr">
        <is>
          <t>0.909991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18b98d34b2bb4a97</t>
        </is>
      </c>
      <c r="B518" s="24" t="inlineStr">
        <is>
          <t>2026-08-24T18:08:56.901017Z</t>
        </is>
      </c>
      <c r="C518" s="24" t="inlineStr">
        <is>
          <t>2026-08-24T19:30Z</t>
        </is>
      </c>
      <c r="D518" s="24" t="inlineStr">
        <is>
          <t>189-2026:184692</t>
        </is>
      </c>
      <c r="E518" s="24" t="inlineStr">
        <is>
          <t>TENNIS</t>
        </is>
      </c>
      <c r="F518" s="24" t="inlineStr">
        <is>
          <t>Himeno Sakatsume</t>
        </is>
      </c>
      <c r="G518" s="24" t="inlineStr">
        <is>
          <t>Jazmin Ortenzi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376</v>
      </c>
      <c r="M518" s="27" t="n">
        <v>4.76</v>
      </c>
      <c r="N518" s="28" t="n">
        <v>0.210084</v>
      </c>
      <c r="O518" s="28" t="n">
        <v>0.523</v>
      </c>
      <c r="P518" s="28" t="n">
        <v>0.05</v>
      </c>
      <c r="Q518" s="28" t="n">
        <v>0.312916</v>
      </c>
      <c r="R518" s="26" t="n">
        <v>100</v>
      </c>
      <c r="S518" s="29" t="n">
        <v>2</v>
      </c>
      <c r="T518" s="24" t="inlineStr">
        <is>
          <t>tennis-surface-elo-v1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376</v>
      </c>
      <c r="AA518" s="28" t="n">
        <v>0.21</v>
      </c>
      <c r="AB518" s="28" t="n">
        <v>-8.4e-05</v>
      </c>
      <c r="AC518" s="30" t="n">
        <v>-2</v>
      </c>
      <c r="AD518" s="24" t="inlineStr">
        <is>
          <t>2026-08-25T00:19:50.497832Z</t>
        </is>
      </c>
      <c r="AE518" s="31" t="inlineStr">
        <is>
          <t>Surface-blended Elo on Hard: Himeno Sakatsume p=0.477 vs Jazmin Ortenzi. Executable ask 0.2100 (aec-wta-jazort-himsak-2026-08-24).</t>
        </is>
      </c>
      <c r="AF518" s="31" t="inlineStr">
        <is>
          <t>Surface-blended Elo model; singles only, WTA+ATP market coverage, not yet locked-holdout qualified -- promoted by explicit operator directive, not genuine walk-forward validation.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Himeno Sakatsume</t>
        </is>
      </c>
      <c r="AQ518" s="24" t="inlineStr">
        <is>
          <t>Himeno Sakatsume</t>
        </is>
      </c>
      <c r="AR518" s="24" t="inlineStr">
        <is>
          <t>Himeno Sakatsume</t>
        </is>
      </c>
      <c r="AS518" s="24" t="inlineStr">
        <is>
          <t>Jazmin Ortenzi</t>
        </is>
      </c>
      <c r="AT518" s="24" t="inlineStr">
        <is>
          <t>Jazmin Ortenzi</t>
        </is>
      </c>
      <c r="AU518" s="24" t="inlineStr">
        <is>
          <t>Jazmin Ortenzi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d777da58446bc099047b154203518e2585ef1a678f613f2b430f2589f7bf5cff</t>
        </is>
      </c>
      <c r="BB518" s="24" t="inlineStr">
        <is>
          <t>surface_blended_elo</t>
        </is>
      </c>
      <c r="BC518" s="24" t="inlineStr">
        <is>
          <t>tennis-surface-elo-v1</t>
        </is>
      </c>
      <c r="BD518" s="24" t="inlineStr">
        <is>
          <t>d777da58446bc099047b154203518e2585ef1a678f613f2b430f2589f7bf5cff</t>
        </is>
      </c>
      <c r="BE518" s="24" t="inlineStr">
        <is>
          <t>tennis-surface-elo-v1</t>
        </is>
      </c>
      <c r="BF518" s="24" t="inlineStr">
        <is>
          <t>1</t>
        </is>
      </c>
      <c r="BG518" s="24" t="inlineStr">
        <is>
          <t>d777da58446bc099047b154203518e2585ef1a678f613f2b430f2589f7bf5cff</t>
        </is>
      </c>
      <c r="BH518" s="24" t="inlineStr">
        <is>
          <t>2026-08-24T18:07:57.904574Z</t>
        </is>
      </c>
      <c r="BI518" s="24" t="inlineStr">
        <is>
          <t>["same_event","same_team_same_day","same_league_same_day"]</t>
        </is>
      </c>
      <c r="BJ518" s="25" t="n"/>
      <c r="BK518" s="26" t="n">
        <v>376</v>
      </c>
      <c r="BL518" s="27" t="n">
        <v>4.76</v>
      </c>
      <c r="BM518" s="28" t="n">
        <v>0.210084</v>
      </c>
      <c r="BN518" s="28" t="n"/>
      <c r="BO518" s="28" t="n"/>
      <c r="BP518" s="25" t="n"/>
      <c r="BQ518" s="27" t="n">
        <v>4.76</v>
      </c>
      <c r="BR518" s="28" t="n">
        <v>0.21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inlineStr">
        <is>
          <t>cd86ee41becd23e3e2dc8390bfcec3a4af65a475d5b96a40254b6699a5ffe2c3</t>
        </is>
      </c>
      <c r="DE518" s="24" t="inlineStr">
        <is>
          <t>/Users/vincentc9002/model-prediction/data/odds/tennis/2026-08-24/polymarket_snapshots.jsonl</t>
        </is>
      </c>
      <c r="DF518" s="24" t="inlineStr">
        <is>
          <t>506021:2026-08-24T18:07:57.904574Z</t>
        </is>
      </c>
      <c r="DG518" s="24" t="n"/>
      <c r="DH518" s="24" t="n"/>
      <c r="DI518" s="24" t="n"/>
      <c r="DJ518" s="24" t="inlineStr">
        <is>
          <t>0.210084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9d2a70d917c443bd</t>
        </is>
      </c>
      <c r="B519" s="24" t="inlineStr">
        <is>
          <t>2026-08-24T18:08:56.901017Z</t>
        </is>
      </c>
      <c r="C519" s="24" t="inlineStr">
        <is>
          <t>2026-08-24T19:30Z</t>
        </is>
      </c>
      <c r="D519" s="24" t="inlineStr">
        <is>
          <t>189-2026:184696</t>
        </is>
      </c>
      <c r="E519" s="24" t="inlineStr">
        <is>
          <t>TENNIS</t>
        </is>
      </c>
      <c r="F519" s="24" t="inlineStr">
        <is>
          <t>Linda Fruhvirtova</t>
        </is>
      </c>
      <c r="G519" s="24" t="inlineStr">
        <is>
          <t>Polina Kudermetova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polymarket_us</t>
        </is>
      </c>
      <c r="L519" s="26" t="n">
        <v>-163</v>
      </c>
      <c r="M519" s="27" t="n">
        <v>1.613497</v>
      </c>
      <c r="N519" s="28" t="n">
        <v>0.619772</v>
      </c>
      <c r="O519" s="28" t="n">
        <v>0.6849</v>
      </c>
      <c r="P519" s="28" t="n">
        <v>0.05</v>
      </c>
      <c r="Q519" s="28" t="n">
        <v>0.06512800000000001</v>
      </c>
      <c r="R519" s="26" t="n">
        <v>53</v>
      </c>
      <c r="S519" s="29" t="n">
        <v>1</v>
      </c>
      <c r="T519" s="24" t="inlineStr">
        <is>
          <t>tennis-surface-elo-v1</t>
        </is>
      </c>
      <c r="U519" s="24" t="inlineStr">
        <is>
          <t>settled</t>
        </is>
      </c>
      <c r="V519" s="24" t="inlineStr">
        <is>
          <t>loss</t>
        </is>
      </c>
      <c r="W519" s="26" t="n">
        <v>1</v>
      </c>
      <c r="X519" s="26" t="n">
        <v>0</v>
      </c>
      <c r="Y519" s="25" t="n"/>
      <c r="Z519" s="26" t="n">
        <v>-163</v>
      </c>
      <c r="AA519" s="28" t="n">
        <v>0.62</v>
      </c>
      <c r="AB519" s="28" t="n">
        <v>0.000228</v>
      </c>
      <c r="AC519" s="30" t="n">
        <v>-1</v>
      </c>
      <c r="AD519" s="24" t="inlineStr">
        <is>
          <t>2026-08-25T00:19:52.693830Z</t>
        </is>
      </c>
      <c r="AE519" s="31" t="inlineStr">
        <is>
          <t>Surface-blended Elo on Hard: Linda Fruhvirtova p=0.315 vs Polina Kudermetova. Executable ask 0.6200 (aec-wta-polkud-linfru-2026-08-24).</t>
        </is>
      </c>
      <c r="AF519" s="31" t="inlineStr">
        <is>
          <t>Surface-blended Elo model; singles only, WTA+ATP market coverage, not yet locked-holdout qualified -- promoted by explicit operator directive, not genuine walk-forward validation.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Linda Fruhvirtova</t>
        </is>
      </c>
      <c r="AQ519" s="24" t="inlineStr">
        <is>
          <t>Linda Fruhvirtova</t>
        </is>
      </c>
      <c r="AR519" s="24" t="inlineStr">
        <is>
          <t>Linda Fruhvirtova</t>
        </is>
      </c>
      <c r="AS519" s="24" t="inlineStr">
        <is>
          <t>Polina Kudermetova</t>
        </is>
      </c>
      <c r="AT519" s="24" t="inlineStr">
        <is>
          <t>Polina Kudermetova</t>
        </is>
      </c>
      <c r="AU519" s="24" t="inlineStr">
        <is>
          <t>Polina Kudermetova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d777da58446bc099047b154203518e2585ef1a678f613f2b430f2589f7bf5cff</t>
        </is>
      </c>
      <c r="BB519" s="24" t="inlineStr">
        <is>
          <t>surface_blended_elo</t>
        </is>
      </c>
      <c r="BC519" s="24" t="inlineStr">
        <is>
          <t>tennis-surface-elo-v1</t>
        </is>
      </c>
      <c r="BD519" s="24" t="inlineStr">
        <is>
          <t>d777da58446bc099047b154203518e2585ef1a678f613f2b430f2589f7bf5cff</t>
        </is>
      </c>
      <c r="BE519" s="24" t="inlineStr">
        <is>
          <t>tennis-surface-elo-v1</t>
        </is>
      </c>
      <c r="BF519" s="24" t="inlineStr">
        <is>
          <t>1</t>
        </is>
      </c>
      <c r="BG519" s="24" t="inlineStr">
        <is>
          <t>d777da58446bc099047b154203518e2585ef1a678f613f2b430f2589f7bf5cff</t>
        </is>
      </c>
      <c r="BH519" s="24" t="inlineStr">
        <is>
          <t>2026-08-24T18:07:57.919080Z</t>
        </is>
      </c>
      <c r="BI519" s="24" t="inlineStr">
        <is>
          <t>["same_event","same_team_same_day","same_league_same_day"]</t>
        </is>
      </c>
      <c r="BJ519" s="25" t="n"/>
      <c r="BK519" s="26" t="n">
        <v>-163</v>
      </c>
      <c r="BL519" s="27" t="n">
        <v>1.613497</v>
      </c>
      <c r="BM519" s="28" t="n">
        <v>0.619772</v>
      </c>
      <c r="BN519" s="28" t="n"/>
      <c r="BO519" s="28" t="n"/>
      <c r="BP519" s="25" t="n"/>
      <c r="BQ519" s="27" t="n">
        <v>1.613497</v>
      </c>
      <c r="BR519" s="28" t="n">
        <v>0.62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inlineStr">
        <is>
          <t>c9d866fe4a52b6d60697ed30f7609d271b301d522e37fd351435eb68b36a4ce4</t>
        </is>
      </c>
      <c r="DE519" s="24" t="inlineStr">
        <is>
          <t>/Users/vincentc9002/model-prediction/data/odds/tennis/2026-08-24/polymarket_snapshots.jsonl</t>
        </is>
      </c>
      <c r="DF519" s="24" t="inlineStr">
        <is>
          <t>506015:2026-08-24T18:07:57.919080Z</t>
        </is>
      </c>
      <c r="DG519" s="24" t="n"/>
      <c r="DH519" s="24" t="n"/>
      <c r="DI519" s="24" t="n"/>
      <c r="DJ519" s="24" t="inlineStr">
        <is>
          <t>0.619772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0f82f65ab4b9437f</t>
        </is>
      </c>
      <c r="B520" s="24" t="inlineStr">
        <is>
          <t>2026-08-24T18:08:56.901017Z</t>
        </is>
      </c>
      <c r="C520" s="24" t="inlineStr">
        <is>
          <t>2026-08-24T19:30Z</t>
        </is>
      </c>
      <c r="D520" s="24" t="inlineStr">
        <is>
          <t>189-2026:184723</t>
        </is>
      </c>
      <c r="E520" s="24" t="inlineStr">
        <is>
          <t>TENNIS</t>
        </is>
      </c>
      <c r="F520" s="24" t="inlineStr">
        <is>
          <t>Clervie Ngounoue</t>
        </is>
      </c>
      <c r="G520" s="24" t="inlineStr">
        <is>
          <t>Carson Branstine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138</v>
      </c>
      <c r="M520" s="27" t="n">
        <v>2.38</v>
      </c>
      <c r="N520" s="28" t="n">
        <v>0.420168</v>
      </c>
      <c r="O520" s="28" t="n">
        <v>0.6297</v>
      </c>
      <c r="P520" s="28" t="n">
        <v>0.05</v>
      </c>
      <c r="Q520" s="28" t="n">
        <v>0.209532</v>
      </c>
      <c r="R520" s="26" t="n">
        <v>100</v>
      </c>
      <c r="S520" s="29" t="n">
        <v>2</v>
      </c>
      <c r="T520" s="24" t="inlineStr">
        <is>
          <t>tennis-surface-elo-v1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138</v>
      </c>
      <c r="AA520" s="28" t="n">
        <v>0.42</v>
      </c>
      <c r="AB520" s="28" t="n">
        <v>-0.000168</v>
      </c>
      <c r="AC520" s="30" t="n">
        <v>2.76</v>
      </c>
      <c r="AD520" s="24" t="inlineStr">
        <is>
          <t>2026-08-25T00:19:54.400694Z</t>
        </is>
      </c>
      <c r="AE520" s="31" t="inlineStr">
        <is>
          <t>Surface-blended Elo on Hard: Clervie Ngounoue p=0.370 vs Carson Branstine. Executable ask 0.4200 (aec-wta-carbra-clengo-2026-08-24).</t>
        </is>
      </c>
      <c r="AF520" s="31" t="inlineStr">
        <is>
          <t>Surface-blended Elo model; singles only, WTA+ATP market coverage, not yet locked-holdout qualified -- promoted by explicit operator directive, not genuine walk-forward validation.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Clervie Ngounoue</t>
        </is>
      </c>
      <c r="AQ520" s="24" t="inlineStr">
        <is>
          <t>Clervie Ngounoue</t>
        </is>
      </c>
      <c r="AR520" s="24" t="inlineStr">
        <is>
          <t>Clervie Ngounoue</t>
        </is>
      </c>
      <c r="AS520" s="24" t="inlineStr">
        <is>
          <t>Carson Branstine</t>
        </is>
      </c>
      <c r="AT520" s="24" t="inlineStr">
        <is>
          <t>Carson Branstine</t>
        </is>
      </c>
      <c r="AU520" s="24" t="inlineStr">
        <is>
          <t>Carson Branstine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d777da58446bc099047b154203518e2585ef1a678f613f2b430f2589f7bf5cff</t>
        </is>
      </c>
      <c r="BB520" s="24" t="inlineStr">
        <is>
          <t>surface_blended_elo</t>
        </is>
      </c>
      <c r="BC520" s="24" t="inlineStr">
        <is>
          <t>tennis-surface-elo-v1</t>
        </is>
      </c>
      <c r="BD520" s="24" t="inlineStr">
        <is>
          <t>d777da58446bc099047b154203518e2585ef1a678f613f2b430f2589f7bf5cff</t>
        </is>
      </c>
      <c r="BE520" s="24" t="inlineStr">
        <is>
          <t>tennis-surface-elo-v1</t>
        </is>
      </c>
      <c r="BF520" s="24" t="inlineStr">
        <is>
          <t>1</t>
        </is>
      </c>
      <c r="BG520" s="24" t="inlineStr">
        <is>
          <t>d777da58446bc099047b154203518e2585ef1a678f613f2b430f2589f7bf5cff</t>
        </is>
      </c>
      <c r="BH520" s="24" t="inlineStr">
        <is>
          <t>2026-08-24T18:07:57.914118Z</t>
        </is>
      </c>
      <c r="BI520" s="24" t="inlineStr">
        <is>
          <t>["same_event","same_team_same_day","same_league_same_day"]</t>
        </is>
      </c>
      <c r="BJ520" s="25" t="n"/>
      <c r="BK520" s="26" t="n">
        <v>138</v>
      </c>
      <c r="BL520" s="27" t="n">
        <v>2.38</v>
      </c>
      <c r="BM520" s="28" t="n">
        <v>0.420168</v>
      </c>
      <c r="BN520" s="28" t="n"/>
      <c r="BO520" s="28" t="n"/>
      <c r="BP520" s="25" t="n"/>
      <c r="BQ520" s="27" t="n">
        <v>2.38</v>
      </c>
      <c r="BR520" s="28" t="n">
        <v>0.42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inlineStr">
        <is>
          <t>455afda77058be84717e78ac8473c75e985b7f066506e9e384fe299ae4bd1b1d</t>
        </is>
      </c>
      <c r="DE520" s="24" t="inlineStr">
        <is>
          <t>/Users/vincentc9002/model-prediction/data/odds/tennis/2026-08-24/polymarket_snapshots.jsonl</t>
        </is>
      </c>
      <c r="DF520" s="24" t="inlineStr">
        <is>
          <t>507405:2026-08-24T18:07:57.914118Z</t>
        </is>
      </c>
      <c r="DG520" s="24" t="n"/>
      <c r="DH520" s="24" t="n"/>
      <c r="DI520" s="24" t="n"/>
      <c r="DJ520" s="24" t="inlineStr">
        <is>
          <t>0.420168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2c768a2cf62f47cf</t>
        </is>
      </c>
      <c r="B521" s="24" t="inlineStr">
        <is>
          <t>2026-08-24T18:08:56.901017Z</t>
        </is>
      </c>
      <c r="C521" s="24" t="inlineStr">
        <is>
          <t>2026-08-24T19:45Z</t>
        </is>
      </c>
      <c r="D521" s="24" t="inlineStr">
        <is>
          <t>189-2026:184709</t>
        </is>
      </c>
      <c r="E521" s="24" t="inlineStr">
        <is>
          <t>TENNIS</t>
        </is>
      </c>
      <c r="F521" s="24" t="inlineStr">
        <is>
          <t>Akasha Urhobo</t>
        </is>
      </c>
      <c r="G521" s="24" t="inlineStr">
        <is>
          <t>Dominika Salkova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-186</v>
      </c>
      <c r="M521" s="27" t="n">
        <v>1.537634</v>
      </c>
      <c r="N521" s="28" t="n">
        <v>0.65035</v>
      </c>
      <c r="O521" s="28" t="n">
        <v>0.5856</v>
      </c>
      <c r="P521" s="28" t="n">
        <v>0.05</v>
      </c>
      <c r="Q521" s="28" t="n">
        <v>-0.06475</v>
      </c>
      <c r="R521" s="26" t="n">
        <v>0</v>
      </c>
      <c r="S521" s="29" t="n">
        <v>1</v>
      </c>
      <c r="T521" s="24" t="inlineStr">
        <is>
          <t>tennis-surface-elo-v1</t>
        </is>
      </c>
      <c r="U521" s="24" t="inlineStr">
        <is>
          <t>settled</t>
        </is>
      </c>
      <c r="V521" s="24" t="inlineStr">
        <is>
          <t>win</t>
        </is>
      </c>
      <c r="W521" s="26" t="n">
        <v>0</v>
      </c>
      <c r="X521" s="26" t="n">
        <v>1</v>
      </c>
      <c r="Y521" s="25" t="n"/>
      <c r="Z521" s="26" t="n">
        <v>-186</v>
      </c>
      <c r="AA521" s="28" t="n">
        <v>0.65</v>
      </c>
      <c r="AB521" s="28" t="n">
        <v>-0.00035</v>
      </c>
      <c r="AC521" s="30" t="n">
        <v>0.5376</v>
      </c>
      <c r="AD521" s="24" t="inlineStr">
        <is>
          <t>2026-08-25T01:12:47.789615Z</t>
        </is>
      </c>
      <c r="AE521" s="31" t="inlineStr">
        <is>
          <t>Surface-blended Elo on Hard: Akasha Urhobo p=0.414 vs Dominika Salkova. Executable ask 0.6500 (aec-wta-domsal-akaurh-2026-08-24).</t>
        </is>
      </c>
      <c r="AF521" s="31" t="inlineStr">
        <is>
          <t>Surface-blended Elo model; singles only, WTA+ATP market coverage, not yet locked-holdout qualified -- promoted by explicit operator directive, not genuine walk-forward validation.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Akasha Urhobo</t>
        </is>
      </c>
      <c r="AQ521" s="24" t="inlineStr">
        <is>
          <t>Akasha Urhobo</t>
        </is>
      </c>
      <c r="AR521" s="24" t="inlineStr">
        <is>
          <t>Akasha Urhobo</t>
        </is>
      </c>
      <c r="AS521" s="24" t="inlineStr">
        <is>
          <t>Dominika Salkova</t>
        </is>
      </c>
      <c r="AT521" s="24" t="inlineStr">
        <is>
          <t>Dominika Salkova</t>
        </is>
      </c>
      <c r="AU521" s="24" t="inlineStr">
        <is>
          <t>Dominika Salkova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d777da58446bc099047b154203518e2585ef1a678f613f2b430f2589f7bf5cff</t>
        </is>
      </c>
      <c r="BB521" s="24" t="inlineStr">
        <is>
          <t>surface_blended_elo</t>
        </is>
      </c>
      <c r="BC521" s="24" t="inlineStr">
        <is>
          <t>tennis-surface-elo-v1</t>
        </is>
      </c>
      <c r="BD521" s="24" t="inlineStr">
        <is>
          <t>d777da58446bc099047b154203518e2585ef1a678f613f2b430f2589f7bf5cff</t>
        </is>
      </c>
      <c r="BE521" s="24" t="inlineStr">
        <is>
          <t>tennis-surface-elo-v1</t>
        </is>
      </c>
      <c r="BF521" s="24" t="inlineStr">
        <is>
          <t>1</t>
        </is>
      </c>
      <c r="BG521" s="24" t="inlineStr">
        <is>
          <t>d777da58446bc099047b154203518e2585ef1a678f613f2b430f2589f7bf5cff</t>
        </is>
      </c>
      <c r="BH521" s="24" t="inlineStr">
        <is>
          <t>2026-08-24T18:07:57.908168Z</t>
        </is>
      </c>
      <c r="BI521" s="24" t="inlineStr">
        <is>
          <t>["same_event","same_team_same_day","same_league_same_day"]</t>
        </is>
      </c>
      <c r="BJ521" s="25" t="n"/>
      <c r="BK521" s="26" t="n">
        <v>-186</v>
      </c>
      <c r="BL521" s="27" t="n">
        <v>1.537634</v>
      </c>
      <c r="BM521" s="28" t="n">
        <v>0.65035</v>
      </c>
      <c r="BN521" s="28" t="n"/>
      <c r="BO521" s="28" t="n"/>
      <c r="BP521" s="25" t="n"/>
      <c r="BQ521" s="27" t="n">
        <v>1.537634</v>
      </c>
      <c r="BR521" s="28" t="n">
        <v>0.65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inlineStr">
        <is>
          <t>3052ff39ddcd725d884838c1b86831d21abf7a024567be7a7961852961293488</t>
        </is>
      </c>
      <c r="DE521" s="24" t="inlineStr">
        <is>
          <t>/Users/vincentc9002/model-prediction/data/odds/tennis/2026-08-24/polymarket_snapshots.jsonl</t>
        </is>
      </c>
      <c r="DF521" s="24" t="inlineStr">
        <is>
          <t>506017:2026-08-24T18:07:57.908168Z</t>
        </is>
      </c>
      <c r="DG521" s="24" t="n"/>
      <c r="DH521" s="24" t="n"/>
      <c r="DI521" s="24" t="n"/>
      <c r="DJ521" s="24" t="inlineStr">
        <is>
          <t>0.65035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72eefa8919354c89</t>
        </is>
      </c>
      <c r="B522" s="24" t="inlineStr">
        <is>
          <t>2026-08-24T18:08:56.901017Z</t>
        </is>
      </c>
      <c r="C522" s="24" t="inlineStr">
        <is>
          <t>2026-08-24T20:15Z</t>
        </is>
      </c>
      <c r="D522" s="24" t="inlineStr">
        <is>
          <t>189-2026:184702</t>
        </is>
      </c>
      <c r="E522" s="24" t="inlineStr">
        <is>
          <t>TENNIS</t>
        </is>
      </c>
      <c r="F522" s="24" t="inlineStr">
        <is>
          <t>Varvara Lepchenko</t>
        </is>
      </c>
      <c r="G522" s="24" t="inlineStr">
        <is>
          <t>Gabriela Knutson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-138</v>
      </c>
      <c r="M522" s="27" t="n">
        <v>1.724638</v>
      </c>
      <c r="N522" s="28" t="n">
        <v>0.579832</v>
      </c>
      <c r="O522" s="28" t="n">
        <v>0.5353</v>
      </c>
      <c r="P522" s="28" t="n">
        <v>0.05</v>
      </c>
      <c r="Q522" s="28" t="n">
        <v>-0.044532</v>
      </c>
      <c r="R522" s="26" t="n">
        <v>0</v>
      </c>
      <c r="S522" s="29" t="n">
        <v>1</v>
      </c>
      <c r="T522" s="24" t="inlineStr">
        <is>
          <t>tennis-surface-elo-v1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-138</v>
      </c>
      <c r="AA522" s="28" t="n">
        <v>0.58</v>
      </c>
      <c r="AB522" s="28" t="n">
        <v>0.000168</v>
      </c>
      <c r="AC522" s="30" t="n">
        <v>0.7246</v>
      </c>
      <c r="AD522" s="24" t="inlineStr">
        <is>
          <t>2026-08-25T00:19:56.111578Z</t>
        </is>
      </c>
      <c r="AE522" s="31" t="inlineStr">
        <is>
          <t>Surface-blended Elo on Hard: Varvara Lepchenko p=0.465 vs Gabriela Knutson. Executable ask 0.5800 (aec-wta-gabknu-varlep-2026-08-24).</t>
        </is>
      </c>
      <c r="AF522" s="31" t="inlineStr">
        <is>
          <t>Surface-blended Elo model; singles only, WTA+ATP market coverage, not yet locked-holdout qualified -- promoted by explicit operator directive, not genuine walk-forward validation.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Varvara Lepchenko</t>
        </is>
      </c>
      <c r="AQ522" s="24" t="inlineStr">
        <is>
          <t>Varvara Lepchenko</t>
        </is>
      </c>
      <c r="AR522" s="24" t="inlineStr">
        <is>
          <t>Varvara Lepchenko</t>
        </is>
      </c>
      <c r="AS522" s="24" t="inlineStr">
        <is>
          <t>Gabriela Knutson</t>
        </is>
      </c>
      <c r="AT522" s="24" t="inlineStr">
        <is>
          <t>Gabriela Knutson</t>
        </is>
      </c>
      <c r="AU522" s="24" t="inlineStr">
        <is>
          <t>Gabriela Knutson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d777da58446bc099047b154203518e2585ef1a678f613f2b430f2589f7bf5cff</t>
        </is>
      </c>
      <c r="BB522" s="24" t="inlineStr">
        <is>
          <t>surface_blended_elo</t>
        </is>
      </c>
      <c r="BC522" s="24" t="inlineStr">
        <is>
          <t>tennis-surface-elo-v1</t>
        </is>
      </c>
      <c r="BD522" s="24" t="inlineStr">
        <is>
          <t>d777da58446bc099047b154203518e2585ef1a678f613f2b430f2589f7bf5cff</t>
        </is>
      </c>
      <c r="BE522" s="24" t="inlineStr">
        <is>
          <t>tennis-surface-elo-v1</t>
        </is>
      </c>
      <c r="BF522" s="24" t="inlineStr">
        <is>
          <t>1</t>
        </is>
      </c>
      <c r="BG522" s="24" t="inlineStr">
        <is>
          <t>d777da58446bc099047b154203518e2585ef1a678f613f2b430f2589f7bf5cff</t>
        </is>
      </c>
      <c r="BH522" s="24" t="inlineStr">
        <is>
          <t>2026-08-24T18:07:57.918130Z</t>
        </is>
      </c>
      <c r="BI522" s="24" t="inlineStr">
        <is>
          <t>["same_event","same_team_same_day","same_league_same_day"]</t>
        </is>
      </c>
      <c r="BJ522" s="25" t="n"/>
      <c r="BK522" s="26" t="n">
        <v>-138</v>
      </c>
      <c r="BL522" s="27" t="n">
        <v>1.724638</v>
      </c>
      <c r="BM522" s="28" t="n">
        <v>0.579832</v>
      </c>
      <c r="BN522" s="28" t="n"/>
      <c r="BO522" s="28" t="n"/>
      <c r="BP522" s="25" t="n"/>
      <c r="BQ522" s="27" t="n">
        <v>1.724638</v>
      </c>
      <c r="BR522" s="28" t="n">
        <v>0.58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inlineStr">
        <is>
          <t>eac20b4efa9af4fe0b014abb329bcd6d82bbeee6ed562f502340e791c91dd7e1</t>
        </is>
      </c>
      <c r="DE522" s="24" t="inlineStr">
        <is>
          <t>/Users/vincentc9002/model-prediction/data/odds/tennis/2026-08-24/polymarket_snapshots.jsonl</t>
        </is>
      </c>
      <c r="DF522" s="24" t="inlineStr">
        <is>
          <t>506019:2026-08-24T18:07:57.918130Z</t>
        </is>
      </c>
      <c r="DG522" s="24" t="n"/>
      <c r="DH522" s="24" t="n"/>
      <c r="DI522" s="24" t="n"/>
      <c r="DJ522" s="24" t="inlineStr">
        <is>
          <t>0.579832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4e2eed80aec84f49</t>
        </is>
      </c>
      <c r="B523" s="24" t="inlineStr">
        <is>
          <t>2026-08-24T18:08:56.901017Z</t>
        </is>
      </c>
      <c r="C523" s="24" t="inlineStr">
        <is>
          <t>2026-08-24T19:30Z</t>
        </is>
      </c>
      <c r="D523" s="24" t="inlineStr">
        <is>
          <t>189-2026:184619</t>
        </is>
      </c>
      <c r="E523" s="24" t="inlineStr">
        <is>
          <t>TENNIS</t>
        </is>
      </c>
      <c r="F523" s="24" t="inlineStr">
        <is>
          <t>Felipe Meligeni Alves</t>
        </is>
      </c>
      <c r="G523" s="24" t="inlineStr">
        <is>
          <t>Dalibor Svrcina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-355</v>
      </c>
      <c r="M523" s="27" t="n">
        <v>1.28169</v>
      </c>
      <c r="N523" s="28" t="n">
        <v>0.78022</v>
      </c>
      <c r="O523" s="28" t="n">
        <v>0.5557</v>
      </c>
      <c r="P523" s="28" t="n">
        <v>0.05</v>
      </c>
      <c r="Q523" s="28" t="n">
        <v>-0.22452</v>
      </c>
      <c r="R523" s="26" t="n">
        <v>0</v>
      </c>
      <c r="S523" s="29" t="n">
        <v>1</v>
      </c>
      <c r="T523" s="24" t="inlineStr">
        <is>
          <t>tennis-surface-elo-v1</t>
        </is>
      </c>
      <c r="U523" s="24" t="inlineStr">
        <is>
          <t>settled</t>
        </is>
      </c>
      <c r="V523" s="24" t="inlineStr">
        <is>
          <t>win</t>
        </is>
      </c>
      <c r="W523" s="26" t="n">
        <v>0</v>
      </c>
      <c r="X523" s="26" t="n">
        <v>1</v>
      </c>
      <c r="Y523" s="25" t="n"/>
      <c r="Z523" s="26" t="n">
        <v>-355</v>
      </c>
      <c r="AA523" s="28" t="n">
        <v>0.78</v>
      </c>
      <c r="AB523" s="28" t="n">
        <v>-0.00022</v>
      </c>
      <c r="AC523" s="30" t="n">
        <v>0.2817</v>
      </c>
      <c r="AD523" s="24" t="inlineStr">
        <is>
          <t>2026-08-25T00:19:58.284953Z</t>
        </is>
      </c>
      <c r="AE523" s="31" t="inlineStr">
        <is>
          <t>Surface-blended Elo on Hard: Felipe Meligeni Alves p=0.444 vs Dalibor Svrcina. Executable ask 0.7800 (aec-atp-dalsvr-felalv-2026-08-24).</t>
        </is>
      </c>
      <c r="AF523" s="31" t="inlineStr">
        <is>
          <t>Surface-blended Elo model; singles only, WTA+ATP market coverage, not yet locked-holdout qualified -- promoted by explicit operator directive, not genuine walk-forward validation.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Felipe Meligeni Alves</t>
        </is>
      </c>
      <c r="AQ523" s="24" t="inlineStr">
        <is>
          <t>Felipe Meligeni Alves</t>
        </is>
      </c>
      <c r="AR523" s="24" t="inlineStr">
        <is>
          <t>Felipe Meligeni Alves</t>
        </is>
      </c>
      <c r="AS523" s="24" t="inlineStr">
        <is>
          <t>Dalibor Svrcina</t>
        </is>
      </c>
      <c r="AT523" s="24" t="inlineStr">
        <is>
          <t>Dalibor Svrcina</t>
        </is>
      </c>
      <c r="AU523" s="24" t="inlineStr">
        <is>
          <t>Dalibor Svrcina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d777da58446bc099047b154203518e2585ef1a678f613f2b430f2589f7bf5cff</t>
        </is>
      </c>
      <c r="BB523" s="24" t="inlineStr">
        <is>
          <t>surface_blended_elo</t>
        </is>
      </c>
      <c r="BC523" s="24" t="inlineStr">
        <is>
          <t>tennis-surface-elo-v1</t>
        </is>
      </c>
      <c r="BD523" s="24" t="inlineStr">
        <is>
          <t>d777da58446bc099047b154203518e2585ef1a678f613f2b430f2589f7bf5cff</t>
        </is>
      </c>
      <c r="BE523" s="24" t="inlineStr">
        <is>
          <t>tennis-surface-elo-v1</t>
        </is>
      </c>
      <c r="BF523" s="24" t="inlineStr">
        <is>
          <t>1</t>
        </is>
      </c>
      <c r="BG523" s="24" t="inlineStr">
        <is>
          <t>d777da58446bc099047b154203518e2585ef1a678f613f2b430f2589f7bf5cff</t>
        </is>
      </c>
      <c r="BH523" s="24" t="inlineStr">
        <is>
          <t>2026-08-24T18:08:01.909339Z</t>
        </is>
      </c>
      <c r="BI523" s="24" t="inlineStr">
        <is>
          <t>["same_event","same_team_same_day","same_league_same_day"]</t>
        </is>
      </c>
      <c r="BJ523" s="25" t="n"/>
      <c r="BK523" s="26" t="n">
        <v>-355</v>
      </c>
      <c r="BL523" s="27" t="n">
        <v>1.28169</v>
      </c>
      <c r="BM523" s="28" t="n">
        <v>0.78022</v>
      </c>
      <c r="BN523" s="28" t="n"/>
      <c r="BO523" s="28" t="n"/>
      <c r="BP523" s="25" t="n"/>
      <c r="BQ523" s="27" t="n">
        <v>1.28169</v>
      </c>
      <c r="BR523" s="28" t="n">
        <v>0.78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inlineStr">
        <is>
          <t>c149abf0c9cbc772091e87e37164f05a5f6a566a8fbdb57a324b96cad2ebb07b</t>
        </is>
      </c>
      <c r="DE523" s="24" t="inlineStr">
        <is>
          <t>/Users/vincentc9002/model-prediction/data/odds/tennis/2026-08-24/polymarket_snapshots.jsonl</t>
        </is>
      </c>
      <c r="DF523" s="24" t="inlineStr">
        <is>
          <t>506041:2026-08-24T18:08:01.909339Z</t>
        </is>
      </c>
      <c r="DG523" s="24" t="n"/>
      <c r="DH523" s="24" t="n"/>
      <c r="DI523" s="24" t="n"/>
      <c r="DJ523" s="24" t="inlineStr">
        <is>
          <t>0.78022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37fb8f08917f4b09</t>
        </is>
      </c>
      <c r="B524" s="24" t="inlineStr">
        <is>
          <t>2026-08-24T18:08:56.901017Z</t>
        </is>
      </c>
      <c r="C524" s="24" t="inlineStr">
        <is>
          <t>2026-08-24T19:30Z</t>
        </is>
      </c>
      <c r="D524" s="24" t="inlineStr">
        <is>
          <t>189-2026:184627</t>
        </is>
      </c>
      <c r="E524" s="24" t="inlineStr">
        <is>
          <t>TENNIS</t>
        </is>
      </c>
      <c r="F524" s="24" t="inlineStr">
        <is>
          <t>Thiago Seyboth Wild</t>
        </is>
      </c>
      <c r="G524" s="24" t="inlineStr">
        <is>
          <t>Raul Brancaccio</t>
        </is>
      </c>
      <c r="H524" s="24" t="inlineStr">
        <is>
          <t>moneyline</t>
        </is>
      </c>
      <c r="I524" s="24" t="inlineStr">
        <is>
          <t>away</t>
        </is>
      </c>
      <c r="J524" s="25" t="n"/>
      <c r="K524" s="24" t="inlineStr">
        <is>
          <t>polymarket_us</t>
        </is>
      </c>
      <c r="L524" s="26" t="n">
        <v>-170</v>
      </c>
      <c r="M524" s="27" t="n">
        <v>1.588235</v>
      </c>
      <c r="N524" s="28" t="n">
        <v>0.62963</v>
      </c>
      <c r="O524" s="28" t="n">
        <v>0.5465</v>
      </c>
      <c r="P524" s="28" t="n">
        <v>0.05</v>
      </c>
      <c r="Q524" s="28" t="n">
        <v>-0.08313</v>
      </c>
      <c r="R524" s="26" t="n">
        <v>0</v>
      </c>
      <c r="S524" s="29" t="n">
        <v>1</v>
      </c>
      <c r="T524" s="24" t="inlineStr">
        <is>
          <t>tennis-surface-elo-v1</t>
        </is>
      </c>
      <c r="U524" s="24" t="inlineStr">
        <is>
          <t>settled</t>
        </is>
      </c>
      <c r="V524" s="24" t="inlineStr">
        <is>
          <t>win</t>
        </is>
      </c>
      <c r="W524" s="26" t="n">
        <v>1</v>
      </c>
      <c r="X524" s="26" t="n">
        <v>0</v>
      </c>
      <c r="Y524" s="25" t="n"/>
      <c r="Z524" s="26" t="n">
        <v>-170</v>
      </c>
      <c r="AA524" s="28" t="n">
        <v>0.63</v>
      </c>
      <c r="AB524" s="28" t="n">
        <v>0.00037</v>
      </c>
      <c r="AC524" s="30" t="n">
        <v>0.5881999999999999</v>
      </c>
      <c r="AD524" s="24" t="inlineStr">
        <is>
          <t>2026-08-25T00:20:00.369280Z</t>
        </is>
      </c>
      <c r="AE524" s="31" t="inlineStr">
        <is>
          <t>Surface-blended Elo on Hard: Thiago Seyboth Wild p=0.547 vs Raul Brancaccio. Executable ask 0.6300 (aec-atp-raubra-thiwil-2026-08-24).</t>
        </is>
      </c>
      <c r="AF524" s="31" t="inlineStr">
        <is>
          <t>Surface-blended Elo model; singles only, WTA+ATP market coverage, not yet locked-holdout qualified -- promoted by explicit operator directive, not genuine walk-forward validation.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PAPER_CALL_MODEL_UNVALIDATED</t>
        </is>
      </c>
      <c r="AP524" s="24" t="inlineStr">
        <is>
          <t>Thiago Seyboth Wild</t>
        </is>
      </c>
      <c r="AQ524" s="24" t="inlineStr">
        <is>
          <t>Thiago Seyboth Wild</t>
        </is>
      </c>
      <c r="AR524" s="24" t="inlineStr">
        <is>
          <t>Thiago Seyboth Wild</t>
        </is>
      </c>
      <c r="AS524" s="24" t="inlineStr">
        <is>
          <t>Raul Brancaccio</t>
        </is>
      </c>
      <c r="AT524" s="24" t="inlineStr">
        <is>
          <t>Raul Brancaccio</t>
        </is>
      </c>
      <c r="AU524" s="24" t="inlineStr">
        <is>
          <t>Raul Brancaccio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d777da58446bc099047b154203518e2585ef1a678f613f2b430f2589f7bf5cff</t>
        </is>
      </c>
      <c r="BB524" s="24" t="inlineStr">
        <is>
          <t>surface_blended_elo</t>
        </is>
      </c>
      <c r="BC524" s="24" t="inlineStr">
        <is>
          <t>tennis-surface-elo-v1</t>
        </is>
      </c>
      <c r="BD524" s="24" t="inlineStr">
        <is>
          <t>d777da58446bc099047b154203518e2585ef1a678f613f2b430f2589f7bf5cff</t>
        </is>
      </c>
      <c r="BE524" s="24" t="inlineStr">
        <is>
          <t>tennis-surface-elo-v1</t>
        </is>
      </c>
      <c r="BF524" s="24" t="inlineStr">
        <is>
          <t>1</t>
        </is>
      </c>
      <c r="BG524" s="24" t="inlineStr">
        <is>
          <t>d777da58446bc099047b154203518e2585ef1a678f613f2b430f2589f7bf5cff</t>
        </is>
      </c>
      <c r="BH524" s="24" t="inlineStr">
        <is>
          <t>2026-08-24T18:08:02.387027Z</t>
        </is>
      </c>
      <c r="BI524" s="24" t="inlineStr">
        <is>
          <t>["same_event","same_team_same_day","same_league_same_day"]</t>
        </is>
      </c>
      <c r="BJ524" s="25" t="n"/>
      <c r="BK524" s="26" t="n">
        <v>-170</v>
      </c>
      <c r="BL524" s="27" t="n">
        <v>1.588235</v>
      </c>
      <c r="BM524" s="28" t="n">
        <v>0.62963</v>
      </c>
      <c r="BN524" s="28" t="n"/>
      <c r="BO524" s="28" t="n"/>
      <c r="BP524" s="25" t="n"/>
      <c r="BQ524" s="27" t="n">
        <v>1.588235</v>
      </c>
      <c r="BR524" s="28" t="n">
        <v>0.63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inlineStr">
        <is>
          <t>4a05d6f1ee0160c2e2f09f83036214da3c05f3feb15152b4b8489e099dcaf869</t>
        </is>
      </c>
      <c r="DE524" s="24" t="inlineStr">
        <is>
          <t>/Users/vincentc9002/model-prediction/data/odds/tennis/2026-08-24/polymarket_snapshots.jsonl</t>
        </is>
      </c>
      <c r="DF524" s="24" t="inlineStr">
        <is>
          <t>506046:2026-08-24T18:08:02.387027Z</t>
        </is>
      </c>
      <c r="DG524" s="24" t="n"/>
      <c r="DH524" s="24" t="n"/>
      <c r="DI524" s="24" t="n"/>
      <c r="DJ524" s="24" t="inlineStr">
        <is>
          <t>0.62963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0f431ed1fd604cd4</t>
        </is>
      </c>
      <c r="B525" s="24" t="inlineStr">
        <is>
          <t>2026-08-24T18:08:56.901017Z</t>
        </is>
      </c>
      <c r="C525" s="24" t="inlineStr">
        <is>
          <t>2026-08-24T19:30Z</t>
        </is>
      </c>
      <c r="D525" s="24" t="inlineStr">
        <is>
          <t>189-2026:184628</t>
        </is>
      </c>
      <c r="E525" s="24" t="inlineStr">
        <is>
          <t>TENNIS</t>
        </is>
      </c>
      <c r="F525" s="24" t="inlineStr">
        <is>
          <t>Mackenzie McDonald</t>
        </is>
      </c>
      <c r="G525" s="24" t="inlineStr">
        <is>
          <t>Stefano Napolitano</t>
        </is>
      </c>
      <c r="H525" s="24" t="inlineStr">
        <is>
          <t>moneyline</t>
        </is>
      </c>
      <c r="I525" s="24" t="inlineStr">
        <is>
          <t>away</t>
        </is>
      </c>
      <c r="J525" s="25" t="n"/>
      <c r="K525" s="24" t="inlineStr">
        <is>
          <t>polymarket_us</t>
        </is>
      </c>
      <c r="L525" s="26" t="n">
        <v>-400</v>
      </c>
      <c r="M525" s="27" t="n">
        <v>1.25</v>
      </c>
      <c r="N525" s="28" t="n">
        <v>0.8</v>
      </c>
      <c r="O525" s="28" t="n">
        <v>0.5839</v>
      </c>
      <c r="P525" s="28" t="n">
        <v>0.05</v>
      </c>
      <c r="Q525" s="28" t="n">
        <v>-0.2161</v>
      </c>
      <c r="R525" s="26" t="n">
        <v>0</v>
      </c>
      <c r="S525" s="29" t="n">
        <v>1</v>
      </c>
      <c r="T525" s="24" t="inlineStr">
        <is>
          <t>tennis-surface-elo-v1</t>
        </is>
      </c>
      <c r="U525" s="24" t="inlineStr">
        <is>
          <t>settled</t>
        </is>
      </c>
      <c r="V525" s="24" t="inlineStr">
        <is>
          <t>win</t>
        </is>
      </c>
      <c r="W525" s="26" t="n">
        <v>1</v>
      </c>
      <c r="X525" s="26" t="n">
        <v>0</v>
      </c>
      <c r="Y525" s="25" t="n"/>
      <c r="Z525" s="26" t="n">
        <v>-400</v>
      </c>
      <c r="AA525" s="28" t="n">
        <v>0.8</v>
      </c>
      <c r="AB525" s="28" t="n">
        <v>0</v>
      </c>
      <c r="AC525" s="30" t="n">
        <v>0.25</v>
      </c>
      <c r="AD525" s="24" t="inlineStr">
        <is>
          <t>2026-08-25T00:20:02.626703Z</t>
        </is>
      </c>
      <c r="AE525" s="31" t="inlineStr">
        <is>
          <t>Surface-blended Elo on Hard: Mackenzie McDonald p=0.584 vs Stefano Napolitano. Executable ask 0.8000 (aec-atp-stenap-macmcd-2026-08-24).</t>
        </is>
      </c>
      <c r="AF525" s="31" t="inlineStr">
        <is>
          <t>Surface-blended Elo model; singles only, WTA+ATP market coverage, not yet locked-holdout qualified -- promoted by explicit operator directive, not genuine walk-forward validation.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Mackenzie McDonald</t>
        </is>
      </c>
      <c r="AQ525" s="24" t="inlineStr">
        <is>
          <t>Mackenzie McDonald</t>
        </is>
      </c>
      <c r="AR525" s="24" t="inlineStr">
        <is>
          <t>Mackenzie McDonald</t>
        </is>
      </c>
      <c r="AS525" s="24" t="inlineStr">
        <is>
          <t>Stefano Napolitano</t>
        </is>
      </c>
      <c r="AT525" s="24" t="inlineStr">
        <is>
          <t>Stefano Napolitano</t>
        </is>
      </c>
      <c r="AU525" s="24" t="inlineStr">
        <is>
          <t>Stefano Napolitano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d777da58446bc099047b154203518e2585ef1a678f613f2b430f2589f7bf5cff</t>
        </is>
      </c>
      <c r="BB525" s="24" t="inlineStr">
        <is>
          <t>surface_blended_elo</t>
        </is>
      </c>
      <c r="BC525" s="24" t="inlineStr">
        <is>
          <t>tennis-surface-elo-v1</t>
        </is>
      </c>
      <c r="BD525" s="24" t="inlineStr">
        <is>
          <t>d777da58446bc099047b154203518e2585ef1a678f613f2b430f2589f7bf5cff</t>
        </is>
      </c>
      <c r="BE525" s="24" t="inlineStr">
        <is>
          <t>tennis-surface-elo-v1</t>
        </is>
      </c>
      <c r="BF525" s="24" t="inlineStr">
        <is>
          <t>1</t>
        </is>
      </c>
      <c r="BG525" s="24" t="inlineStr">
        <is>
          <t>d777da58446bc099047b154203518e2585ef1a678f613f2b430f2589f7bf5cff</t>
        </is>
      </c>
      <c r="BH525" s="24" t="inlineStr">
        <is>
          <t>2026-08-24T18:08:02.594133Z</t>
        </is>
      </c>
      <c r="BI525" s="24" t="inlineStr">
        <is>
          <t>["same_event","same_team_same_day","same_league_same_day"]</t>
        </is>
      </c>
      <c r="BJ525" s="25" t="n"/>
      <c r="BK525" s="26" t="n">
        <v>-400</v>
      </c>
      <c r="BL525" s="27" t="n">
        <v>1.25</v>
      </c>
      <c r="BM525" s="28" t="n">
        <v>0.8</v>
      </c>
      <c r="BN525" s="28" t="n"/>
      <c r="BO525" s="28" t="n"/>
      <c r="BP525" s="25" t="n"/>
      <c r="BQ525" s="27" t="n">
        <v>1.25</v>
      </c>
      <c r="BR525" s="28" t="n">
        <v>0.8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inlineStr">
        <is>
          <t>73c3977e55bfd29e0af9d009bd99a4b700fe8e83a935a826732d89dfe45bb0ec</t>
        </is>
      </c>
      <c r="DE525" s="24" t="inlineStr">
        <is>
          <t>/Users/vincentc9002/model-prediction/data/odds/tennis/2026-08-24/polymarket_snapshots.jsonl</t>
        </is>
      </c>
      <c r="DF525" s="24" t="inlineStr">
        <is>
          <t>506049:2026-08-24T18:08:02.594133Z</t>
        </is>
      </c>
      <c r="DG525" s="24" t="n"/>
      <c r="DH525" s="24" t="n"/>
      <c r="DI525" s="24" t="n"/>
      <c r="DJ525" s="24" t="inlineStr">
        <is>
          <t>0.8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f148ce2f98a3472f</t>
        </is>
      </c>
      <c r="B526" s="24" t="inlineStr">
        <is>
          <t>2026-08-24T18:08:56.901017Z</t>
        </is>
      </c>
      <c r="C526" s="24" t="inlineStr">
        <is>
          <t>2026-08-24T19:30Z</t>
        </is>
      </c>
      <c r="D526" s="24" t="inlineStr">
        <is>
          <t>189-2026:184644</t>
        </is>
      </c>
      <c r="E526" s="24" t="inlineStr">
        <is>
          <t>TENNIS</t>
        </is>
      </c>
      <c r="F526" s="24" t="inlineStr">
        <is>
          <t>Felix Gill</t>
        </is>
      </c>
      <c r="G526" s="24" t="inlineStr">
        <is>
          <t>Francesco Passaro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-117</v>
      </c>
      <c r="M526" s="27" t="n">
        <v>1.854701</v>
      </c>
      <c r="N526" s="28" t="n">
        <v>0.539171</v>
      </c>
      <c r="O526" s="28" t="n">
        <v>0.6147</v>
      </c>
      <c r="P526" s="28" t="n">
        <v>0.05</v>
      </c>
      <c r="Q526" s="28" t="n">
        <v>0.075529</v>
      </c>
      <c r="R526" s="26" t="n">
        <v>58</v>
      </c>
      <c r="S526" s="29" t="n">
        <v>1.25</v>
      </c>
      <c r="T526" s="24" t="inlineStr">
        <is>
          <t>tennis-surface-elo-v1</t>
        </is>
      </c>
      <c r="U526" s="24" t="inlineStr">
        <is>
          <t>settled</t>
        </is>
      </c>
      <c r="V526" s="24" t="inlineStr">
        <is>
          <t>win</t>
        </is>
      </c>
      <c r="W526" s="26" t="n">
        <v>0</v>
      </c>
      <c r="X526" s="26" t="n">
        <v>1</v>
      </c>
      <c r="Y526" s="25" t="n"/>
      <c r="Z526" s="26" t="n">
        <v>-117</v>
      </c>
      <c r="AA526" s="28" t="n">
        <v>0.54</v>
      </c>
      <c r="AB526" s="28" t="n">
        <v>0.000829</v>
      </c>
      <c r="AC526" s="30" t="n">
        <v>1.0684</v>
      </c>
      <c r="AD526" s="24" t="inlineStr">
        <is>
          <t>2026-08-25T00:20:04.719328Z</t>
        </is>
      </c>
      <c r="AE526" s="31" t="inlineStr">
        <is>
          <t>Surface-blended Elo on Hard: Felix Gill p=0.385 vs Francesco Passaro. Executable ask 0.5400 (aec-atp-frapas-felgil-2026-08-24).</t>
        </is>
      </c>
      <c r="AF526" s="31" t="inlineStr">
        <is>
          <t>Surface-blended Elo model; singles only, WTA+ATP market coverage, not yet locked-holdout qualified -- promoted by explicit operator directive, not genuine walk-forward validation.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PAPER_CALL_MODEL_UNVALIDATED</t>
        </is>
      </c>
      <c r="AP526" s="24" t="inlineStr">
        <is>
          <t>Felix Gill</t>
        </is>
      </c>
      <c r="AQ526" s="24" t="inlineStr">
        <is>
          <t>Felix Gill</t>
        </is>
      </c>
      <c r="AR526" s="24" t="inlineStr">
        <is>
          <t>Felix Gill</t>
        </is>
      </c>
      <c r="AS526" s="24" t="inlineStr">
        <is>
          <t>Francesco Passaro</t>
        </is>
      </c>
      <c r="AT526" s="24" t="inlineStr">
        <is>
          <t>Francesco Passaro</t>
        </is>
      </c>
      <c r="AU526" s="24" t="inlineStr">
        <is>
          <t>Francesco Passaro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d777da58446bc099047b154203518e2585ef1a678f613f2b430f2589f7bf5cff</t>
        </is>
      </c>
      <c r="BB526" s="24" t="inlineStr">
        <is>
          <t>surface_blended_elo</t>
        </is>
      </c>
      <c r="BC526" s="24" t="inlineStr">
        <is>
          <t>tennis-surface-elo-v1</t>
        </is>
      </c>
      <c r="BD526" s="24" t="inlineStr">
        <is>
          <t>d777da58446bc099047b154203518e2585ef1a678f613f2b430f2589f7bf5cff</t>
        </is>
      </c>
      <c r="BE526" s="24" t="inlineStr">
        <is>
          <t>tennis-surface-elo-v1</t>
        </is>
      </c>
      <c r="BF526" s="24" t="inlineStr">
        <is>
          <t>1</t>
        </is>
      </c>
      <c r="BG526" s="24" t="inlineStr">
        <is>
          <t>d777da58446bc099047b154203518e2585ef1a678f613f2b430f2589f7bf5cff</t>
        </is>
      </c>
      <c r="BH526" s="24" t="inlineStr">
        <is>
          <t>2026-08-24T18:08:02.774210Z</t>
        </is>
      </c>
      <c r="BI526" s="24" t="inlineStr">
        <is>
          <t>["same_event","same_team_same_day","same_league_same_day"]</t>
        </is>
      </c>
      <c r="BJ526" s="25" t="n"/>
      <c r="BK526" s="26" t="n">
        <v>-117</v>
      </c>
      <c r="BL526" s="27" t="n">
        <v>1.854701</v>
      </c>
      <c r="BM526" s="28" t="n">
        <v>0.539171</v>
      </c>
      <c r="BN526" s="28" t="n"/>
      <c r="BO526" s="28" t="n"/>
      <c r="BP526" s="25" t="n"/>
      <c r="BQ526" s="27" t="n">
        <v>1.854701</v>
      </c>
      <c r="BR526" s="28" t="n">
        <v>0.54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inlineStr">
        <is>
          <t>ae75378cec37085a815763a56621972a3fb2d159fd0ca4e5cf961e723e5a6b0b</t>
        </is>
      </c>
      <c r="DE526" s="24" t="inlineStr">
        <is>
          <t>/Users/vincentc9002/model-prediction/data/odds/tennis/2026-08-24/polymarket_snapshots.jsonl</t>
        </is>
      </c>
      <c r="DF526" s="24" t="inlineStr">
        <is>
          <t>506035:2026-08-24T18:08:02.774210Z</t>
        </is>
      </c>
      <c r="DG526" s="24" t="n"/>
      <c r="DH526" s="24" t="n"/>
      <c r="DI526" s="24" t="n"/>
      <c r="DJ526" s="24" t="inlineStr">
        <is>
          <t>0.539171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913c2fdbd22f4ec0</t>
        </is>
      </c>
      <c r="B527" s="24" t="inlineStr">
        <is>
          <t>2026-08-24T18:08:56.901017Z</t>
        </is>
      </c>
      <c r="C527" s="24" t="inlineStr">
        <is>
          <t>2026-08-24T19:40Z</t>
        </is>
      </c>
      <c r="D527" s="24" t="inlineStr">
        <is>
          <t>189-2026:184625</t>
        </is>
      </c>
      <c r="E527" s="24" t="inlineStr">
        <is>
          <t>TENNIS</t>
        </is>
      </c>
      <c r="F527" s="24" t="inlineStr">
        <is>
          <t>Alexis Galarneau</t>
        </is>
      </c>
      <c r="G527" s="24" t="inlineStr">
        <is>
          <t>Keegan Smith</t>
        </is>
      </c>
      <c r="H527" s="24" t="inlineStr">
        <is>
          <t>moneyline</t>
        </is>
      </c>
      <c r="I527" s="24" t="inlineStr">
        <is>
          <t>home</t>
        </is>
      </c>
      <c r="J527" s="25" t="n"/>
      <c r="K527" s="24" t="inlineStr">
        <is>
          <t>polymarket_us</t>
        </is>
      </c>
      <c r="L527" s="26" t="n">
        <v>138</v>
      </c>
      <c r="M527" s="27" t="n">
        <v>2.38</v>
      </c>
      <c r="N527" s="28" t="n">
        <v>0.420168</v>
      </c>
      <c r="O527" s="28" t="n">
        <v>0.5272</v>
      </c>
      <c r="P527" s="28" t="n">
        <v>0.05</v>
      </c>
      <c r="Q527" s="28" t="n">
        <v>0.107032</v>
      </c>
      <c r="R527" s="26" t="n">
        <v>74</v>
      </c>
      <c r="S527" s="29" t="n">
        <v>1.5</v>
      </c>
      <c r="T527" s="24" t="inlineStr">
        <is>
          <t>tennis-surface-elo-v1</t>
        </is>
      </c>
      <c r="U527" s="24" t="inlineStr">
        <is>
          <t>settled</t>
        </is>
      </c>
      <c r="V527" s="24" t="inlineStr">
        <is>
          <t>loss</t>
        </is>
      </c>
      <c r="W527" s="26" t="n">
        <v>1</v>
      </c>
      <c r="X527" s="26" t="n">
        <v>0</v>
      </c>
      <c r="Y527" s="25" t="n"/>
      <c r="Z527" s="26" t="n">
        <v>138</v>
      </c>
      <c r="AA527" s="28" t="n">
        <v>0.42</v>
      </c>
      <c r="AB527" s="28" t="n">
        <v>-0.000168</v>
      </c>
      <c r="AC527" s="30" t="n">
        <v>-1.5</v>
      </c>
      <c r="AD527" s="24" t="inlineStr">
        <is>
          <t>2026-08-25T00:20:06.991522Z</t>
        </is>
      </c>
      <c r="AE527" s="31" t="inlineStr">
        <is>
          <t>Surface-blended Elo on Hard: Alexis Galarneau p=0.473 vs Keegan Smith. Executable ask 0.4200 (aec-atp-keesmi-alegal-2026-08-24).</t>
        </is>
      </c>
      <c r="AF527" s="31" t="inlineStr">
        <is>
          <t>Surface-blended Elo model; singles only, WTA+ATP market coverage, not yet locked-holdout qualified -- promoted by explicit operator directive, not genuine walk-forward validation.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PAPER_CALL_MODEL_UNVALIDATED</t>
        </is>
      </c>
      <c r="AP527" s="24" t="inlineStr">
        <is>
          <t>Alexis Galarneau</t>
        </is>
      </c>
      <c r="AQ527" s="24" t="inlineStr">
        <is>
          <t>Alexis Galarneau</t>
        </is>
      </c>
      <c r="AR527" s="24" t="inlineStr">
        <is>
          <t>Alexis Galarneau</t>
        </is>
      </c>
      <c r="AS527" s="24" t="inlineStr">
        <is>
          <t>Keegan Smith</t>
        </is>
      </c>
      <c r="AT527" s="24" t="inlineStr">
        <is>
          <t>Keegan Smith</t>
        </is>
      </c>
      <c r="AU527" s="24" t="inlineStr">
        <is>
          <t>Keegan Smith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d777da58446bc099047b154203518e2585ef1a678f613f2b430f2589f7bf5cff</t>
        </is>
      </c>
      <c r="BB527" s="24" t="inlineStr">
        <is>
          <t>surface_blended_elo</t>
        </is>
      </c>
      <c r="BC527" s="24" t="inlineStr">
        <is>
          <t>tennis-surface-elo-v1</t>
        </is>
      </c>
      <c r="BD527" s="24" t="inlineStr">
        <is>
          <t>d777da58446bc099047b154203518e2585ef1a678f613f2b430f2589f7bf5cff</t>
        </is>
      </c>
      <c r="BE527" s="24" t="inlineStr">
        <is>
          <t>tennis-surface-elo-v1</t>
        </is>
      </c>
      <c r="BF527" s="24" t="inlineStr">
        <is>
          <t>1</t>
        </is>
      </c>
      <c r="BG527" s="24" t="inlineStr">
        <is>
          <t>d777da58446bc099047b154203518e2585ef1a678f613f2b430f2589f7bf5cff</t>
        </is>
      </c>
      <c r="BH527" s="24" t="inlineStr">
        <is>
          <t>2026-08-24T18:08:02.475373Z</t>
        </is>
      </c>
      <c r="BI527" s="24" t="inlineStr">
        <is>
          <t>["same_event","same_team_same_day","same_league_same_day"]</t>
        </is>
      </c>
      <c r="BJ527" s="25" t="n"/>
      <c r="BK527" s="26" t="n">
        <v>138</v>
      </c>
      <c r="BL527" s="27" t="n">
        <v>2.38</v>
      </c>
      <c r="BM527" s="28" t="n">
        <v>0.420168</v>
      </c>
      <c r="BN527" s="28" t="n"/>
      <c r="BO527" s="28" t="n"/>
      <c r="BP527" s="25" t="n"/>
      <c r="BQ527" s="27" t="n">
        <v>2.38</v>
      </c>
      <c r="BR527" s="28" t="n">
        <v>0.42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inlineStr">
        <is>
          <t>0c071526ef7c43f839eba063d06a202f82d7229d67ec933d64dbea6af90cc99d</t>
        </is>
      </c>
      <c r="DE527" s="24" t="inlineStr">
        <is>
          <t>/Users/vincentc9002/model-prediction/data/odds/tennis/2026-08-24/polymarket_snapshots.jsonl</t>
        </is>
      </c>
      <c r="DF527" s="24" t="inlineStr">
        <is>
          <t>506043:2026-08-24T18:08:02.475373Z</t>
        </is>
      </c>
      <c r="DG527" s="24" t="n"/>
      <c r="DH527" s="24" t="n"/>
      <c r="DI527" s="24" t="n"/>
      <c r="DJ527" s="24" t="inlineStr">
        <is>
          <t>0.420168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e1cef73d651b475c</t>
        </is>
      </c>
      <c r="B528" s="24" t="inlineStr">
        <is>
          <t>2026-08-24T18:08:56.901017Z</t>
        </is>
      </c>
      <c r="C528" s="24" t="inlineStr">
        <is>
          <t>2026-08-24T20:15Z</t>
        </is>
      </c>
      <c r="D528" s="24" t="inlineStr">
        <is>
          <t>189-2026:184645</t>
        </is>
      </c>
      <c r="E528" s="24" t="inlineStr">
        <is>
          <t>TENNIS</t>
        </is>
      </c>
      <c r="F528" s="24" t="inlineStr">
        <is>
          <t>Tom Gentzsch</t>
        </is>
      </c>
      <c r="G528" s="24" t="inlineStr">
        <is>
          <t>Pol Martin Tiffon</t>
        </is>
      </c>
      <c r="H528" s="24" t="inlineStr">
        <is>
          <t>moneyline</t>
        </is>
      </c>
      <c r="I528" s="24" t="inlineStr">
        <is>
          <t>away</t>
        </is>
      </c>
      <c r="J528" s="25" t="n"/>
      <c r="K528" s="24" t="inlineStr">
        <is>
          <t>polymarket_us</t>
        </is>
      </c>
      <c r="L528" s="26" t="n">
        <v>-203</v>
      </c>
      <c r="M528" s="27" t="n">
        <v>1.492611</v>
      </c>
      <c r="N528" s="28" t="n">
        <v>0.669967</v>
      </c>
      <c r="O528" s="28" t="n">
        <v>0.6216</v>
      </c>
      <c r="P528" s="28" t="n">
        <v>0.05</v>
      </c>
      <c r="Q528" s="28" t="n">
        <v>-0.048367</v>
      </c>
      <c r="R528" s="26" t="n">
        <v>0</v>
      </c>
      <c r="S528" s="29" t="n">
        <v>1</v>
      </c>
      <c r="T528" s="24" t="inlineStr">
        <is>
          <t>tennis-surface-elo-v1</t>
        </is>
      </c>
      <c r="U528" s="24" t="inlineStr">
        <is>
          <t>settled</t>
        </is>
      </c>
      <c r="V528" s="24" t="inlineStr">
        <is>
          <t>win</t>
        </is>
      </c>
      <c r="W528" s="26" t="n">
        <v>1</v>
      </c>
      <c r="X528" s="26" t="n">
        <v>0</v>
      </c>
      <c r="Y528" s="25" t="n"/>
      <c r="Z528" s="26" t="n">
        <v>-203</v>
      </c>
      <c r="AA528" s="28" t="n">
        <v>0.67</v>
      </c>
      <c r="AB528" s="28" t="n">
        <v>3.3e-05</v>
      </c>
      <c r="AC528" s="30" t="n">
        <v>0.4926</v>
      </c>
      <c r="AD528" s="24" t="inlineStr">
        <is>
          <t>2026-08-25T00:20:09.103303Z</t>
        </is>
      </c>
      <c r="AE528" s="31" t="inlineStr">
        <is>
          <t>Surface-blended Elo on Hard: Tom Gentzsch p=0.622 vs Pol Martin Tiffon. Executable ask 0.6700 (aec-atp-poltif-tomgen-2026-08-24).</t>
        </is>
      </c>
      <c r="AF528" s="31" t="inlineStr">
        <is>
          <t>Surface-blended Elo model; singles only, WTA+ATP market coverage, not yet locked-holdout qualified -- promoted by explicit operator directive, not genuine walk-forward validation.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PAPER_CALL_MODEL_UNVALIDATED</t>
        </is>
      </c>
      <c r="AP528" s="24" t="inlineStr">
        <is>
          <t>Tom Gentzsch</t>
        </is>
      </c>
      <c r="AQ528" s="24" t="inlineStr">
        <is>
          <t>Tom Gentzsch</t>
        </is>
      </c>
      <c r="AR528" s="24" t="inlineStr">
        <is>
          <t>Tom Gentzsch</t>
        </is>
      </c>
      <c r="AS528" s="24" t="inlineStr">
        <is>
          <t>Pol Martin Tiffon</t>
        </is>
      </c>
      <c r="AT528" s="24" t="inlineStr">
        <is>
          <t>Pol Martin Tiffon</t>
        </is>
      </c>
      <c r="AU528" s="24" t="inlineStr">
        <is>
          <t>Pol Martin Tiffon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d777da58446bc099047b154203518e2585ef1a678f613f2b430f2589f7bf5cff</t>
        </is>
      </c>
      <c r="BB528" s="24" t="inlineStr">
        <is>
          <t>surface_blended_elo</t>
        </is>
      </c>
      <c r="BC528" s="24" t="inlineStr">
        <is>
          <t>tennis-surface-elo-v1</t>
        </is>
      </c>
      <c r="BD528" s="24" t="inlineStr">
        <is>
          <t>d777da58446bc099047b154203518e2585ef1a678f613f2b430f2589f7bf5cff</t>
        </is>
      </c>
      <c r="BE528" s="24" t="inlineStr">
        <is>
          <t>tennis-surface-elo-v1</t>
        </is>
      </c>
      <c r="BF528" s="24" t="inlineStr">
        <is>
          <t>1</t>
        </is>
      </c>
      <c r="BG528" s="24" t="inlineStr">
        <is>
          <t>d777da58446bc099047b154203518e2585ef1a678f613f2b430f2589f7bf5cff</t>
        </is>
      </c>
      <c r="BH528" s="24" t="inlineStr">
        <is>
          <t>2026-08-24T18:08:03.047223Z</t>
        </is>
      </c>
      <c r="BI528" s="24" t="inlineStr">
        <is>
          <t>["same_event","same_team_same_day","same_league_same_day"]</t>
        </is>
      </c>
      <c r="BJ528" s="25" t="n"/>
      <c r="BK528" s="26" t="n">
        <v>-203</v>
      </c>
      <c r="BL528" s="27" t="n">
        <v>1.492611</v>
      </c>
      <c r="BM528" s="28" t="n">
        <v>0.669967</v>
      </c>
      <c r="BN528" s="28" t="n"/>
      <c r="BO528" s="28" t="n"/>
      <c r="BP528" s="25" t="n"/>
      <c r="BQ528" s="27" t="n">
        <v>1.492611</v>
      </c>
      <c r="BR528" s="28" t="n">
        <v>0.67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inlineStr">
        <is>
          <t>a315f36d110611b657533bbed626fedc915bfa345e3c04d7a9c95bd5b903c95d</t>
        </is>
      </c>
      <c r="DE528" s="24" t="inlineStr">
        <is>
          <t>/Users/vincentc9002/model-prediction/data/odds/tennis/2026-08-24/polymarket_snapshots.jsonl</t>
        </is>
      </c>
      <c r="DF528" s="24" t="inlineStr">
        <is>
          <t>506037:2026-08-24T18:08:03.047223Z</t>
        </is>
      </c>
      <c r="DG528" s="24" t="n"/>
      <c r="DH528" s="24" t="n"/>
      <c r="DI528" s="24" t="n"/>
      <c r="DJ528" s="24" t="inlineStr">
        <is>
          <t>0.669967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9ebf093af76a4e92</t>
        </is>
      </c>
      <c r="B529" s="24" t="inlineStr">
        <is>
          <t>2026-08-24T18:08:56.901017Z</t>
        </is>
      </c>
      <c r="C529" s="24" t="inlineStr">
        <is>
          <t>2026-08-24T19:30Z</t>
        </is>
      </c>
      <c r="D529" s="24" t="inlineStr">
        <is>
          <t>363-2026:184498</t>
        </is>
      </c>
      <c r="E529" s="24" t="inlineStr">
        <is>
          <t>TENNIS</t>
        </is>
      </c>
      <c r="F529" s="24" t="inlineStr">
        <is>
          <t>Jesper de Jong</t>
        </is>
      </c>
      <c r="G529" s="24" t="inlineStr">
        <is>
          <t>Adam Walton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-170</v>
      </c>
      <c r="M529" s="27" t="n">
        <v>1.588235</v>
      </c>
      <c r="N529" s="28" t="n">
        <v>0.62963</v>
      </c>
      <c r="O529" s="28" t="n">
        <v>0.5224</v>
      </c>
      <c r="P529" s="28" t="n">
        <v>0.05</v>
      </c>
      <c r="Q529" s="28" t="n">
        <v>-0.10723</v>
      </c>
      <c r="R529" s="26" t="n">
        <v>0</v>
      </c>
      <c r="S529" s="29" t="n">
        <v>1</v>
      </c>
      <c r="T529" s="24" t="inlineStr">
        <is>
          <t>tennis-surface-elo-v1</t>
        </is>
      </c>
      <c r="U529" s="24" t="inlineStr">
        <is>
          <t>settled</t>
        </is>
      </c>
      <c r="V529" s="24" t="inlineStr">
        <is>
          <t>win</t>
        </is>
      </c>
      <c r="W529" s="26" t="n">
        <v>0</v>
      </c>
      <c r="X529" s="26" t="n">
        <v>1</v>
      </c>
      <c r="Y529" s="25" t="n"/>
      <c r="Z529" s="26" t="n">
        <v>-170</v>
      </c>
      <c r="AA529" s="28" t="n">
        <v>0.63</v>
      </c>
      <c r="AB529" s="28" t="n">
        <v>0.00037</v>
      </c>
      <c r="AC529" s="30" t="n">
        <v>0.5881999999999999</v>
      </c>
      <c r="AD529" s="24" t="inlineStr">
        <is>
          <t>2026-08-24T21:13:25.958224Z</t>
        </is>
      </c>
      <c r="AE529" s="31" t="inlineStr">
        <is>
          <t>Surface-blended Elo on Hard: Jesper de Jong p=0.478 vs Adam Walton. Executable ask 0.6300 (aec-atp-adawal-jesjon-2026-08-24).</t>
        </is>
      </c>
      <c r="AF529" s="31" t="inlineStr">
        <is>
          <t>Surface-blended Elo model; singles only, WTA+ATP market coverage, not yet locked-holdout qualified -- promoted by explicit operator directive, not genuine walk-forward validation.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PAPER_CALL_LOW_EDGE</t>
        </is>
      </c>
      <c r="AP529" s="24" t="inlineStr">
        <is>
          <t>Jesper de Jong</t>
        </is>
      </c>
      <c r="AQ529" s="24" t="inlineStr">
        <is>
          <t>Jesper de Jong</t>
        </is>
      </c>
      <c r="AR529" s="24" t="inlineStr">
        <is>
          <t>Jesper de Jong</t>
        </is>
      </c>
      <c r="AS529" s="24" t="inlineStr">
        <is>
          <t>Adam Walton</t>
        </is>
      </c>
      <c r="AT529" s="24" t="inlineStr">
        <is>
          <t>Adam Walton</t>
        </is>
      </c>
      <c r="AU529" s="24" t="inlineStr">
        <is>
          <t>Adam Walton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d777da58446bc099047b154203518e2585ef1a678f613f2b430f2589f7bf5cff</t>
        </is>
      </c>
      <c r="BB529" s="24" t="inlineStr">
        <is>
          <t>surface_blended_elo</t>
        </is>
      </c>
      <c r="BC529" s="24" t="inlineStr">
        <is>
          <t>tennis-surface-elo-v1</t>
        </is>
      </c>
      <c r="BD529" s="24" t="inlineStr">
        <is>
          <t>d777da58446bc099047b154203518e2585ef1a678f613f2b430f2589f7bf5cff</t>
        </is>
      </c>
      <c r="BE529" s="24" t="inlineStr">
        <is>
          <t>tennis-surface-elo-v1</t>
        </is>
      </c>
      <c r="BF529" s="24" t="inlineStr">
        <is>
          <t>1</t>
        </is>
      </c>
      <c r="BG529" s="24" t="inlineStr">
        <is>
          <t>d777da58446bc099047b154203518e2585ef1a678f613f2b430f2589f7bf5cff</t>
        </is>
      </c>
      <c r="BH529" s="24" t="inlineStr">
        <is>
          <t>2026-08-24T18:08:01.500819Z</t>
        </is>
      </c>
      <c r="BI529" s="24" t="inlineStr">
        <is>
          <t>["same_event","same_team_same_day","same_league_same_day"]</t>
        </is>
      </c>
      <c r="BJ529" s="25" t="n"/>
      <c r="BK529" s="26" t="n">
        <v>-170</v>
      </c>
      <c r="BL529" s="27" t="n">
        <v>1.588235</v>
      </c>
      <c r="BM529" s="28" t="n">
        <v>0.62963</v>
      </c>
      <c r="BN529" s="28" t="n"/>
      <c r="BO529" s="28" t="n"/>
      <c r="BP529" s="25" t="n"/>
      <c r="BQ529" s="27" t="n">
        <v>1.588235</v>
      </c>
      <c r="BR529" s="28" t="n">
        <v>0.63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inlineStr">
        <is>
          <t>22978a9a86bed4cbbc02135de29986944b95586d215c6eabeb6a97c84f58cf00</t>
        </is>
      </c>
      <c r="DE529" s="24" t="inlineStr">
        <is>
          <t>/Users/vincentc9002/model-prediction/data/odds/tennis/2026-08-24/polymarket_snapshots.jsonl</t>
        </is>
      </c>
      <c r="DF529" s="24" t="inlineStr">
        <is>
          <t>494196:2026-08-24T18:08:01.500819Z</t>
        </is>
      </c>
      <c r="DG529" s="24" t="n"/>
      <c r="DH529" s="24" t="n"/>
      <c r="DI529" s="24" t="n"/>
      <c r="DJ529" s="24" t="inlineStr">
        <is>
          <t>0.62963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f180470d85a3492e</t>
        </is>
      </c>
      <c r="B530" s="24" t="inlineStr">
        <is>
          <t>2026-08-24T18:08:56.901017Z</t>
        </is>
      </c>
      <c r="C530" s="24" t="inlineStr">
        <is>
          <t>2026-08-24T19:30Z</t>
        </is>
      </c>
      <c r="D530" s="24" t="inlineStr">
        <is>
          <t>363-2026:184508</t>
        </is>
      </c>
      <c r="E530" s="24" t="inlineStr">
        <is>
          <t>TENNIS</t>
        </is>
      </c>
      <c r="F530" s="24" t="inlineStr">
        <is>
          <t>Mees Rottgering</t>
        </is>
      </c>
      <c r="G530" s="24" t="inlineStr">
        <is>
          <t>Jan Choinski</t>
        </is>
      </c>
      <c r="H530" s="24" t="inlineStr">
        <is>
          <t>moneyline</t>
        </is>
      </c>
      <c r="I530" s="24" t="inlineStr">
        <is>
          <t>away</t>
        </is>
      </c>
      <c r="J530" s="25" t="n"/>
      <c r="K530" s="24" t="inlineStr">
        <is>
          <t>polymarket_us</t>
        </is>
      </c>
      <c r="L530" s="26" t="n">
        <v>133</v>
      </c>
      <c r="M530" s="27" t="n">
        <v>2.33</v>
      </c>
      <c r="N530" s="28" t="n">
        <v>0.429185</v>
      </c>
      <c r="O530" s="28" t="n">
        <v>0.6052</v>
      </c>
      <c r="P530" s="28" t="n">
        <v>0.05</v>
      </c>
      <c r="Q530" s="28" t="n">
        <v>0.176015</v>
      </c>
      <c r="R530" s="26" t="n">
        <v>100</v>
      </c>
      <c r="S530" s="29" t="n">
        <v>1.75</v>
      </c>
      <c r="T530" s="24" t="inlineStr">
        <is>
          <t>tennis-surface-elo-v1</t>
        </is>
      </c>
      <c r="U530" s="24" t="inlineStr">
        <is>
          <t>settled</t>
        </is>
      </c>
      <c r="V530" s="24" t="inlineStr">
        <is>
          <t>win</t>
        </is>
      </c>
      <c r="W530" s="26" t="n">
        <v>1</v>
      </c>
      <c r="X530" s="26" t="n">
        <v>0</v>
      </c>
      <c r="Y530" s="25" t="n"/>
      <c r="Z530" s="26" t="n">
        <v>133</v>
      </c>
      <c r="AA530" s="28" t="n">
        <v>0.43</v>
      </c>
      <c r="AB530" s="28" t="n">
        <v>0.000815</v>
      </c>
      <c r="AC530" s="30" t="n">
        <v>2.3275</v>
      </c>
      <c r="AD530" s="24" t="inlineStr">
        <is>
          <t>2026-08-25T00:20:11.220891Z</t>
        </is>
      </c>
      <c r="AE530" s="31" t="inlineStr">
        <is>
          <t>Surface-blended Elo on Hard: Mees Rottgering p=0.605 vs Jan Choinski. Executable ask 0.4300 (aec-atp-jancho-meerot-2026-08-24).</t>
        </is>
      </c>
      <c r="AF530" s="31" t="inlineStr">
        <is>
          <t>Surface-blended Elo model; singles only, WTA+ATP market coverage, not yet locked-holdout qualified -- promoted by explicit operator directive, not genuine walk-forward validation.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PAPER_CALL_MODEL_UNVALIDATED</t>
        </is>
      </c>
      <c r="AP530" s="24" t="inlineStr">
        <is>
          <t>Mees Rottgering</t>
        </is>
      </c>
      <c r="AQ530" s="24" t="inlineStr">
        <is>
          <t>Mees Rottgering</t>
        </is>
      </c>
      <c r="AR530" s="24" t="inlineStr">
        <is>
          <t>Mees Rottgering</t>
        </is>
      </c>
      <c r="AS530" s="24" t="inlineStr">
        <is>
          <t>Jan Choinski</t>
        </is>
      </c>
      <c r="AT530" s="24" t="inlineStr">
        <is>
          <t>Jan Choinski</t>
        </is>
      </c>
      <c r="AU530" s="24" t="inlineStr">
        <is>
          <t>Jan Choinski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d777da58446bc099047b154203518e2585ef1a678f613f2b430f2589f7bf5cff</t>
        </is>
      </c>
      <c r="BB530" s="24" t="inlineStr">
        <is>
          <t>surface_blended_elo</t>
        </is>
      </c>
      <c r="BC530" s="24" t="inlineStr">
        <is>
          <t>tennis-surface-elo-v1</t>
        </is>
      </c>
      <c r="BD530" s="24" t="inlineStr">
        <is>
          <t>d777da58446bc099047b154203518e2585ef1a678f613f2b430f2589f7bf5cff</t>
        </is>
      </c>
      <c r="BE530" s="24" t="inlineStr">
        <is>
          <t>tennis-surface-elo-v1</t>
        </is>
      </c>
      <c r="BF530" s="24" t="inlineStr">
        <is>
          <t>1</t>
        </is>
      </c>
      <c r="BG530" s="24" t="inlineStr">
        <is>
          <t>d777da58446bc099047b154203518e2585ef1a678f613f2b430f2589f7bf5cff</t>
        </is>
      </c>
      <c r="BH530" s="24" t="inlineStr">
        <is>
          <t>2026-08-24T18:08:01.053141Z</t>
        </is>
      </c>
      <c r="BI530" s="24" t="inlineStr">
        <is>
          <t>["same_event","same_team_same_day","same_league_same_day"]</t>
        </is>
      </c>
      <c r="BJ530" s="25" t="n"/>
      <c r="BK530" s="26" t="n">
        <v>133</v>
      </c>
      <c r="BL530" s="27" t="n">
        <v>2.33</v>
      </c>
      <c r="BM530" s="28" t="n">
        <v>0.429185</v>
      </c>
      <c r="BN530" s="28" t="n"/>
      <c r="BO530" s="28" t="n"/>
      <c r="BP530" s="25" t="n"/>
      <c r="BQ530" s="27" t="n">
        <v>2.33</v>
      </c>
      <c r="BR530" s="28" t="n">
        <v>0.43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inlineStr">
        <is>
          <t>2da23f90799244f906f919924bb9c4e4e55f72ecce95b84f5dc78d1664b849a5</t>
        </is>
      </c>
      <c r="DE530" s="24" t="inlineStr">
        <is>
          <t>/Users/vincentc9002/model-prediction/data/odds/tennis/2026-08-24/polymarket_snapshots.jsonl</t>
        </is>
      </c>
      <c r="DF530" s="24" t="inlineStr">
        <is>
          <t>506057:2026-08-24T18:08:01.053141Z</t>
        </is>
      </c>
      <c r="DG530" s="24" t="n"/>
      <c r="DH530" s="24" t="n"/>
      <c r="DI530" s="24" t="n"/>
      <c r="DJ530" s="24" t="inlineStr">
        <is>
          <t>0.429185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f06d7194cf5d4861</t>
        </is>
      </c>
      <c r="B531" s="24" t="inlineStr">
        <is>
          <t>2026-08-24T18:08:56.901017Z</t>
        </is>
      </c>
      <c r="C531" s="24" t="inlineStr">
        <is>
          <t>2026-08-24T19:30Z</t>
        </is>
      </c>
      <c r="D531" s="24" t="inlineStr">
        <is>
          <t>363-2026:184479</t>
        </is>
      </c>
      <c r="E531" s="24" t="inlineStr">
        <is>
          <t>TENNIS</t>
        </is>
      </c>
      <c r="F531" s="24" t="inlineStr">
        <is>
          <t>Abdullah Shelbayh</t>
        </is>
      </c>
      <c r="G531" s="24" t="inlineStr">
        <is>
          <t>Martin Damm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-245</v>
      </c>
      <c r="M531" s="27" t="n">
        <v>1.408163</v>
      </c>
      <c r="N531" s="28" t="n">
        <v>0.710145</v>
      </c>
      <c r="O531" s="28" t="n">
        <v>0.6294</v>
      </c>
      <c r="P531" s="28" t="n">
        <v>0.05</v>
      </c>
      <c r="Q531" s="28" t="n">
        <v>-0.080745</v>
      </c>
      <c r="R531" s="26" t="n">
        <v>0</v>
      </c>
      <c r="S531" s="29" t="n">
        <v>1</v>
      </c>
      <c r="T531" s="24" t="inlineStr">
        <is>
          <t>tennis-surface-elo-v1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>
        <v>-245</v>
      </c>
      <c r="AA531" s="28" t="n">
        <v>0.71</v>
      </c>
      <c r="AB531" s="28" t="n">
        <v>-0.000145</v>
      </c>
      <c r="AC531" s="30" t="n">
        <v>0.4082</v>
      </c>
      <c r="AD531" s="24" t="inlineStr">
        <is>
          <t>2026-08-25T00:20:13.373377Z</t>
        </is>
      </c>
      <c r="AE531" s="31" t="inlineStr">
        <is>
          <t>Surface-blended Elo on Hard: Abdullah Shelbayh p=0.371 vs Martin Damm. Executable ask 0.7100 (aec-atp-mardam-abeshe-2026-08-24).</t>
        </is>
      </c>
      <c r="AF531" s="31" t="inlineStr">
        <is>
          <t>Surface-blended Elo model; singles only, WTA+ATP market coverage, not yet locked-holdout qualified -- promoted by explicit operator directive, not genuine walk-forward validation.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Abdullah Shelbayh</t>
        </is>
      </c>
      <c r="AQ531" s="24" t="inlineStr">
        <is>
          <t>Abdullah Shelbayh</t>
        </is>
      </c>
      <c r="AR531" s="24" t="inlineStr">
        <is>
          <t>Abdullah Shelbayh</t>
        </is>
      </c>
      <c r="AS531" s="24" t="inlineStr">
        <is>
          <t>Martin Damm</t>
        </is>
      </c>
      <c r="AT531" s="24" t="inlineStr">
        <is>
          <t>Martin Damm</t>
        </is>
      </c>
      <c r="AU531" s="24" t="inlineStr">
        <is>
          <t>Martin Damm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d777da58446bc099047b154203518e2585ef1a678f613f2b430f2589f7bf5cff</t>
        </is>
      </c>
      <c r="BB531" s="24" t="inlineStr">
        <is>
          <t>surface_blended_elo</t>
        </is>
      </c>
      <c r="BC531" s="24" t="inlineStr">
        <is>
          <t>tennis-surface-elo-v1</t>
        </is>
      </c>
      <c r="BD531" s="24" t="inlineStr">
        <is>
          <t>d777da58446bc099047b154203518e2585ef1a678f613f2b430f2589f7bf5cff</t>
        </is>
      </c>
      <c r="BE531" s="24" t="inlineStr">
        <is>
          <t>tennis-surface-elo-v1</t>
        </is>
      </c>
      <c r="BF531" s="24" t="inlineStr">
        <is>
          <t>1</t>
        </is>
      </c>
      <c r="BG531" s="24" t="inlineStr">
        <is>
          <t>d777da58446bc099047b154203518e2585ef1a678f613f2b430f2589f7bf5cff</t>
        </is>
      </c>
      <c r="BH531" s="24" t="inlineStr">
        <is>
          <t>2026-08-24T18:08:01.287915Z</t>
        </is>
      </c>
      <c r="BI531" s="24" t="inlineStr">
        <is>
          <t>["same_event","same_team_same_day","same_league_same_day"]</t>
        </is>
      </c>
      <c r="BJ531" s="25" t="n"/>
      <c r="BK531" s="26" t="n">
        <v>-245</v>
      </c>
      <c r="BL531" s="27" t="n">
        <v>1.408163</v>
      </c>
      <c r="BM531" s="28" t="n">
        <v>0.710145</v>
      </c>
      <c r="BN531" s="28" t="n"/>
      <c r="BO531" s="28" t="n"/>
      <c r="BP531" s="25" t="n"/>
      <c r="BQ531" s="27" t="n">
        <v>1.408163</v>
      </c>
      <c r="BR531" s="28" t="n">
        <v>0.71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inlineStr">
        <is>
          <t>59bb156881f5af797001ba33cde6dfa68825a125f4128c3294de2bf74e432d35</t>
        </is>
      </c>
      <c r="DE531" s="24" t="inlineStr">
        <is>
          <t>/Users/vincentc9002/model-prediction/data/odds/tennis/2026-08-24/polymarket_snapshots.jsonl</t>
        </is>
      </c>
      <c r="DF531" s="24" t="inlineStr">
        <is>
          <t>506052:2026-08-24T18:08:01.287915Z</t>
        </is>
      </c>
      <c r="DG531" s="24" t="n"/>
      <c r="DH531" s="24" t="n"/>
      <c r="DI531" s="24" t="n"/>
      <c r="DJ531" s="24" t="inlineStr">
        <is>
          <t>0.710145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33d45aad1af44ce6</t>
        </is>
      </c>
      <c r="B532" s="24" t="inlineStr">
        <is>
          <t>2026-08-24T20:39:43.955426Z</t>
        </is>
      </c>
      <c r="C532" s="24" t="inlineStr">
        <is>
          <t>2026-08-24T21:00Z</t>
        </is>
      </c>
      <c r="D532" s="24" t="inlineStr">
        <is>
          <t>341-2026:182492</t>
        </is>
      </c>
      <c r="E532" s="24" t="inlineStr">
        <is>
          <t>TENNIS</t>
        </is>
      </c>
      <c r="F532" s="24" t="inlineStr">
        <is>
          <t>Ann Li</t>
        </is>
      </c>
      <c r="G532" s="24" t="inlineStr">
        <is>
          <t>Camila Osorio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100</v>
      </c>
      <c r="M532" s="27" t="n">
        <v>2</v>
      </c>
      <c r="N532" s="28" t="n">
        <v>0.5</v>
      </c>
      <c r="O532" s="28" t="n">
        <v>0.5028</v>
      </c>
      <c r="P532" s="28" t="n">
        <v>0.05</v>
      </c>
      <c r="Q532" s="28" t="n">
        <v>0.0028</v>
      </c>
      <c r="R532" s="26" t="n">
        <v>21</v>
      </c>
      <c r="S532" s="29" t="n">
        <v>1</v>
      </c>
      <c r="T532" s="24" t="inlineStr">
        <is>
          <t>tennis-surface-elo-v1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</v>
      </c>
      <c r="X532" s="26" t="n">
        <v>0</v>
      </c>
      <c r="Y532" s="25" t="n"/>
      <c r="Z532" s="26" t="n">
        <v>104</v>
      </c>
      <c r="AA532" s="28" t="n">
        <v>0.49</v>
      </c>
      <c r="AB532" s="28" t="n">
        <v>-0.01</v>
      </c>
      <c r="AC532" s="30" t="n">
        <v>-1</v>
      </c>
      <c r="AD532" s="24" t="inlineStr">
        <is>
          <t>2026-08-25T00:20:15.536302Z</t>
        </is>
      </c>
      <c r="AE532" s="31" t="inlineStr">
        <is>
          <t>Surface-blended Elo on Hard: Ann Li p=0.497 vs Camila Osorio. Executable ask 0.5000 (aec-wta-camoso-annli-2026-08-24).</t>
        </is>
      </c>
      <c r="AF532" s="31" t="inlineStr">
        <is>
          <t>Surface-blended Elo model; singles only, WTA+ATP market coverage, not yet locked-holdout qualified -- promoted by explicit operator directive, not genuine walk-forward validation.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Ann Li</t>
        </is>
      </c>
      <c r="AQ532" s="24" t="inlineStr">
        <is>
          <t>Ann Li</t>
        </is>
      </c>
      <c r="AR532" s="24" t="inlineStr">
        <is>
          <t>Ann Li</t>
        </is>
      </c>
      <c r="AS532" s="24" t="inlineStr">
        <is>
          <t>Camila Osorio</t>
        </is>
      </c>
      <c r="AT532" s="24" t="inlineStr">
        <is>
          <t>Camila Osorio</t>
        </is>
      </c>
      <c r="AU532" s="24" t="inlineStr">
        <is>
          <t>Camila Osorio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d777da58446bc099047b154203518e2585ef1a678f613f2b430f2589f7bf5cff</t>
        </is>
      </c>
      <c r="BB532" s="24" t="inlineStr">
        <is>
          <t>surface_blended_elo</t>
        </is>
      </c>
      <c r="BC532" s="24" t="inlineStr">
        <is>
          <t>tennis-surface-elo-v1</t>
        </is>
      </c>
      <c r="BD532" s="24" t="inlineStr">
        <is>
          <t>d777da58446bc099047b154203518e2585ef1a678f613f2b430f2589f7bf5cff</t>
        </is>
      </c>
      <c r="BE532" s="24" t="inlineStr">
        <is>
          <t>tennis-surface-elo-v1</t>
        </is>
      </c>
      <c r="BF532" s="24" t="inlineStr">
        <is>
          <t>1</t>
        </is>
      </c>
      <c r="BG532" s="24" t="inlineStr">
        <is>
          <t>d777da58446bc099047b154203518e2585ef1a678f613f2b430f2589f7bf5cff</t>
        </is>
      </c>
      <c r="BH532" s="24" t="inlineStr">
        <is>
          <t>2026-08-24T14:59:19.108816Z</t>
        </is>
      </c>
      <c r="BI532" s="24" t="inlineStr">
        <is>
          <t>["same_event","same_team_same_day","same_league_same_day"]</t>
        </is>
      </c>
      <c r="BJ532" s="25" t="n"/>
      <c r="BK532" s="26" t="n">
        <v>100</v>
      </c>
      <c r="BL532" s="27" t="n">
        <v>2</v>
      </c>
      <c r="BM532" s="28" t="n">
        <v>0.5</v>
      </c>
      <c r="BN532" s="28" t="n"/>
      <c r="BO532" s="28" t="n"/>
      <c r="BP532" s="25" t="n"/>
      <c r="BQ532" s="27" t="n">
        <v>2.04</v>
      </c>
      <c r="BR532" s="28" t="n">
        <v>0.49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inlineStr">
        <is>
          <t>0d6904757a4b849e1c223b78eac51c8b30173073f515a51086b9c7988e7af05f</t>
        </is>
      </c>
      <c r="DE532" s="24" t="inlineStr">
        <is>
          <t>/Users/vincentc9002/model-prediction/data/odds/tennis/2026-08-24/polymarket_snapshots.jsonl</t>
        </is>
      </c>
      <c r="DF532" s="24" t="inlineStr">
        <is>
          <t>499312:2026-08-24T14:59:19.108816Z</t>
        </is>
      </c>
      <c r="DG532" s="24" t="n"/>
      <c r="DH532" s="24" t="n"/>
      <c r="DI532" s="24" t="n"/>
      <c r="DJ532" s="24" t="inlineStr">
        <is>
          <t>0.5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5f15567efb7e466e</t>
        </is>
      </c>
      <c r="B533" s="24" t="inlineStr">
        <is>
          <t>2026-08-24T21:15:29.636316Z</t>
        </is>
      </c>
      <c r="C533" s="24" t="inlineStr">
        <is>
          <t>2026-08-24T22:30Z</t>
        </is>
      </c>
      <c r="D533" s="24" t="inlineStr">
        <is>
          <t>341-2026:182506</t>
        </is>
      </c>
      <c r="E533" s="24" t="inlineStr">
        <is>
          <t>TENNIS</t>
        </is>
      </c>
      <c r="F533" s="24" t="inlineStr">
        <is>
          <t>Petra Marcinko</t>
        </is>
      </c>
      <c r="G533" s="24" t="inlineStr">
        <is>
          <t>Alycia Parks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-108</v>
      </c>
      <c r="M533" s="27" t="n">
        <v>1.925926</v>
      </c>
      <c r="N533" s="28" t="n">
        <v>0.519231</v>
      </c>
      <c r="O533" s="28" t="n">
        <v>0.5438</v>
      </c>
      <c r="P533" s="28" t="n">
        <v>0.05</v>
      </c>
      <c r="Q533" s="28" t="n">
        <v>0.024569</v>
      </c>
      <c r="R533" s="26" t="n">
        <v>32</v>
      </c>
      <c r="S533" s="29" t="n">
        <v>1</v>
      </c>
      <c r="T533" s="24" t="inlineStr">
        <is>
          <t>tennis-surface-elo-v1</t>
        </is>
      </c>
      <c r="U533" s="24" t="inlineStr">
        <is>
          <t>settled</t>
        </is>
      </c>
      <c r="V533" s="24" t="inlineStr">
        <is>
          <t>loss</t>
        </is>
      </c>
      <c r="W533" s="26" t="n">
        <v>0</v>
      </c>
      <c r="X533" s="26" t="n">
        <v>1</v>
      </c>
      <c r="Y533" s="25" t="n"/>
      <c r="Z533" s="26" t="n">
        <v>-108</v>
      </c>
      <c r="AA533" s="28" t="n">
        <v>0.52</v>
      </c>
      <c r="AB533" s="28" t="n">
        <v>0.000769</v>
      </c>
      <c r="AC533" s="30" t="n">
        <v>-1</v>
      </c>
      <c r="AD533" s="24" t="inlineStr">
        <is>
          <t>2026-08-25T01:12:54.527702Z</t>
        </is>
      </c>
      <c r="AE533" s="31" t="inlineStr">
        <is>
          <t>Surface-blended Elo on Hard: Petra Marcinko p=0.544 vs Alycia Parks. Executable ask 0.5200 (aec-wta-alypar-petmar-2026-08-24).</t>
        </is>
      </c>
      <c r="AF533" s="31" t="inlineStr">
        <is>
          <t>Surface-blended Elo model; singles only, WTA+ATP market coverage, not yet locked-holdout qualified -- promoted by explicit operator directive, not genuine walk-forward validation.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Petra Marcinko</t>
        </is>
      </c>
      <c r="AQ533" s="24" t="inlineStr">
        <is>
          <t>Petra Marcinko</t>
        </is>
      </c>
      <c r="AR533" s="24" t="inlineStr">
        <is>
          <t>Petra Marcinko</t>
        </is>
      </c>
      <c r="AS533" s="24" t="inlineStr">
        <is>
          <t>Alycia Parks</t>
        </is>
      </c>
      <c r="AT533" s="24" t="inlineStr">
        <is>
          <t>Alycia Parks</t>
        </is>
      </c>
      <c r="AU533" s="24" t="inlineStr">
        <is>
          <t>Alycia Parks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d777da58446bc099047b154203518e2585ef1a678f613f2b430f2589f7bf5cff</t>
        </is>
      </c>
      <c r="BB533" s="24" t="inlineStr">
        <is>
          <t>surface_blended_elo</t>
        </is>
      </c>
      <c r="BC533" s="24" t="inlineStr">
        <is>
          <t>tennis-surface-elo-v1</t>
        </is>
      </c>
      <c r="BD533" s="24" t="inlineStr">
        <is>
          <t>d777da58446bc099047b154203518e2585ef1a678f613f2b430f2589f7bf5cff</t>
        </is>
      </c>
      <c r="BE533" s="24" t="inlineStr">
        <is>
          <t>tennis-surface-elo-v1</t>
        </is>
      </c>
      <c r="BF533" s="24" t="inlineStr">
        <is>
          <t>1</t>
        </is>
      </c>
      <c r="BG533" s="24" t="inlineStr">
        <is>
          <t>d777da58446bc099047b154203518e2585ef1a678f613f2b430f2589f7bf5cff</t>
        </is>
      </c>
      <c r="BH533" s="24" t="inlineStr">
        <is>
          <t>2026-08-24T14:59:19.218304Z</t>
        </is>
      </c>
      <c r="BI533" s="24" t="inlineStr">
        <is>
          <t>["same_event","same_team_same_day","same_league_same_day"]</t>
        </is>
      </c>
      <c r="BJ533" s="25" t="n"/>
      <c r="BK533" s="26" t="n">
        <v>-108</v>
      </c>
      <c r="BL533" s="27" t="n">
        <v>1.925926</v>
      </c>
      <c r="BM533" s="28" t="n">
        <v>0.519231</v>
      </c>
      <c r="BN533" s="28" t="n"/>
      <c r="BO533" s="28" t="n"/>
      <c r="BP533" s="25" t="n"/>
      <c r="BQ533" s="27" t="n">
        <v>1.925926</v>
      </c>
      <c r="BR533" s="28" t="n">
        <v>0.52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inlineStr">
        <is>
          <t>eadc1d0c71c5384a38a4aabb8a0366a04bbc729b28d37b2ca2d5ff75d159292c</t>
        </is>
      </c>
      <c r="DE533" s="24" t="inlineStr">
        <is>
          <t>/Users/vincentc9002/model-prediction/data/odds/tennis/2026-08-24/polymarket_snapshots.jsonl</t>
        </is>
      </c>
      <c r="DF533" s="24" t="inlineStr">
        <is>
          <t>499311:2026-08-24T14:59:19.218304Z</t>
        </is>
      </c>
      <c r="DG533" s="24" t="n"/>
      <c r="DH533" s="24" t="n"/>
      <c r="DI533" s="24" t="n"/>
      <c r="DJ533" s="24" t="inlineStr">
        <is>
          <t>0.519231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28e63cb765d04837</t>
        </is>
      </c>
      <c r="B534" s="24" t="inlineStr">
        <is>
          <t>2026-08-24T21:15:29.636316Z</t>
        </is>
      </c>
      <c r="C534" s="24" t="inlineStr">
        <is>
          <t>2026-08-24T22:30Z</t>
        </is>
      </c>
      <c r="D534" s="24" t="inlineStr">
        <is>
          <t>341-2026:182486</t>
        </is>
      </c>
      <c r="E534" s="24" t="inlineStr">
        <is>
          <t>TENNIS</t>
        </is>
      </c>
      <c r="F534" s="24" t="inlineStr">
        <is>
          <t>Dayana Yastremska</t>
        </is>
      </c>
      <c r="G534" s="24" t="inlineStr">
        <is>
          <t>Janice Tjen</t>
        </is>
      </c>
      <c r="H534" s="24" t="inlineStr">
        <is>
          <t>moneyline</t>
        </is>
      </c>
      <c r="I534" s="24" t="inlineStr">
        <is>
          <t>away</t>
        </is>
      </c>
      <c r="J534" s="25" t="n"/>
      <c r="K534" s="24" t="inlineStr">
        <is>
          <t>polymarket_us</t>
        </is>
      </c>
      <c r="L534" s="26" t="n">
        <v>186</v>
      </c>
      <c r="M534" s="27" t="n">
        <v>2.86</v>
      </c>
      <c r="N534" s="28" t="n">
        <v>0.34965</v>
      </c>
      <c r="O534" s="28" t="n">
        <v>0.5071</v>
      </c>
      <c r="P534" s="28" t="n">
        <v>0.05</v>
      </c>
      <c r="Q534" s="28" t="n">
        <v>0.15745</v>
      </c>
      <c r="R534" s="26" t="n">
        <v>99</v>
      </c>
      <c r="S534" s="29" t="n">
        <v>1.75</v>
      </c>
      <c r="T534" s="24" t="inlineStr">
        <is>
          <t>tennis-surface-elo-v1</t>
        </is>
      </c>
      <c r="U534" s="24" t="inlineStr">
        <is>
          <t>settled</t>
        </is>
      </c>
      <c r="V534" s="24" t="inlineStr">
        <is>
          <t>loss</t>
        </is>
      </c>
      <c r="W534" s="26" t="n">
        <v>0</v>
      </c>
      <c r="X534" s="26" t="n">
        <v>1</v>
      </c>
      <c r="Y534" s="25" t="n"/>
      <c r="Z534" s="26" t="n">
        <v>186</v>
      </c>
      <c r="AA534" s="28" t="n">
        <v>0.35</v>
      </c>
      <c r="AB534" s="28" t="n">
        <v>0.00035</v>
      </c>
      <c r="AC534" s="30" t="n">
        <v>-1.75</v>
      </c>
      <c r="AD534" s="24" t="inlineStr">
        <is>
          <t>2026-08-25T01:12:57.562807Z</t>
        </is>
      </c>
      <c r="AE534" s="31" t="inlineStr">
        <is>
          <t>Surface-blended Elo on Hard: Dayana Yastremska p=0.507 vs Janice Tjen. Executable ask 0.3500 (aec-wta-jantje-dayyas-2026-08-24).</t>
        </is>
      </c>
      <c r="AF534" s="31" t="inlineStr">
        <is>
          <t>Surface-blended Elo model; singles only, WTA+ATP market coverage, not yet locked-holdout qualified -- promoted by explicit operator directive, not genuine walk-forward validation.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Dayana Yastremska</t>
        </is>
      </c>
      <c r="AQ534" s="24" t="inlineStr">
        <is>
          <t>Dayana Yastremska</t>
        </is>
      </c>
      <c r="AR534" s="24" t="inlineStr">
        <is>
          <t>Dayana Yastremska</t>
        </is>
      </c>
      <c r="AS534" s="24" t="inlineStr">
        <is>
          <t>Janice Tjen</t>
        </is>
      </c>
      <c r="AT534" s="24" t="inlineStr">
        <is>
          <t>Janice Tjen</t>
        </is>
      </c>
      <c r="AU534" s="24" t="inlineStr">
        <is>
          <t>Janice Tjen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d777da58446bc099047b154203518e2585ef1a678f613f2b430f2589f7bf5cff</t>
        </is>
      </c>
      <c r="BB534" s="24" t="inlineStr">
        <is>
          <t>surface_blended_elo</t>
        </is>
      </c>
      <c r="BC534" s="24" t="inlineStr">
        <is>
          <t>tennis-surface-elo-v1</t>
        </is>
      </c>
      <c r="BD534" s="24" t="inlineStr">
        <is>
          <t>d777da58446bc099047b154203518e2585ef1a678f613f2b430f2589f7bf5cff</t>
        </is>
      </c>
      <c r="BE534" s="24" t="inlineStr">
        <is>
          <t>tennis-surface-elo-v1</t>
        </is>
      </c>
      <c r="BF534" s="24" t="inlineStr">
        <is>
          <t>1</t>
        </is>
      </c>
      <c r="BG534" s="24" t="inlineStr">
        <is>
          <t>d777da58446bc099047b154203518e2585ef1a678f613f2b430f2589f7bf5cff</t>
        </is>
      </c>
      <c r="BH534" s="24" t="inlineStr">
        <is>
          <t>2026-08-24T21:14:33.837884Z</t>
        </is>
      </c>
      <c r="BI534" s="24" t="inlineStr">
        <is>
          <t>["same_event","same_team_same_day","same_league_same_day"]</t>
        </is>
      </c>
      <c r="BJ534" s="25" t="n"/>
      <c r="BK534" s="26" t="n">
        <v>186</v>
      </c>
      <c r="BL534" s="27" t="n">
        <v>2.86</v>
      </c>
      <c r="BM534" s="28" t="n">
        <v>0.34965</v>
      </c>
      <c r="BN534" s="28" t="n"/>
      <c r="BO534" s="28" t="n"/>
      <c r="BP534" s="25" t="n"/>
      <c r="BQ534" s="27" t="n">
        <v>2.86</v>
      </c>
      <c r="BR534" s="28" t="n">
        <v>0.35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inlineStr">
        <is>
          <t>845fd6c7100d46e5b43ee1ff391fe187d7a67857beedf92717e13efc42062223</t>
        </is>
      </c>
      <c r="DE534" s="24" t="inlineStr">
        <is>
          <t>/Users/vincentc9002/model-prediction/data/odds/tennis/2026-08-24/polymarket_snapshots.jsonl</t>
        </is>
      </c>
      <c r="DF534" s="24" t="inlineStr">
        <is>
          <t>499313:2026-08-24T21:14:33.837884Z</t>
        </is>
      </c>
      <c r="DG534" s="24" t="n"/>
      <c r="DH534" s="24" t="n"/>
      <c r="DI534" s="24" t="n"/>
      <c r="DJ534" s="24" t="inlineStr">
        <is>
          <t>0.34965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8f61afc3413e438a</t>
        </is>
      </c>
      <c r="B535" s="24" t="inlineStr">
        <is>
          <t>2026-08-24T21:15:29.636316Z</t>
        </is>
      </c>
      <c r="C535" s="24" t="inlineStr">
        <is>
          <t>2026-08-24T22:00Z</t>
        </is>
      </c>
      <c r="D535" s="24" t="inlineStr">
        <is>
          <t>1075-2026:182124</t>
        </is>
      </c>
      <c r="E535" s="24" t="inlineStr">
        <is>
          <t>TENNIS</t>
        </is>
      </c>
      <c r="F535" s="24" t="inlineStr">
        <is>
          <t>Sloane Stephens</t>
        </is>
      </c>
      <c r="G535" s="24" t="inlineStr">
        <is>
          <t>Mananchaya Sawangkaew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-104</v>
      </c>
      <c r="M535" s="27" t="n">
        <v>1.961538</v>
      </c>
      <c r="N535" s="28" t="n">
        <v>0.509804</v>
      </c>
      <c r="O535" s="28" t="n">
        <v>0.6301</v>
      </c>
      <c r="P535" s="28" t="n">
        <v>0.05</v>
      </c>
      <c r="Q535" s="28" t="n">
        <v>0.120296</v>
      </c>
      <c r="R535" s="26" t="n">
        <v>80</v>
      </c>
      <c r="S535" s="29" t="n">
        <v>1.5</v>
      </c>
      <c r="T535" s="24" t="inlineStr">
        <is>
          <t>tennis-surface-elo-v1</t>
        </is>
      </c>
      <c r="U535" s="24" t="inlineStr">
        <is>
          <t>settled</t>
        </is>
      </c>
      <c r="V535" s="24" t="inlineStr">
        <is>
          <t>win</t>
        </is>
      </c>
      <c r="W535" s="26" t="n">
        <v>0</v>
      </c>
      <c r="X535" s="26" t="n">
        <v>1</v>
      </c>
      <c r="Y535" s="25" t="n"/>
      <c r="Z535" s="26" t="n">
        <v>-104</v>
      </c>
      <c r="AA535" s="28" t="n">
        <v>0.51</v>
      </c>
      <c r="AB535" s="28" t="n">
        <v>0.000196</v>
      </c>
      <c r="AC535" s="30" t="n">
        <v>1.4423</v>
      </c>
      <c r="AD535" s="24" t="inlineStr">
        <is>
          <t>2026-08-25T01:12:59.943612Z</t>
        </is>
      </c>
      <c r="AE535" s="31" t="inlineStr">
        <is>
          <t>Surface-blended Elo on Hard: Sloane Stephens p=0.370 vs Mananchaya Sawangkaew. Executable ask 0.5100 (aec-wta-mansaw-sloste-2026-08-23).</t>
        </is>
      </c>
      <c r="AF535" s="31" t="inlineStr">
        <is>
          <t>Surface-blended Elo model; singles only, WTA+ATP market coverage, not yet locked-holdout qualified -- promoted by explicit operator directive, not genuine walk-forward validation.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Sloane Stephens</t>
        </is>
      </c>
      <c r="AQ535" s="24" t="inlineStr">
        <is>
          <t>Sloane Stephens</t>
        </is>
      </c>
      <c r="AR535" s="24" t="inlineStr">
        <is>
          <t>Sloane Stephens</t>
        </is>
      </c>
      <c r="AS535" s="24" t="inlineStr">
        <is>
          <t>Mananchaya Sawangkaew</t>
        </is>
      </c>
      <c r="AT535" s="24" t="inlineStr">
        <is>
          <t>Mananchaya Sawangkaew</t>
        </is>
      </c>
      <c r="AU535" s="24" t="inlineStr">
        <is>
          <t>Mananchaya Sawangkaew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d777da58446bc099047b154203518e2585ef1a678f613f2b430f2589f7bf5cff</t>
        </is>
      </c>
      <c r="BB535" s="24" t="inlineStr">
        <is>
          <t>surface_blended_elo</t>
        </is>
      </c>
      <c r="BC535" s="24" t="inlineStr">
        <is>
          <t>tennis-surface-elo-v1</t>
        </is>
      </c>
      <c r="BD535" s="24" t="inlineStr">
        <is>
          <t>d777da58446bc099047b154203518e2585ef1a678f613f2b430f2589f7bf5cff</t>
        </is>
      </c>
      <c r="BE535" s="24" t="inlineStr">
        <is>
          <t>tennis-surface-elo-v1</t>
        </is>
      </c>
      <c r="BF535" s="24" t="inlineStr">
        <is>
          <t>1</t>
        </is>
      </c>
      <c r="BG535" s="24" t="inlineStr">
        <is>
          <t>d777da58446bc099047b154203518e2585ef1a678f613f2b430f2589f7bf5cff</t>
        </is>
      </c>
      <c r="BH535" s="24" t="inlineStr">
        <is>
          <t>2026-08-24T21:14:33.763325Z</t>
        </is>
      </c>
      <c r="BI535" s="24" t="inlineStr">
        <is>
          <t>["same_event","same_team_same_day","same_league_same_day"]</t>
        </is>
      </c>
      <c r="BJ535" s="25" t="n"/>
      <c r="BK535" s="26" t="n">
        <v>-104</v>
      </c>
      <c r="BL535" s="27" t="n">
        <v>1.961538</v>
      </c>
      <c r="BM535" s="28" t="n">
        <v>0.509804</v>
      </c>
      <c r="BN535" s="28" t="n"/>
      <c r="BO535" s="28" t="n"/>
      <c r="BP535" s="25" t="n"/>
      <c r="BQ535" s="27" t="n">
        <v>1.961538</v>
      </c>
      <c r="BR535" s="28" t="n">
        <v>0.51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inlineStr">
        <is>
          <t>c890c5fd473c809059d5cccae54e1244e701447bd4fc06c89c1a4ae52a103544</t>
        </is>
      </c>
      <c r="DE535" s="24" t="inlineStr">
        <is>
          <t>/Users/vincentc9002/model-prediction/data/odds/tennis/2026-08-24/polymarket_snapshots.jsonl</t>
        </is>
      </c>
      <c r="DF535" s="24" t="inlineStr">
        <is>
          <t>498524:2026-08-24T21:14:33.763325Z</t>
        </is>
      </c>
      <c r="DG535" s="24" t="n"/>
      <c r="DH535" s="24" t="n"/>
      <c r="DI535" s="24" t="n"/>
      <c r="DJ535" s="24" t="inlineStr">
        <is>
          <t>0.509804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06e648536b254c0f</t>
        </is>
      </c>
      <c r="B536" s="24" t="inlineStr">
        <is>
          <t>2026-08-24T21:15:29.636316Z</t>
        </is>
      </c>
      <c r="C536" s="24" t="inlineStr">
        <is>
          <t>2026-08-24T21:20Z</t>
        </is>
      </c>
      <c r="D536" s="24" t="inlineStr">
        <is>
          <t>189-2026:184703</t>
        </is>
      </c>
      <c r="E536" s="24" t="inlineStr">
        <is>
          <t>TENNIS</t>
        </is>
      </c>
      <c r="F536" s="24" t="inlineStr">
        <is>
          <t>Despina Papamichail</t>
        </is>
      </c>
      <c r="G536" s="24" t="inlineStr">
        <is>
          <t>Laura Pigossi</t>
        </is>
      </c>
      <c r="H536" s="24" t="inlineStr">
        <is>
          <t>moneyline</t>
        </is>
      </c>
      <c r="I536" s="24" t="inlineStr">
        <is>
          <t>away</t>
        </is>
      </c>
      <c r="J536" s="25" t="n"/>
      <c r="K536" s="24" t="inlineStr">
        <is>
          <t>polymarket_us</t>
        </is>
      </c>
      <c r="L536" s="26" t="n">
        <v>317</v>
      </c>
      <c r="M536" s="27" t="n">
        <v>4.17</v>
      </c>
      <c r="N536" s="28" t="n">
        <v>0.239808</v>
      </c>
      <c r="O536" s="28" t="n">
        <v>0.5585</v>
      </c>
      <c r="P536" s="28" t="n">
        <v>0.05</v>
      </c>
      <c r="Q536" s="28" t="n">
        <v>0.318692</v>
      </c>
      <c r="R536" s="26" t="n">
        <v>100</v>
      </c>
      <c r="S536" s="29" t="n">
        <v>2</v>
      </c>
      <c r="T536" s="24" t="inlineStr">
        <is>
          <t>tennis-surface-elo-v1</t>
        </is>
      </c>
      <c r="U536" s="24" t="inlineStr">
        <is>
          <t>settled</t>
        </is>
      </c>
      <c r="V536" s="24" t="inlineStr">
        <is>
          <t>win</t>
        </is>
      </c>
      <c r="W536" s="26" t="n">
        <v>1</v>
      </c>
      <c r="X536" s="26" t="n">
        <v>0</v>
      </c>
      <c r="Y536" s="25" t="n"/>
      <c r="Z536" s="26" t="n">
        <v>317</v>
      </c>
      <c r="AA536" s="28" t="n">
        <v>0.24</v>
      </c>
      <c r="AB536" s="28" t="n">
        <v>0.000192</v>
      </c>
      <c r="AC536" s="30" t="n">
        <v>6.34</v>
      </c>
      <c r="AD536" s="24" t="inlineStr">
        <is>
          <t>2026-08-25T00:20:18.443636Z</t>
        </is>
      </c>
      <c r="AE536" s="31" t="inlineStr">
        <is>
          <t>Surface-blended Elo on Hard: Despina Papamichail p=0.558 vs Laura Pigossi. Executable ask 0.2400 (aec-wta-laupig-despap-2026-08-24).</t>
        </is>
      </c>
      <c r="AF536" s="31" t="inlineStr">
        <is>
          <t>Surface-blended Elo model; singles only, WTA+ATP market coverage, not yet locked-holdout qualified -- promoted by explicit operator directive, not genuine walk-forward validation.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Despina Papamichail</t>
        </is>
      </c>
      <c r="AQ536" s="24" t="inlineStr">
        <is>
          <t>Despina Papamichail</t>
        </is>
      </c>
      <c r="AR536" s="24" t="inlineStr">
        <is>
          <t>Despina Papamichail</t>
        </is>
      </c>
      <c r="AS536" s="24" t="inlineStr">
        <is>
          <t>Laura Pigossi</t>
        </is>
      </c>
      <c r="AT536" s="24" t="inlineStr">
        <is>
          <t>Laura Pigossi</t>
        </is>
      </c>
      <c r="AU536" s="24" t="inlineStr">
        <is>
          <t>Laura Pigossi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d777da58446bc099047b154203518e2585ef1a678f613f2b430f2589f7bf5cff</t>
        </is>
      </c>
      <c r="BB536" s="24" t="inlineStr">
        <is>
          <t>surface_blended_elo</t>
        </is>
      </c>
      <c r="BC536" s="24" t="inlineStr">
        <is>
          <t>tennis-surface-elo-v1</t>
        </is>
      </c>
      <c r="BD536" s="24" t="inlineStr">
        <is>
          <t>d777da58446bc099047b154203518e2585ef1a678f613f2b430f2589f7bf5cff</t>
        </is>
      </c>
      <c r="BE536" s="24" t="inlineStr">
        <is>
          <t>tennis-surface-elo-v1</t>
        </is>
      </c>
      <c r="BF536" s="24" t="inlineStr">
        <is>
          <t>1</t>
        </is>
      </c>
      <c r="BG536" s="24" t="inlineStr">
        <is>
          <t>d777da58446bc099047b154203518e2585ef1a678f613f2b430f2589f7bf5cff</t>
        </is>
      </c>
      <c r="BH536" s="24" t="inlineStr">
        <is>
          <t>2026-08-24T21:14:33.745368Z</t>
        </is>
      </c>
      <c r="BI536" s="24" t="inlineStr">
        <is>
          <t>["same_event","same_team_same_day","same_league_same_day"]</t>
        </is>
      </c>
      <c r="BJ536" s="25" t="n"/>
      <c r="BK536" s="26" t="n">
        <v>317</v>
      </c>
      <c r="BL536" s="27" t="n">
        <v>4.17</v>
      </c>
      <c r="BM536" s="28" t="n">
        <v>0.239808</v>
      </c>
      <c r="BN536" s="28" t="n"/>
      <c r="BO536" s="28" t="n"/>
      <c r="BP536" s="25" t="n"/>
      <c r="BQ536" s="27" t="n">
        <v>4.17</v>
      </c>
      <c r="BR536" s="28" t="n">
        <v>0.24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inlineStr">
        <is>
          <t>f41668b8b62d71745f2a738d607629a61086299e80999b1739beda4cfa3d5763</t>
        </is>
      </c>
      <c r="DE536" s="24" t="inlineStr">
        <is>
          <t>/Users/vincentc9002/model-prediction/data/odds/tennis/2026-08-24/polymarket_snapshots.jsonl</t>
        </is>
      </c>
      <c r="DF536" s="24" t="inlineStr">
        <is>
          <t>506028:2026-08-24T21:14:33.745368Z</t>
        </is>
      </c>
      <c r="DG536" s="24" t="n"/>
      <c r="DH536" s="24" t="n"/>
      <c r="DI536" s="24" t="n"/>
      <c r="DJ536" s="24" t="inlineStr">
        <is>
          <t>0.239808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5cd54600c67c45c2</t>
        </is>
      </c>
      <c r="B537" s="24" t="inlineStr">
        <is>
          <t>2026-08-24T21:15:29.636316Z</t>
        </is>
      </c>
      <c r="C537" s="24" t="inlineStr">
        <is>
          <t>2026-08-24T21:30Z</t>
        </is>
      </c>
      <c r="D537" s="24" t="inlineStr">
        <is>
          <t>189-2026:184704</t>
        </is>
      </c>
      <c r="E537" s="24" t="inlineStr">
        <is>
          <t>TENNIS</t>
        </is>
      </c>
      <c r="F537" s="24" t="inlineStr">
        <is>
          <t>Katarzyna Kawa</t>
        </is>
      </c>
      <c r="G537" s="24" t="inlineStr">
        <is>
          <t>Ekaterine Gorgodze</t>
        </is>
      </c>
      <c r="H537" s="24" t="inlineStr">
        <is>
          <t>moneyline</t>
        </is>
      </c>
      <c r="I537" s="24" t="inlineStr">
        <is>
          <t>away</t>
        </is>
      </c>
      <c r="J537" s="25" t="n"/>
      <c r="K537" s="24" t="inlineStr">
        <is>
          <t>polymarket_us</t>
        </is>
      </c>
      <c r="L537" s="26" t="n">
        <v>-150</v>
      </c>
      <c r="M537" s="27" t="n">
        <v>1.666667</v>
      </c>
      <c r="N537" s="28" t="n">
        <v>0.6</v>
      </c>
      <c r="O537" s="28" t="n">
        <v>0.7129</v>
      </c>
      <c r="P537" s="28" t="n">
        <v>0.05</v>
      </c>
      <c r="Q537" s="28" t="n">
        <v>0.1129</v>
      </c>
      <c r="R537" s="26" t="n">
        <v>76</v>
      </c>
      <c r="S537" s="29" t="n">
        <v>1.5</v>
      </c>
      <c r="T537" s="24" t="inlineStr">
        <is>
          <t>tennis-surface-elo-v1</t>
        </is>
      </c>
      <c r="U537" s="24" t="inlineStr">
        <is>
          <t>settled</t>
        </is>
      </c>
      <c r="V537" s="24" t="inlineStr">
        <is>
          <t>loss</t>
        </is>
      </c>
      <c r="W537" s="26" t="n">
        <v>0</v>
      </c>
      <c r="X537" s="26" t="n">
        <v>1</v>
      </c>
      <c r="Y537" s="25" t="n"/>
      <c r="Z537" s="26" t="n">
        <v>-150</v>
      </c>
      <c r="AA537" s="28" t="n">
        <v>0.6</v>
      </c>
      <c r="AB537" s="28" t="n">
        <v>0</v>
      </c>
      <c r="AC537" s="30" t="n">
        <v>-1.5</v>
      </c>
      <c r="AD537" s="24" t="inlineStr">
        <is>
          <t>2026-08-25T00:20:20.157294Z</t>
        </is>
      </c>
      <c r="AE537" s="31" t="inlineStr">
        <is>
          <t>Surface-blended Elo on Hard: Katarzyna Kawa p=0.713 vs Ekaterine Gorgodze. Executable ask 0.6000 (aec-wta-ekagor-katkaw-2026-08-24).</t>
        </is>
      </c>
      <c r="AF537" s="31" t="inlineStr">
        <is>
          <t>Surface-blended Elo model; singles only, WTA+ATP market coverage, not yet locked-holdout qualified -- promoted by explicit operator directive, not genuine walk-forward validation.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Katarzyna Kawa</t>
        </is>
      </c>
      <c r="AQ537" s="24" t="inlineStr">
        <is>
          <t>Katarzyna Kawa</t>
        </is>
      </c>
      <c r="AR537" s="24" t="inlineStr">
        <is>
          <t>Katarzyna Kawa</t>
        </is>
      </c>
      <c r="AS537" s="24" t="inlineStr">
        <is>
          <t>Ekaterine Gorgodze</t>
        </is>
      </c>
      <c r="AT537" s="24" t="inlineStr">
        <is>
          <t>Ekaterine Gorgodze</t>
        </is>
      </c>
      <c r="AU537" s="24" t="inlineStr">
        <is>
          <t>Ekaterine Gorgodze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d777da58446bc099047b154203518e2585ef1a678f613f2b430f2589f7bf5cff</t>
        </is>
      </c>
      <c r="BB537" s="24" t="inlineStr">
        <is>
          <t>surface_blended_elo</t>
        </is>
      </c>
      <c r="BC537" s="24" t="inlineStr">
        <is>
          <t>tennis-surface-elo-v1</t>
        </is>
      </c>
      <c r="BD537" s="24" t="inlineStr">
        <is>
          <t>d777da58446bc099047b154203518e2585ef1a678f613f2b430f2589f7bf5cff</t>
        </is>
      </c>
      <c r="BE537" s="24" t="inlineStr">
        <is>
          <t>tennis-surface-elo-v1</t>
        </is>
      </c>
      <c r="BF537" s="24" t="inlineStr">
        <is>
          <t>1</t>
        </is>
      </c>
      <c r="BG537" s="24" t="inlineStr">
        <is>
          <t>d777da58446bc099047b154203518e2585ef1a678f613f2b430f2589f7bf5cff</t>
        </is>
      </c>
      <c r="BH537" s="24" t="inlineStr">
        <is>
          <t>2026-08-24T21:14:33.893246Z</t>
        </is>
      </c>
      <c r="BI537" s="24" t="inlineStr">
        <is>
          <t>["same_event","same_team_same_day","same_league_same_day"]</t>
        </is>
      </c>
      <c r="BJ537" s="25" t="n"/>
      <c r="BK537" s="26" t="n">
        <v>-150</v>
      </c>
      <c r="BL537" s="27" t="n">
        <v>1.666667</v>
      </c>
      <c r="BM537" s="28" t="n">
        <v>0.6</v>
      </c>
      <c r="BN537" s="28" t="n"/>
      <c r="BO537" s="28" t="n"/>
      <c r="BP537" s="25" t="n"/>
      <c r="BQ537" s="27" t="n">
        <v>1.666667</v>
      </c>
      <c r="BR537" s="28" t="n">
        <v>0.6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inlineStr">
        <is>
          <t>9ffc294e91c149c829a9f558fcb50c1cf5879f1eebfaf514916a5382b5a38fbd</t>
        </is>
      </c>
      <c r="DE537" s="24" t="inlineStr">
        <is>
          <t>/Users/vincentc9002/model-prediction/data/odds/tennis/2026-08-24/polymarket_snapshots.jsonl</t>
        </is>
      </c>
      <c r="DF537" s="24" t="inlineStr">
        <is>
          <t>506030:2026-08-24T21:14:33.893246Z</t>
        </is>
      </c>
      <c r="DG537" s="24" t="n"/>
      <c r="DH537" s="24" t="n"/>
      <c r="DI537" s="24" t="n"/>
      <c r="DJ537" s="24" t="inlineStr">
        <is>
          <t>0.6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92293642f47d4d31</t>
        </is>
      </c>
      <c r="B538" s="24" t="inlineStr">
        <is>
          <t>2026-08-24T21:15:29.636316Z</t>
        </is>
      </c>
      <c r="C538" s="24" t="inlineStr">
        <is>
          <t>2026-08-24T21:50Z</t>
        </is>
      </c>
      <c r="D538" s="24" t="inlineStr">
        <is>
          <t>189-2026:184708</t>
        </is>
      </c>
      <c r="E538" s="24" t="inlineStr">
        <is>
          <t>TENNIS</t>
        </is>
      </c>
      <c r="F538" s="24" t="inlineStr">
        <is>
          <t>Veronika Podrez</t>
        </is>
      </c>
      <c r="G538" s="24" t="inlineStr">
        <is>
          <t>Caroline Dolehide</t>
        </is>
      </c>
      <c r="H538" s="24" t="inlineStr">
        <is>
          <t>moneyline</t>
        </is>
      </c>
      <c r="I538" s="24" t="inlineStr">
        <is>
          <t>away</t>
        </is>
      </c>
      <c r="J538" s="25" t="n"/>
      <c r="K538" s="24" t="inlineStr">
        <is>
          <t>polymarket_us</t>
        </is>
      </c>
      <c r="L538" s="26" t="n">
        <v>257</v>
      </c>
      <c r="M538" s="27" t="n">
        <v>3.57</v>
      </c>
      <c r="N538" s="28" t="n">
        <v>0.280112</v>
      </c>
      <c r="O538" s="28" t="n">
        <v>0.6163</v>
      </c>
      <c r="P538" s="28" t="n">
        <v>0.05</v>
      </c>
      <c r="Q538" s="28" t="n">
        <v>0.336188</v>
      </c>
      <c r="R538" s="26" t="n">
        <v>100</v>
      </c>
      <c r="S538" s="29" t="n">
        <v>2</v>
      </c>
      <c r="T538" s="24" t="inlineStr">
        <is>
          <t>tennis-surface-elo-v1</t>
        </is>
      </c>
      <c r="U538" s="24" t="inlineStr">
        <is>
          <t>settled</t>
        </is>
      </c>
      <c r="V538" s="24" t="inlineStr">
        <is>
          <t>win</t>
        </is>
      </c>
      <c r="W538" s="26" t="n">
        <v>1</v>
      </c>
      <c r="X538" s="26" t="n">
        <v>0</v>
      </c>
      <c r="Y538" s="25" t="n"/>
      <c r="Z538" s="26" t="n">
        <v>257</v>
      </c>
      <c r="AA538" s="28" t="n">
        <v>0.28</v>
      </c>
      <c r="AB538" s="28" t="n">
        <v>-0.000112</v>
      </c>
      <c r="AC538" s="30" t="n">
        <v>5.14</v>
      </c>
      <c r="AD538" s="24" t="inlineStr">
        <is>
          <t>2026-08-25T01:13:02.120408Z</t>
        </is>
      </c>
      <c r="AE538" s="31" t="inlineStr">
        <is>
          <t>Surface-blended Elo on Hard: Veronika Podrez p=0.616 vs Caroline Dolehide. Executable ask 0.2800 (aec-wta-cardol-verpod-2026-08-24).</t>
        </is>
      </c>
      <c r="AF538" s="31" t="inlineStr">
        <is>
          <t>Surface-blended Elo model; singles only, WTA+ATP market coverage, not yet locked-holdout qualified -- promoted by explicit operator directive, not genuine walk-forward validation.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Veronika Podrez</t>
        </is>
      </c>
      <c r="AQ538" s="24" t="inlineStr">
        <is>
          <t>Veronika Podrez</t>
        </is>
      </c>
      <c r="AR538" s="24" t="inlineStr">
        <is>
          <t>Veronika Podrez</t>
        </is>
      </c>
      <c r="AS538" s="24" t="inlineStr">
        <is>
          <t>Caroline Dolehide</t>
        </is>
      </c>
      <c r="AT538" s="24" t="inlineStr">
        <is>
          <t>Caroline Dolehide</t>
        </is>
      </c>
      <c r="AU538" s="24" t="inlineStr">
        <is>
          <t>Caroline Dolehide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d777da58446bc099047b154203518e2585ef1a678f613f2b430f2589f7bf5cff</t>
        </is>
      </c>
      <c r="BB538" s="24" t="inlineStr">
        <is>
          <t>surface_blended_elo</t>
        </is>
      </c>
      <c r="BC538" s="24" t="inlineStr">
        <is>
          <t>tennis-surface-elo-v1</t>
        </is>
      </c>
      <c r="BD538" s="24" t="inlineStr">
        <is>
          <t>d777da58446bc099047b154203518e2585ef1a678f613f2b430f2589f7bf5cff</t>
        </is>
      </c>
      <c r="BE538" s="24" t="inlineStr">
        <is>
          <t>tennis-surface-elo-v1</t>
        </is>
      </c>
      <c r="BF538" s="24" t="inlineStr">
        <is>
          <t>1</t>
        </is>
      </c>
      <c r="BG538" s="24" t="inlineStr">
        <is>
          <t>d777da58446bc099047b154203518e2585ef1a678f613f2b430f2589f7bf5cff</t>
        </is>
      </c>
      <c r="BH538" s="24" t="inlineStr">
        <is>
          <t>2026-08-24T21:14:33.755660Z</t>
        </is>
      </c>
      <c r="BI538" s="24" t="inlineStr">
        <is>
          <t>["same_event","same_team_same_day","same_league_same_day"]</t>
        </is>
      </c>
      <c r="BJ538" s="25" t="n"/>
      <c r="BK538" s="26" t="n">
        <v>257</v>
      </c>
      <c r="BL538" s="27" t="n">
        <v>3.57</v>
      </c>
      <c r="BM538" s="28" t="n">
        <v>0.280112</v>
      </c>
      <c r="BN538" s="28" t="n"/>
      <c r="BO538" s="28" t="n"/>
      <c r="BP538" s="25" t="n"/>
      <c r="BQ538" s="27" t="n">
        <v>3.57</v>
      </c>
      <c r="BR538" s="28" t="n">
        <v>0.28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inlineStr">
        <is>
          <t>4ca37cdb8656d35b1ebd23b993d4ce130279bb3fe2bc1fafde890126e2982b09</t>
        </is>
      </c>
      <c r="DE538" s="24" t="inlineStr">
        <is>
          <t>/Users/vincentc9002/model-prediction/data/odds/tennis/2026-08-24/polymarket_snapshots.jsonl</t>
        </is>
      </c>
      <c r="DF538" s="24" t="inlineStr">
        <is>
          <t>506025:2026-08-24T21:14:33.755660Z</t>
        </is>
      </c>
      <c r="DG538" s="24" t="n"/>
      <c r="DH538" s="24" t="n"/>
      <c r="DI538" s="24" t="n"/>
      <c r="DJ538" s="24" t="inlineStr">
        <is>
          <t>0.280112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e67cfc0542764e3a</t>
        </is>
      </c>
      <c r="B539" s="24" t="inlineStr">
        <is>
          <t>2026-08-24T21:15:29.636316Z</t>
        </is>
      </c>
      <c r="C539" s="24" t="inlineStr">
        <is>
          <t>2026-08-24T22:10Z</t>
        </is>
      </c>
      <c r="D539" s="24" t="inlineStr">
        <is>
          <t>189-2026:184707</t>
        </is>
      </c>
      <c r="E539" s="24" t="inlineStr">
        <is>
          <t>TENNIS</t>
        </is>
      </c>
      <c r="F539" s="24" t="inlineStr">
        <is>
          <t>Bianca Andreescu</t>
        </is>
      </c>
      <c r="G539" s="24" t="inlineStr">
        <is>
          <t>Eva Vedder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polymarket_us</t>
        </is>
      </c>
      <c r="L539" s="26" t="n">
        <v>-525</v>
      </c>
      <c r="M539" s="27" t="n">
        <v>1.190476</v>
      </c>
      <c r="N539" s="28" t="n">
        <v>0.84</v>
      </c>
      <c r="O539" s="28" t="n">
        <v>0.602</v>
      </c>
      <c r="P539" s="28" t="n">
        <v>0.05</v>
      </c>
      <c r="Q539" s="28" t="n">
        <v>-0.238</v>
      </c>
      <c r="R539" s="26" t="n">
        <v>0</v>
      </c>
      <c r="S539" s="29" t="n">
        <v>1</v>
      </c>
      <c r="T539" s="24" t="inlineStr">
        <is>
          <t>tennis-surface-elo-v1</t>
        </is>
      </c>
      <c r="U539" s="24" t="inlineStr">
        <is>
          <t>settled</t>
        </is>
      </c>
      <c r="V539" s="24" t="inlineStr">
        <is>
          <t>win</t>
        </is>
      </c>
      <c r="W539" s="26" t="n">
        <v>1</v>
      </c>
      <c r="X539" s="26" t="n">
        <v>0</v>
      </c>
      <c r="Y539" s="25" t="n"/>
      <c r="Z539" s="26" t="n">
        <v>-525</v>
      </c>
      <c r="AA539" s="28" t="n">
        <v>0.84</v>
      </c>
      <c r="AB539" s="28" t="n">
        <v>0</v>
      </c>
      <c r="AC539" s="30" t="n">
        <v>0.1905</v>
      </c>
      <c r="AD539" s="24" t="inlineStr">
        <is>
          <t>2026-08-25T02:04:06.484593Z</t>
        </is>
      </c>
      <c r="AE539" s="31" t="inlineStr">
        <is>
          <t>Surface-blended Elo on Hard: Bianca Andreescu p=0.602 vs Eva Vedder. Executable ask 0.8400 (aec-wta-evaved-biaand-2026-08-24).</t>
        </is>
      </c>
      <c r="AF539" s="31" t="inlineStr">
        <is>
          <t>Surface-blended Elo model; singles only, WTA+ATP market coverage, not yet locked-holdout qualified -- promoted by explicit operator directive, not genuine walk-forward validation.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PAPER_CALL_LOW_EDGE</t>
        </is>
      </c>
      <c r="AP539" s="24" t="inlineStr">
        <is>
          <t>Bianca Andreescu</t>
        </is>
      </c>
      <c r="AQ539" s="24" t="inlineStr">
        <is>
          <t>Bianca Andreescu</t>
        </is>
      </c>
      <c r="AR539" s="24" t="inlineStr">
        <is>
          <t>Bianca Andreescu</t>
        </is>
      </c>
      <c r="AS539" s="24" t="inlineStr">
        <is>
          <t>Eva Vedder</t>
        </is>
      </c>
      <c r="AT539" s="24" t="inlineStr">
        <is>
          <t>Eva Vedder</t>
        </is>
      </c>
      <c r="AU539" s="24" t="inlineStr">
        <is>
          <t>Eva Vedder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d777da58446bc099047b154203518e2585ef1a678f613f2b430f2589f7bf5cff</t>
        </is>
      </c>
      <c r="BB539" s="24" t="inlineStr">
        <is>
          <t>surface_blended_elo</t>
        </is>
      </c>
      <c r="BC539" s="24" t="inlineStr">
        <is>
          <t>tennis-surface-elo-v1</t>
        </is>
      </c>
      <c r="BD539" s="24" t="inlineStr">
        <is>
          <t>d777da58446bc099047b154203518e2585ef1a678f613f2b430f2589f7bf5cff</t>
        </is>
      </c>
      <c r="BE539" s="24" t="inlineStr">
        <is>
          <t>tennis-surface-elo-v1</t>
        </is>
      </c>
      <c r="BF539" s="24" t="inlineStr">
        <is>
          <t>1</t>
        </is>
      </c>
      <c r="BG539" s="24" t="inlineStr">
        <is>
          <t>d777da58446bc099047b154203518e2585ef1a678f613f2b430f2589f7bf5cff</t>
        </is>
      </c>
      <c r="BH539" s="24" t="inlineStr">
        <is>
          <t>2026-08-24T20:38:54.447924Z</t>
        </is>
      </c>
      <c r="BI539" s="24" t="inlineStr">
        <is>
          <t>["same_event","same_team_same_day","same_league_same_day"]</t>
        </is>
      </c>
      <c r="BJ539" s="25" t="n"/>
      <c r="BK539" s="26" t="n">
        <v>-525</v>
      </c>
      <c r="BL539" s="27" t="n">
        <v>1.190476</v>
      </c>
      <c r="BM539" s="28" t="n">
        <v>0.84</v>
      </c>
      <c r="BN539" s="28" t="n"/>
      <c r="BO539" s="28" t="n"/>
      <c r="BP539" s="25" t="n"/>
      <c r="BQ539" s="27" t="n">
        <v>1.190476</v>
      </c>
      <c r="BR539" s="28" t="n">
        <v>0.84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inlineStr">
        <is>
          <t>d8fefeb6fb305bb4ce6c8854991861bef247d75f38b77ff72f4f6deb7d0f1e78</t>
        </is>
      </c>
      <c r="DE539" s="24" t="inlineStr">
        <is>
          <t>/Users/vincentc9002/model-prediction/data/odds/tennis/2026-08-24/polymarket_snapshots.jsonl</t>
        </is>
      </c>
      <c r="DF539" s="24" t="inlineStr">
        <is>
          <t>506023:2026-08-24T20:38:54.447924Z</t>
        </is>
      </c>
      <c r="DG539" s="24" t="n"/>
      <c r="DH539" s="24" t="n"/>
      <c r="DI539" s="24" t="n"/>
      <c r="DJ539" s="24" t="inlineStr">
        <is>
          <t>0.84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a8a172fdadde4ef2</t>
        </is>
      </c>
      <c r="B540" s="24" t="inlineStr">
        <is>
          <t>2026-08-24T21:15:29.636316Z</t>
        </is>
      </c>
      <c r="C540" s="24" t="inlineStr">
        <is>
          <t>2026-08-24T21:20Z</t>
        </is>
      </c>
      <c r="D540" s="24" t="inlineStr">
        <is>
          <t>189-2026:184621</t>
        </is>
      </c>
      <c r="E540" s="24" t="inlineStr">
        <is>
          <t>TENNIS</t>
        </is>
      </c>
      <c r="F540" s="24" t="inlineStr">
        <is>
          <t>Ugo Blanchet</t>
        </is>
      </c>
      <c r="G540" s="24" t="inlineStr">
        <is>
          <t>Otto Virtanen</t>
        </is>
      </c>
      <c r="H540" s="24" t="inlineStr">
        <is>
          <t>moneyline</t>
        </is>
      </c>
      <c r="I540" s="24" t="inlineStr">
        <is>
          <t>away</t>
        </is>
      </c>
      <c r="J540" s="25" t="n"/>
      <c r="K540" s="24" t="inlineStr">
        <is>
          <t>polymarket_us</t>
        </is>
      </c>
      <c r="L540" s="26" t="n">
        <v>212</v>
      </c>
      <c r="M540" s="27" t="n">
        <v>3.12</v>
      </c>
      <c r="N540" s="28" t="n">
        <v>0.320513</v>
      </c>
      <c r="O540" s="28" t="n">
        <v>0.5007</v>
      </c>
      <c r="P540" s="28" t="n">
        <v>0.05</v>
      </c>
      <c r="Q540" s="28" t="n">
        <v>0.180187</v>
      </c>
      <c r="R540" s="26" t="n">
        <v>100</v>
      </c>
      <c r="S540" s="29" t="n">
        <v>1.75</v>
      </c>
      <c r="T540" s="24" t="inlineStr">
        <is>
          <t>tennis-surface-elo-v1</t>
        </is>
      </c>
      <c r="U540" s="24" t="inlineStr">
        <is>
          <t>settled</t>
        </is>
      </c>
      <c r="V540" s="24" t="inlineStr">
        <is>
          <t>loss</t>
        </is>
      </c>
      <c r="W540" s="26" t="n">
        <v>0</v>
      </c>
      <c r="X540" s="26" t="n">
        <v>1</v>
      </c>
      <c r="Y540" s="25" t="n"/>
      <c r="Z540" s="26" t="n">
        <v>212</v>
      </c>
      <c r="AA540" s="28" t="n">
        <v>0.32</v>
      </c>
      <c r="AB540" s="28" t="n">
        <v>-0.000513</v>
      </c>
      <c r="AC540" s="30" t="n">
        <v>-1.75</v>
      </c>
      <c r="AD540" s="24" t="inlineStr">
        <is>
          <t>2026-08-25T00:20:21.923658Z</t>
        </is>
      </c>
      <c r="AE540" s="31" t="inlineStr">
        <is>
          <t>Surface-blended Elo on Hard: Ugo Blanchet p=0.501 vs Otto Virtanen. Executable ask 0.3200 (aec-atp-ottvir-ugobla-2026-08-24).</t>
        </is>
      </c>
      <c r="AF540" s="31" t="inlineStr">
        <is>
          <t>Surface-blended Elo model; singles only, WTA+ATP market coverage, not yet locked-holdout qualified -- promoted by explicit operator directive, not genuine walk-forward validation.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PAPER_CALL_LOW_EDGE</t>
        </is>
      </c>
      <c r="AP540" s="24" t="inlineStr">
        <is>
          <t>Ugo Blanchet</t>
        </is>
      </c>
      <c r="AQ540" s="24" t="inlineStr">
        <is>
          <t>Ugo Blanchet</t>
        </is>
      </c>
      <c r="AR540" s="24" t="inlineStr">
        <is>
          <t>Ugo Blanchet</t>
        </is>
      </c>
      <c r="AS540" s="24" t="inlineStr">
        <is>
          <t>Otto Virtanen</t>
        </is>
      </c>
      <c r="AT540" s="24" t="inlineStr">
        <is>
          <t>Otto Virtanen</t>
        </is>
      </c>
      <c r="AU540" s="24" t="inlineStr">
        <is>
          <t>Otto Virtanen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d777da58446bc099047b154203518e2585ef1a678f613f2b430f2589f7bf5cff</t>
        </is>
      </c>
      <c r="BB540" s="24" t="inlineStr">
        <is>
          <t>surface_blended_elo</t>
        </is>
      </c>
      <c r="BC540" s="24" t="inlineStr">
        <is>
          <t>tennis-surface-elo-v1</t>
        </is>
      </c>
      <c r="BD540" s="24" t="inlineStr">
        <is>
          <t>d777da58446bc099047b154203518e2585ef1a678f613f2b430f2589f7bf5cff</t>
        </is>
      </c>
      <c r="BE540" s="24" t="inlineStr">
        <is>
          <t>tennis-surface-elo-v1</t>
        </is>
      </c>
      <c r="BF540" s="24" t="inlineStr">
        <is>
          <t>1</t>
        </is>
      </c>
      <c r="BG540" s="24" t="inlineStr">
        <is>
          <t>d777da58446bc099047b154203518e2585ef1a678f613f2b430f2589f7bf5cff</t>
        </is>
      </c>
      <c r="BH540" s="24" t="inlineStr">
        <is>
          <t>2026-08-24T21:14:35.056298Z</t>
        </is>
      </c>
      <c r="BI540" s="24" t="inlineStr">
        <is>
          <t>["same_event","same_team_same_day","same_league_same_day"]</t>
        </is>
      </c>
      <c r="BJ540" s="25" t="n"/>
      <c r="BK540" s="26" t="n">
        <v>212</v>
      </c>
      <c r="BL540" s="27" t="n">
        <v>3.12</v>
      </c>
      <c r="BM540" s="28" t="n">
        <v>0.320513</v>
      </c>
      <c r="BN540" s="28" t="n"/>
      <c r="BO540" s="28" t="n"/>
      <c r="BP540" s="25" t="n"/>
      <c r="BQ540" s="27" t="n">
        <v>3.12</v>
      </c>
      <c r="BR540" s="28" t="n">
        <v>0.32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inlineStr">
        <is>
          <t>bd13443b36c67c3c66b1db9a79c73154a1d9e29b993069426c0dfd78987f48f7</t>
        </is>
      </c>
      <c r="DE540" s="24" t="inlineStr">
        <is>
          <t>/Users/vincentc9002/model-prediction/data/odds/tennis/2026-08-24/polymarket_snapshots.jsonl</t>
        </is>
      </c>
      <c r="DF540" s="24" t="inlineStr">
        <is>
          <t>506059:2026-08-24T21:14:35.056298Z</t>
        </is>
      </c>
      <c r="DG540" s="24" t="n"/>
      <c r="DH540" s="24" t="n"/>
      <c r="DI540" s="24" t="n"/>
      <c r="DJ540" s="24" t="inlineStr">
        <is>
          <t>0.320513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81bdac5a21a94c6b</t>
        </is>
      </c>
      <c r="B541" s="24" t="inlineStr">
        <is>
          <t>2026-08-24T21:15:29.636316Z</t>
        </is>
      </c>
      <c r="C541" s="24" t="inlineStr">
        <is>
          <t>2026-08-24T22:00Z</t>
        </is>
      </c>
      <c r="D541" s="24" t="inlineStr">
        <is>
          <t>189-2026:184613</t>
        </is>
      </c>
      <c r="E541" s="24" t="inlineStr">
        <is>
          <t>TENNIS</t>
        </is>
      </c>
      <c r="F541" s="24" t="inlineStr">
        <is>
          <t>Alexandre Muller</t>
        </is>
      </c>
      <c r="G541" s="24" t="inlineStr">
        <is>
          <t>Laslo Djere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-150</v>
      </c>
      <c r="M541" s="27" t="n">
        <v>1.666667</v>
      </c>
      <c r="N541" s="28" t="n">
        <v>0.6</v>
      </c>
      <c r="O541" s="28" t="n">
        <v>0.5362</v>
      </c>
      <c r="P541" s="28" t="n">
        <v>0.05</v>
      </c>
      <c r="Q541" s="28" t="n">
        <v>-0.0638</v>
      </c>
      <c r="R541" s="26" t="n">
        <v>0</v>
      </c>
      <c r="S541" s="29" t="n">
        <v>1</v>
      </c>
      <c r="T541" s="24" t="inlineStr">
        <is>
          <t>tennis-surface-elo-v1</t>
        </is>
      </c>
      <c r="U541" s="24" t="inlineStr">
        <is>
          <t>settled</t>
        </is>
      </c>
      <c r="V541" s="24" t="inlineStr">
        <is>
          <t>loss</t>
        </is>
      </c>
      <c r="W541" s="26" t="n">
        <v>1</v>
      </c>
      <c r="X541" s="26" t="n">
        <v>0</v>
      </c>
      <c r="Y541" s="25" t="n"/>
      <c r="Z541" s="26" t="n">
        <v>-150</v>
      </c>
      <c r="AA541" s="28" t="n">
        <v>0.6</v>
      </c>
      <c r="AB541" s="28" t="n">
        <v>0</v>
      </c>
      <c r="AC541" s="30" t="n">
        <v>-1</v>
      </c>
      <c r="AD541" s="24" t="inlineStr">
        <is>
          <t>2026-08-25T00:20:24.098086Z</t>
        </is>
      </c>
      <c r="AE541" s="31" t="inlineStr">
        <is>
          <t>Surface-blended Elo on Hard: Alexandre Muller p=0.464 vs Laslo Djere. Executable ask 0.6000 (aec-atp-lasdje-alemul-2026-08-24).</t>
        </is>
      </c>
      <c r="AF541" s="31" t="inlineStr">
        <is>
          <t>Surface-blended Elo model; singles only, WTA+ATP market coverage, not yet locked-holdout qualified -- promoted by explicit operator directive, not genuine walk-forward validation.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Alexandre Muller</t>
        </is>
      </c>
      <c r="AQ541" s="24" t="inlineStr">
        <is>
          <t>Alexandre Muller</t>
        </is>
      </c>
      <c r="AR541" s="24" t="inlineStr">
        <is>
          <t>Alexandre Muller</t>
        </is>
      </c>
      <c r="AS541" s="24" t="inlineStr">
        <is>
          <t>Laslo Djere</t>
        </is>
      </c>
      <c r="AT541" s="24" t="inlineStr">
        <is>
          <t>Laslo Djere</t>
        </is>
      </c>
      <c r="AU541" s="24" t="inlineStr">
        <is>
          <t>Laslo Djere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d777da58446bc099047b154203518e2585ef1a678f613f2b430f2589f7bf5cff</t>
        </is>
      </c>
      <c r="BB541" s="24" t="inlineStr">
        <is>
          <t>surface_blended_elo</t>
        </is>
      </c>
      <c r="BC541" s="24" t="inlineStr">
        <is>
          <t>tennis-surface-elo-v1</t>
        </is>
      </c>
      <c r="BD541" s="24" t="inlineStr">
        <is>
          <t>d777da58446bc099047b154203518e2585ef1a678f613f2b430f2589f7bf5cff</t>
        </is>
      </c>
      <c r="BE541" s="24" t="inlineStr">
        <is>
          <t>tennis-surface-elo-v1</t>
        </is>
      </c>
      <c r="BF541" s="24" t="inlineStr">
        <is>
          <t>1</t>
        </is>
      </c>
      <c r="BG541" s="24" t="inlineStr">
        <is>
          <t>d777da58446bc099047b154203518e2585ef1a678f613f2b430f2589f7bf5cff</t>
        </is>
      </c>
      <c r="BH541" s="24" t="inlineStr">
        <is>
          <t>2026-08-24T21:14:36.002279Z</t>
        </is>
      </c>
      <c r="BI541" s="24" t="inlineStr">
        <is>
          <t>["same_event","same_team_same_day","same_league_same_day"]</t>
        </is>
      </c>
      <c r="BJ541" s="25" t="n"/>
      <c r="BK541" s="26" t="n">
        <v>-150</v>
      </c>
      <c r="BL541" s="27" t="n">
        <v>1.666667</v>
      </c>
      <c r="BM541" s="28" t="n">
        <v>0.6</v>
      </c>
      <c r="BN541" s="28" t="n"/>
      <c r="BO541" s="28" t="n"/>
      <c r="BP541" s="25" t="n"/>
      <c r="BQ541" s="27" t="n">
        <v>1.666667</v>
      </c>
      <c r="BR541" s="28" t="n">
        <v>0.6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inlineStr">
        <is>
          <t>c90b141da286028cb271996569c0dbf383c9ecebd280082bfff3c602d0177498</t>
        </is>
      </c>
      <c r="DE541" s="24" t="inlineStr">
        <is>
          <t>/Users/vincentc9002/model-prediction/data/odds/tennis/2026-08-24/polymarket_snapshots.jsonl</t>
        </is>
      </c>
      <c r="DF541" s="24" t="inlineStr">
        <is>
          <t>506065:2026-08-24T21:14:36.002279Z</t>
        </is>
      </c>
      <c r="DG541" s="24" t="n"/>
      <c r="DH541" s="24" t="n"/>
      <c r="DI541" s="24" t="n"/>
      <c r="DJ541" s="24" t="inlineStr">
        <is>
          <t>0.6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32e268dc686e4c0a</t>
        </is>
      </c>
      <c r="B542" s="24" t="inlineStr">
        <is>
          <t>2026-08-24T21:15:29.636316Z</t>
        </is>
      </c>
      <c r="C542" s="24" t="inlineStr">
        <is>
          <t>2026-08-24T22:30Z</t>
        </is>
      </c>
      <c r="D542" s="24" t="inlineStr">
        <is>
          <t>189-2026:184622</t>
        </is>
      </c>
      <c r="E542" s="24" t="inlineStr">
        <is>
          <t>TENNIS</t>
        </is>
      </c>
      <c r="F542" s="24" t="inlineStr">
        <is>
          <t>Trevor Svajda</t>
        </is>
      </c>
      <c r="G542" s="24" t="inlineStr">
        <is>
          <t>Jack Pinnington Jones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-138</v>
      </c>
      <c r="M542" s="27" t="n">
        <v>1.724638</v>
      </c>
      <c r="N542" s="28" t="n">
        <v>0.579832</v>
      </c>
      <c r="O542" s="28" t="n">
        <v>0.5369</v>
      </c>
      <c r="P542" s="28" t="n">
        <v>0.05</v>
      </c>
      <c r="Q542" s="28" t="n">
        <v>-0.042932</v>
      </c>
      <c r="R542" s="26" t="n">
        <v>0</v>
      </c>
      <c r="S542" s="29" t="n">
        <v>1</v>
      </c>
      <c r="T542" s="24" t="inlineStr">
        <is>
          <t>tennis-surface-elo-v1</t>
        </is>
      </c>
      <c r="U542" s="24" t="inlineStr">
        <is>
          <t>settled</t>
        </is>
      </c>
      <c r="V542" s="24" t="inlineStr">
        <is>
          <t>loss</t>
        </is>
      </c>
      <c r="W542" s="26" t="n">
        <v>0</v>
      </c>
      <c r="X542" s="26" t="n">
        <v>1</v>
      </c>
      <c r="Y542" s="25" t="n"/>
      <c r="Z542" s="26" t="n">
        <v>-138</v>
      </c>
      <c r="AA542" s="28" t="n">
        <v>0.58</v>
      </c>
      <c r="AB542" s="28" t="n">
        <v>0.000168</v>
      </c>
      <c r="AC542" s="30" t="n">
        <v>-1</v>
      </c>
      <c r="AD542" s="24" t="inlineStr">
        <is>
          <t>2026-08-25T02:04:08.973812Z</t>
        </is>
      </c>
      <c r="AE542" s="31" t="inlineStr">
        <is>
          <t>Surface-blended Elo on Hard: Trevor Svajda p=0.537 vs Jack Pinnington Jones. Executable ask 0.5800 (aec-atp-jacjon-tresva-2026-08-24).</t>
        </is>
      </c>
      <c r="AF542" s="31" t="inlineStr">
        <is>
          <t>Surface-blended Elo model; singles only, WTA+ATP market coverage, not yet locked-holdout qualified -- promoted by explicit operator directive, not genuine walk-forward validation.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PAPER_CALL_MODEL_UNVALIDATED</t>
        </is>
      </c>
      <c r="AP542" s="24" t="inlineStr">
        <is>
          <t>Trevor Svajda</t>
        </is>
      </c>
      <c r="AQ542" s="24" t="inlineStr">
        <is>
          <t>Trevor Svajda</t>
        </is>
      </c>
      <c r="AR542" s="24" t="inlineStr">
        <is>
          <t>Trevor Svajda</t>
        </is>
      </c>
      <c r="AS542" s="24" t="inlineStr">
        <is>
          <t>Jack Pinnington Jones</t>
        </is>
      </c>
      <c r="AT542" s="24" t="inlineStr">
        <is>
          <t>Jack Pinnington Jones</t>
        </is>
      </c>
      <c r="AU542" s="24" t="inlineStr">
        <is>
          <t>Jack Pinnington Jones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d777da58446bc099047b154203518e2585ef1a678f613f2b430f2589f7bf5cff</t>
        </is>
      </c>
      <c r="BB542" s="24" t="inlineStr">
        <is>
          <t>surface_blended_elo</t>
        </is>
      </c>
      <c r="BC542" s="24" t="inlineStr">
        <is>
          <t>tennis-surface-elo-v1</t>
        </is>
      </c>
      <c r="BD542" s="24" t="inlineStr">
        <is>
          <t>d777da58446bc099047b154203518e2585ef1a678f613f2b430f2589f7bf5cff</t>
        </is>
      </c>
      <c r="BE542" s="24" t="inlineStr">
        <is>
          <t>tennis-surface-elo-v1</t>
        </is>
      </c>
      <c r="BF542" s="24" t="inlineStr">
        <is>
          <t>1</t>
        </is>
      </c>
      <c r="BG542" s="24" t="inlineStr">
        <is>
          <t>d777da58446bc099047b154203518e2585ef1a678f613f2b430f2589f7bf5cff</t>
        </is>
      </c>
      <c r="BH542" s="24" t="inlineStr">
        <is>
          <t>2026-08-24T21:14:36.158833Z</t>
        </is>
      </c>
      <c r="BI542" s="24" t="inlineStr">
        <is>
          <t>["same_event","same_team_same_day","same_league_same_day"]</t>
        </is>
      </c>
      <c r="BJ542" s="25" t="n"/>
      <c r="BK542" s="26" t="n">
        <v>-138</v>
      </c>
      <c r="BL542" s="27" t="n">
        <v>1.724638</v>
      </c>
      <c r="BM542" s="28" t="n">
        <v>0.579832</v>
      </c>
      <c r="BN542" s="28" t="n"/>
      <c r="BO542" s="28" t="n"/>
      <c r="BP542" s="25" t="n"/>
      <c r="BQ542" s="27" t="n">
        <v>1.724638</v>
      </c>
      <c r="BR542" s="28" t="n">
        <v>0.58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inlineStr">
        <is>
          <t>db0a82140a2fe443dbcf4d5b503abc062615e4fc333a3d13790c47bfb5c1194b</t>
        </is>
      </c>
      <c r="DE542" s="24" t="inlineStr">
        <is>
          <t>/Users/vincentc9002/model-prediction/data/odds/tennis/2026-08-24/polymarket_snapshots.jsonl</t>
        </is>
      </c>
      <c r="DF542" s="24" t="inlineStr">
        <is>
          <t>506061:2026-08-24T21:14:36.158833Z</t>
        </is>
      </c>
      <c r="DG542" s="24" t="n"/>
      <c r="DH542" s="24" t="n"/>
      <c r="DI542" s="24" t="n"/>
      <c r="DJ542" s="24" t="inlineStr">
        <is>
          <t>0.579832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467aa1a2daef4071</t>
        </is>
      </c>
      <c r="B543" s="24" t="inlineStr">
        <is>
          <t>2026-08-24T21:15:29.636316Z</t>
        </is>
      </c>
      <c r="C543" s="24" t="inlineStr">
        <is>
          <t>2026-08-24T21:30Z</t>
        </is>
      </c>
      <c r="D543" s="24" t="inlineStr">
        <is>
          <t>363-2026:184490</t>
        </is>
      </c>
      <c r="E543" s="24" t="inlineStr">
        <is>
          <t>TENNIS</t>
        </is>
      </c>
      <c r="F543" s="24" t="inlineStr">
        <is>
          <t>Hugo Grenier</t>
        </is>
      </c>
      <c r="G543" s="24" t="inlineStr">
        <is>
          <t>Roman Safiullin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525</v>
      </c>
      <c r="M543" s="27" t="n">
        <v>6.25</v>
      </c>
      <c r="N543" s="28" t="n">
        <v>0.16</v>
      </c>
      <c r="O543" s="28" t="n">
        <v>0.5058</v>
      </c>
      <c r="P543" s="28" t="n">
        <v>0.05</v>
      </c>
      <c r="Q543" s="28" t="n">
        <v>0.3458</v>
      </c>
      <c r="R543" s="26" t="n">
        <v>100</v>
      </c>
      <c r="S543" s="29" t="n">
        <v>2</v>
      </c>
      <c r="T543" s="24" t="inlineStr">
        <is>
          <t>tennis-surface-elo-v1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0</v>
      </c>
      <c r="Y543" s="25" t="n"/>
      <c r="Z543" s="26" t="n">
        <v>525</v>
      </c>
      <c r="AA543" s="28" t="n">
        <v>0.16</v>
      </c>
      <c r="AB543" s="28" t="n">
        <v>0</v>
      </c>
      <c r="AC543" s="30" t="n">
        <v>10.5</v>
      </c>
      <c r="AD543" s="24" t="inlineStr">
        <is>
          <t>2026-08-25T01:13:04.531826Z</t>
        </is>
      </c>
      <c r="AE543" s="31" t="inlineStr">
        <is>
          <t>Surface-blended Elo on Hard: Hugo Grenier p=0.506 vs Roman Safiullin. Executable ask 0.1600 (aec-atp-romsaf-huggre-2026-08-24).</t>
        </is>
      </c>
      <c r="AF543" s="31" t="inlineStr">
        <is>
          <t>Surface-blended Elo model; singles only, WTA+ATP market coverage, not yet locked-holdout qualified -- promoted by explicit operator directive, not genuine walk-forward validation.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PAPER_CALL_LOW_EDGE</t>
        </is>
      </c>
      <c r="AP543" s="24" t="inlineStr">
        <is>
          <t>Hugo Grenier</t>
        </is>
      </c>
      <c r="AQ543" s="24" t="inlineStr">
        <is>
          <t>Hugo Grenier</t>
        </is>
      </c>
      <c r="AR543" s="24" t="inlineStr">
        <is>
          <t>Hugo Grenier</t>
        </is>
      </c>
      <c r="AS543" s="24" t="inlineStr">
        <is>
          <t>Roman Safiullin</t>
        </is>
      </c>
      <c r="AT543" s="24" t="inlineStr">
        <is>
          <t>Roman Safiullin</t>
        </is>
      </c>
      <c r="AU543" s="24" t="inlineStr">
        <is>
          <t>Roman Safiullin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d777da58446bc099047b154203518e2585ef1a678f613f2b430f2589f7bf5cff</t>
        </is>
      </c>
      <c r="BB543" s="24" t="inlineStr">
        <is>
          <t>surface_blended_elo</t>
        </is>
      </c>
      <c r="BC543" s="24" t="inlineStr">
        <is>
          <t>tennis-surface-elo-v1</t>
        </is>
      </c>
      <c r="BD543" s="24" t="inlineStr">
        <is>
          <t>d777da58446bc099047b154203518e2585ef1a678f613f2b430f2589f7bf5cff</t>
        </is>
      </c>
      <c r="BE543" s="24" t="inlineStr">
        <is>
          <t>tennis-surface-elo-v1</t>
        </is>
      </c>
      <c r="BF543" s="24" t="inlineStr">
        <is>
          <t>1</t>
        </is>
      </c>
      <c r="BG543" s="24" t="inlineStr">
        <is>
          <t>d777da58446bc099047b154203518e2585ef1a678f613f2b430f2589f7bf5cff</t>
        </is>
      </c>
      <c r="BH543" s="24" t="inlineStr">
        <is>
          <t>2026-08-24T21:14:35.215033Z</t>
        </is>
      </c>
      <c r="BI543" s="24" t="inlineStr">
        <is>
          <t>["same_event","same_team_same_day","same_league_same_day"]</t>
        </is>
      </c>
      <c r="BJ543" s="25" t="n"/>
      <c r="BK543" s="26" t="n">
        <v>525</v>
      </c>
      <c r="BL543" s="27" t="n">
        <v>6.25</v>
      </c>
      <c r="BM543" s="28" t="n">
        <v>0.16</v>
      </c>
      <c r="BN543" s="28" t="n"/>
      <c r="BO543" s="28" t="n"/>
      <c r="BP543" s="25" t="n"/>
      <c r="BQ543" s="27" t="n">
        <v>6.25</v>
      </c>
      <c r="BR543" s="28" t="n">
        <v>0.16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inlineStr">
        <is>
          <t>15d6c526272927f4156a8aeb1d3f35b17820833a1f36eef44ed2de20b3c674b3</t>
        </is>
      </c>
      <c r="DE543" s="24" t="inlineStr">
        <is>
          <t>/Users/vincentc9002/model-prediction/data/odds/tennis/2026-08-24/polymarket_snapshots.jsonl</t>
        </is>
      </c>
      <c r="DF543" s="24" t="inlineStr">
        <is>
          <t>506069:2026-08-24T21:14:35.215033Z</t>
        </is>
      </c>
      <c r="DG543" s="24" t="n"/>
      <c r="DH543" s="24" t="n"/>
      <c r="DI543" s="24" t="n"/>
      <c r="DJ543" s="24" t="inlineStr">
        <is>
          <t>0.16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b68d4d61f8a44c72</t>
        </is>
      </c>
      <c r="B544" s="24" t="inlineStr">
        <is>
          <t>2026-08-24T21:15:29.636316Z</t>
        </is>
      </c>
      <c r="C544" s="24" t="inlineStr">
        <is>
          <t>2026-08-24T22:00Z</t>
        </is>
      </c>
      <c r="D544" s="24" t="inlineStr">
        <is>
          <t>363-2026:184493</t>
        </is>
      </c>
      <c r="E544" s="24" t="inlineStr">
        <is>
          <t>TENNIS</t>
        </is>
      </c>
      <c r="F544" s="24" t="inlineStr">
        <is>
          <t>Aleksandar Kovacevic</t>
        </is>
      </c>
      <c r="G544" s="24" t="inlineStr">
        <is>
          <t>Felix Balshaw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194</v>
      </c>
      <c r="M544" s="27" t="n">
        <v>2.94</v>
      </c>
      <c r="N544" s="28" t="n">
        <v>0.340136</v>
      </c>
      <c r="O544" s="28" t="n">
        <v>0.5688</v>
      </c>
      <c r="P544" s="28" t="n">
        <v>0.05</v>
      </c>
      <c r="Q544" s="28" t="n">
        <v>0.228664</v>
      </c>
      <c r="R544" s="26" t="n">
        <v>100</v>
      </c>
      <c r="S544" s="29" t="n">
        <v>2</v>
      </c>
      <c r="T544" s="24" t="inlineStr">
        <is>
          <t>tennis-surface-elo-v1</t>
        </is>
      </c>
      <c r="U544" s="24" t="inlineStr">
        <is>
          <t>settled</t>
        </is>
      </c>
      <c r="V544" s="24" t="inlineStr">
        <is>
          <t>loss</t>
        </is>
      </c>
      <c r="W544" s="26" t="n">
        <v>1</v>
      </c>
      <c r="X544" s="26" t="n">
        <v>0</v>
      </c>
      <c r="Y544" s="25" t="n"/>
      <c r="Z544" s="26" t="n">
        <v>194</v>
      </c>
      <c r="AA544" s="28" t="n">
        <v>0.34</v>
      </c>
      <c r="AB544" s="28" t="n">
        <v>-0.000136</v>
      </c>
      <c r="AC544" s="30" t="n">
        <v>-2</v>
      </c>
      <c r="AD544" s="24" t="inlineStr">
        <is>
          <t>2026-08-25T01:13:07.161093Z</t>
        </is>
      </c>
      <c r="AE544" s="31" t="inlineStr">
        <is>
          <t>Surface-blended Elo on Hard: Aleksandar Kovacevic p=0.431 vs Felix Balshaw. Executable ask 0.3400 (aec-atp-felbal-alekov-2026-08-24).</t>
        </is>
      </c>
      <c r="AF544" s="31" t="inlineStr">
        <is>
          <t>Surface-blended Elo model; singles only, WTA+ATP market coverage, not yet locked-holdout qualified -- promoted by explicit operator directive, not genuine walk-forward validation.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PAPER_CALL_MODEL_UNVALIDATED</t>
        </is>
      </c>
      <c r="AP544" s="24" t="inlineStr">
        <is>
          <t>Aleksandar Kovacevic</t>
        </is>
      </c>
      <c r="AQ544" s="24" t="inlineStr">
        <is>
          <t>Aleksandar Kovacevic</t>
        </is>
      </c>
      <c r="AR544" s="24" t="inlineStr">
        <is>
          <t>Aleksandar Kovacevic</t>
        </is>
      </c>
      <c r="AS544" s="24" t="inlineStr">
        <is>
          <t>Felix Balshaw</t>
        </is>
      </c>
      <c r="AT544" s="24" t="inlineStr">
        <is>
          <t>Felix Balshaw</t>
        </is>
      </c>
      <c r="AU544" s="24" t="inlineStr">
        <is>
          <t>Felix Balshaw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d777da58446bc099047b154203518e2585ef1a678f613f2b430f2589f7bf5cff</t>
        </is>
      </c>
      <c r="BB544" s="24" t="inlineStr">
        <is>
          <t>surface_blended_elo</t>
        </is>
      </c>
      <c r="BC544" s="24" t="inlineStr">
        <is>
          <t>tennis-surface-elo-v1</t>
        </is>
      </c>
      <c r="BD544" s="24" t="inlineStr">
        <is>
          <t>d777da58446bc099047b154203518e2585ef1a678f613f2b430f2589f7bf5cff</t>
        </is>
      </c>
      <c r="BE544" s="24" t="inlineStr">
        <is>
          <t>tennis-surface-elo-v1</t>
        </is>
      </c>
      <c r="BF544" s="24" t="inlineStr">
        <is>
          <t>1</t>
        </is>
      </c>
      <c r="BG544" s="24" t="inlineStr">
        <is>
          <t>d777da58446bc099047b154203518e2585ef1a678f613f2b430f2589f7bf5cff</t>
        </is>
      </c>
      <c r="BH544" s="24" t="inlineStr">
        <is>
          <t>2026-08-24T21:14:35.725517Z</t>
        </is>
      </c>
      <c r="BI544" s="24" t="inlineStr">
        <is>
          <t>["same_event","same_team_same_day","same_league_same_day"]</t>
        </is>
      </c>
      <c r="BJ544" s="25" t="n"/>
      <c r="BK544" s="26" t="n">
        <v>194</v>
      </c>
      <c r="BL544" s="27" t="n">
        <v>2.94</v>
      </c>
      <c r="BM544" s="28" t="n">
        <v>0.340136</v>
      </c>
      <c r="BN544" s="28" t="n"/>
      <c r="BO544" s="28" t="n"/>
      <c r="BP544" s="25" t="n"/>
      <c r="BQ544" s="27" t="n">
        <v>2.94</v>
      </c>
      <c r="BR544" s="28" t="n">
        <v>0.34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inlineStr">
        <is>
          <t>08a6d486284616652bbd0a8214a62add562976f62bd8ad7eabcf834b2c2988f5</t>
        </is>
      </c>
      <c r="DE544" s="24" t="inlineStr">
        <is>
          <t>/Users/vincentc9002/model-prediction/data/odds/tennis/2026-08-24/polymarket_snapshots.jsonl</t>
        </is>
      </c>
      <c r="DF544" s="24" t="inlineStr">
        <is>
          <t>506067:2026-08-24T21:14:35.725517Z</t>
        </is>
      </c>
      <c r="DG544" s="24" t="n"/>
      <c r="DH544" s="24" t="n"/>
      <c r="DI544" s="24" t="n"/>
      <c r="DJ544" s="24" t="inlineStr">
        <is>
          <t>0.340136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08784ebfce024ea4</t>
        </is>
      </c>
      <c r="B545" s="24" t="inlineStr">
        <is>
          <t>2026-08-24T21:15:29.636316Z</t>
        </is>
      </c>
      <c r="C545" s="24" t="inlineStr">
        <is>
          <t>2026-08-24T22:30Z</t>
        </is>
      </c>
      <c r="D545" s="24" t="inlineStr">
        <is>
          <t>363-2026:182048</t>
        </is>
      </c>
      <c r="E545" s="24" t="inlineStr">
        <is>
          <t>TENNIS</t>
        </is>
      </c>
      <c r="F545" s="24" t="inlineStr">
        <is>
          <t>Stefanos Tsitsipas</t>
        </is>
      </c>
      <c r="G545" s="24" t="inlineStr">
        <is>
          <t>Jenson Brooksby</t>
        </is>
      </c>
      <c r="H545" s="24" t="inlineStr">
        <is>
          <t>moneyline</t>
        </is>
      </c>
      <c r="I545" s="24" t="inlineStr">
        <is>
          <t>away</t>
        </is>
      </c>
      <c r="J545" s="25" t="n"/>
      <c r="K545" s="24" t="inlineStr">
        <is>
          <t>polymarket_us</t>
        </is>
      </c>
      <c r="L545" s="26" t="n">
        <v>-144</v>
      </c>
      <c r="M545" s="27" t="n">
        <v>1.694444</v>
      </c>
      <c r="N545" s="28" t="n">
        <v>0.590164</v>
      </c>
      <c r="O545" s="28" t="n">
        <v>0.6101</v>
      </c>
      <c r="P545" s="28" t="n">
        <v>0.05</v>
      </c>
      <c r="Q545" s="28" t="n">
        <v>0.019936</v>
      </c>
      <c r="R545" s="26" t="n">
        <v>30</v>
      </c>
      <c r="S545" s="29" t="n">
        <v>1</v>
      </c>
      <c r="T545" s="24" t="inlineStr">
        <is>
          <t>tennis-surface-elo-v1</t>
        </is>
      </c>
      <c r="U545" s="24" t="inlineStr">
        <is>
          <t>settled</t>
        </is>
      </c>
      <c r="V545" s="24" t="inlineStr">
        <is>
          <t>win</t>
        </is>
      </c>
      <c r="W545" s="26" t="n">
        <v>1</v>
      </c>
      <c r="X545" s="26" t="n">
        <v>0</v>
      </c>
      <c r="Y545" s="25" t="n"/>
      <c r="Z545" s="26" t="n">
        <v>-144</v>
      </c>
      <c r="AA545" s="28" t="n">
        <v>0.59</v>
      </c>
      <c r="AB545" s="28" t="n">
        <v>-0.000164</v>
      </c>
      <c r="AC545" s="30" t="n">
        <v>0.6944</v>
      </c>
      <c r="AD545" s="24" t="inlineStr">
        <is>
          <t>2026-08-25T01:13:09.664649Z</t>
        </is>
      </c>
      <c r="AE545" s="31" t="inlineStr">
        <is>
          <t>Surface-blended Elo on Hard: Stefanos Tsitsipas p=0.610 vs Jenson Brooksby. Executable ask 0.5900 (aec-atp-jenbro-stetsi-2026-08-24).</t>
        </is>
      </c>
      <c r="AF545" s="31" t="inlineStr">
        <is>
          <t>Surface-blended Elo model; singles only, WTA+ATP market coverage, not yet locked-holdout qualified -- promoted by explicit operator directive, not genuine walk-forward validation.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PAPER_CALL_LOW_EDGE</t>
        </is>
      </c>
      <c r="AP545" s="24" t="inlineStr">
        <is>
          <t>Stefanos Tsitsipas</t>
        </is>
      </c>
      <c r="AQ545" s="24" t="inlineStr">
        <is>
          <t>Stefanos Tsitsipas</t>
        </is>
      </c>
      <c r="AR545" s="24" t="inlineStr">
        <is>
          <t>Stefanos Tsitsipas</t>
        </is>
      </c>
      <c r="AS545" s="24" t="inlineStr">
        <is>
          <t>Jenson Brooksby</t>
        </is>
      </c>
      <c r="AT545" s="24" t="inlineStr">
        <is>
          <t>Jenson Brooksby</t>
        </is>
      </c>
      <c r="AU545" s="24" t="inlineStr">
        <is>
          <t>Jenson Brooksby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d777da58446bc099047b154203518e2585ef1a678f613f2b430f2589f7bf5cff</t>
        </is>
      </c>
      <c r="BB545" s="24" t="inlineStr">
        <is>
          <t>surface_blended_elo</t>
        </is>
      </c>
      <c r="BC545" s="24" t="inlineStr">
        <is>
          <t>tennis-surface-elo-v1</t>
        </is>
      </c>
      <c r="BD545" s="24" t="inlineStr">
        <is>
          <t>d777da58446bc099047b154203518e2585ef1a678f613f2b430f2589f7bf5cff</t>
        </is>
      </c>
      <c r="BE545" s="24" t="inlineStr">
        <is>
          <t>tennis-surface-elo-v1</t>
        </is>
      </c>
      <c r="BF545" s="24" t="inlineStr">
        <is>
          <t>1</t>
        </is>
      </c>
      <c r="BG545" s="24" t="inlineStr">
        <is>
          <t>d777da58446bc099047b154203518e2585ef1a678f613f2b430f2589f7bf5cff</t>
        </is>
      </c>
      <c r="BH545" s="24" t="inlineStr">
        <is>
          <t>2026-08-24T21:14:35.910980Z</t>
        </is>
      </c>
      <c r="BI545" s="24" t="inlineStr">
        <is>
          <t>["same_event","same_team_same_day","same_league_same_day"]</t>
        </is>
      </c>
      <c r="BJ545" s="25" t="n"/>
      <c r="BK545" s="26" t="n">
        <v>-144</v>
      </c>
      <c r="BL545" s="27" t="n">
        <v>1.694444</v>
      </c>
      <c r="BM545" s="28" t="n">
        <v>0.590164</v>
      </c>
      <c r="BN545" s="28" t="n"/>
      <c r="BO545" s="28" t="n"/>
      <c r="BP545" s="25" t="n"/>
      <c r="BQ545" s="27" t="n">
        <v>1.694444</v>
      </c>
      <c r="BR545" s="28" t="n">
        <v>0.59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inlineStr">
        <is>
          <t>074660e3530b245c77d24f903ce67aede4c9a57b2a65a3f39250ae1a7ee0f6ed</t>
        </is>
      </c>
      <c r="DE545" s="24" t="inlineStr">
        <is>
          <t>/Users/vincentc9002/model-prediction/data/odds/tennis/2026-08-24/polymarket_snapshots.jsonl</t>
        </is>
      </c>
      <c r="DF545" s="24" t="inlineStr">
        <is>
          <t>506071:2026-08-24T21:14:35.910980Z</t>
        </is>
      </c>
      <c r="DG545" s="24" t="n"/>
      <c r="DH545" s="24" t="n"/>
      <c r="DI545" s="24" t="n"/>
      <c r="DJ545" s="24" t="inlineStr">
        <is>
          <t>0.590164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86b7cff8c1994477</t>
        </is>
      </c>
      <c r="B546" s="24" t="inlineStr">
        <is>
          <t>2026-08-24T21:15:29.636316Z</t>
        </is>
      </c>
      <c r="C546" s="24" t="inlineStr">
        <is>
          <t>2026-08-25T00:00Z</t>
        </is>
      </c>
      <c r="D546" s="24" t="inlineStr">
        <is>
          <t>363-2026:182053</t>
        </is>
      </c>
      <c r="E546" s="24" t="inlineStr">
        <is>
          <t>TENNIS</t>
        </is>
      </c>
      <c r="F546" s="24" t="inlineStr">
        <is>
          <t>Francisco Comesana</t>
        </is>
      </c>
      <c r="G546" s="24" t="inlineStr">
        <is>
          <t>Daniel Altmaier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104</v>
      </c>
      <c r="M546" s="27" t="n">
        <v>2.04</v>
      </c>
      <c r="N546" s="28" t="n">
        <v>0.490196</v>
      </c>
      <c r="O546" s="28" t="n">
        <v>0.51</v>
      </c>
      <c r="P546" s="28" t="n">
        <v>0.05</v>
      </c>
      <c r="Q546" s="28" t="n">
        <v>0.019804</v>
      </c>
      <c r="R546" s="26" t="n">
        <v>30</v>
      </c>
      <c r="S546" s="29" t="n">
        <v>1</v>
      </c>
      <c r="T546" s="24" t="inlineStr">
        <is>
          <t>tennis-surface-elo-v1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104</v>
      </c>
      <c r="AA546" s="28" t="n">
        <v>0.49</v>
      </c>
      <c r="AB546" s="28" t="n">
        <v>-0.000196</v>
      </c>
      <c r="AC546" s="30" t="n">
        <v>1.04</v>
      </c>
      <c r="AD546" s="24" t="inlineStr">
        <is>
          <t>2026-08-25T03:25:02.904943Z</t>
        </is>
      </c>
      <c r="AE546" s="31" t="inlineStr">
        <is>
          <t>Surface-blended Elo on Hard: Francisco Comesana p=0.490 vs Daniel Altmaier. Executable ask 0.4900 (aec-atp-danalt-fracom-2026-08-24).</t>
        </is>
      </c>
      <c r="AF546" s="31" t="inlineStr">
        <is>
          <t>Surface-blended Elo model; singles only, WTA+ATP market coverage, not yet locked-holdout qualified -- promoted by explicit operator directive, not genuine walk-forward validation.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PAPER_CALL_LOW_EDGE</t>
        </is>
      </c>
      <c r="AP546" s="24" t="inlineStr">
        <is>
          <t>Francisco Comesana</t>
        </is>
      </c>
      <c r="AQ546" s="24" t="inlineStr">
        <is>
          <t>Francisco Comesana</t>
        </is>
      </c>
      <c r="AR546" s="24" t="inlineStr">
        <is>
          <t>Francisco Comesana</t>
        </is>
      </c>
      <c r="AS546" s="24" t="inlineStr">
        <is>
          <t>Daniel Altmaier</t>
        </is>
      </c>
      <c r="AT546" s="24" t="inlineStr">
        <is>
          <t>Daniel Altmaier</t>
        </is>
      </c>
      <c r="AU546" s="24" t="inlineStr">
        <is>
          <t>Daniel Altmaier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d777da58446bc099047b154203518e2585ef1a678f613f2b430f2589f7bf5cff</t>
        </is>
      </c>
      <c r="BB546" s="24" t="inlineStr">
        <is>
          <t>surface_blended_elo</t>
        </is>
      </c>
      <c r="BC546" s="24" t="inlineStr">
        <is>
          <t>tennis-surface-elo-v1</t>
        </is>
      </c>
      <c r="BD546" s="24" t="inlineStr">
        <is>
          <t>d777da58446bc099047b154203518e2585ef1a678f613f2b430f2589f7bf5cff</t>
        </is>
      </c>
      <c r="BE546" s="24" t="inlineStr">
        <is>
          <t>tennis-surface-elo-v1</t>
        </is>
      </c>
      <c r="BF546" s="24" t="inlineStr">
        <is>
          <t>1</t>
        </is>
      </c>
      <c r="BG546" s="24" t="inlineStr">
        <is>
          <t>d777da58446bc099047b154203518e2585ef1a678f613f2b430f2589f7bf5cff</t>
        </is>
      </c>
      <c r="BH546" s="24" t="inlineStr">
        <is>
          <t>2026-08-24T21:14:36.276789Z</t>
        </is>
      </c>
      <c r="BI546" s="24" t="inlineStr">
        <is>
          <t>["same_event","same_team_same_day","same_league_same_day"]</t>
        </is>
      </c>
      <c r="BJ546" s="25" t="n"/>
      <c r="BK546" s="26" t="n">
        <v>104</v>
      </c>
      <c r="BL546" s="27" t="n">
        <v>2.04</v>
      </c>
      <c r="BM546" s="28" t="n">
        <v>0.490196</v>
      </c>
      <c r="BN546" s="28" t="n"/>
      <c r="BO546" s="28" t="n"/>
      <c r="BP546" s="25" t="n"/>
      <c r="BQ546" s="27" t="n">
        <v>2.04</v>
      </c>
      <c r="BR546" s="28" t="n">
        <v>0.49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inlineStr">
        <is>
          <t>b5e07f5ed07b101ea4484a6b8ebefc8b6adca8defcb72f544e2ff53089cbf62c</t>
        </is>
      </c>
      <c r="DE546" s="24" t="inlineStr">
        <is>
          <t>/Users/vincentc9002/model-prediction/data/odds/tennis/2026-08-24/polymarket_snapshots.jsonl</t>
        </is>
      </c>
      <c r="DF546" s="24" t="inlineStr">
        <is>
          <t>506073:2026-08-24T21:14:36.276789Z</t>
        </is>
      </c>
      <c r="DG546" s="24" t="n"/>
      <c r="DH546" s="24" t="n"/>
      <c r="DI546" s="24" t="n"/>
      <c r="DJ546" s="24" t="inlineStr">
        <is>
          <t>0.490196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aa010b38f5004585</t>
        </is>
      </c>
      <c r="B547" s="24" t="inlineStr">
        <is>
          <t>2026-08-25T00:22:10.799849Z</t>
        </is>
      </c>
      <c r="C547" s="24" t="inlineStr">
        <is>
          <t>2026-08-25T01:30Z</t>
        </is>
      </c>
      <c r="D547" s="24" t="inlineStr">
        <is>
          <t>341-2026:182483</t>
        </is>
      </c>
      <c r="E547" s="24" t="inlineStr">
        <is>
          <t>TENNIS</t>
        </is>
      </c>
      <c r="F547" s="24" t="inlineStr">
        <is>
          <t>Renata Zarazua</t>
        </is>
      </c>
      <c r="G547" s="24" t="inlineStr">
        <is>
          <t>Clara Tauson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-285</v>
      </c>
      <c r="M547" s="27" t="n">
        <v>1.350877</v>
      </c>
      <c r="N547" s="28" t="n">
        <v>0.74026</v>
      </c>
      <c r="O547" s="28" t="n">
        <v>0.7009</v>
      </c>
      <c r="P547" s="28" t="n">
        <v>0.05</v>
      </c>
      <c r="Q547" s="28" t="n">
        <v>-0.03936</v>
      </c>
      <c r="R547" s="26" t="n">
        <v>0</v>
      </c>
      <c r="S547" s="29" t="n">
        <v>1</v>
      </c>
      <c r="T547" s="24" t="inlineStr">
        <is>
          <t>tennis-surface-elo-v1</t>
        </is>
      </c>
      <c r="U547" s="24" t="inlineStr">
        <is>
          <t>settled</t>
        </is>
      </c>
      <c r="V547" s="24" t="inlineStr">
        <is>
          <t>win</t>
        </is>
      </c>
      <c r="W547" s="26" t="n">
        <v>0</v>
      </c>
      <c r="X547" s="26" t="n">
        <v>1</v>
      </c>
      <c r="Y547" s="25" t="n"/>
      <c r="Z547" s="26" t="n">
        <v>-285</v>
      </c>
      <c r="AA547" s="28" t="n">
        <v>0.74</v>
      </c>
      <c r="AB547" s="28" t="n">
        <v>-0.00026</v>
      </c>
      <c r="AC547" s="30" t="n">
        <v>0.3509</v>
      </c>
      <c r="AD547" s="24" t="inlineStr">
        <is>
          <t>2026-08-25T03:25:05.047399Z</t>
        </is>
      </c>
      <c r="AE547" s="31" t="inlineStr">
        <is>
          <t>Surface-blended Elo on Hard: Renata Zarazua p=0.299 vs Clara Tauson. Executable ask 0.7400 (aec-wta-clatau-renzar-2026-08-24).</t>
        </is>
      </c>
      <c r="AF547" s="31" t="inlineStr">
        <is>
          <t>Surface-blended Elo model; singles only, WTA+ATP market coverage, not yet locked-holdout qualified -- promoted by explicit operator directive, not genuine walk-forward validation.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Renata Zarazua</t>
        </is>
      </c>
      <c r="AQ547" s="24" t="inlineStr">
        <is>
          <t>Renata Zarazua</t>
        </is>
      </c>
      <c r="AR547" s="24" t="inlineStr">
        <is>
          <t>Renata Zarazua</t>
        </is>
      </c>
      <c r="AS547" s="24" t="inlineStr">
        <is>
          <t>Clara Tauson</t>
        </is>
      </c>
      <c r="AT547" s="24" t="inlineStr">
        <is>
          <t>Clara Tauson</t>
        </is>
      </c>
      <c r="AU547" s="24" t="inlineStr">
        <is>
          <t>Clara Tauson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d777da58446bc099047b154203518e2585ef1a678f613f2b430f2589f7bf5cff</t>
        </is>
      </c>
      <c r="BB547" s="24" t="inlineStr">
        <is>
          <t>surface_blended_elo</t>
        </is>
      </c>
      <c r="BC547" s="24" t="inlineStr">
        <is>
          <t>tennis-surface-elo-v1</t>
        </is>
      </c>
      <c r="BD547" s="24" t="inlineStr">
        <is>
          <t>d777da58446bc099047b154203518e2585ef1a678f613f2b430f2589f7bf5cff</t>
        </is>
      </c>
      <c r="BE547" s="24" t="inlineStr">
        <is>
          <t>tennis-surface-elo-v1</t>
        </is>
      </c>
      <c r="BF547" s="24" t="inlineStr">
        <is>
          <t>1</t>
        </is>
      </c>
      <c r="BG547" s="24" t="inlineStr">
        <is>
          <t>d777da58446bc099047b154203518e2585ef1a678f613f2b430f2589f7bf5cff</t>
        </is>
      </c>
      <c r="BH547" s="24" t="inlineStr">
        <is>
          <t>2026-08-25T00:21:36.321519Z</t>
        </is>
      </c>
      <c r="BI547" s="24" t="inlineStr">
        <is>
          <t>["same_event","same_team_same_day","same_league_same_day"]</t>
        </is>
      </c>
      <c r="BJ547" s="25" t="n"/>
      <c r="BK547" s="26" t="n">
        <v>-285</v>
      </c>
      <c r="BL547" s="27" t="n">
        <v>1.350877</v>
      </c>
      <c r="BM547" s="28" t="n">
        <v>0.74026</v>
      </c>
      <c r="BN547" s="28" t="n"/>
      <c r="BO547" s="28" t="n"/>
      <c r="BP547" s="25" t="n"/>
      <c r="BQ547" s="27" t="n">
        <v>1.350877</v>
      </c>
      <c r="BR547" s="28" t="n">
        <v>0.74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inlineStr">
        <is>
          <t>e59a8e628869329ed77cb917f72a5a48dc818fb2ab06bd7c29d426af547e49ca</t>
        </is>
      </c>
      <c r="DE547" s="24" t="inlineStr">
        <is>
          <t>/Users/vincentc9002/model-prediction/data/odds/tennis/2026-08-24/polymarket_snapshots.jsonl</t>
        </is>
      </c>
      <c r="DF547" s="24" t="inlineStr">
        <is>
          <t>499309:2026-08-25T00:21:36.321519Z</t>
        </is>
      </c>
      <c r="DG547" s="24" t="n"/>
      <c r="DH547" s="24" t="n"/>
      <c r="DI547" s="24" t="n"/>
      <c r="DJ547" s="24" t="inlineStr">
        <is>
          <t>0.74026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f20bb33258f24a9a</t>
        </is>
      </c>
      <c r="B548" s="24" t="inlineStr">
        <is>
          <t>2026-08-25T00:22:10.799849Z</t>
        </is>
      </c>
      <c r="C548" s="24" t="inlineStr">
        <is>
          <t>2026-08-25T03:00Z</t>
        </is>
      </c>
      <c r="D548" s="24" t="inlineStr">
        <is>
          <t>341-2026:182504</t>
        </is>
      </c>
      <c r="E548" s="24" t="inlineStr">
        <is>
          <t>TENNIS</t>
        </is>
      </c>
      <c r="F548" s="24" t="inlineStr">
        <is>
          <t>Donna Vekic</t>
        </is>
      </c>
      <c r="G548" s="24" t="inlineStr">
        <is>
          <t>Diane Parry</t>
        </is>
      </c>
      <c r="H548" s="24" t="inlineStr">
        <is>
          <t>moneyline</t>
        </is>
      </c>
      <c r="I548" s="24" t="inlineStr">
        <is>
          <t>away</t>
        </is>
      </c>
      <c r="J548" s="25" t="n"/>
      <c r="K548" s="24" t="inlineStr">
        <is>
          <t>polymarket_us</t>
        </is>
      </c>
      <c r="L548" s="26" t="n">
        <v>-138</v>
      </c>
      <c r="M548" s="27" t="n">
        <v>1.724638</v>
      </c>
      <c r="N548" s="28" t="n">
        <v>0.579832</v>
      </c>
      <c r="O548" s="28" t="n">
        <v>0.5871</v>
      </c>
      <c r="P548" s="28" t="n">
        <v>0.05</v>
      </c>
      <c r="Q548" s="28" t="n">
        <v>0.007268</v>
      </c>
      <c r="R548" s="26" t="n">
        <v>24</v>
      </c>
      <c r="S548" s="29" t="n">
        <v>1</v>
      </c>
      <c r="T548" s="24" t="inlineStr">
        <is>
          <t>tennis-surface-elo-v1</t>
        </is>
      </c>
      <c r="U548" s="24" t="inlineStr">
        <is>
          <t>settled</t>
        </is>
      </c>
      <c r="V548" s="24" t="inlineStr">
        <is>
          <t>loss</t>
        </is>
      </c>
      <c r="W548" s="26" t="n">
        <v>0</v>
      </c>
      <c r="X548" s="26" t="n">
        <v>1</v>
      </c>
      <c r="Y548" s="25" t="n"/>
      <c r="Z548" s="26" t="n">
        <v>-138</v>
      </c>
      <c r="AA548" s="28" t="n">
        <v>0.58</v>
      </c>
      <c r="AB548" s="28" t="n">
        <v>0.000168</v>
      </c>
      <c r="AC548" s="30" t="n">
        <v>-1</v>
      </c>
      <c r="AD548" s="24" t="inlineStr">
        <is>
          <t>2026-08-25T06:21:56.380772Z</t>
        </is>
      </c>
      <c r="AE548" s="31" t="inlineStr">
        <is>
          <t>Surface-blended Elo on Hard: Donna Vekic p=0.587 vs Diane Parry. Executable ask 0.5800 (aec-wta-diapar-donvek-2026-08-24).</t>
        </is>
      </c>
      <c r="AF548" s="31" t="inlineStr">
        <is>
          <t>Surface-blended Elo model; singles only, WTA+ATP market coverage, not yet locked-holdout qualified -- promoted by explicit operator directive, not genuine walk-forward validation.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Donna Vekic</t>
        </is>
      </c>
      <c r="AQ548" s="24" t="inlineStr">
        <is>
          <t>Donna Vekic</t>
        </is>
      </c>
      <c r="AR548" s="24" t="inlineStr">
        <is>
          <t>Donna Vekic</t>
        </is>
      </c>
      <c r="AS548" s="24" t="inlineStr">
        <is>
          <t>Diane Parry</t>
        </is>
      </c>
      <c r="AT548" s="24" t="inlineStr">
        <is>
          <t>Diane Parry</t>
        </is>
      </c>
      <c r="AU548" s="24" t="inlineStr">
        <is>
          <t>Diane Parry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d777da58446bc099047b154203518e2585ef1a678f613f2b430f2589f7bf5cff</t>
        </is>
      </c>
      <c r="BB548" s="24" t="inlineStr">
        <is>
          <t>surface_blended_elo</t>
        </is>
      </c>
      <c r="BC548" s="24" t="inlineStr">
        <is>
          <t>tennis-surface-elo-v1</t>
        </is>
      </c>
      <c r="BD548" s="24" t="inlineStr">
        <is>
          <t>d777da58446bc099047b154203518e2585ef1a678f613f2b430f2589f7bf5cff</t>
        </is>
      </c>
      <c r="BE548" s="24" t="inlineStr">
        <is>
          <t>tennis-surface-elo-v1</t>
        </is>
      </c>
      <c r="BF548" s="24" t="inlineStr">
        <is>
          <t>1</t>
        </is>
      </c>
      <c r="BG548" s="24" t="inlineStr">
        <is>
          <t>d777da58446bc099047b154203518e2585ef1a678f613f2b430f2589f7bf5cff</t>
        </is>
      </c>
      <c r="BH548" s="24" t="inlineStr">
        <is>
          <t>2026-08-25T00:21:36.421131Z</t>
        </is>
      </c>
      <c r="BI548" s="24" t="inlineStr">
        <is>
          <t>["same_event","same_team_same_day","same_league_same_day"]</t>
        </is>
      </c>
      <c r="BJ548" s="25" t="n"/>
      <c r="BK548" s="26" t="n">
        <v>-138</v>
      </c>
      <c r="BL548" s="27" t="n">
        <v>1.724638</v>
      </c>
      <c r="BM548" s="28" t="n">
        <v>0.579832</v>
      </c>
      <c r="BN548" s="28" t="n"/>
      <c r="BO548" s="28" t="n"/>
      <c r="BP548" s="25" t="n"/>
      <c r="BQ548" s="27" t="n">
        <v>1.724638</v>
      </c>
      <c r="BR548" s="28" t="n">
        <v>0.58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inlineStr">
        <is>
          <t>f9ed6df355d20ae3ee108f636c8483218bda830ed4366a0f9f9b7bd1c83bd191</t>
        </is>
      </c>
      <c r="DE548" s="24" t="inlineStr">
        <is>
          <t>/Users/vincentc9002/model-prediction/data/odds/tennis/2026-08-24/polymarket_snapshots.jsonl</t>
        </is>
      </c>
      <c r="DF548" s="24" t="inlineStr">
        <is>
          <t>499310:2026-08-25T00:21:36.421131Z</t>
        </is>
      </c>
      <c r="DG548" s="24" t="n"/>
      <c r="DH548" s="24" t="n"/>
      <c r="DI548" s="24" t="n"/>
      <c r="DJ548" s="24" t="inlineStr">
        <is>
          <t>0.579832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b7f77cc1dbbb4bec</t>
        </is>
      </c>
      <c r="B549" s="24" t="inlineStr">
        <is>
          <t>2026-08-25T13:31:51.589728Z</t>
        </is>
      </c>
      <c r="C549" s="24" t="inlineStr">
        <is>
          <t>2026-08-25T21:00Z</t>
        </is>
      </c>
      <c r="D549" s="24" t="inlineStr">
        <is>
          <t>341-2026:182496</t>
        </is>
      </c>
      <c r="E549" s="24" t="inlineStr">
        <is>
          <t>TENNIS</t>
        </is>
      </c>
      <c r="F549" s="24" t="inlineStr">
        <is>
          <t>Anna Bondar</t>
        </is>
      </c>
      <c r="G549" s="24" t="inlineStr">
        <is>
          <t>Cristina Bucsa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polymarket_us</t>
        </is>
      </c>
      <c r="L549" s="26" t="n">
        <v>-133</v>
      </c>
      <c r="M549" s="27" t="n">
        <v>1.75188</v>
      </c>
      <c r="N549" s="28" t="n">
        <v>0.570815</v>
      </c>
      <c r="O549" s="28" t="n">
        <v>0.5379</v>
      </c>
      <c r="P549" s="28" t="n">
        <v>0.05</v>
      </c>
      <c r="Q549" s="28" t="n">
        <v>-0.032915</v>
      </c>
      <c r="R549" s="26" t="n">
        <v>4</v>
      </c>
      <c r="S549" s="29" t="n">
        <v>1</v>
      </c>
      <c r="T549" s="24" t="inlineStr">
        <is>
          <t>tennis-surface-elo-v1</t>
        </is>
      </c>
      <c r="U549" s="24" t="inlineStr">
        <is>
          <t>settled</t>
        </is>
      </c>
      <c r="V549" s="24" t="inlineStr">
        <is>
          <t>loss</t>
        </is>
      </c>
      <c r="W549" s="26" t="n">
        <v>0</v>
      </c>
      <c r="X549" s="26" t="n">
        <v>1</v>
      </c>
      <c r="Y549" s="25" t="n"/>
      <c r="Z549" s="26" t="n">
        <v>-133</v>
      </c>
      <c r="AA549" s="28" t="n">
        <v>0.57</v>
      </c>
      <c r="AB549" s="28" t="n">
        <v>-0.000815</v>
      </c>
      <c r="AC549" s="30" t="n">
        <v>-1</v>
      </c>
      <c r="AD549" s="24" t="inlineStr">
        <is>
          <t>2026-08-26T12:35:36.710143Z</t>
        </is>
      </c>
      <c r="AE549" s="31" t="inlineStr">
        <is>
          <t>Surface-blended Elo on Hard: Anna Bondar p=0.538 vs Cristina Bucsa. Executable ask 0.5700 (aec-wta-cribuc-annbon-2026-08-25).</t>
        </is>
      </c>
      <c r="AF549" s="31" t="inlineStr">
        <is>
          <t>Surface-blended Elo model; singles only, WTA+ATP market coverage, not yet locked-holdout qualified -- promoted by explicit operator directive, not genuine walk-forward validation.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PAPER_CALL_LOW_EDGE</t>
        </is>
      </c>
      <c r="AP549" s="24" t="inlineStr">
        <is>
          <t>Anna Bondar</t>
        </is>
      </c>
      <c r="AQ549" s="24" t="inlineStr">
        <is>
          <t>Anna Bondar</t>
        </is>
      </c>
      <c r="AR549" s="24" t="inlineStr">
        <is>
          <t>Anna Bondar</t>
        </is>
      </c>
      <c r="AS549" s="24" t="inlineStr">
        <is>
          <t>Cristina Bucsa</t>
        </is>
      </c>
      <c r="AT549" s="24" t="inlineStr">
        <is>
          <t>Cristina Bucsa</t>
        </is>
      </c>
      <c r="AU549" s="24" t="inlineStr">
        <is>
          <t>Cristina Bucsa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d777da58446bc099047b154203518e2585ef1a678f613f2b430f2589f7bf5cff</t>
        </is>
      </c>
      <c r="BB549" s="24" t="inlineStr">
        <is>
          <t>surface_blended_elo</t>
        </is>
      </c>
      <c r="BC549" s="24" t="inlineStr">
        <is>
          <t>tennis-surface-elo-v1</t>
        </is>
      </c>
      <c r="BD549" s="24" t="inlineStr">
        <is>
          <t>d777da58446bc099047b154203518e2585ef1a678f613f2b430f2589f7bf5cff</t>
        </is>
      </c>
      <c r="BE549" s="24" t="inlineStr">
        <is>
          <t>tennis-surface-elo-v1</t>
        </is>
      </c>
      <c r="BF549" s="24" t="inlineStr">
        <is>
          <t>1</t>
        </is>
      </c>
      <c r="BG549" s="24" t="inlineStr">
        <is>
          <t>d777da58446bc099047b154203518e2585ef1a678f613f2b430f2589f7bf5cff</t>
        </is>
      </c>
      <c r="BH549" s="24" t="inlineStr">
        <is>
          <t>2026-08-25T13:29:43.673327Z</t>
        </is>
      </c>
      <c r="BI549" s="24" t="inlineStr">
        <is>
          <t>["same_event","same_team_same_day","same_league_same_day"]</t>
        </is>
      </c>
      <c r="BJ549" s="25" t="n"/>
      <c r="BK549" s="26" t="n">
        <v>-133</v>
      </c>
      <c r="BL549" s="27" t="n">
        <v>1.75188</v>
      </c>
      <c r="BM549" s="28" t="n">
        <v>0.570815</v>
      </c>
      <c r="BN549" s="28" t="n"/>
      <c r="BO549" s="28" t="n"/>
      <c r="BP549" s="25" t="n"/>
      <c r="BQ549" s="27" t="n">
        <v>1.75188</v>
      </c>
      <c r="BR549" s="28" t="n">
        <v>0.57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inlineStr">
        <is>
          <t>1e9ca45bcb65c773effa80107b10e352d1a7d301912f8b97015c48d8c043b55d</t>
        </is>
      </c>
      <c r="DE549" s="24" t="inlineStr">
        <is>
          <t>/Users/vincentc9002/model-prediction/data/odds/tennis/2026-08-25/polymarket_snapshots.jsonl</t>
        </is>
      </c>
      <c r="DF549" s="24" t="inlineStr">
        <is>
          <t>508499:2026-08-25T13:29:43.673327Z</t>
        </is>
      </c>
      <c r="DG549" s="24" t="n"/>
      <c r="DH549" s="24" t="n"/>
      <c r="DI549" s="24" t="n"/>
      <c r="DJ549" s="24" t="inlineStr">
        <is>
          <t>0.570815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4a0666e5c65b4e05</t>
        </is>
      </c>
      <c r="B550" s="24" t="inlineStr">
        <is>
          <t>2026-08-25T13:31:51.589728Z</t>
        </is>
      </c>
      <c r="C550" s="24" t="inlineStr">
        <is>
          <t>2026-08-25T21:30Z</t>
        </is>
      </c>
      <c r="D550" s="24" t="inlineStr">
        <is>
          <t>341-2026:182507</t>
        </is>
      </c>
      <c r="E550" s="24" t="inlineStr">
        <is>
          <t>TENNIS</t>
        </is>
      </c>
      <c r="F550" s="24" t="inlineStr">
        <is>
          <t>Maria Timofeeva</t>
        </is>
      </c>
      <c r="G550" s="24" t="inlineStr">
        <is>
          <t>Zhang Shuai</t>
        </is>
      </c>
      <c r="H550" s="24" t="inlineStr">
        <is>
          <t>moneyline</t>
        </is>
      </c>
      <c r="I550" s="24" t="inlineStr">
        <is>
          <t>away</t>
        </is>
      </c>
      <c r="J550" s="25" t="n"/>
      <c r="K550" s="24" t="inlineStr">
        <is>
          <t>polymarket_us</t>
        </is>
      </c>
      <c r="L550" s="26" t="n">
        <v>104</v>
      </c>
      <c r="M550" s="27" t="n">
        <v>2.04</v>
      </c>
      <c r="N550" s="28" t="n">
        <v>0.490196</v>
      </c>
      <c r="O550" s="28" t="n">
        <v>0.5477</v>
      </c>
      <c r="P550" s="28" t="n">
        <v>0.05</v>
      </c>
      <c r="Q550" s="28" t="n">
        <v>0.057504</v>
      </c>
      <c r="R550" s="26" t="n">
        <v>49</v>
      </c>
      <c r="S550" s="29" t="n">
        <v>1</v>
      </c>
      <c r="T550" s="24" t="inlineStr">
        <is>
          <t>tennis-surface-elo-v1</t>
        </is>
      </c>
      <c r="U550" s="24" t="inlineStr">
        <is>
          <t>settled</t>
        </is>
      </c>
      <c r="V550" s="24" t="inlineStr">
        <is>
          <t>win</t>
        </is>
      </c>
      <c r="W550" s="26" t="n">
        <v>1</v>
      </c>
      <c r="X550" s="26" t="n">
        <v>0</v>
      </c>
      <c r="Y550" s="25" t="n"/>
      <c r="Z550" s="26" t="n">
        <v>104</v>
      </c>
      <c r="AA550" s="28" t="n">
        <v>0.49</v>
      </c>
      <c r="AB550" s="28" t="n">
        <v>-0.000196</v>
      </c>
      <c r="AC550" s="30" t="n">
        <v>1.04</v>
      </c>
      <c r="AD550" s="24" t="inlineStr">
        <is>
          <t>2026-08-26T12:35:38.667617Z</t>
        </is>
      </c>
      <c r="AE550" s="31" t="inlineStr">
        <is>
          <t>Surface-blended Elo on Hard: Maria Timofeeva p=0.548 vs Zhang Shuai. Executable ask 0.4900 (aec-wta-shuzha-martim-2026-08-25).</t>
        </is>
      </c>
      <c r="AF550" s="31" t="inlineStr">
        <is>
          <t>Surface-blended Elo model; singles only, WTA+ATP market coverage, not yet locked-holdout qualified -- promoted by explicit operator directive, not genuine walk-forward validation.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Maria Timofeeva</t>
        </is>
      </c>
      <c r="AQ550" s="24" t="inlineStr">
        <is>
          <t>Maria Timofeeva</t>
        </is>
      </c>
      <c r="AR550" s="24" t="inlineStr">
        <is>
          <t>Maria Timofeeva</t>
        </is>
      </c>
      <c r="AS550" s="24" t="inlineStr">
        <is>
          <t>Zhang Shuai</t>
        </is>
      </c>
      <c r="AT550" s="24" t="inlineStr">
        <is>
          <t>Zhang Shuai</t>
        </is>
      </c>
      <c r="AU550" s="24" t="inlineStr">
        <is>
          <t>Zhang Shuai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d777da58446bc099047b154203518e2585ef1a678f613f2b430f2589f7bf5cff</t>
        </is>
      </c>
      <c r="BB550" s="24" t="inlineStr">
        <is>
          <t>surface_blended_elo</t>
        </is>
      </c>
      <c r="BC550" s="24" t="inlineStr">
        <is>
          <t>tennis-surface-elo-v1</t>
        </is>
      </c>
      <c r="BD550" s="24" t="inlineStr">
        <is>
          <t>d777da58446bc099047b154203518e2585ef1a678f613f2b430f2589f7bf5cff</t>
        </is>
      </c>
      <c r="BE550" s="24" t="inlineStr">
        <is>
          <t>tennis-surface-elo-v1</t>
        </is>
      </c>
      <c r="BF550" s="24" t="inlineStr">
        <is>
          <t>1</t>
        </is>
      </c>
      <c r="BG550" s="24" t="inlineStr">
        <is>
          <t>d777da58446bc099047b154203518e2585ef1a678f613f2b430f2589f7bf5cff</t>
        </is>
      </c>
      <c r="BH550" s="24" t="inlineStr">
        <is>
          <t>2026-08-25T13:29:43.674904Z</t>
        </is>
      </c>
      <c r="BI550" s="24" t="inlineStr">
        <is>
          <t>["same_event","same_team_same_day","same_league_same_day"]</t>
        </is>
      </c>
      <c r="BJ550" s="25" t="n"/>
      <c r="BK550" s="26" t="n">
        <v>104</v>
      </c>
      <c r="BL550" s="27" t="n">
        <v>2.04</v>
      </c>
      <c r="BM550" s="28" t="n">
        <v>0.490196</v>
      </c>
      <c r="BN550" s="28" t="n"/>
      <c r="BO550" s="28" t="n"/>
      <c r="BP550" s="25" t="n"/>
      <c r="BQ550" s="27" t="n">
        <v>2.04</v>
      </c>
      <c r="BR550" s="28" t="n">
        <v>0.49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inlineStr">
        <is>
          <t>4046a577761fb044c3711d249f411d3f3cb576084eeaba51762b0dece6f1362c</t>
        </is>
      </c>
      <c r="DE550" s="24" t="inlineStr">
        <is>
          <t>/Users/vincentc9002/model-prediction/data/odds/tennis/2026-08-25/polymarket_snapshots.jsonl</t>
        </is>
      </c>
      <c r="DF550" s="24" t="inlineStr">
        <is>
          <t>508498:2026-08-25T13:29:43.674904Z</t>
        </is>
      </c>
      <c r="DG550" s="24" t="n"/>
      <c r="DH550" s="24" t="n"/>
      <c r="DI550" s="24" t="n"/>
      <c r="DJ550" s="24" t="inlineStr">
        <is>
          <t>0.490196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2824d993fd004a15</t>
        </is>
      </c>
      <c r="B551" s="24" t="inlineStr">
        <is>
          <t>2026-08-25T13:31:51.589728Z</t>
        </is>
      </c>
      <c r="C551" s="24" t="inlineStr">
        <is>
          <t>2026-08-25T21:30Z</t>
        </is>
      </c>
      <c r="D551" s="24" t="inlineStr">
        <is>
          <t>341-2026:182509</t>
        </is>
      </c>
      <c r="E551" s="24" t="inlineStr">
        <is>
          <t>TENNIS</t>
        </is>
      </c>
      <c r="F551" s="24" t="inlineStr">
        <is>
          <t>Kimberly Birrell</t>
        </is>
      </c>
      <c r="G551" s="24" t="inlineStr">
        <is>
          <t>Darja Vidmanova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122</v>
      </c>
      <c r="M551" s="27" t="n">
        <v>2.22</v>
      </c>
      <c r="N551" s="28" t="n">
        <v>0.45045</v>
      </c>
      <c r="O551" s="28" t="n">
        <v>0.5058</v>
      </c>
      <c r="P551" s="28" t="n">
        <v>0.05</v>
      </c>
      <c r="Q551" s="28" t="n">
        <v>0.05535</v>
      </c>
      <c r="R551" s="26" t="n">
        <v>48</v>
      </c>
      <c r="S551" s="29" t="n">
        <v>1</v>
      </c>
      <c r="T551" s="24" t="inlineStr">
        <is>
          <t>tennis-surface-elo-v1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122</v>
      </c>
      <c r="AA551" s="28" t="n">
        <v>0.45</v>
      </c>
      <c r="AB551" s="28" t="n">
        <v>-0.00045</v>
      </c>
      <c r="AC551" s="30" t="n">
        <v>-1</v>
      </c>
      <c r="AD551" s="24" t="inlineStr">
        <is>
          <t>2026-08-26T12:35:40.633813Z</t>
        </is>
      </c>
      <c r="AE551" s="31" t="inlineStr">
        <is>
          <t>Surface-blended Elo on Hard: Kimberly Birrell p=0.506 vs Darja Vidmanova. Executable ask 0.4500 (aec-wta-darvid-kimbir-2026-08-25).</t>
        </is>
      </c>
      <c r="AF551" s="31" t="inlineStr">
        <is>
          <t>Surface-blended Elo model; singles only, WTA+ATP market coverage, not yet locked-holdout qualified -- promoted by explicit operator directive, not genuine walk-forward validation.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PAPER_CALL_LOW_EDGE</t>
        </is>
      </c>
      <c r="AP551" s="24" t="inlineStr">
        <is>
          <t>Kimberly Birrell</t>
        </is>
      </c>
      <c r="AQ551" s="24" t="inlineStr">
        <is>
          <t>Kimberly Birrell</t>
        </is>
      </c>
      <c r="AR551" s="24" t="inlineStr">
        <is>
          <t>Kimberly Birrell</t>
        </is>
      </c>
      <c r="AS551" s="24" t="inlineStr">
        <is>
          <t>Darja Vidmanova</t>
        </is>
      </c>
      <c r="AT551" s="24" t="inlineStr">
        <is>
          <t>Darja Vidmanova</t>
        </is>
      </c>
      <c r="AU551" s="24" t="inlineStr">
        <is>
          <t>Darja Vidmanova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d777da58446bc099047b154203518e2585ef1a678f613f2b430f2589f7bf5cff</t>
        </is>
      </c>
      <c r="BB551" s="24" t="inlineStr">
        <is>
          <t>surface_blended_elo</t>
        </is>
      </c>
      <c r="BC551" s="24" t="inlineStr">
        <is>
          <t>tennis-surface-elo-v1</t>
        </is>
      </c>
      <c r="BD551" s="24" t="inlineStr">
        <is>
          <t>d777da58446bc099047b154203518e2585ef1a678f613f2b430f2589f7bf5cff</t>
        </is>
      </c>
      <c r="BE551" s="24" t="inlineStr">
        <is>
          <t>tennis-surface-elo-v1</t>
        </is>
      </c>
      <c r="BF551" s="24" t="inlineStr">
        <is>
          <t>1</t>
        </is>
      </c>
      <c r="BG551" s="24" t="inlineStr">
        <is>
          <t>d777da58446bc099047b154203518e2585ef1a678f613f2b430f2589f7bf5cff</t>
        </is>
      </c>
      <c r="BH551" s="24" t="inlineStr">
        <is>
          <t>2026-08-25T13:29:43.685367Z</t>
        </is>
      </c>
      <c r="BI551" s="24" t="inlineStr">
        <is>
          <t>["same_event","same_team_same_day","same_league_same_day"]</t>
        </is>
      </c>
      <c r="BJ551" s="25" t="n"/>
      <c r="BK551" s="26" t="n">
        <v>122</v>
      </c>
      <c r="BL551" s="27" t="n">
        <v>2.22</v>
      </c>
      <c r="BM551" s="28" t="n">
        <v>0.45045</v>
      </c>
      <c r="BN551" s="28" t="n"/>
      <c r="BO551" s="28" t="n"/>
      <c r="BP551" s="25" t="n"/>
      <c r="BQ551" s="27" t="n">
        <v>2.22</v>
      </c>
      <c r="BR551" s="28" t="n">
        <v>0.45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inlineStr">
        <is>
          <t>633df2b4d9eae4b2f3316ee5029b8b5edf331b53656a98820af42c5278f944b1</t>
        </is>
      </c>
      <c r="DE551" s="24" t="inlineStr">
        <is>
          <t>/Users/vincentc9002/model-prediction/data/odds/tennis/2026-08-25/polymarket_snapshots.jsonl</t>
        </is>
      </c>
      <c r="DF551" s="24" t="inlineStr">
        <is>
          <t>508500:2026-08-25T13:29:43.685367Z</t>
        </is>
      </c>
      <c r="DG551" s="24" t="n"/>
      <c r="DH551" s="24" t="n"/>
      <c r="DI551" s="24" t="n"/>
      <c r="DJ551" s="24" t="inlineStr">
        <is>
          <t>0.45045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fc6c5512d38744ba</t>
        </is>
      </c>
      <c r="B552" s="24" t="inlineStr">
        <is>
          <t>2026-08-25T13:31:51.589728Z</t>
        </is>
      </c>
      <c r="C552" s="24" t="inlineStr">
        <is>
          <t>2026-08-25T22:30Z</t>
        </is>
      </c>
      <c r="D552" s="24" t="inlineStr">
        <is>
          <t>341-2026:182501</t>
        </is>
      </c>
      <c r="E552" s="24" t="inlineStr">
        <is>
          <t>TENNIS</t>
        </is>
      </c>
      <c r="F552" s="24" t="inlineStr">
        <is>
          <t>Yuliia Starodubtseva</t>
        </is>
      </c>
      <c r="G552" s="24" t="inlineStr">
        <is>
          <t>Janice Tjen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polymarket_us</t>
        </is>
      </c>
      <c r="L552" s="26" t="n">
        <v>127</v>
      </c>
      <c r="M552" s="27" t="n">
        <v>2.27</v>
      </c>
      <c r="N552" s="28" t="n">
        <v>0.440529</v>
      </c>
      <c r="O552" s="28" t="n">
        <v>0.5649</v>
      </c>
      <c r="P552" s="28" t="n">
        <v>0.05</v>
      </c>
      <c r="Q552" s="28" t="n">
        <v>0.124371</v>
      </c>
      <c r="R552" s="26" t="n">
        <v>82</v>
      </c>
      <c r="S552" s="29" t="n">
        <v>1.5</v>
      </c>
      <c r="T552" s="24" t="inlineStr">
        <is>
          <t>tennis-surface-elo-v1</t>
        </is>
      </c>
      <c r="U552" s="24" t="inlineStr">
        <is>
          <t>settled</t>
        </is>
      </c>
      <c r="V552" s="24" t="inlineStr">
        <is>
          <t>win</t>
        </is>
      </c>
      <c r="W552" s="26" t="n">
        <v>1</v>
      </c>
      <c r="X552" s="26" t="n">
        <v>0</v>
      </c>
      <c r="Y552" s="25" t="n"/>
      <c r="Z552" s="26" t="n"/>
      <c r="AA552" s="28" t="n"/>
      <c r="AB552" s="28" t="n"/>
      <c r="AC552" s="30" t="n">
        <v>1.905</v>
      </c>
      <c r="AD552" s="24" t="inlineStr">
        <is>
          <t>2026-08-26T12:35:42.597082Z</t>
        </is>
      </c>
      <c r="AE552" s="31" t="inlineStr">
        <is>
          <t>Surface-blended Elo on Hard: Yuliia Starodubtseva p=0.565 vs Janice Tjen. Executable ask 0.4400 (aec-wta-jantje-yulsta-2026-08-26).</t>
        </is>
      </c>
      <c r="AF552" s="31" t="inlineStr">
        <is>
          <t>Surface-blended Elo model; singles only, WTA+ATP market coverage, not yet locked-holdout qualified -- promoted by explicit operator directive, not genuine walk-forward validation.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Yuliia Starodubtseva</t>
        </is>
      </c>
      <c r="AQ552" s="24" t="inlineStr">
        <is>
          <t>Yuliia Starodubtseva</t>
        </is>
      </c>
      <c r="AR552" s="24" t="inlineStr">
        <is>
          <t>Yuliia Starodubtseva</t>
        </is>
      </c>
      <c r="AS552" s="24" t="inlineStr">
        <is>
          <t>Janice Tjen</t>
        </is>
      </c>
      <c r="AT552" s="24" t="inlineStr">
        <is>
          <t>Janice Tjen</t>
        </is>
      </c>
      <c r="AU552" s="24" t="inlineStr">
        <is>
          <t>Janice Tjen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d777da58446bc099047b154203518e2585ef1a678f613f2b430f2589f7bf5cff</t>
        </is>
      </c>
      <c r="BB552" s="24" t="inlineStr">
        <is>
          <t>surface_blended_elo</t>
        </is>
      </c>
      <c r="BC552" s="24" t="inlineStr">
        <is>
          <t>tennis-surface-elo-v1</t>
        </is>
      </c>
      <c r="BD552" s="24" t="inlineStr">
        <is>
          <t>d777da58446bc099047b154203518e2585ef1a678f613f2b430f2589f7bf5cff</t>
        </is>
      </c>
      <c r="BE552" s="24" t="inlineStr">
        <is>
          <t>tennis-surface-elo-v1</t>
        </is>
      </c>
      <c r="BF552" s="24" t="inlineStr">
        <is>
          <t>1</t>
        </is>
      </c>
      <c r="BG552" s="24" t="inlineStr">
        <is>
          <t>d777da58446bc099047b154203518e2585ef1a678f613f2b430f2589f7bf5cff</t>
        </is>
      </c>
      <c r="BH552" s="24" t="inlineStr">
        <is>
          <t>2026-08-25T13:29:43.700423Z</t>
        </is>
      </c>
      <c r="BI552" s="24" t="inlineStr">
        <is>
          <t>["same_event","same_team_same_day","same_league_same_day"]</t>
        </is>
      </c>
      <c r="BJ552" s="25" t="n"/>
      <c r="BK552" s="26" t="n">
        <v>127</v>
      </c>
      <c r="BL552" s="27" t="n">
        <v>2.27</v>
      </c>
      <c r="BM552" s="28" t="n">
        <v>0.440529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inlineStr">
        <is>
          <t>c99bada6e597e09ba6b8674968a19f7b68e14083b84e967c7dfd1fdfc3ceb805</t>
        </is>
      </c>
      <c r="DE552" s="24" t="inlineStr">
        <is>
          <t>/Users/vincentc9002/model-prediction/data/odds/tennis/2026-08-25/polymarket_snapshots.jsonl</t>
        </is>
      </c>
      <c r="DF552" s="24" t="inlineStr">
        <is>
          <t>516435:2026-08-25T13:29:43.700423Z</t>
        </is>
      </c>
      <c r="DG552" s="24" t="n"/>
      <c r="DH552" s="24" t="n"/>
      <c r="DI552" s="24" t="n"/>
      <c r="DJ552" s="24" t="inlineStr">
        <is>
          <t>0.440529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e4d251d41ed7496a</t>
        </is>
      </c>
      <c r="B553" s="24" t="inlineStr">
        <is>
          <t>2026-08-25T13:31:51.589728Z</t>
        </is>
      </c>
      <c r="C553" s="24" t="inlineStr">
        <is>
          <t>2026-08-25T23:00Z</t>
        </is>
      </c>
      <c r="D553" s="24" t="inlineStr">
        <is>
          <t>341-2026:182494</t>
        </is>
      </c>
      <c r="E553" s="24" t="inlineStr">
        <is>
          <t>TENNIS</t>
        </is>
      </c>
      <c r="F553" s="24" t="inlineStr">
        <is>
          <t>Maya Joint</t>
        </is>
      </c>
      <c r="G553" s="24" t="inlineStr">
        <is>
          <t>Panna Udvardy</t>
        </is>
      </c>
      <c r="H553" s="24" t="inlineStr">
        <is>
          <t>moneyline</t>
        </is>
      </c>
      <c r="I553" s="24" t="inlineStr">
        <is>
          <t>home</t>
        </is>
      </c>
      <c r="J553" s="25" t="n"/>
      <c r="K553" s="24" t="inlineStr">
        <is>
          <t>polymarket_us</t>
        </is>
      </c>
      <c r="L553" s="26" t="n">
        <v>233</v>
      </c>
      <c r="M553" s="27" t="n">
        <v>3.33</v>
      </c>
      <c r="N553" s="28" t="n">
        <v>0.3003</v>
      </c>
      <c r="O553" s="28" t="n">
        <v>0.5109</v>
      </c>
      <c r="P553" s="28" t="n">
        <v>0.05</v>
      </c>
      <c r="Q553" s="28" t="n">
        <v>0.2106</v>
      </c>
      <c r="R553" s="26" t="n">
        <v>100</v>
      </c>
      <c r="S553" s="29" t="n">
        <v>2</v>
      </c>
      <c r="T553" s="24" t="inlineStr">
        <is>
          <t>tennis-surface-elo-v1</t>
        </is>
      </c>
      <c r="U553" s="24" t="inlineStr">
        <is>
          <t>settled</t>
        </is>
      </c>
      <c r="V553" s="24" t="inlineStr">
        <is>
          <t>win</t>
        </is>
      </c>
      <c r="W553" s="26" t="n">
        <v>0</v>
      </c>
      <c r="X553" s="26" t="n">
        <v>1</v>
      </c>
      <c r="Y553" s="25" t="n"/>
      <c r="Z553" s="26" t="n">
        <v>233</v>
      </c>
      <c r="AA553" s="28" t="n">
        <v>0.3</v>
      </c>
      <c r="AB553" s="28" t="n">
        <v>-0.0003</v>
      </c>
      <c r="AC553" s="30" t="n">
        <v>4.66</v>
      </c>
      <c r="AD553" s="24" t="inlineStr">
        <is>
          <t>2026-08-26T12:35:44.575013Z</t>
        </is>
      </c>
      <c r="AE553" s="31" t="inlineStr">
        <is>
          <t>Surface-blended Elo on Hard: Maya Joint p=0.489 vs Panna Udvardy. Executable ask 0.3000 (aec-wta-panudv-mayjoi-2026-08-25).</t>
        </is>
      </c>
      <c r="AF553" s="31" t="inlineStr">
        <is>
          <t>Surface-blended Elo model; singles only, WTA+ATP market coverage, not yet locked-holdout qualified -- promoted by explicit operator directive, not genuine walk-forward validation.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Maya Joint</t>
        </is>
      </c>
      <c r="AQ553" s="24" t="inlineStr">
        <is>
          <t>Maya Joint</t>
        </is>
      </c>
      <c r="AR553" s="24" t="inlineStr">
        <is>
          <t>Maya Joint</t>
        </is>
      </c>
      <c r="AS553" s="24" t="inlineStr">
        <is>
          <t>Panna Udvardy</t>
        </is>
      </c>
      <c r="AT553" s="24" t="inlineStr">
        <is>
          <t>Panna Udvardy</t>
        </is>
      </c>
      <c r="AU553" s="24" t="inlineStr">
        <is>
          <t>Panna Udvardy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d777da58446bc099047b154203518e2585ef1a678f613f2b430f2589f7bf5cff</t>
        </is>
      </c>
      <c r="BB553" s="24" t="inlineStr">
        <is>
          <t>surface_blended_elo</t>
        </is>
      </c>
      <c r="BC553" s="24" t="inlineStr">
        <is>
          <t>tennis-surface-elo-v1</t>
        </is>
      </c>
      <c r="BD553" s="24" t="inlineStr">
        <is>
          <t>d777da58446bc099047b154203518e2585ef1a678f613f2b430f2589f7bf5cff</t>
        </is>
      </c>
      <c r="BE553" s="24" t="inlineStr">
        <is>
          <t>tennis-surface-elo-v1</t>
        </is>
      </c>
      <c r="BF553" s="24" t="inlineStr">
        <is>
          <t>1</t>
        </is>
      </c>
      <c r="BG553" s="24" t="inlineStr">
        <is>
          <t>d777da58446bc099047b154203518e2585ef1a678f613f2b430f2589f7bf5cff</t>
        </is>
      </c>
      <c r="BH553" s="24" t="inlineStr">
        <is>
          <t>2026-08-25T13:29:43.692703Z</t>
        </is>
      </c>
      <c r="BI553" s="24" t="inlineStr">
        <is>
          <t>["same_event","same_team_same_day","same_league_same_day"]</t>
        </is>
      </c>
      <c r="BJ553" s="25" t="n"/>
      <c r="BK553" s="26" t="n">
        <v>233</v>
      </c>
      <c r="BL553" s="27" t="n">
        <v>3.33</v>
      </c>
      <c r="BM553" s="28" t="n">
        <v>0.3003</v>
      </c>
      <c r="BN553" s="28" t="n"/>
      <c r="BO553" s="28" t="n"/>
      <c r="BP553" s="25" t="n"/>
      <c r="BQ553" s="27" t="n">
        <v>3.33</v>
      </c>
      <c r="BR553" s="28" t="n">
        <v>0.3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inlineStr">
        <is>
          <t>29f1dfe38f4301ff5b7b80736118174f85ba05a7ad6201da5f230d05783d7c3b</t>
        </is>
      </c>
      <c r="DE553" s="24" t="inlineStr">
        <is>
          <t>/Users/vincentc9002/model-prediction/data/odds/tennis/2026-08-25/polymarket_snapshots.jsonl</t>
        </is>
      </c>
      <c r="DF553" s="24" t="inlineStr">
        <is>
          <t>516510:2026-08-25T13:29:43.692703Z</t>
        </is>
      </c>
      <c r="DG553" s="24" t="n"/>
      <c r="DH553" s="24" t="n"/>
      <c r="DI553" s="24" t="n"/>
      <c r="DJ553" s="24" t="inlineStr">
        <is>
          <t>0.3003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de15701bc9034679</t>
        </is>
      </c>
      <c r="B554" s="24" t="inlineStr">
        <is>
          <t>2026-08-25T13:31:51.589728Z</t>
        </is>
      </c>
      <c r="C554" s="24" t="inlineStr">
        <is>
          <t>2026-08-26T01:30Z</t>
        </is>
      </c>
      <c r="D554" s="24" t="inlineStr">
        <is>
          <t>341-2026:182498</t>
        </is>
      </c>
      <c r="E554" s="24" t="inlineStr">
        <is>
          <t>TENNIS</t>
        </is>
      </c>
      <c r="F554" s="24" t="inlineStr">
        <is>
          <t>Diane Parry</t>
        </is>
      </c>
      <c r="G554" s="24" t="inlineStr">
        <is>
          <t>Oleksandra Oliynykova</t>
        </is>
      </c>
      <c r="H554" s="24" t="inlineStr">
        <is>
          <t>moneyline</t>
        </is>
      </c>
      <c r="I554" s="24" t="inlineStr">
        <is>
          <t>home</t>
        </is>
      </c>
      <c r="J554" s="25" t="n"/>
      <c r="K554" s="24" t="inlineStr">
        <is>
          <t>polymarket_us</t>
        </is>
      </c>
      <c r="L554" s="26" t="n">
        <v>223</v>
      </c>
      <c r="M554" s="27" t="n">
        <v>3.23</v>
      </c>
      <c r="N554" s="28" t="n">
        <v>0.309598</v>
      </c>
      <c r="O554" s="28" t="n">
        <v>0.5883</v>
      </c>
      <c r="P554" s="28" t="n">
        <v>0.05</v>
      </c>
      <c r="Q554" s="28" t="n">
        <v>0.278702</v>
      </c>
      <c r="R554" s="26" t="n">
        <v>100</v>
      </c>
      <c r="S554" s="29" t="n">
        <v>2</v>
      </c>
      <c r="T554" s="24" t="inlineStr">
        <is>
          <t>tennis-surface-elo-v1</t>
        </is>
      </c>
      <c r="U554" s="24" t="inlineStr">
        <is>
          <t>settled</t>
        </is>
      </c>
      <c r="V554" s="24" t="inlineStr">
        <is>
          <t>loss</t>
        </is>
      </c>
      <c r="W554" s="26" t="n">
        <v>1</v>
      </c>
      <c r="X554" s="26" t="n">
        <v>0</v>
      </c>
      <c r="Y554" s="25" t="n"/>
      <c r="Z554" s="26" t="n">
        <v>223</v>
      </c>
      <c r="AA554" s="28" t="n">
        <v>0.31</v>
      </c>
      <c r="AB554" s="28" t="n">
        <v>0.000402</v>
      </c>
      <c r="AC554" s="30" t="n">
        <v>-2</v>
      </c>
      <c r="AD554" s="24" t="inlineStr">
        <is>
          <t>2026-08-26T12:35:46.551779Z</t>
        </is>
      </c>
      <c r="AE554" s="31" t="inlineStr">
        <is>
          <t>Surface-blended Elo on Hard: Diane Parry p=0.412 vs Oleksandra Oliynykova. Executable ask 0.3100 (aec-wta-oleoli-diapar-2026-08-25).</t>
        </is>
      </c>
      <c r="AF554" s="31" t="inlineStr">
        <is>
          <t>Surface-blended Elo model; singles only, WTA+ATP market coverage, not yet locked-holdout qualified -- promoted by explicit operator directive, not genuine walk-forward validation.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Diane Parry</t>
        </is>
      </c>
      <c r="AQ554" s="24" t="inlineStr">
        <is>
          <t>Diane Parry</t>
        </is>
      </c>
      <c r="AR554" s="24" t="inlineStr">
        <is>
          <t>Diane Parry</t>
        </is>
      </c>
      <c r="AS554" s="24" t="inlineStr">
        <is>
          <t>Oleksandra Oliynykova</t>
        </is>
      </c>
      <c r="AT554" s="24" t="inlineStr">
        <is>
          <t>Oleksandra Oliynykova</t>
        </is>
      </c>
      <c r="AU554" s="24" t="inlineStr">
        <is>
          <t>Oleksandra Oliynykova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d777da58446bc099047b154203518e2585ef1a678f613f2b430f2589f7bf5cff</t>
        </is>
      </c>
      <c r="BB554" s="24" t="inlineStr">
        <is>
          <t>surface_blended_elo</t>
        </is>
      </c>
      <c r="BC554" s="24" t="inlineStr">
        <is>
          <t>tennis-surface-elo-v1</t>
        </is>
      </c>
      <c r="BD554" s="24" t="inlineStr">
        <is>
          <t>d777da58446bc099047b154203518e2585ef1a678f613f2b430f2589f7bf5cff</t>
        </is>
      </c>
      <c r="BE554" s="24" t="inlineStr">
        <is>
          <t>tennis-surface-elo-v1</t>
        </is>
      </c>
      <c r="BF554" s="24" t="inlineStr">
        <is>
          <t>1</t>
        </is>
      </c>
      <c r="BG554" s="24" t="inlineStr">
        <is>
          <t>d777da58446bc099047b154203518e2585ef1a678f613f2b430f2589f7bf5cff</t>
        </is>
      </c>
      <c r="BH554" s="24" t="inlineStr">
        <is>
          <t>2026-08-25T13:29:43.690393Z</t>
        </is>
      </c>
      <c r="BI554" s="24" t="inlineStr">
        <is>
          <t>["same_event","same_team_same_day","same_league_same_day"]</t>
        </is>
      </c>
      <c r="BJ554" s="25" t="n"/>
      <c r="BK554" s="26" t="n">
        <v>223</v>
      </c>
      <c r="BL554" s="27" t="n">
        <v>3.23</v>
      </c>
      <c r="BM554" s="28" t="n">
        <v>0.309598</v>
      </c>
      <c r="BN554" s="28" t="n"/>
      <c r="BO554" s="28" t="n"/>
      <c r="BP554" s="25" t="n"/>
      <c r="BQ554" s="27" t="n">
        <v>3.23</v>
      </c>
      <c r="BR554" s="28" t="n">
        <v>0.31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inlineStr">
        <is>
          <t>edfb278183210341dc93227e38b42bba62fc5ee19fd3e0532401e70d86c27f55</t>
        </is>
      </c>
      <c r="DE554" s="24" t="inlineStr">
        <is>
          <t>/Users/vincentc9002/model-prediction/data/odds/tennis/2026-08-25/polymarket_snapshots.jsonl</t>
        </is>
      </c>
      <c r="DF554" s="24" t="inlineStr">
        <is>
          <t>517412:2026-08-25T13:29:43.690393Z</t>
        </is>
      </c>
      <c r="DG554" s="24" t="n"/>
      <c r="DH554" s="24" t="n"/>
      <c r="DI554" s="24" t="n"/>
      <c r="DJ554" s="24" t="inlineStr">
        <is>
          <t>0.309598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1e50344d99764b9f</t>
        </is>
      </c>
      <c r="B555" s="24" t="inlineStr">
        <is>
          <t>2026-08-25T13:31:51.589728Z</t>
        </is>
      </c>
      <c r="C555" s="24" t="inlineStr">
        <is>
          <t>2026-08-26T03:00Z</t>
        </is>
      </c>
      <c r="D555" s="24" t="inlineStr">
        <is>
          <t>341-2026:182503</t>
        </is>
      </c>
      <c r="E555" s="24" t="inlineStr">
        <is>
          <t>TENNIS</t>
        </is>
      </c>
      <c r="F555" s="24" t="inlineStr">
        <is>
          <t>Anastasia Potapova</t>
        </is>
      </c>
      <c r="G555" s="24" t="inlineStr">
        <is>
          <t>Nikola Bartunkova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-163</v>
      </c>
      <c r="M555" s="27" t="n">
        <v>1.613497</v>
      </c>
      <c r="N555" s="28" t="n">
        <v>0.619772</v>
      </c>
      <c r="O555" s="28" t="n">
        <v>0.5135</v>
      </c>
      <c r="P555" s="28" t="n">
        <v>0.05</v>
      </c>
      <c r="Q555" s="28" t="n">
        <v>-0.106272</v>
      </c>
      <c r="R555" s="26" t="n">
        <v>0</v>
      </c>
      <c r="S555" s="29" t="n">
        <v>1</v>
      </c>
      <c r="T555" s="24" t="inlineStr">
        <is>
          <t>tennis-surface-elo-v1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-163</v>
      </c>
      <c r="AA555" s="28" t="n">
        <v>0.62</v>
      </c>
      <c r="AB555" s="28" t="n">
        <v>0.000228</v>
      </c>
      <c r="AC555" s="30" t="n">
        <v>0.6135</v>
      </c>
      <c r="AD555" s="24" t="inlineStr">
        <is>
          <t>2026-08-26T12:35:48.522707Z</t>
        </is>
      </c>
      <c r="AE555" s="31" t="inlineStr">
        <is>
          <t>Surface-blended Elo on Hard: Anastasia Potapova p=0.486 vs Nikola Bartunkova. Executable ask 0.6200 (aec-wta-nikbar-anapot-2026-08-25).</t>
        </is>
      </c>
      <c r="AF555" s="31" t="inlineStr">
        <is>
          <t>Surface-blended Elo model; singles only, WTA+ATP market coverage, not yet locked-holdout qualified -- promoted by explicit operator directive, not genuine walk-forward validation.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Anastasia Potapova</t>
        </is>
      </c>
      <c r="AQ555" s="24" t="inlineStr">
        <is>
          <t>Anastasia Potapova</t>
        </is>
      </c>
      <c r="AR555" s="24" t="inlineStr">
        <is>
          <t>Anastasia Potapova</t>
        </is>
      </c>
      <c r="AS555" s="24" t="inlineStr">
        <is>
          <t>Nikola Bartunkova</t>
        </is>
      </c>
      <c r="AT555" s="24" t="inlineStr">
        <is>
          <t>Nikola Bartunkova</t>
        </is>
      </c>
      <c r="AU555" s="24" t="inlineStr">
        <is>
          <t>Nikola Bartunkova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d777da58446bc099047b154203518e2585ef1a678f613f2b430f2589f7bf5cff</t>
        </is>
      </c>
      <c r="BB555" s="24" t="inlineStr">
        <is>
          <t>surface_blended_elo</t>
        </is>
      </c>
      <c r="BC555" s="24" t="inlineStr">
        <is>
          <t>tennis-surface-elo-v1</t>
        </is>
      </c>
      <c r="BD555" s="24" t="inlineStr">
        <is>
          <t>d777da58446bc099047b154203518e2585ef1a678f613f2b430f2589f7bf5cff</t>
        </is>
      </c>
      <c r="BE555" s="24" t="inlineStr">
        <is>
          <t>tennis-surface-elo-v1</t>
        </is>
      </c>
      <c r="BF555" s="24" t="inlineStr">
        <is>
          <t>1</t>
        </is>
      </c>
      <c r="BG555" s="24" t="inlineStr">
        <is>
          <t>d777da58446bc099047b154203518e2585ef1a678f613f2b430f2589f7bf5cff</t>
        </is>
      </c>
      <c r="BH555" s="24" t="inlineStr">
        <is>
          <t>2026-08-25T13:29:43.699639Z</t>
        </is>
      </c>
      <c r="BI555" s="24" t="inlineStr">
        <is>
          <t>["same_event","same_team_same_day","same_league_same_day"]</t>
        </is>
      </c>
      <c r="BJ555" s="25" t="n"/>
      <c r="BK555" s="26" t="n">
        <v>-163</v>
      </c>
      <c r="BL555" s="27" t="n">
        <v>1.613497</v>
      </c>
      <c r="BM555" s="28" t="n">
        <v>0.619772</v>
      </c>
      <c r="BN555" s="28" t="n"/>
      <c r="BO555" s="28" t="n"/>
      <c r="BP555" s="25" t="n"/>
      <c r="BQ555" s="27" t="n">
        <v>1.613497</v>
      </c>
      <c r="BR555" s="28" t="n">
        <v>0.62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inlineStr">
        <is>
          <t>00cc61290aa7752f8f89f69804ba68b1ca549031bced748e49529f7628872c9d</t>
        </is>
      </c>
      <c r="DE555" s="24" t="inlineStr">
        <is>
          <t>/Users/vincentc9002/model-prediction/data/odds/tennis/2026-08-25/polymarket_snapshots.jsonl</t>
        </is>
      </c>
      <c r="DF555" s="24" t="inlineStr">
        <is>
          <t>508993:2026-08-25T13:29:43.699639Z</t>
        </is>
      </c>
      <c r="DG555" s="24" t="n"/>
      <c r="DH555" s="24" t="n"/>
      <c r="DI555" s="24" t="n"/>
      <c r="DJ555" s="24" t="inlineStr">
        <is>
          <t>0.619772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7f83994dfac54c2c</t>
        </is>
      </c>
      <c r="B556" s="24" t="inlineStr">
        <is>
          <t>2026-08-25T13:31:51.589728Z</t>
        </is>
      </c>
      <c r="C556" s="24" t="inlineStr">
        <is>
          <t>2026-08-25T15:00Z</t>
        </is>
      </c>
      <c r="D556" s="24" t="inlineStr">
        <is>
          <t>1075-2026:182119</t>
        </is>
      </c>
      <c r="E556" s="24" t="inlineStr">
        <is>
          <t>TENNIS</t>
        </is>
      </c>
      <c r="F556" s="24" t="inlineStr">
        <is>
          <t>Jessica Bouzas Maneiro</t>
        </is>
      </c>
      <c r="G556" s="24" t="inlineStr">
        <is>
          <t>Wang Xiyu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-186</v>
      </c>
      <c r="M556" s="27" t="n">
        <v>1.537634</v>
      </c>
      <c r="N556" s="28" t="n">
        <v>0.65035</v>
      </c>
      <c r="O556" s="28" t="n">
        <v>0.6183</v>
      </c>
      <c r="P556" s="28" t="n">
        <v>0.05</v>
      </c>
      <c r="Q556" s="28" t="n">
        <v>-0.03205</v>
      </c>
      <c r="R556" s="26" t="n">
        <v>4</v>
      </c>
      <c r="S556" s="29" t="n">
        <v>1</v>
      </c>
      <c r="T556" s="24" t="inlineStr">
        <is>
          <t>tennis-surface-elo-v1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1</v>
      </c>
      <c r="Y556" s="25" t="n"/>
      <c r="Z556" s="26" t="n"/>
      <c r="AA556" s="28" t="n"/>
      <c r="AB556" s="28" t="n"/>
      <c r="AC556" s="30" t="n">
        <v>0.5376</v>
      </c>
      <c r="AD556" s="24" t="inlineStr">
        <is>
          <t>2026-08-26T12:35:50.766829Z</t>
        </is>
      </c>
      <c r="AE556" s="31" t="inlineStr">
        <is>
          <t>Surface-blended Elo on Hard: Jessica Bouzas Maneiro p=0.382 vs Wang Xiyu. Executable ask 0.6500 (aec-wta-xiywan-jesman-2026-08-25).</t>
        </is>
      </c>
      <c r="AF556" s="31" t="inlineStr">
        <is>
          <t>Surface-blended Elo model; singles only, WTA+ATP market coverage, not yet locked-holdout qualified -- promoted by explicit operator directive, not genuine walk-forward validation.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PAPER_CALL_LOW_EDGE</t>
        </is>
      </c>
      <c r="AP556" s="24" t="inlineStr">
        <is>
          <t>Jessica Bouzas Maneiro</t>
        </is>
      </c>
      <c r="AQ556" s="24" t="inlineStr">
        <is>
          <t>Jessica Bouzas Maneiro</t>
        </is>
      </c>
      <c r="AR556" s="24" t="inlineStr">
        <is>
          <t>Jessica Bouzas Maneiro</t>
        </is>
      </c>
      <c r="AS556" s="24" t="inlineStr">
        <is>
          <t>Wang Xiyu</t>
        </is>
      </c>
      <c r="AT556" s="24" t="inlineStr">
        <is>
          <t>Wang Xiyu</t>
        </is>
      </c>
      <c r="AU556" s="24" t="inlineStr">
        <is>
          <t>Wang Xiyu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d777da58446bc099047b154203518e2585ef1a678f613f2b430f2589f7bf5cff</t>
        </is>
      </c>
      <c r="BB556" s="24" t="inlineStr">
        <is>
          <t>surface_blended_elo</t>
        </is>
      </c>
      <c r="BC556" s="24" t="inlineStr">
        <is>
          <t>tennis-surface-elo-v1</t>
        </is>
      </c>
      <c r="BD556" s="24" t="inlineStr">
        <is>
          <t>d777da58446bc099047b154203518e2585ef1a678f613f2b430f2589f7bf5cff</t>
        </is>
      </c>
      <c r="BE556" s="24" t="inlineStr">
        <is>
          <t>tennis-surface-elo-v1</t>
        </is>
      </c>
      <c r="BF556" s="24" t="inlineStr">
        <is>
          <t>1</t>
        </is>
      </c>
      <c r="BG556" s="24" t="inlineStr">
        <is>
          <t>d777da58446bc099047b154203518e2585ef1a678f613f2b430f2589f7bf5cff</t>
        </is>
      </c>
      <c r="BH556" s="24" t="inlineStr">
        <is>
          <t>2026-08-25T13:29:43.513904Z</t>
        </is>
      </c>
      <c r="BI556" s="24" t="inlineStr">
        <is>
          <t>["same_event","same_team_same_day","same_league_same_day"]</t>
        </is>
      </c>
      <c r="BJ556" s="25" t="n"/>
      <c r="BK556" s="26" t="n">
        <v>-186</v>
      </c>
      <c r="BL556" s="27" t="n">
        <v>1.537634</v>
      </c>
      <c r="BM556" s="28" t="n">
        <v>0.65035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False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inlineStr">
        <is>
          <t>67b8fba948eb9764ae93d57f80f1115b6e5795e201366c26e7ecf952dae8e4b0</t>
        </is>
      </c>
      <c r="DE556" s="24" t="inlineStr">
        <is>
          <t>/Users/vincentc9002/model-prediction/data/odds/tennis/2026-08-25/polymarket_snapshots.jsonl</t>
        </is>
      </c>
      <c r="DF556" s="24" t="inlineStr">
        <is>
          <t>512480:2026-08-25T13:29:43.513904Z</t>
        </is>
      </c>
      <c r="DG556" s="24" t="n"/>
      <c r="DH556" s="24" t="n"/>
      <c r="DI556" s="24" t="n"/>
      <c r="DJ556" s="24" t="inlineStr">
        <is>
          <t>0.65035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9919929111f1495f</t>
        </is>
      </c>
      <c r="B557" s="24" t="inlineStr">
        <is>
          <t>2026-08-25T13:31:51.589728Z</t>
        </is>
      </c>
      <c r="C557" s="24" t="inlineStr">
        <is>
          <t>2026-08-25T16:30Z</t>
        </is>
      </c>
      <c r="D557" s="24" t="inlineStr">
        <is>
          <t>1075-2026:182123</t>
        </is>
      </c>
      <c r="E557" s="24" t="inlineStr">
        <is>
          <t>TENNIS</t>
        </is>
      </c>
      <c r="F557" s="24" t="inlineStr">
        <is>
          <t>Katie Volynets</t>
        </is>
      </c>
      <c r="G557" s="24" t="inlineStr">
        <is>
          <t>Mia Pohankova</t>
        </is>
      </c>
      <c r="H557" s="24" t="inlineStr">
        <is>
          <t>moneyline</t>
        </is>
      </c>
      <c r="I557" s="24" t="inlineStr">
        <is>
          <t>away</t>
        </is>
      </c>
      <c r="J557" s="25" t="n"/>
      <c r="K557" s="24" t="inlineStr">
        <is>
          <t>polymarket_us</t>
        </is>
      </c>
      <c r="L557" s="26" t="n">
        <v>-456</v>
      </c>
      <c r="M557" s="27" t="n">
        <v>1.219298</v>
      </c>
      <c r="N557" s="28" t="n">
        <v>0.820144</v>
      </c>
      <c r="O557" s="28" t="n">
        <v>0.7131999999999999</v>
      </c>
      <c r="P557" s="28" t="n">
        <v>0.05</v>
      </c>
      <c r="Q557" s="28" t="n">
        <v>-0.106944</v>
      </c>
      <c r="R557" s="26" t="n">
        <v>0</v>
      </c>
      <c r="S557" s="29" t="n">
        <v>1</v>
      </c>
      <c r="T557" s="24" t="inlineStr">
        <is>
          <t>tennis-surface-elo-v1</t>
        </is>
      </c>
      <c r="U557" s="24" t="inlineStr">
        <is>
          <t>settled</t>
        </is>
      </c>
      <c r="V557" s="24" t="inlineStr">
        <is>
          <t>win</t>
        </is>
      </c>
      <c r="W557" s="26" t="n">
        <v>1</v>
      </c>
      <c r="X557" s="26" t="n">
        <v>0</v>
      </c>
      <c r="Y557" s="25" t="n"/>
      <c r="Z557" s="26" t="n">
        <v>-456</v>
      </c>
      <c r="AA557" s="28" t="n">
        <v>0.82</v>
      </c>
      <c r="AB557" s="28" t="n">
        <v>-0.000144</v>
      </c>
      <c r="AC557" s="30" t="n">
        <v>0.2193</v>
      </c>
      <c r="AD557" s="24" t="inlineStr">
        <is>
          <t>2026-08-26T12:35:52.728682Z</t>
        </is>
      </c>
      <c r="AE557" s="31" t="inlineStr">
        <is>
          <t>Surface-blended Elo on Hard: Katie Volynets p=0.713 vs Mia Pohankova. Executable ask 0.8200 (aec-wta-miapoh-katvol-2026-08-24).</t>
        </is>
      </c>
      <c r="AF557" s="31" t="inlineStr">
        <is>
          <t>Surface-blended Elo model; singles only, WTA+ATP market coverage, not yet locked-holdout qualified -- promoted by explicit operator directive, not genuine walk-forward validation.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Katie Volynets</t>
        </is>
      </c>
      <c r="AQ557" s="24" t="inlineStr">
        <is>
          <t>Katie Volynets</t>
        </is>
      </c>
      <c r="AR557" s="24" t="inlineStr">
        <is>
          <t>Katie Volynets</t>
        </is>
      </c>
      <c r="AS557" s="24" t="inlineStr">
        <is>
          <t>Mia Pohankova</t>
        </is>
      </c>
      <c r="AT557" s="24" t="inlineStr">
        <is>
          <t>Mia Pohankova</t>
        </is>
      </c>
      <c r="AU557" s="24" t="inlineStr">
        <is>
          <t>Mia Pohankova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d777da58446bc099047b154203518e2585ef1a678f613f2b430f2589f7bf5cff</t>
        </is>
      </c>
      <c r="BB557" s="24" t="inlineStr">
        <is>
          <t>surface_blended_elo</t>
        </is>
      </c>
      <c r="BC557" s="24" t="inlineStr">
        <is>
          <t>tennis-surface-elo-v1</t>
        </is>
      </c>
      <c r="BD557" s="24" t="inlineStr">
        <is>
          <t>d777da58446bc099047b154203518e2585ef1a678f613f2b430f2589f7bf5cff</t>
        </is>
      </c>
      <c r="BE557" s="24" t="inlineStr">
        <is>
          <t>tennis-surface-elo-v1</t>
        </is>
      </c>
      <c r="BF557" s="24" t="inlineStr">
        <is>
          <t>1</t>
        </is>
      </c>
      <c r="BG557" s="24" t="inlineStr">
        <is>
          <t>d777da58446bc099047b154203518e2585ef1a678f613f2b430f2589f7bf5cff</t>
        </is>
      </c>
      <c r="BH557" s="24" t="inlineStr">
        <is>
          <t>2026-08-25T13:29:43.542884Z</t>
        </is>
      </c>
      <c r="BI557" s="24" t="inlineStr">
        <is>
          <t>["same_event","same_team_same_day","same_league_same_day"]</t>
        </is>
      </c>
      <c r="BJ557" s="25" t="n"/>
      <c r="BK557" s="26" t="n">
        <v>-456</v>
      </c>
      <c r="BL557" s="27" t="n">
        <v>1.219298</v>
      </c>
      <c r="BM557" s="28" t="n">
        <v>0.820144</v>
      </c>
      <c r="BN557" s="28" t="n"/>
      <c r="BO557" s="28" t="n"/>
      <c r="BP557" s="25" t="n"/>
      <c r="BQ557" s="27" t="n">
        <v>1.219298</v>
      </c>
      <c r="BR557" s="28" t="n">
        <v>0.82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inlineStr">
        <is>
          <t>8224f39a9a97369c9ace1b79e9da3b01b0968dce5cca445da6717e97371403a0</t>
        </is>
      </c>
      <c r="DE557" s="24" t="inlineStr">
        <is>
          <t>/Users/vincentc9002/model-prediction/data/odds/tennis/2026-08-25/polymarket_snapshots.jsonl</t>
        </is>
      </c>
      <c r="DF557" s="24" t="inlineStr">
        <is>
          <t>505517:2026-08-25T13:29:43.542884Z</t>
        </is>
      </c>
      <c r="DG557" s="24" t="n"/>
      <c r="DH557" s="24" t="n"/>
      <c r="DI557" s="24" t="n"/>
      <c r="DJ557" s="24" t="inlineStr">
        <is>
          <t>0.820144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537f6435b4f04ffa</t>
        </is>
      </c>
      <c r="B558" s="24" t="inlineStr">
        <is>
          <t>2026-08-25T13:31:51.589728Z</t>
        </is>
      </c>
      <c r="C558" s="24" t="inlineStr">
        <is>
          <t>2026-08-25T18:00Z</t>
        </is>
      </c>
      <c r="D558" s="24" t="inlineStr">
        <is>
          <t>1075-2026:182135</t>
        </is>
      </c>
      <c r="E558" s="24" t="inlineStr">
        <is>
          <t>TENNIS</t>
        </is>
      </c>
      <c r="F558" s="24" t="inlineStr">
        <is>
          <t>Kylie Collins</t>
        </is>
      </c>
      <c r="G558" s="24" t="inlineStr">
        <is>
          <t>Anastasia Zakharova</t>
        </is>
      </c>
      <c r="H558" s="24" t="inlineStr">
        <is>
          <t>moneyline</t>
        </is>
      </c>
      <c r="I558" s="24" t="inlineStr">
        <is>
          <t>home</t>
        </is>
      </c>
      <c r="J558" s="25" t="n"/>
      <c r="K558" s="24" t="inlineStr">
        <is>
          <t>polymarket_us</t>
        </is>
      </c>
      <c r="L558" s="26" t="n">
        <v>-1011</v>
      </c>
      <c r="M558" s="27" t="n">
        <v>1.098912</v>
      </c>
      <c r="N558" s="28" t="n">
        <v>0.909991</v>
      </c>
      <c r="O558" s="28" t="n">
        <v>0.6639</v>
      </c>
      <c r="P558" s="28" t="n">
        <v>0.05</v>
      </c>
      <c r="Q558" s="28" t="n">
        <v>-0.246091</v>
      </c>
      <c r="R558" s="26" t="n">
        <v>0</v>
      </c>
      <c r="S558" s="29" t="n">
        <v>1</v>
      </c>
      <c r="T558" s="24" t="inlineStr">
        <is>
          <t>tennis-surface-elo-v1</t>
        </is>
      </c>
      <c r="U558" s="24" t="inlineStr">
        <is>
          <t>settled</t>
        </is>
      </c>
      <c r="V558" s="24" t="inlineStr">
        <is>
          <t>loss</t>
        </is>
      </c>
      <c r="W558" s="26" t="n">
        <v>1</v>
      </c>
      <c r="X558" s="26" t="n">
        <v>0</v>
      </c>
      <c r="Y558" s="25" t="n"/>
      <c r="Z558" s="26" t="n">
        <v>-1011</v>
      </c>
      <c r="AA558" s="28" t="n">
        <v>0.91</v>
      </c>
      <c r="AB558" s="28" t="n">
        <v>9e-06</v>
      </c>
      <c r="AC558" s="30" t="n">
        <v>-1</v>
      </c>
      <c r="AD558" s="24" t="inlineStr">
        <is>
          <t>2026-08-26T12:35:54.697375Z</t>
        </is>
      </c>
      <c r="AE558" s="31" t="inlineStr">
        <is>
          <t>Surface-blended Elo on Hard: Kylie Collins p=0.336 vs Anastasia Zakharova. Executable ask 0.9100 (aec-wta-anazak-kylcol-2026-08-26).</t>
        </is>
      </c>
      <c r="AF558" s="31" t="inlineStr">
        <is>
          <t>Surface-blended Elo model; singles only, WTA+ATP market coverage, not yet locked-holdout qualified -- promoted by explicit operator directive, not genuine walk-forward validation.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Kylie Collins</t>
        </is>
      </c>
      <c r="AQ558" s="24" t="inlineStr">
        <is>
          <t>Kylie Collins</t>
        </is>
      </c>
      <c r="AR558" s="24" t="inlineStr">
        <is>
          <t>Kylie Collins</t>
        </is>
      </c>
      <c r="AS558" s="24" t="inlineStr">
        <is>
          <t>Anastasia Zakharova</t>
        </is>
      </c>
      <c r="AT558" s="24" t="inlineStr">
        <is>
          <t>Anastasia Zakharova</t>
        </is>
      </c>
      <c r="AU558" s="24" t="inlineStr">
        <is>
          <t>Anastasia Zakharova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d777da58446bc099047b154203518e2585ef1a678f613f2b430f2589f7bf5cff</t>
        </is>
      </c>
      <c r="BB558" s="24" t="inlineStr">
        <is>
          <t>surface_blended_elo</t>
        </is>
      </c>
      <c r="BC558" s="24" t="inlineStr">
        <is>
          <t>tennis-surface-elo-v1</t>
        </is>
      </c>
      <c r="BD558" s="24" t="inlineStr">
        <is>
          <t>d777da58446bc099047b154203518e2585ef1a678f613f2b430f2589f7bf5cff</t>
        </is>
      </c>
      <c r="BE558" s="24" t="inlineStr">
        <is>
          <t>tennis-surface-elo-v1</t>
        </is>
      </c>
      <c r="BF558" s="24" t="inlineStr">
        <is>
          <t>1</t>
        </is>
      </c>
      <c r="BG558" s="24" t="inlineStr">
        <is>
          <t>d777da58446bc099047b154203518e2585ef1a678f613f2b430f2589f7bf5cff</t>
        </is>
      </c>
      <c r="BH558" s="24" t="inlineStr">
        <is>
          <t>2026-08-25T13:29:43.580752Z</t>
        </is>
      </c>
      <c r="BI558" s="24" t="inlineStr">
        <is>
          <t>["same_event","same_team_same_day","same_league_same_day"]</t>
        </is>
      </c>
      <c r="BJ558" s="25" t="n"/>
      <c r="BK558" s="26" t="n">
        <v>-1011</v>
      </c>
      <c r="BL558" s="27" t="n">
        <v>1.098912</v>
      </c>
      <c r="BM558" s="28" t="n">
        <v>0.909991</v>
      </c>
      <c r="BN558" s="28" t="n"/>
      <c r="BO558" s="28" t="n"/>
      <c r="BP558" s="25" t="n"/>
      <c r="BQ558" s="27" t="n">
        <v>1.098912</v>
      </c>
      <c r="BR558" s="28" t="n">
        <v>0.91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inlineStr">
        <is>
          <t>e422dca2d63b328b5f0891eb59a9a66b52422b13149213f2feece332bc30cdba</t>
        </is>
      </c>
      <c r="DE558" s="24" t="inlineStr">
        <is>
          <t>/Users/vincentc9002/model-prediction/data/odds/tennis/2026-08-25/polymarket_snapshots.jsonl</t>
        </is>
      </c>
      <c r="DF558" s="24" t="inlineStr">
        <is>
          <t>512494:2026-08-25T13:29:43.580752Z</t>
        </is>
      </c>
      <c r="DG558" s="24" t="n"/>
      <c r="DH558" s="24" t="n"/>
      <c r="DI558" s="24" t="n"/>
      <c r="DJ558" s="24" t="inlineStr">
        <is>
          <t>0.909991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e626c864c3c4470e</t>
        </is>
      </c>
      <c r="B559" s="24" t="inlineStr">
        <is>
          <t>2026-08-25T13:31:51.589728Z</t>
        </is>
      </c>
      <c r="C559" s="24" t="inlineStr">
        <is>
          <t>2026-08-25T22:00Z</t>
        </is>
      </c>
      <c r="D559" s="24" t="inlineStr">
        <is>
          <t>1075-2026:182133</t>
        </is>
      </c>
      <c r="E559" s="24" t="inlineStr">
        <is>
          <t>TENNIS</t>
        </is>
      </c>
      <c r="F559" s="24" t="inlineStr">
        <is>
          <t>Ashlyn Krueger</t>
        </is>
      </c>
      <c r="G559" s="24" t="inlineStr">
        <is>
          <t>Julia Grabher</t>
        </is>
      </c>
      <c r="H559" s="24" t="inlineStr">
        <is>
          <t>moneyline</t>
        </is>
      </c>
      <c r="I559" s="24" t="inlineStr">
        <is>
          <t>away</t>
        </is>
      </c>
      <c r="J559" s="25" t="n"/>
      <c r="K559" s="24" t="inlineStr">
        <is>
          <t>polymarket_us</t>
        </is>
      </c>
      <c r="L559" s="26" t="n">
        <v>-488</v>
      </c>
      <c r="M559" s="27" t="n">
        <v>1.204918</v>
      </c>
      <c r="N559" s="28" t="n">
        <v>0.829932</v>
      </c>
      <c r="O559" s="28" t="n">
        <v>0.6343</v>
      </c>
      <c r="P559" s="28" t="n">
        <v>0.05</v>
      </c>
      <c r="Q559" s="28" t="n">
        <v>-0.195632</v>
      </c>
      <c r="R559" s="26" t="n">
        <v>0</v>
      </c>
      <c r="S559" s="29" t="n">
        <v>1</v>
      </c>
      <c r="T559" s="24" t="inlineStr">
        <is>
          <t>tennis-surface-elo-v1</t>
        </is>
      </c>
      <c r="U559" s="24" t="inlineStr">
        <is>
          <t>settled</t>
        </is>
      </c>
      <c r="V559" s="24" t="inlineStr">
        <is>
          <t>loss</t>
        </is>
      </c>
      <c r="W559" s="26" t="n">
        <v>0</v>
      </c>
      <c r="X559" s="26" t="n">
        <v>1</v>
      </c>
      <c r="Y559" s="25" t="n"/>
      <c r="Z559" s="26" t="n">
        <v>-488</v>
      </c>
      <c r="AA559" s="28" t="n">
        <v>0.83</v>
      </c>
      <c r="AB559" s="28" t="n">
        <v>6.8e-05</v>
      </c>
      <c r="AC559" s="30" t="n">
        <v>-1</v>
      </c>
      <c r="AD559" s="24" t="inlineStr">
        <is>
          <t>2026-08-26T12:35:56.714328Z</t>
        </is>
      </c>
      <c r="AE559" s="31" t="inlineStr">
        <is>
          <t>Surface-blended Elo on Hard: Ashlyn Krueger p=0.634 vs Julia Grabher. Executable ask 0.8300 (aec-wta-julgra-ashkru-2026-08-25).</t>
        </is>
      </c>
      <c r="AF559" s="31" t="inlineStr">
        <is>
          <t>Surface-blended Elo model; singles only, WTA+ATP market coverage, not yet locked-holdout qualified -- promoted by explicit operator directive, not genuine walk-forward validation.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PAPER_CALL_LOW_EDGE</t>
        </is>
      </c>
      <c r="AP559" s="24" t="inlineStr">
        <is>
          <t>Ashlyn Krueger</t>
        </is>
      </c>
      <c r="AQ559" s="24" t="inlineStr">
        <is>
          <t>Ashlyn Krueger</t>
        </is>
      </c>
      <c r="AR559" s="24" t="inlineStr">
        <is>
          <t>Ashlyn Krueger</t>
        </is>
      </c>
      <c r="AS559" s="24" t="inlineStr">
        <is>
          <t>Julia Grabher</t>
        </is>
      </c>
      <c r="AT559" s="24" t="inlineStr">
        <is>
          <t>Julia Grabher</t>
        </is>
      </c>
      <c r="AU559" s="24" t="inlineStr">
        <is>
          <t>Julia Grabher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d777da58446bc099047b154203518e2585ef1a678f613f2b430f2589f7bf5cff</t>
        </is>
      </c>
      <c r="BB559" s="24" t="inlineStr">
        <is>
          <t>surface_blended_elo</t>
        </is>
      </c>
      <c r="BC559" s="24" t="inlineStr">
        <is>
          <t>tennis-surface-elo-v1</t>
        </is>
      </c>
      <c r="BD559" s="24" t="inlineStr">
        <is>
          <t>d777da58446bc099047b154203518e2585ef1a678f613f2b430f2589f7bf5cff</t>
        </is>
      </c>
      <c r="BE559" s="24" t="inlineStr">
        <is>
          <t>tennis-surface-elo-v1</t>
        </is>
      </c>
      <c r="BF559" s="24" t="inlineStr">
        <is>
          <t>1</t>
        </is>
      </c>
      <c r="BG559" s="24" t="inlineStr">
        <is>
          <t>d777da58446bc099047b154203518e2585ef1a678f613f2b430f2589f7bf5cff</t>
        </is>
      </c>
      <c r="BH559" s="24" t="inlineStr">
        <is>
          <t>2026-08-25T13:29:43.686087Z</t>
        </is>
      </c>
      <c r="BI559" s="24" t="inlineStr">
        <is>
          <t>["same_event","same_team_same_day","same_league_same_day"]</t>
        </is>
      </c>
      <c r="BJ559" s="25" t="n"/>
      <c r="BK559" s="26" t="n">
        <v>-488</v>
      </c>
      <c r="BL559" s="27" t="n">
        <v>1.204918</v>
      </c>
      <c r="BM559" s="28" t="n">
        <v>0.829932</v>
      </c>
      <c r="BN559" s="28" t="n"/>
      <c r="BO559" s="28" t="n"/>
      <c r="BP559" s="25" t="n"/>
      <c r="BQ559" s="27" t="n">
        <v>1.204918</v>
      </c>
      <c r="BR559" s="28" t="n">
        <v>0.83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False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inlineStr">
        <is>
          <t>aa5fa7c49f12c7a31084ecf84dcd43f7786393217fed2b0ef362655ced4dbf7f</t>
        </is>
      </c>
      <c r="DE559" s="24" t="inlineStr">
        <is>
          <t>/Users/vincentc9002/model-prediction/data/odds/tennis/2026-08-25/polymarket_snapshots.jsonl</t>
        </is>
      </c>
      <c r="DF559" s="24" t="inlineStr">
        <is>
          <t>512917:2026-08-25T13:29:43.686087Z</t>
        </is>
      </c>
      <c r="DG559" s="24" t="n"/>
      <c r="DH559" s="24" t="n"/>
      <c r="DI559" s="24" t="n"/>
      <c r="DJ559" s="24" t="inlineStr">
        <is>
          <t>0.829932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bccf6f1e9fc44c99</t>
        </is>
      </c>
      <c r="B560" s="24" t="inlineStr">
        <is>
          <t>2026-08-25T13:31:51.589728Z</t>
        </is>
      </c>
      <c r="C560" s="24" t="inlineStr">
        <is>
          <t>2026-08-26T04:00Z</t>
        </is>
      </c>
      <c r="D560" s="24" t="inlineStr">
        <is>
          <t>1075-2026:182130</t>
        </is>
      </c>
      <c r="E560" s="24" t="inlineStr">
        <is>
          <t>TENNIS</t>
        </is>
      </c>
      <c r="F560" s="24" t="inlineStr">
        <is>
          <t>Ekaterina Ovcharenko</t>
        </is>
      </c>
      <c r="G560" s="24" t="inlineStr">
        <is>
          <t>Fiona Crawley</t>
        </is>
      </c>
      <c r="H560" s="24" t="inlineStr">
        <is>
          <t>moneyline</t>
        </is>
      </c>
      <c r="I560" s="24" t="inlineStr">
        <is>
          <t>home</t>
        </is>
      </c>
      <c r="J560" s="25" t="n"/>
      <c r="K560" s="24" t="inlineStr">
        <is>
          <t>polymarket_us</t>
        </is>
      </c>
      <c r="L560" s="26" t="n">
        <v>-733</v>
      </c>
      <c r="M560" s="27" t="n">
        <v>1.136426</v>
      </c>
      <c r="N560" s="28" t="n">
        <v>0.879952</v>
      </c>
      <c r="O560" s="28" t="n">
        <v>0.6218</v>
      </c>
      <c r="P560" s="28" t="n">
        <v>0.05</v>
      </c>
      <c r="Q560" s="28" t="n">
        <v>-0.258152</v>
      </c>
      <c r="R560" s="26" t="n">
        <v>0</v>
      </c>
      <c r="S560" s="29" t="n">
        <v>1</v>
      </c>
      <c r="T560" s="24" t="inlineStr">
        <is>
          <t>tennis-surface-elo-v1</t>
        </is>
      </c>
      <c r="U560" s="24" t="inlineStr">
        <is>
          <t>settled</t>
        </is>
      </c>
      <c r="V560" s="24" t="inlineStr">
        <is>
          <t>win</t>
        </is>
      </c>
      <c r="W560" s="26" t="n">
        <v>0</v>
      </c>
      <c r="X560" s="26" t="n">
        <v>1</v>
      </c>
      <c r="Y560" s="25" t="n"/>
      <c r="Z560" s="26" t="n"/>
      <c r="AA560" s="28" t="n"/>
      <c r="AB560" s="28" t="n"/>
      <c r="AC560" s="30" t="n">
        <v>0.1364</v>
      </c>
      <c r="AD560" s="24" t="inlineStr">
        <is>
          <t>2026-08-26T22:12:31.020740Z</t>
        </is>
      </c>
      <c r="AE560" s="31" t="inlineStr">
        <is>
          <t>Surface-blended Elo on Hard: Ekaterina Ovcharenko p=0.378 vs Fiona Crawley. Executable ask 0.8800 (aec-wta-fiocra-ekaovc-2026-08-25).</t>
        </is>
      </c>
      <c r="AF560" s="31" t="inlineStr">
        <is>
          <t>Surface-blended Elo model; singles only, WTA+ATP market coverage, not yet locked-holdout qualified -- promoted by explicit operator directive, not genuine walk-forward validation.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Ekaterina Ovcharenko</t>
        </is>
      </c>
      <c r="AQ560" s="24" t="inlineStr">
        <is>
          <t>Ekaterina Ovcharenko</t>
        </is>
      </c>
      <c r="AR560" s="24" t="inlineStr">
        <is>
          <t>Ekaterina Ovcharenko</t>
        </is>
      </c>
      <c r="AS560" s="24" t="inlineStr">
        <is>
          <t>Fiona Crawley</t>
        </is>
      </c>
      <c r="AT560" s="24" t="inlineStr">
        <is>
          <t>Fiona Crawley</t>
        </is>
      </c>
      <c r="AU560" s="24" t="inlineStr">
        <is>
          <t>Fiona Crawley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d777da58446bc099047b154203518e2585ef1a678f613f2b430f2589f7bf5cff</t>
        </is>
      </c>
      <c r="BB560" s="24" t="inlineStr">
        <is>
          <t>surface_blended_elo</t>
        </is>
      </c>
      <c r="BC560" s="24" t="inlineStr">
        <is>
          <t>tennis-surface-elo-v1</t>
        </is>
      </c>
      <c r="BD560" s="24" t="inlineStr">
        <is>
          <t>d777da58446bc099047b154203518e2585ef1a678f613f2b430f2589f7bf5cff</t>
        </is>
      </c>
      <c r="BE560" s="24" t="inlineStr">
        <is>
          <t>tennis-surface-elo-v1</t>
        </is>
      </c>
      <c r="BF560" s="24" t="inlineStr">
        <is>
          <t>1</t>
        </is>
      </c>
      <c r="BG560" s="24" t="inlineStr">
        <is>
          <t>d777da58446bc099047b154203518e2585ef1a678f613f2b430f2589f7bf5cff</t>
        </is>
      </c>
      <c r="BH560" s="24" t="inlineStr">
        <is>
          <t>2026-08-25T06:23:07.847246Z</t>
        </is>
      </c>
      <c r="BI560" s="24" t="inlineStr">
        <is>
          <t>["same_event","same_team_same_day","same_league_same_day"]</t>
        </is>
      </c>
      <c r="BJ560" s="25" t="n"/>
      <c r="BK560" s="26" t="n">
        <v>-733</v>
      </c>
      <c r="BL560" s="27" t="n">
        <v>1.136426</v>
      </c>
      <c r="BM560" s="28" t="n">
        <v>0.879952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inlineStr">
        <is>
          <t>35db5e2172f1cf87a48086873fa7f686e53faf5fb83d3d5c9ab7bbec4ab7993e</t>
        </is>
      </c>
      <c r="DE560" s="24" t="inlineStr">
        <is>
          <t>/Users/vincentc9002/model-prediction/data/odds/tennis/2026-08-25/polymarket_snapshots.jsonl</t>
        </is>
      </c>
      <c r="DF560" s="24" t="inlineStr">
        <is>
          <t>515151:2026-08-25T06:23:07.847246Z</t>
        </is>
      </c>
      <c r="DG560" s="24" t="n"/>
      <c r="DH560" s="24" t="n"/>
      <c r="DI560" s="24" t="n"/>
      <c r="DJ560" s="24" t="inlineStr">
        <is>
          <t>0.879952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b5802e83d4aa485e</t>
        </is>
      </c>
      <c r="B561" s="24" t="inlineStr">
        <is>
          <t>2026-08-25T13:31:51.589728Z</t>
        </is>
      </c>
      <c r="C561" s="24" t="inlineStr">
        <is>
          <t>2026-08-25T15:00Z</t>
        </is>
      </c>
      <c r="D561" s="24" t="inlineStr">
        <is>
          <t>189-2026:184718</t>
        </is>
      </c>
      <c r="E561" s="24" t="inlineStr">
        <is>
          <t>TENNIS</t>
        </is>
      </c>
      <c r="F561" s="24" t="inlineStr">
        <is>
          <t>Kristina Penickova</t>
        </is>
      </c>
      <c r="G561" s="24" t="inlineStr">
        <is>
          <t>Elizabeth Mandlik</t>
        </is>
      </c>
      <c r="H561" s="24" t="inlineStr">
        <is>
          <t>moneyline</t>
        </is>
      </c>
      <c r="I561" s="24" t="inlineStr">
        <is>
          <t>away</t>
        </is>
      </c>
      <c r="J561" s="25" t="n"/>
      <c r="K561" s="24" t="inlineStr">
        <is>
          <t>polymarket_us</t>
        </is>
      </c>
      <c r="L561" s="26" t="n">
        <v>335</v>
      </c>
      <c r="M561" s="27" t="n">
        <v>4.35</v>
      </c>
      <c r="N561" s="28" t="n">
        <v>0.229885</v>
      </c>
      <c r="O561" s="28" t="n">
        <v>0.5232</v>
      </c>
      <c r="P561" s="28" t="n">
        <v>0.05</v>
      </c>
      <c r="Q561" s="28" t="n">
        <v>0.293315</v>
      </c>
      <c r="R561" s="26" t="n">
        <v>100</v>
      </c>
      <c r="S561" s="29" t="n">
        <v>2</v>
      </c>
      <c r="T561" s="24" t="inlineStr">
        <is>
          <t>tennis-surface-elo-v1</t>
        </is>
      </c>
      <c r="U561" s="24" t="inlineStr">
        <is>
          <t>settled</t>
        </is>
      </c>
      <c r="V561" s="24" t="inlineStr">
        <is>
          <t>win</t>
        </is>
      </c>
      <c r="W561" s="26" t="n">
        <v>1</v>
      </c>
      <c r="X561" s="26" t="n">
        <v>0</v>
      </c>
      <c r="Y561" s="25" t="n"/>
      <c r="Z561" s="26" t="n">
        <v>335</v>
      </c>
      <c r="AA561" s="28" t="n">
        <v>0.23</v>
      </c>
      <c r="AB561" s="28" t="n">
        <v>0.000115</v>
      </c>
      <c r="AC561" s="30" t="n">
        <v>6.7</v>
      </c>
      <c r="AD561" s="24" t="inlineStr">
        <is>
          <t>2026-08-26T12:35:58.886228Z</t>
        </is>
      </c>
      <c r="AE561" s="31" t="inlineStr">
        <is>
          <t>Surface-blended Elo on Hard: Kristina Penickova p=0.523 vs Elizabeth Mandlik. Executable ask 0.2300 (aec-wta-eliman-kripen-2026-08-25).</t>
        </is>
      </c>
      <c r="AF561" s="31" t="inlineStr">
        <is>
          <t>Surface-blended Elo model; singles only, WTA+ATP market coverage, not yet locked-holdout qualified -- promoted by explicit operator directive, not genuine walk-forward validation.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Kristina Penickova</t>
        </is>
      </c>
      <c r="AQ561" s="24" t="inlineStr">
        <is>
          <t>Kristina Penickova</t>
        </is>
      </c>
      <c r="AR561" s="24" t="inlineStr">
        <is>
          <t>Kristina Penickova</t>
        </is>
      </c>
      <c r="AS561" s="24" t="inlineStr">
        <is>
          <t>Elizabeth Mandlik</t>
        </is>
      </c>
      <c r="AT561" s="24" t="inlineStr">
        <is>
          <t>Elizabeth Mandlik</t>
        </is>
      </c>
      <c r="AU561" s="24" t="inlineStr">
        <is>
          <t>Elizabeth Mandlik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d777da58446bc099047b154203518e2585ef1a678f613f2b430f2589f7bf5cff</t>
        </is>
      </c>
      <c r="BB561" s="24" t="inlineStr">
        <is>
          <t>surface_blended_elo</t>
        </is>
      </c>
      <c r="BC561" s="24" t="inlineStr">
        <is>
          <t>tennis-surface-elo-v1</t>
        </is>
      </c>
      <c r="BD561" s="24" t="inlineStr">
        <is>
          <t>d777da58446bc099047b154203518e2585ef1a678f613f2b430f2589f7bf5cff</t>
        </is>
      </c>
      <c r="BE561" s="24" t="inlineStr">
        <is>
          <t>tennis-surface-elo-v1</t>
        </is>
      </c>
      <c r="BF561" s="24" t="inlineStr">
        <is>
          <t>1</t>
        </is>
      </c>
      <c r="BG561" s="24" t="inlineStr">
        <is>
          <t>d777da58446bc099047b154203518e2585ef1a678f613f2b430f2589f7bf5cff</t>
        </is>
      </c>
      <c r="BH561" s="24" t="inlineStr">
        <is>
          <t>2026-08-25T13:29:43.517262Z</t>
        </is>
      </c>
      <c r="BI561" s="24" t="inlineStr">
        <is>
          <t>["same_event","same_team_same_day","same_league_same_day"]</t>
        </is>
      </c>
      <c r="BJ561" s="25" t="n"/>
      <c r="BK561" s="26" t="n">
        <v>335</v>
      </c>
      <c r="BL561" s="27" t="n">
        <v>4.35</v>
      </c>
      <c r="BM561" s="28" t="n">
        <v>0.229885</v>
      </c>
      <c r="BN561" s="28" t="n"/>
      <c r="BO561" s="28" t="n"/>
      <c r="BP561" s="25" t="n"/>
      <c r="BQ561" s="27" t="n">
        <v>4.35</v>
      </c>
      <c r="BR561" s="28" t="n">
        <v>0.23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inlineStr">
        <is>
          <t>17a7f3d2c5131fceaf0bc8a7255132bea1a655c9ca66074486a9d8fd6515e1e5</t>
        </is>
      </c>
      <c r="DE561" s="24" t="inlineStr">
        <is>
          <t>/Users/vincentc9002/model-prediction/data/odds/tennis/2026-08-25/polymarket_snapshots.jsonl</t>
        </is>
      </c>
      <c r="DF561" s="24" t="inlineStr">
        <is>
          <t>506068:2026-08-25T13:29:43.517262Z</t>
        </is>
      </c>
      <c r="DG561" s="24" t="n"/>
      <c r="DH561" s="24" t="n"/>
      <c r="DI561" s="24" t="n"/>
      <c r="DJ561" s="24" t="inlineStr">
        <is>
          <t>0.229885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3d982b280f2c4ed3</t>
        </is>
      </c>
      <c r="B562" s="24" t="inlineStr">
        <is>
          <t>2026-08-25T13:31:51.589728Z</t>
        </is>
      </c>
      <c r="C562" s="24" t="inlineStr">
        <is>
          <t>2026-08-25T15:00Z</t>
        </is>
      </c>
      <c r="D562" s="24" t="inlineStr">
        <is>
          <t>189-2026:184721</t>
        </is>
      </c>
      <c r="E562" s="24" t="inlineStr">
        <is>
          <t>TENNIS</t>
        </is>
      </c>
      <c r="F562" s="24" t="inlineStr">
        <is>
          <t>Elizara Yaneva</t>
        </is>
      </c>
      <c r="G562" s="24" t="inlineStr">
        <is>
          <t>Lucie Havlickova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170</v>
      </c>
      <c r="M562" s="27" t="n">
        <v>2.7</v>
      </c>
      <c r="N562" s="28" t="n">
        <v>0.37037</v>
      </c>
      <c r="O562" s="28" t="n">
        <v>0.5109</v>
      </c>
      <c r="P562" s="28" t="n">
        <v>0.05</v>
      </c>
      <c r="Q562" s="28" t="n">
        <v>0.14053</v>
      </c>
      <c r="R562" s="26" t="n">
        <v>90</v>
      </c>
      <c r="S562" s="29" t="n">
        <v>1.5</v>
      </c>
      <c r="T562" s="24" t="inlineStr">
        <is>
          <t>tennis-surface-elo-v1</t>
        </is>
      </c>
      <c r="U562" s="24" t="inlineStr">
        <is>
          <t>settled</t>
        </is>
      </c>
      <c r="V562" s="24" t="inlineStr">
        <is>
          <t>win</t>
        </is>
      </c>
      <c r="W562" s="26" t="n">
        <v>0</v>
      </c>
      <c r="X562" s="26" t="n">
        <v>1</v>
      </c>
      <c r="Y562" s="25" t="n"/>
      <c r="Z562" s="26" t="n">
        <v>170</v>
      </c>
      <c r="AA562" s="28" t="n">
        <v>0.37</v>
      </c>
      <c r="AB562" s="28" t="n">
        <v>-0.00037</v>
      </c>
      <c r="AC562" s="30" t="n">
        <v>2.55</v>
      </c>
      <c r="AD562" s="24" t="inlineStr">
        <is>
          <t>2026-08-26T12:36:00.927125Z</t>
        </is>
      </c>
      <c r="AE562" s="31" t="inlineStr">
        <is>
          <t>Surface-blended Elo on Hard: Elizara Yaneva p=0.489 vs Lucie Havlickova. Executable ask 0.3700 (aec-wta-luchav-eliyan-2026-08-25).</t>
        </is>
      </c>
      <c r="AF562" s="31" t="inlineStr">
        <is>
          <t>Surface-blended Elo model; singles only, WTA+ATP market coverage, not yet locked-holdout qualified -- promoted by explicit operator directive, not genuine walk-forward validation.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Elizara Yaneva</t>
        </is>
      </c>
      <c r="AQ562" s="24" t="inlineStr">
        <is>
          <t>Elizara Yaneva</t>
        </is>
      </c>
      <c r="AR562" s="24" t="inlineStr">
        <is>
          <t>Elizara Yaneva</t>
        </is>
      </c>
      <c r="AS562" s="24" t="inlineStr">
        <is>
          <t>Lucie Havlickova</t>
        </is>
      </c>
      <c r="AT562" s="24" t="inlineStr">
        <is>
          <t>Lucie Havlickova</t>
        </is>
      </c>
      <c r="AU562" s="24" t="inlineStr">
        <is>
          <t>Lucie Havlickova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d777da58446bc099047b154203518e2585ef1a678f613f2b430f2589f7bf5cff</t>
        </is>
      </c>
      <c r="BB562" s="24" t="inlineStr">
        <is>
          <t>surface_blended_elo</t>
        </is>
      </c>
      <c r="BC562" s="24" t="inlineStr">
        <is>
          <t>tennis-surface-elo-v1</t>
        </is>
      </c>
      <c r="BD562" s="24" t="inlineStr">
        <is>
          <t>d777da58446bc099047b154203518e2585ef1a678f613f2b430f2589f7bf5cff</t>
        </is>
      </c>
      <c r="BE562" s="24" t="inlineStr">
        <is>
          <t>tennis-surface-elo-v1</t>
        </is>
      </c>
      <c r="BF562" s="24" t="inlineStr">
        <is>
          <t>1</t>
        </is>
      </c>
      <c r="BG562" s="24" t="inlineStr">
        <is>
          <t>d777da58446bc099047b154203518e2585ef1a678f613f2b430f2589f7bf5cff</t>
        </is>
      </c>
      <c r="BH562" s="24" t="inlineStr">
        <is>
          <t>2026-08-25T13:29:43.502336Z</t>
        </is>
      </c>
      <c r="BI562" s="24" t="inlineStr">
        <is>
          <t>["same_event","same_team_same_day","same_league_same_day"]</t>
        </is>
      </c>
      <c r="BJ562" s="25" t="n"/>
      <c r="BK562" s="26" t="n">
        <v>170</v>
      </c>
      <c r="BL562" s="27" t="n">
        <v>2.7</v>
      </c>
      <c r="BM562" s="28" t="n">
        <v>0.37037</v>
      </c>
      <c r="BN562" s="28" t="n"/>
      <c r="BO562" s="28" t="n"/>
      <c r="BP562" s="25" t="n"/>
      <c r="BQ562" s="27" t="n">
        <v>2.7</v>
      </c>
      <c r="BR562" s="28" t="n">
        <v>0.37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inlineStr">
        <is>
          <t>b8f4b0c8a24ef57d9c88c4696085c481620bd27f2e0829dd65761df20260b315</t>
        </is>
      </c>
      <c r="DE562" s="24" t="inlineStr">
        <is>
          <t>/Users/vincentc9002/model-prediction/data/odds/tennis/2026-08-25/polymarket_snapshots.jsonl</t>
        </is>
      </c>
      <c r="DF562" s="24" t="inlineStr">
        <is>
          <t>506034:2026-08-25T13:29:43.502336Z</t>
        </is>
      </c>
      <c r="DG562" s="24" t="n"/>
      <c r="DH562" s="24" t="n"/>
      <c r="DI562" s="24" t="n"/>
      <c r="DJ562" s="24" t="inlineStr">
        <is>
          <t>0.37037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38458f66e7dc4347</t>
        </is>
      </c>
      <c r="B563" s="24" t="inlineStr">
        <is>
          <t>2026-08-25T13:31:51.589728Z</t>
        </is>
      </c>
      <c r="C563" s="24" t="inlineStr">
        <is>
          <t>2026-08-25T15:00Z</t>
        </is>
      </c>
      <c r="D563" s="24" t="inlineStr">
        <is>
          <t>189-2026:184727</t>
        </is>
      </c>
      <c r="E563" s="24" t="inlineStr">
        <is>
          <t>TENNIS</t>
        </is>
      </c>
      <c r="F563" s="24" t="inlineStr">
        <is>
          <t>Polona Hercog</t>
        </is>
      </c>
      <c r="G563" s="24" t="inlineStr">
        <is>
          <t>Moyuka Uchijima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-456</v>
      </c>
      <c r="M563" s="27" t="n">
        <v>1.219298</v>
      </c>
      <c r="N563" s="28" t="n">
        <v>0.820144</v>
      </c>
      <c r="O563" s="28" t="n">
        <v>0.583</v>
      </c>
      <c r="P563" s="28" t="n">
        <v>0.05</v>
      </c>
      <c r="Q563" s="28" t="n">
        <v>-0.237144</v>
      </c>
      <c r="R563" s="26" t="n">
        <v>0</v>
      </c>
      <c r="S563" s="29" t="n">
        <v>1</v>
      </c>
      <c r="T563" s="24" t="inlineStr">
        <is>
          <t>tennis-surface-elo-v1</t>
        </is>
      </c>
      <c r="U563" s="24" t="inlineStr">
        <is>
          <t>settled</t>
        </is>
      </c>
      <c r="V563" s="24" t="inlineStr">
        <is>
          <t>win</t>
        </is>
      </c>
      <c r="W563" s="26" t="n">
        <v>0</v>
      </c>
      <c r="X563" s="26" t="n">
        <v>1</v>
      </c>
      <c r="Y563" s="25" t="n"/>
      <c r="Z563" s="26" t="n">
        <v>-456</v>
      </c>
      <c r="AA563" s="28" t="n">
        <v>0.82</v>
      </c>
      <c r="AB563" s="28" t="n">
        <v>-0.000144</v>
      </c>
      <c r="AC563" s="30" t="n">
        <v>0.2193</v>
      </c>
      <c r="AD563" s="24" t="inlineStr">
        <is>
          <t>2026-08-26T12:36:02.894015Z</t>
        </is>
      </c>
      <c r="AE563" s="31" t="inlineStr">
        <is>
          <t>Surface-blended Elo on Hard: Polona Hercog p=0.417 vs Moyuka Uchijima. Executable ask 0.8200 (aec-wta-moyuch-polher-2026-08-25).</t>
        </is>
      </c>
      <c r="AF563" s="31" t="inlineStr">
        <is>
          <t>Surface-blended Elo model; singles only, WTA+ATP market coverage, not yet locked-holdout qualified -- promoted by explicit operator directive, not genuine walk-forward validation.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Polona Hercog</t>
        </is>
      </c>
      <c r="AQ563" s="24" t="inlineStr">
        <is>
          <t>Polona Hercog</t>
        </is>
      </c>
      <c r="AR563" s="24" t="inlineStr">
        <is>
          <t>Polona Hercog</t>
        </is>
      </c>
      <c r="AS563" s="24" t="inlineStr">
        <is>
          <t>Moyuka Uchijima</t>
        </is>
      </c>
      <c r="AT563" s="24" t="inlineStr">
        <is>
          <t>Moyuka Uchijima</t>
        </is>
      </c>
      <c r="AU563" s="24" t="inlineStr">
        <is>
          <t>Moyuka Uchijima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d777da58446bc099047b154203518e2585ef1a678f613f2b430f2589f7bf5cff</t>
        </is>
      </c>
      <c r="BB563" s="24" t="inlineStr">
        <is>
          <t>surface_blended_elo</t>
        </is>
      </c>
      <c r="BC563" s="24" t="inlineStr">
        <is>
          <t>tennis-surface-elo-v1</t>
        </is>
      </c>
      <c r="BD563" s="24" t="inlineStr">
        <is>
          <t>d777da58446bc099047b154203518e2585ef1a678f613f2b430f2589f7bf5cff</t>
        </is>
      </c>
      <c r="BE563" s="24" t="inlineStr">
        <is>
          <t>tennis-surface-elo-v1</t>
        </is>
      </c>
      <c r="BF563" s="24" t="inlineStr">
        <is>
          <t>1</t>
        </is>
      </c>
      <c r="BG563" s="24" t="inlineStr">
        <is>
          <t>d777da58446bc099047b154203518e2585ef1a678f613f2b430f2589f7bf5cff</t>
        </is>
      </c>
      <c r="BH563" s="24" t="inlineStr">
        <is>
          <t>2026-08-25T13:29:43.488512Z</t>
        </is>
      </c>
      <c r="BI563" s="24" t="inlineStr">
        <is>
          <t>["same_event","same_team_same_day","same_league_same_day"]</t>
        </is>
      </c>
      <c r="BJ563" s="25" t="n"/>
      <c r="BK563" s="26" t="n">
        <v>-456</v>
      </c>
      <c r="BL563" s="27" t="n">
        <v>1.219298</v>
      </c>
      <c r="BM563" s="28" t="n">
        <v>0.820144</v>
      </c>
      <c r="BN563" s="28" t="n"/>
      <c r="BO563" s="28" t="n"/>
      <c r="BP563" s="25" t="n"/>
      <c r="BQ563" s="27" t="n">
        <v>1.219298</v>
      </c>
      <c r="BR563" s="28" t="n">
        <v>0.82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inlineStr">
        <is>
          <t>b7d0e64d17a47a0559af8b998a5af9332bf463469055d5197dbc5db866ac8a42</t>
        </is>
      </c>
      <c r="DE563" s="24" t="inlineStr">
        <is>
          <t>/Users/vincentc9002/model-prediction/data/odds/tennis/2026-08-25/polymarket_snapshots.jsonl</t>
        </is>
      </c>
      <c r="DF563" s="24" t="inlineStr">
        <is>
          <t>506032:2026-08-25T13:29:43.488512Z</t>
        </is>
      </c>
      <c r="DG563" s="24" t="n"/>
      <c r="DH563" s="24" t="n"/>
      <c r="DI563" s="24" t="n"/>
      <c r="DJ563" s="24" t="inlineStr">
        <is>
          <t>0.820144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2afccbf7e0624eef</t>
        </is>
      </c>
      <c r="B564" s="24" t="inlineStr">
        <is>
          <t>2026-08-25T13:31:51.589728Z</t>
        </is>
      </c>
      <c r="C564" s="24" t="inlineStr">
        <is>
          <t>2026-08-25T15:00Z</t>
        </is>
      </c>
      <c r="D564" s="24" t="inlineStr">
        <is>
          <t>189-2026:184742</t>
        </is>
      </c>
      <c r="E564" s="24" t="inlineStr">
        <is>
          <t>TENNIS</t>
        </is>
      </c>
      <c r="F564" s="24" t="inlineStr">
        <is>
          <t>Tamara Zidansek</t>
        </is>
      </c>
      <c r="G564" s="24" t="inlineStr">
        <is>
          <t>Laura Samson</t>
        </is>
      </c>
      <c r="H564" s="24" t="inlineStr">
        <is>
          <t>moneyline</t>
        </is>
      </c>
      <c r="I564" s="24" t="inlineStr">
        <is>
          <t>away</t>
        </is>
      </c>
      <c r="J564" s="25" t="n"/>
      <c r="K564" s="24" t="inlineStr">
        <is>
          <t>polymarket_us</t>
        </is>
      </c>
      <c r="L564" s="26" t="n">
        <v>150</v>
      </c>
      <c r="M564" s="27" t="n">
        <v>2.5</v>
      </c>
      <c r="N564" s="28" t="n">
        <v>0.4</v>
      </c>
      <c r="O564" s="28" t="n">
        <v>0.6358</v>
      </c>
      <c r="P564" s="28" t="n">
        <v>0.05</v>
      </c>
      <c r="Q564" s="28" t="n">
        <v>0.2358</v>
      </c>
      <c r="R564" s="26" t="n">
        <v>100</v>
      </c>
      <c r="S564" s="29" t="n">
        <v>2</v>
      </c>
      <c r="T564" s="24" t="inlineStr">
        <is>
          <t>tennis-surface-elo-v1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0</v>
      </c>
      <c r="Y564" s="25" t="n"/>
      <c r="Z564" s="26" t="n">
        <v>150</v>
      </c>
      <c r="AA564" s="28" t="n">
        <v>0.4</v>
      </c>
      <c r="AB564" s="28" t="n">
        <v>0</v>
      </c>
      <c r="AC564" s="30" t="n">
        <v>3</v>
      </c>
      <c r="AD564" s="24" t="inlineStr">
        <is>
          <t>2026-08-26T12:36:04.875642Z</t>
        </is>
      </c>
      <c r="AE564" s="31" t="inlineStr">
        <is>
          <t>Surface-blended Elo on Hard: Tamara Zidansek p=0.636 vs Laura Samson. Executable ask 0.4000 (aec-wta-lausam-tamzid-2026-08-25).</t>
        </is>
      </c>
      <c r="AF564" s="31" t="inlineStr">
        <is>
          <t>Surface-blended Elo model; singles only, WTA+ATP market coverage, not yet locked-holdout qualified -- promoted by explicit operator directive, not genuine walk-forward validation.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Tamara Zidansek</t>
        </is>
      </c>
      <c r="AQ564" s="24" t="inlineStr">
        <is>
          <t>Tamara Zidansek</t>
        </is>
      </c>
      <c r="AR564" s="24" t="inlineStr">
        <is>
          <t>Tamara Zidansek</t>
        </is>
      </c>
      <c r="AS564" s="24" t="inlineStr">
        <is>
          <t>Laura Samson</t>
        </is>
      </c>
      <c r="AT564" s="24" t="inlineStr">
        <is>
          <t>Laura Samson</t>
        </is>
      </c>
      <c r="AU564" s="24" t="inlineStr">
        <is>
          <t>Laura Samson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d777da58446bc099047b154203518e2585ef1a678f613f2b430f2589f7bf5cff</t>
        </is>
      </c>
      <c r="BB564" s="24" t="inlineStr">
        <is>
          <t>surface_blended_elo</t>
        </is>
      </c>
      <c r="BC564" s="24" t="inlineStr">
        <is>
          <t>tennis-surface-elo-v1</t>
        </is>
      </c>
      <c r="BD564" s="24" t="inlineStr">
        <is>
          <t>d777da58446bc099047b154203518e2585ef1a678f613f2b430f2589f7bf5cff</t>
        </is>
      </c>
      <c r="BE564" s="24" t="inlineStr">
        <is>
          <t>tennis-surface-elo-v1</t>
        </is>
      </c>
      <c r="BF564" s="24" t="inlineStr">
        <is>
          <t>1</t>
        </is>
      </c>
      <c r="BG564" s="24" t="inlineStr">
        <is>
          <t>d777da58446bc099047b154203518e2585ef1a678f613f2b430f2589f7bf5cff</t>
        </is>
      </c>
      <c r="BH564" s="24" t="inlineStr">
        <is>
          <t>2026-08-25T13:29:43.522575Z</t>
        </is>
      </c>
      <c r="BI564" s="24" t="inlineStr">
        <is>
          <t>["same_event","same_team_same_day","same_league_same_day"]</t>
        </is>
      </c>
      <c r="BJ564" s="25" t="n"/>
      <c r="BK564" s="26" t="n">
        <v>150</v>
      </c>
      <c r="BL564" s="27" t="n">
        <v>2.5</v>
      </c>
      <c r="BM564" s="28" t="n">
        <v>0.4</v>
      </c>
      <c r="BN564" s="28" t="n"/>
      <c r="BO564" s="28" t="n"/>
      <c r="BP564" s="25" t="n"/>
      <c r="BQ564" s="27" t="n">
        <v>2.5</v>
      </c>
      <c r="BR564" s="28" t="n">
        <v>0.4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inlineStr">
        <is>
          <t>080b494943971dd6887405d759e9bfd17bc0cdacb6947a047d435fb307f83cf1</t>
        </is>
      </c>
      <c r="DE564" s="24" t="inlineStr">
        <is>
          <t>/Users/vincentc9002/model-prediction/data/odds/tennis/2026-08-25/polymarket_snapshots.jsonl</t>
        </is>
      </c>
      <c r="DF564" s="24" t="inlineStr">
        <is>
          <t>506077:2026-08-25T13:29:43.522575Z</t>
        </is>
      </c>
      <c r="DG564" s="24" t="n"/>
      <c r="DH564" s="24" t="n"/>
      <c r="DI564" s="24" t="n"/>
      <c r="DJ564" s="24" t="inlineStr">
        <is>
          <t>0.4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93e833a2c98b4221</t>
        </is>
      </c>
      <c r="B565" s="24" t="inlineStr">
        <is>
          <t>2026-08-25T13:31:51.589728Z</t>
        </is>
      </c>
      <c r="C565" s="24" t="inlineStr">
        <is>
          <t>2026-08-25T16:30Z</t>
        </is>
      </c>
      <c r="D565" s="24" t="inlineStr">
        <is>
          <t>189-2026:184710</t>
        </is>
      </c>
      <c r="E565" s="24" t="inlineStr">
        <is>
          <t>TENNIS</t>
        </is>
      </c>
      <c r="F565" s="24" t="inlineStr">
        <is>
          <t>Susan Bandecchi</t>
        </is>
      </c>
      <c r="G565" s="24" t="inlineStr">
        <is>
          <t>Alina Charaeva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-194</v>
      </c>
      <c r="M565" s="27" t="n">
        <v>1.515464</v>
      </c>
      <c r="N565" s="28" t="n">
        <v>0.659864</v>
      </c>
      <c r="O565" s="28" t="n">
        <v>0.7433999999999999</v>
      </c>
      <c r="P565" s="28" t="n">
        <v>0.05</v>
      </c>
      <c r="Q565" s="28" t="n">
        <v>0.083536</v>
      </c>
      <c r="R565" s="26" t="n">
        <v>62</v>
      </c>
      <c r="S565" s="29" t="n">
        <v>1.25</v>
      </c>
      <c r="T565" s="24" t="inlineStr">
        <is>
          <t>tennis-surface-elo-v1</t>
        </is>
      </c>
      <c r="U565" s="24" t="inlineStr">
        <is>
          <t>settled</t>
        </is>
      </c>
      <c r="V565" s="24" t="inlineStr">
        <is>
          <t>loss</t>
        </is>
      </c>
      <c r="W565" s="26" t="n">
        <v>1</v>
      </c>
      <c r="X565" s="26" t="n">
        <v>0</v>
      </c>
      <c r="Y565" s="25" t="n"/>
      <c r="Z565" s="26" t="n">
        <v>-194</v>
      </c>
      <c r="AA565" s="28" t="n">
        <v>0.66</v>
      </c>
      <c r="AB565" s="28" t="n">
        <v>0.000136</v>
      </c>
      <c r="AC565" s="30" t="n">
        <v>-1.25</v>
      </c>
      <c r="AD565" s="24" t="inlineStr">
        <is>
          <t>2026-08-26T12:36:06.839176Z</t>
        </is>
      </c>
      <c r="AE565" s="31" t="inlineStr">
        <is>
          <t>Surface-blended Elo on Hard: Susan Bandecchi p=0.257 vs Alina Charaeva. Executable ask 0.6600 (aec-wta-alicha-susban-2026-08-25).</t>
        </is>
      </c>
      <c r="AF565" s="31" t="inlineStr">
        <is>
          <t>Surface-blended Elo model; singles only, WTA+ATP market coverage, not yet locked-holdout qualified -- promoted by explicit operator directive, not genuine walk-forward validation.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Susan Bandecchi</t>
        </is>
      </c>
      <c r="AQ565" s="24" t="inlineStr">
        <is>
          <t>Susan Bandecchi</t>
        </is>
      </c>
      <c r="AR565" s="24" t="inlineStr">
        <is>
          <t>Susan Bandecchi</t>
        </is>
      </c>
      <c r="AS565" s="24" t="inlineStr">
        <is>
          <t>Alina Charaeva</t>
        </is>
      </c>
      <c r="AT565" s="24" t="inlineStr">
        <is>
          <t>Alina Charaeva</t>
        </is>
      </c>
      <c r="AU565" s="24" t="inlineStr">
        <is>
          <t>Alina Charaeva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d777da58446bc099047b154203518e2585ef1a678f613f2b430f2589f7bf5cff</t>
        </is>
      </c>
      <c r="BB565" s="24" t="inlineStr">
        <is>
          <t>surface_blended_elo</t>
        </is>
      </c>
      <c r="BC565" s="24" t="inlineStr">
        <is>
          <t>tennis-surface-elo-v1</t>
        </is>
      </c>
      <c r="BD565" s="24" t="inlineStr">
        <is>
          <t>d777da58446bc099047b154203518e2585ef1a678f613f2b430f2589f7bf5cff</t>
        </is>
      </c>
      <c r="BE565" s="24" t="inlineStr">
        <is>
          <t>tennis-surface-elo-v1</t>
        </is>
      </c>
      <c r="BF565" s="24" t="inlineStr">
        <is>
          <t>1</t>
        </is>
      </c>
      <c r="BG565" s="24" t="inlineStr">
        <is>
          <t>d777da58446bc099047b154203518e2585ef1a678f613f2b430f2589f7bf5cff</t>
        </is>
      </c>
      <c r="BH565" s="24" t="inlineStr">
        <is>
          <t>2026-08-25T13:29:43.527816Z</t>
        </is>
      </c>
      <c r="BI565" s="24" t="inlineStr">
        <is>
          <t>["same_event","same_team_same_day","same_league_same_day"]</t>
        </is>
      </c>
      <c r="BJ565" s="25" t="n"/>
      <c r="BK565" s="26" t="n">
        <v>-194</v>
      </c>
      <c r="BL565" s="27" t="n">
        <v>1.515464</v>
      </c>
      <c r="BM565" s="28" t="n">
        <v>0.659864</v>
      </c>
      <c r="BN565" s="28" t="n"/>
      <c r="BO565" s="28" t="n"/>
      <c r="BP565" s="25" t="n"/>
      <c r="BQ565" s="27" t="n">
        <v>1.515464</v>
      </c>
      <c r="BR565" s="28" t="n">
        <v>0.66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inlineStr">
        <is>
          <t>a21e0a8597fe35801ff7cd078fa0f6017c8f872ba12f0f72663498cb5d31b95d</t>
        </is>
      </c>
      <c r="DE565" s="24" t="inlineStr">
        <is>
          <t>/Users/vincentc9002/model-prediction/data/odds/tennis/2026-08-25/polymarket_snapshots.jsonl</t>
        </is>
      </c>
      <c r="DF565" s="24" t="inlineStr">
        <is>
          <t>506060:2026-08-25T13:29:43.527816Z</t>
        </is>
      </c>
      <c r="DG565" s="24" t="n"/>
      <c r="DH565" s="24" t="n"/>
      <c r="DI565" s="24" t="n"/>
      <c r="DJ565" s="24" t="inlineStr">
        <is>
          <t>0.659864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350ad417285c40cf</t>
        </is>
      </c>
      <c r="B566" s="24" t="inlineStr">
        <is>
          <t>2026-08-25T13:31:51.589728Z</t>
        </is>
      </c>
      <c r="C566" s="24" t="inlineStr">
        <is>
          <t>2026-08-25T16:30Z</t>
        </is>
      </c>
      <c r="D566" s="24" t="inlineStr">
        <is>
          <t>189-2026:184715</t>
        </is>
      </c>
      <c r="E566" s="24" t="inlineStr">
        <is>
          <t>TENNIS</t>
        </is>
      </c>
      <c r="F566" s="24" t="inlineStr">
        <is>
          <t>Emerson Jones</t>
        </is>
      </c>
      <c r="G566" s="24" t="inlineStr">
        <is>
          <t>Suzan Lamens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178</v>
      </c>
      <c r="M566" s="27" t="n">
        <v>2.78</v>
      </c>
      <c r="N566" s="28" t="n">
        <v>0.359712</v>
      </c>
      <c r="O566" s="28" t="n">
        <v>0.5138</v>
      </c>
      <c r="P566" s="28" t="n">
        <v>0.05</v>
      </c>
      <c r="Q566" s="28" t="n">
        <v>0.154088</v>
      </c>
      <c r="R566" s="26" t="n">
        <v>97</v>
      </c>
      <c r="S566" s="29" t="n">
        <v>1.75</v>
      </c>
      <c r="T566" s="24" t="inlineStr">
        <is>
          <t>tennis-surface-elo-v1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178</v>
      </c>
      <c r="AA566" s="28" t="n">
        <v>0.36</v>
      </c>
      <c r="AB566" s="28" t="n">
        <v>0.000288</v>
      </c>
      <c r="AC566" s="30" t="n">
        <v>3.115</v>
      </c>
      <c r="AD566" s="24" t="inlineStr">
        <is>
          <t>2026-08-26T12:36:08.821272Z</t>
        </is>
      </c>
      <c r="AE566" s="31" t="inlineStr">
        <is>
          <t>Surface-blended Elo on Hard: Emerson Jones p=0.486 vs Suzan Lamens. Executable ask 0.3600 (aec-wta-suzlam-emejon-2026-08-25).</t>
        </is>
      </c>
      <c r="AF566" s="31" t="inlineStr">
        <is>
          <t>Surface-blended Elo model; singles only, WTA+ATP market coverage, not yet locked-holdout qualified -- promoted by explicit operator directive, not genuine walk-forward validation.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Emerson Jones</t>
        </is>
      </c>
      <c r="AQ566" s="24" t="inlineStr">
        <is>
          <t>Emerson Jones</t>
        </is>
      </c>
      <c r="AR566" s="24" t="inlineStr">
        <is>
          <t>Emerson Jones</t>
        </is>
      </c>
      <c r="AS566" s="24" t="inlineStr">
        <is>
          <t>Suzan Lamens</t>
        </is>
      </c>
      <c r="AT566" s="24" t="inlineStr">
        <is>
          <t>Suzan Lamens</t>
        </is>
      </c>
      <c r="AU566" s="24" t="inlineStr">
        <is>
          <t>Suzan Lamens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d777da58446bc099047b154203518e2585ef1a678f613f2b430f2589f7bf5cff</t>
        </is>
      </c>
      <c r="BB566" s="24" t="inlineStr">
        <is>
          <t>surface_blended_elo</t>
        </is>
      </c>
      <c r="BC566" s="24" t="inlineStr">
        <is>
          <t>tennis-surface-elo-v1</t>
        </is>
      </c>
      <c r="BD566" s="24" t="inlineStr">
        <is>
          <t>d777da58446bc099047b154203518e2585ef1a678f613f2b430f2589f7bf5cff</t>
        </is>
      </c>
      <c r="BE566" s="24" t="inlineStr">
        <is>
          <t>tennis-surface-elo-v1</t>
        </is>
      </c>
      <c r="BF566" s="24" t="inlineStr">
        <is>
          <t>1</t>
        </is>
      </c>
      <c r="BG566" s="24" t="inlineStr">
        <is>
          <t>d777da58446bc099047b154203518e2585ef1a678f613f2b430f2589f7bf5cff</t>
        </is>
      </c>
      <c r="BH566" s="24" t="inlineStr">
        <is>
          <t>2026-08-25T13:29:43.537377Z</t>
        </is>
      </c>
      <c r="BI566" s="24" t="inlineStr">
        <is>
          <t>["same_event","same_team_same_day","same_league_same_day"]</t>
        </is>
      </c>
      <c r="BJ566" s="25" t="n"/>
      <c r="BK566" s="26" t="n">
        <v>178</v>
      </c>
      <c r="BL566" s="27" t="n">
        <v>2.78</v>
      </c>
      <c r="BM566" s="28" t="n">
        <v>0.359712</v>
      </c>
      <c r="BN566" s="28" t="n"/>
      <c r="BO566" s="28" t="n"/>
      <c r="BP566" s="25" t="n"/>
      <c r="BQ566" s="27" t="n">
        <v>2.78</v>
      </c>
      <c r="BR566" s="28" t="n">
        <v>0.36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inlineStr">
        <is>
          <t>a343861823ad6e4a591402f20e1d328b0632a1f2944d8bd04e3eb1adce75fd20</t>
        </is>
      </c>
      <c r="DE566" s="24" t="inlineStr">
        <is>
          <t>/Users/vincentc9002/model-prediction/data/odds/tennis/2026-08-25/polymarket_snapshots.jsonl</t>
        </is>
      </c>
      <c r="DF566" s="24" t="inlineStr">
        <is>
          <t>506066:2026-08-25T13:29:43.537377Z</t>
        </is>
      </c>
      <c r="DG566" s="24" t="n"/>
      <c r="DH566" s="24" t="n"/>
      <c r="DI566" s="24" t="n"/>
      <c r="DJ566" s="24" t="inlineStr">
        <is>
          <t>0.359712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e3d38b7e916948d5</t>
        </is>
      </c>
      <c r="B567" s="24" t="inlineStr">
        <is>
          <t>2026-08-25T13:31:51.589728Z</t>
        </is>
      </c>
      <c r="C567" s="24" t="inlineStr">
        <is>
          <t>2026-08-25T16:30Z</t>
        </is>
      </c>
      <c r="D567" s="24" t="inlineStr">
        <is>
          <t>189-2026:184719</t>
        </is>
      </c>
      <c r="E567" s="24" t="inlineStr">
        <is>
          <t>TENNIS</t>
        </is>
      </c>
      <c r="F567" s="24" t="inlineStr">
        <is>
          <t>Julia Riera</t>
        </is>
      </c>
      <c r="G567" s="24" t="inlineStr">
        <is>
          <t>Viktoria Hruncakova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-133</v>
      </c>
      <c r="M567" s="27" t="n">
        <v>1.75188</v>
      </c>
      <c r="N567" s="28" t="n">
        <v>0.570815</v>
      </c>
      <c r="O567" s="28" t="n">
        <v>0.6262</v>
      </c>
      <c r="P567" s="28" t="n">
        <v>0.05</v>
      </c>
      <c r="Q567" s="28" t="n">
        <v>0.055385</v>
      </c>
      <c r="R567" s="26" t="n">
        <v>48</v>
      </c>
      <c r="S567" s="29" t="n">
        <v>1</v>
      </c>
      <c r="T567" s="24" t="inlineStr">
        <is>
          <t>tennis-surface-elo-v1</t>
        </is>
      </c>
      <c r="U567" s="24" t="inlineStr">
        <is>
          <t>settled</t>
        </is>
      </c>
      <c r="V567" s="24" t="inlineStr">
        <is>
          <t>loss</t>
        </is>
      </c>
      <c r="W567" s="26" t="n">
        <v>0</v>
      </c>
      <c r="X567" s="26" t="n">
        <v>1</v>
      </c>
      <c r="Y567" s="25" t="n"/>
      <c r="Z567" s="26" t="n">
        <v>-133</v>
      </c>
      <c r="AA567" s="28" t="n">
        <v>0.57</v>
      </c>
      <c r="AB567" s="28" t="n">
        <v>-0.000815</v>
      </c>
      <c r="AC567" s="30" t="n">
        <v>-1</v>
      </c>
      <c r="AD567" s="24" t="inlineStr">
        <is>
          <t>2026-08-26T12:36:10.786744Z</t>
        </is>
      </c>
      <c r="AE567" s="31" t="inlineStr">
        <is>
          <t>Surface-blended Elo on Hard: Julia Riera p=0.626 vs Viktoria Hruncakova. Executable ask 0.5700 (aec-wta-vikhru-julrie-2026-08-25).</t>
        </is>
      </c>
      <c r="AF567" s="31" t="inlineStr">
        <is>
          <t>Surface-blended Elo model; singles only, WTA+ATP market coverage, not yet locked-holdout qualified -- promoted by explicit operator directive, not genuine walk-forward validation.</t>
        </is>
      </c>
      <c r="AG567" s="24" t="inlineStr">
        <is>
          <t>review_required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Julia Riera</t>
        </is>
      </c>
      <c r="AQ567" s="24" t="inlineStr">
        <is>
          <t>Julia Riera</t>
        </is>
      </c>
      <c r="AR567" s="24" t="inlineStr">
        <is>
          <t>Julia Riera</t>
        </is>
      </c>
      <c r="AS567" s="24" t="inlineStr">
        <is>
          <t>Viktoria Hruncakova</t>
        </is>
      </c>
      <c r="AT567" s="24" t="inlineStr">
        <is>
          <t>Viktoria Hruncakova</t>
        </is>
      </c>
      <c r="AU567" s="24" t="inlineStr">
        <is>
          <t>Viktoria Hruncakova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d777da58446bc099047b154203518e2585ef1a678f613f2b430f2589f7bf5cff</t>
        </is>
      </c>
      <c r="BB567" s="24" t="inlineStr">
        <is>
          <t>surface_blended_elo</t>
        </is>
      </c>
      <c r="BC567" s="24" t="inlineStr">
        <is>
          <t>tennis-surface-elo-v1</t>
        </is>
      </c>
      <c r="BD567" s="24" t="inlineStr">
        <is>
          <t>d777da58446bc099047b154203518e2585ef1a678f613f2b430f2589f7bf5cff</t>
        </is>
      </c>
      <c r="BE567" s="24" t="inlineStr">
        <is>
          <t>tennis-surface-elo-v1</t>
        </is>
      </c>
      <c r="BF567" s="24" t="inlineStr">
        <is>
          <t>1</t>
        </is>
      </c>
      <c r="BG567" s="24" t="inlineStr">
        <is>
          <t>d777da58446bc099047b154203518e2585ef1a678f613f2b430f2589f7bf5cff</t>
        </is>
      </c>
      <c r="BH567" s="24" t="inlineStr">
        <is>
          <t>2026-08-25T13:29:43.541953Z</t>
        </is>
      </c>
      <c r="BI567" s="24" t="inlineStr">
        <is>
          <t>["same_event","same_team_same_day","same_league_same_day"]</t>
        </is>
      </c>
      <c r="BJ567" s="25" t="n"/>
      <c r="BK567" s="26" t="n">
        <v>-133</v>
      </c>
      <c r="BL567" s="27" t="n">
        <v>1.75188</v>
      </c>
      <c r="BM567" s="28" t="n">
        <v>0.570815</v>
      </c>
      <c r="BN567" s="28" t="n"/>
      <c r="BO567" s="28" t="n"/>
      <c r="BP567" s="25" t="n"/>
      <c r="BQ567" s="27" t="n">
        <v>1.75188</v>
      </c>
      <c r="BR567" s="28" t="n">
        <v>0.57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inlineStr">
        <is>
          <t>50432217a005bf0f59885602dd9c893e7db4bacbc84c6f18fc8c8bcf17c1d642</t>
        </is>
      </c>
      <c r="DE567" s="24" t="inlineStr">
        <is>
          <t>/Users/vincentc9002/model-prediction/data/odds/tennis/2026-08-25/polymarket_snapshots.jsonl</t>
        </is>
      </c>
      <c r="DF567" s="24" t="inlineStr">
        <is>
          <t>506062:2026-08-25T13:29:43.541953Z</t>
        </is>
      </c>
      <c r="DG567" s="24" t="n"/>
      <c r="DH567" s="24" t="n"/>
      <c r="DI567" s="24" t="n"/>
      <c r="DJ567" s="24" t="inlineStr">
        <is>
          <t>0.570815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4d2207aba2b44501</t>
        </is>
      </c>
      <c r="B568" s="24" t="inlineStr">
        <is>
          <t>2026-08-25T13:31:51.589728Z</t>
        </is>
      </c>
      <c r="C568" s="24" t="inlineStr">
        <is>
          <t>2026-08-25T16:30Z</t>
        </is>
      </c>
      <c r="D568" s="24" t="inlineStr">
        <is>
          <t>189-2026:184720</t>
        </is>
      </c>
      <c r="E568" s="24" t="inlineStr">
        <is>
          <t>TENNIS</t>
        </is>
      </c>
      <c r="F568" s="24" t="inlineStr">
        <is>
          <t>Teodora Kostovic</t>
        </is>
      </c>
      <c r="G568" s="24" t="inlineStr">
        <is>
          <t>Arantxa Rus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-270</v>
      </c>
      <c r="M568" s="27" t="n">
        <v>1.37037</v>
      </c>
      <c r="N568" s="28" t="n">
        <v>0.72973</v>
      </c>
      <c r="O568" s="28" t="n">
        <v>0.6092</v>
      </c>
      <c r="P568" s="28" t="n">
        <v>0.05</v>
      </c>
      <c r="Q568" s="28" t="n">
        <v>-0.12053</v>
      </c>
      <c r="R568" s="26" t="n">
        <v>0</v>
      </c>
      <c r="S568" s="29" t="n">
        <v>1</v>
      </c>
      <c r="T568" s="24" t="inlineStr">
        <is>
          <t>tennis-surface-elo-v1</t>
        </is>
      </c>
      <c r="U568" s="24" t="inlineStr">
        <is>
          <t>settled</t>
        </is>
      </c>
      <c r="V568" s="24" t="inlineStr">
        <is>
          <t>loss</t>
        </is>
      </c>
      <c r="W568" s="26" t="n">
        <v>0</v>
      </c>
      <c r="X568" s="26" t="n">
        <v>1</v>
      </c>
      <c r="Y568" s="25" t="n"/>
      <c r="Z568" s="26" t="n">
        <v>-270</v>
      </c>
      <c r="AA568" s="28" t="n">
        <v>0.73</v>
      </c>
      <c r="AB568" s="28" t="n">
        <v>0.00027</v>
      </c>
      <c r="AC568" s="30" t="n">
        <v>-1</v>
      </c>
      <c r="AD568" s="24" t="inlineStr">
        <is>
          <t>2026-08-26T12:36:12.768638Z</t>
        </is>
      </c>
      <c r="AE568" s="31" t="inlineStr">
        <is>
          <t>Surface-blended Elo on Hard: Teodora Kostovic p=0.609 vs Arantxa Rus. Executable ask 0.7300 (aec-wta-ararus-teokos-2026-08-25).</t>
        </is>
      </c>
      <c r="AF568" s="31" t="inlineStr">
        <is>
          <t>Surface-blended Elo model; singles only, WTA+ATP market coverage, not yet locked-holdout qualified -- promoted by explicit operator directive, not genuine walk-forward validation.</t>
        </is>
      </c>
      <c r="AG568" s="24" t="inlineStr">
        <is>
          <t>review_required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Teodora Kostovic</t>
        </is>
      </c>
      <c r="AQ568" s="24" t="inlineStr">
        <is>
          <t>Teodora Kostovic</t>
        </is>
      </c>
      <c r="AR568" s="24" t="inlineStr">
        <is>
          <t>Teodora Kostovic</t>
        </is>
      </c>
      <c r="AS568" s="24" t="inlineStr">
        <is>
          <t>Arantxa Rus</t>
        </is>
      </c>
      <c r="AT568" s="24" t="inlineStr">
        <is>
          <t>Arantxa Rus</t>
        </is>
      </c>
      <c r="AU568" s="24" t="inlineStr">
        <is>
          <t>Arantxa Rus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d777da58446bc099047b154203518e2585ef1a678f613f2b430f2589f7bf5cff</t>
        </is>
      </c>
      <c r="BB568" s="24" t="inlineStr">
        <is>
          <t>surface_blended_elo</t>
        </is>
      </c>
      <c r="BC568" s="24" t="inlineStr">
        <is>
          <t>tennis-surface-elo-v1</t>
        </is>
      </c>
      <c r="BD568" s="24" t="inlineStr">
        <is>
          <t>d777da58446bc099047b154203518e2585ef1a678f613f2b430f2589f7bf5cff</t>
        </is>
      </c>
      <c r="BE568" s="24" t="inlineStr">
        <is>
          <t>tennis-surface-elo-v1</t>
        </is>
      </c>
      <c r="BF568" s="24" t="inlineStr">
        <is>
          <t>1</t>
        </is>
      </c>
      <c r="BG568" s="24" t="inlineStr">
        <is>
          <t>d777da58446bc099047b154203518e2585ef1a678f613f2b430f2589f7bf5cff</t>
        </is>
      </c>
      <c r="BH568" s="24" t="inlineStr">
        <is>
          <t>2026-08-25T13:29:43.525770Z</t>
        </is>
      </c>
      <c r="BI568" s="24" t="inlineStr">
        <is>
          <t>["same_event","same_team_same_day","same_league_same_day"]</t>
        </is>
      </c>
      <c r="BJ568" s="25" t="n"/>
      <c r="BK568" s="26" t="n">
        <v>-270</v>
      </c>
      <c r="BL568" s="27" t="n">
        <v>1.37037</v>
      </c>
      <c r="BM568" s="28" t="n">
        <v>0.72973</v>
      </c>
      <c r="BN568" s="28" t="n"/>
      <c r="BO568" s="28" t="n"/>
      <c r="BP568" s="25" t="n"/>
      <c r="BQ568" s="27" t="n">
        <v>1.37037</v>
      </c>
      <c r="BR568" s="28" t="n">
        <v>0.73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inlineStr">
        <is>
          <t>5e542f36f8ecbe15af0431321d387015bf036caea876ef6e18d4c7a3878a42c0</t>
        </is>
      </c>
      <c r="DE568" s="24" t="inlineStr">
        <is>
          <t>/Users/vincentc9002/model-prediction/data/odds/tennis/2026-08-25/polymarket_snapshots.jsonl</t>
        </is>
      </c>
      <c r="DF568" s="24" t="inlineStr">
        <is>
          <t>506064:2026-08-25T13:29:43.525770Z</t>
        </is>
      </c>
      <c r="DG568" s="24" t="n"/>
      <c r="DH568" s="24" t="n"/>
      <c r="DI568" s="24" t="n"/>
      <c r="DJ568" s="24" t="inlineStr">
        <is>
          <t>0.72973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be40e034d5dc40a9</t>
        </is>
      </c>
      <c r="B569" s="24" t="inlineStr">
        <is>
          <t>2026-08-25T13:31:51.589728Z</t>
        </is>
      </c>
      <c r="C569" s="24" t="inlineStr">
        <is>
          <t>2026-08-25T16:30Z</t>
        </is>
      </c>
      <c r="D569" s="24" t="inlineStr">
        <is>
          <t>189-2026:184738</t>
        </is>
      </c>
      <c r="E569" s="24" t="inlineStr">
        <is>
          <t>TENNIS</t>
        </is>
      </c>
      <c r="F569" s="24" t="inlineStr">
        <is>
          <t>Noma Noha Akugue</t>
        </is>
      </c>
      <c r="G569" s="24" t="inlineStr">
        <is>
          <t>Sara Sorribes Tormo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-194</v>
      </c>
      <c r="M569" s="27" t="n">
        <v>1.515464</v>
      </c>
      <c r="N569" s="28" t="n">
        <v>0.659864</v>
      </c>
      <c r="O569" s="28" t="n">
        <v>0.6251</v>
      </c>
      <c r="P569" s="28" t="n">
        <v>0.05</v>
      </c>
      <c r="Q569" s="28" t="n">
        <v>-0.034764</v>
      </c>
      <c r="R569" s="26" t="n">
        <v>3</v>
      </c>
      <c r="S569" s="29" t="n">
        <v>1</v>
      </c>
      <c r="T569" s="24" t="inlineStr">
        <is>
          <t>tennis-surface-elo-v1</t>
        </is>
      </c>
      <c r="U569" s="24" t="inlineStr">
        <is>
          <t>settled</t>
        </is>
      </c>
      <c r="V569" s="24" t="inlineStr">
        <is>
          <t>win</t>
        </is>
      </c>
      <c r="W569" s="26" t="n">
        <v>0</v>
      </c>
      <c r="X569" s="26" t="n">
        <v>1</v>
      </c>
      <c r="Y569" s="25" t="n"/>
      <c r="Z569" s="26" t="n">
        <v>-194</v>
      </c>
      <c r="AA569" s="28" t="n">
        <v>0.66</v>
      </c>
      <c r="AB569" s="28" t="n">
        <v>0.000136</v>
      </c>
      <c r="AC569" s="30" t="n">
        <v>0.5155</v>
      </c>
      <c r="AD569" s="24" t="inlineStr">
        <is>
          <t>2026-08-26T12:36:14.739010Z</t>
        </is>
      </c>
      <c r="AE569" s="31" t="inlineStr">
        <is>
          <t>Surface-blended Elo on Hard: Noma Noha Akugue p=0.375 vs Sara Sorribes Tormo. Executable ask 0.6600 (aec-wta-sartor-nomaku-2026-08-25).</t>
        </is>
      </c>
      <c r="AF569" s="31" t="inlineStr">
        <is>
          <t>Surface-blended Elo model; singles only, WTA+ATP market coverage, not yet locked-holdout qualified -- promoted by explicit operator directive, not genuine walk-forward validation.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Noma Noha Akugue</t>
        </is>
      </c>
      <c r="AQ569" s="24" t="inlineStr">
        <is>
          <t>Noma Noha Akugue</t>
        </is>
      </c>
      <c r="AR569" s="24" t="inlineStr">
        <is>
          <t>Noma Noha Akugue</t>
        </is>
      </c>
      <c r="AS569" s="24" t="inlineStr">
        <is>
          <t>Sara Sorribes Tormo</t>
        </is>
      </c>
      <c r="AT569" s="24" t="inlineStr">
        <is>
          <t>Sara Sorribes Tormo</t>
        </is>
      </c>
      <c r="AU569" s="24" t="inlineStr">
        <is>
          <t>Sara Sorribes Tormo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d777da58446bc099047b154203518e2585ef1a678f613f2b430f2589f7bf5cff</t>
        </is>
      </c>
      <c r="BB569" s="24" t="inlineStr">
        <is>
          <t>surface_blended_elo</t>
        </is>
      </c>
      <c r="BC569" s="24" t="inlineStr">
        <is>
          <t>tennis-surface-elo-v1</t>
        </is>
      </c>
      <c r="BD569" s="24" t="inlineStr">
        <is>
          <t>d777da58446bc099047b154203518e2585ef1a678f613f2b430f2589f7bf5cff</t>
        </is>
      </c>
      <c r="BE569" s="24" t="inlineStr">
        <is>
          <t>tennis-surface-elo-v1</t>
        </is>
      </c>
      <c r="BF569" s="24" t="inlineStr">
        <is>
          <t>1</t>
        </is>
      </c>
      <c r="BG569" s="24" t="inlineStr">
        <is>
          <t>d777da58446bc099047b154203518e2585ef1a678f613f2b430f2589f7bf5cff</t>
        </is>
      </c>
      <c r="BH569" s="24" t="inlineStr">
        <is>
          <t>2026-08-25T13:29:43.556886Z</t>
        </is>
      </c>
      <c r="BI569" s="24" t="inlineStr">
        <is>
          <t>["same_event","same_team_same_day","same_league_same_day"]</t>
        </is>
      </c>
      <c r="BJ569" s="25" t="n"/>
      <c r="BK569" s="26" t="n">
        <v>-194</v>
      </c>
      <c r="BL569" s="27" t="n">
        <v>1.515464</v>
      </c>
      <c r="BM569" s="28" t="n">
        <v>0.659864</v>
      </c>
      <c r="BN569" s="28" t="n"/>
      <c r="BO569" s="28" t="n"/>
      <c r="BP569" s="25" t="n"/>
      <c r="BQ569" s="27" t="n">
        <v>1.515464</v>
      </c>
      <c r="BR569" s="28" t="n">
        <v>0.66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inlineStr">
        <is>
          <t>a538e89f2ba80ddd9fe9f4d740c940b39b806e3df8014461fa319f35da818fb1</t>
        </is>
      </c>
      <c r="DE569" s="24" t="inlineStr">
        <is>
          <t>/Users/vincentc9002/model-prediction/data/odds/tennis/2026-08-25/polymarket_snapshots.jsonl</t>
        </is>
      </c>
      <c r="DF569" s="24" t="inlineStr">
        <is>
          <t>506038:2026-08-25T13:29:43.556886Z</t>
        </is>
      </c>
      <c r="DG569" s="24" t="n"/>
      <c r="DH569" s="24" t="n"/>
      <c r="DI569" s="24" t="n"/>
      <c r="DJ569" s="24" t="inlineStr">
        <is>
          <t>0.659864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c28bb5e808744603</t>
        </is>
      </c>
      <c r="B570" s="24" t="inlineStr">
        <is>
          <t>2026-08-25T13:31:51.589728Z</t>
        </is>
      </c>
      <c r="C570" s="24" t="inlineStr">
        <is>
          <t>2026-08-25T18:00Z</t>
        </is>
      </c>
      <c r="D570" s="24" t="inlineStr">
        <is>
          <t>189-2026:184730</t>
        </is>
      </c>
      <c r="E570" s="24" t="inlineStr">
        <is>
          <t>TENNIS</t>
        </is>
      </c>
      <c r="F570" s="24" t="inlineStr">
        <is>
          <t>Nuria Brancaccio</t>
        </is>
      </c>
      <c r="G570" s="24" t="inlineStr">
        <is>
          <t>Francesca Jones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-355</v>
      </c>
      <c r="M570" s="27" t="n">
        <v>1.28169</v>
      </c>
      <c r="N570" s="28" t="n">
        <v>0.78022</v>
      </c>
      <c r="O570" s="28" t="n">
        <v>0.6860000000000001</v>
      </c>
      <c r="P570" s="28" t="n">
        <v>0.05</v>
      </c>
      <c r="Q570" s="28" t="n">
        <v>-0.09422</v>
      </c>
      <c r="R570" s="26" t="n">
        <v>0</v>
      </c>
      <c r="S570" s="29" t="n">
        <v>1</v>
      </c>
      <c r="T570" s="24" t="inlineStr">
        <is>
          <t>tennis-surface-elo-v1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-355</v>
      </c>
      <c r="AA570" s="28" t="n">
        <v>0.78</v>
      </c>
      <c r="AB570" s="28" t="n">
        <v>-0.00022</v>
      </c>
      <c r="AC570" s="30" t="n">
        <v>0.2817</v>
      </c>
      <c r="AD570" s="24" t="inlineStr">
        <is>
          <t>2026-08-26T12:36:16.711267Z</t>
        </is>
      </c>
      <c r="AE570" s="31" t="inlineStr">
        <is>
          <t>Surface-blended Elo on Hard: Nuria Brancaccio p=0.314 vs Francesca Jones. Executable ask 0.7800 (aec-wta-frajon-nurbra-2026-08-25).</t>
        </is>
      </c>
      <c r="AF570" s="31" t="inlineStr">
        <is>
          <t>Surface-blended Elo model; singles only, WTA+ATP market coverage, not yet locked-holdout qualified -- promoted by explicit operator directive, not genuine walk-forward validation.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PAPER_CALL_LOW_EDGE</t>
        </is>
      </c>
      <c r="AP570" s="24" t="inlineStr">
        <is>
          <t>Nuria Brancaccio</t>
        </is>
      </c>
      <c r="AQ570" s="24" t="inlineStr">
        <is>
          <t>Nuria Brancaccio</t>
        </is>
      </c>
      <c r="AR570" s="24" t="inlineStr">
        <is>
          <t>Nuria Brancaccio</t>
        </is>
      </c>
      <c r="AS570" s="24" t="inlineStr">
        <is>
          <t>Francesca Jones</t>
        </is>
      </c>
      <c r="AT570" s="24" t="inlineStr">
        <is>
          <t>Francesca Jones</t>
        </is>
      </c>
      <c r="AU570" s="24" t="inlineStr">
        <is>
          <t>Francesca Jones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d777da58446bc099047b154203518e2585ef1a678f613f2b430f2589f7bf5cff</t>
        </is>
      </c>
      <c r="BB570" s="24" t="inlineStr">
        <is>
          <t>surface_blended_elo</t>
        </is>
      </c>
      <c r="BC570" s="24" t="inlineStr">
        <is>
          <t>tennis-surface-elo-v1</t>
        </is>
      </c>
      <c r="BD570" s="24" t="inlineStr">
        <is>
          <t>d777da58446bc099047b154203518e2585ef1a678f613f2b430f2589f7bf5cff</t>
        </is>
      </c>
      <c r="BE570" s="24" t="inlineStr">
        <is>
          <t>tennis-surface-elo-v1</t>
        </is>
      </c>
      <c r="BF570" s="24" t="inlineStr">
        <is>
          <t>1</t>
        </is>
      </c>
      <c r="BG570" s="24" t="inlineStr">
        <is>
          <t>d777da58446bc099047b154203518e2585ef1a678f613f2b430f2589f7bf5cff</t>
        </is>
      </c>
      <c r="BH570" s="24" t="inlineStr">
        <is>
          <t>2026-08-25T13:29:43.593944Z</t>
        </is>
      </c>
      <c r="BI570" s="24" t="inlineStr">
        <is>
          <t>["same_event","same_team_same_day","same_league_same_day"]</t>
        </is>
      </c>
      <c r="BJ570" s="25" t="n"/>
      <c r="BK570" s="26" t="n">
        <v>-355</v>
      </c>
      <c r="BL570" s="27" t="n">
        <v>1.28169</v>
      </c>
      <c r="BM570" s="28" t="n">
        <v>0.78022</v>
      </c>
      <c r="BN570" s="28" t="n"/>
      <c r="BO570" s="28" t="n"/>
      <c r="BP570" s="25" t="n"/>
      <c r="BQ570" s="27" t="n">
        <v>1.28169</v>
      </c>
      <c r="BR570" s="28" t="n">
        <v>0.78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False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inlineStr">
        <is>
          <t>39974d76ec7abecb811c8651b44756be0bebc7811fdb9d884fb852cc3215ce96</t>
        </is>
      </c>
      <c r="DE570" s="24" t="inlineStr">
        <is>
          <t>/Users/vincentc9002/model-prediction/data/odds/tennis/2026-08-25/polymarket_snapshots.jsonl</t>
        </is>
      </c>
      <c r="DF570" s="24" t="inlineStr">
        <is>
          <t>506040:2026-08-25T13:29:43.593944Z</t>
        </is>
      </c>
      <c r="DG570" s="24" t="n"/>
      <c r="DH570" s="24" t="n"/>
      <c r="DI570" s="24" t="n"/>
      <c r="DJ570" s="24" t="inlineStr">
        <is>
          <t>0.78022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5ab69741964240b6</t>
        </is>
      </c>
      <c r="B571" s="24" t="inlineStr">
        <is>
          <t>2026-08-25T13:31:51.589728Z</t>
        </is>
      </c>
      <c r="C571" s="24" t="inlineStr">
        <is>
          <t>2026-08-25T18:00Z</t>
        </is>
      </c>
      <c r="D571" s="24" t="inlineStr">
        <is>
          <t>189-2026:184731</t>
        </is>
      </c>
      <c r="E571" s="24" t="inlineStr">
        <is>
          <t>TENNIS</t>
        </is>
      </c>
      <c r="F571" s="24" t="inlineStr">
        <is>
          <t>Marina Bassols Ribera</t>
        </is>
      </c>
      <c r="G571" s="24" t="inlineStr">
        <is>
          <t>Darya Astakhova</t>
        </is>
      </c>
      <c r="H571" s="24" t="inlineStr">
        <is>
          <t>moneyline</t>
        </is>
      </c>
      <c r="I571" s="24" t="inlineStr">
        <is>
          <t>away</t>
        </is>
      </c>
      <c r="J571" s="25" t="n"/>
      <c r="K571" s="24" t="inlineStr">
        <is>
          <t>polymarket_us</t>
        </is>
      </c>
      <c r="L571" s="26" t="n">
        <v>-245</v>
      </c>
      <c r="M571" s="27" t="n">
        <v>1.408163</v>
      </c>
      <c r="N571" s="28" t="n">
        <v>0.710145</v>
      </c>
      <c r="O571" s="28" t="n">
        <v>0.607</v>
      </c>
      <c r="P571" s="28" t="n">
        <v>0.05</v>
      </c>
      <c r="Q571" s="28" t="n">
        <v>-0.103145</v>
      </c>
      <c r="R571" s="26" t="n">
        <v>0</v>
      </c>
      <c r="S571" s="29" t="n">
        <v>1</v>
      </c>
      <c r="T571" s="24" t="inlineStr">
        <is>
          <t>tennis-surface-elo-v1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0</v>
      </c>
      <c r="Y571" s="25" t="n"/>
      <c r="Z571" s="26" t="n">
        <v>-245</v>
      </c>
      <c r="AA571" s="28" t="n">
        <v>0.71</v>
      </c>
      <c r="AB571" s="28" t="n">
        <v>-0.000145</v>
      </c>
      <c r="AC571" s="30" t="n">
        <v>0.4082</v>
      </c>
      <c r="AD571" s="24" t="inlineStr">
        <is>
          <t>2026-08-26T12:36:18.680129Z</t>
        </is>
      </c>
      <c r="AE571" s="31" t="inlineStr">
        <is>
          <t>Surface-blended Elo on Hard: Marina Bassols Ribera p=0.607 vs Darya Astakhova. Executable ask 0.7100 (aec-wta-darast-marrib-2026-08-25).</t>
        </is>
      </c>
      <c r="AF571" s="31" t="inlineStr">
        <is>
          <t>Surface-blended Elo model; singles only, WTA+ATP market coverage, not yet locked-holdout qualified -- promoted by explicit operator directive, not genuine walk-forward validation.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Marina Bassols Ribera</t>
        </is>
      </c>
      <c r="AQ571" s="24" t="inlineStr">
        <is>
          <t>Marina Bassols Ribera</t>
        </is>
      </c>
      <c r="AR571" s="24" t="inlineStr">
        <is>
          <t>Marina Bassols Ribera</t>
        </is>
      </c>
      <c r="AS571" s="24" t="inlineStr">
        <is>
          <t>Darya Astakhova</t>
        </is>
      </c>
      <c r="AT571" s="24" t="inlineStr">
        <is>
          <t>Darya Astakhova</t>
        </is>
      </c>
      <c r="AU571" s="24" t="inlineStr">
        <is>
          <t>Darya Astakhova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d777da58446bc099047b154203518e2585ef1a678f613f2b430f2589f7bf5cff</t>
        </is>
      </c>
      <c r="BB571" s="24" t="inlineStr">
        <is>
          <t>surface_blended_elo</t>
        </is>
      </c>
      <c r="BC571" s="24" t="inlineStr">
        <is>
          <t>tennis-surface-elo-v1</t>
        </is>
      </c>
      <c r="BD571" s="24" t="inlineStr">
        <is>
          <t>d777da58446bc099047b154203518e2585ef1a678f613f2b430f2589f7bf5cff</t>
        </is>
      </c>
      <c r="BE571" s="24" t="inlineStr">
        <is>
          <t>tennis-surface-elo-v1</t>
        </is>
      </c>
      <c r="BF571" s="24" t="inlineStr">
        <is>
          <t>1</t>
        </is>
      </c>
      <c r="BG571" s="24" t="inlineStr">
        <is>
          <t>d777da58446bc099047b154203518e2585ef1a678f613f2b430f2589f7bf5cff</t>
        </is>
      </c>
      <c r="BH571" s="24" t="inlineStr">
        <is>
          <t>2026-08-25T13:29:43.597537Z</t>
        </is>
      </c>
      <c r="BI571" s="24" t="inlineStr">
        <is>
          <t>["same_event","same_team_same_day","same_league_same_day"]</t>
        </is>
      </c>
      <c r="BJ571" s="25" t="n"/>
      <c r="BK571" s="26" t="n">
        <v>-245</v>
      </c>
      <c r="BL571" s="27" t="n">
        <v>1.408163</v>
      </c>
      <c r="BM571" s="28" t="n">
        <v>0.710145</v>
      </c>
      <c r="BN571" s="28" t="n"/>
      <c r="BO571" s="28" t="n"/>
      <c r="BP571" s="25" t="n"/>
      <c r="BQ571" s="27" t="n">
        <v>1.408163</v>
      </c>
      <c r="BR571" s="28" t="n">
        <v>0.71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False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inlineStr">
        <is>
          <t>e83550da284602e69f6ddec1601bdf81104c868010eda40f28da15e431f4ee45</t>
        </is>
      </c>
      <c r="DE571" s="24" t="inlineStr">
        <is>
          <t>/Users/vincentc9002/model-prediction/data/odds/tennis/2026-08-25/polymarket_snapshots.jsonl</t>
        </is>
      </c>
      <c r="DF571" s="24" t="inlineStr">
        <is>
          <t>506092:2026-08-25T13:29:43.597537Z</t>
        </is>
      </c>
      <c r="DG571" s="24" t="n"/>
      <c r="DH571" s="24" t="n"/>
      <c r="DI571" s="24" t="n"/>
      <c r="DJ571" s="24" t="inlineStr">
        <is>
          <t>0.710145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ce3d78d1baac4ca6</t>
        </is>
      </c>
      <c r="B572" s="24" t="inlineStr">
        <is>
          <t>2026-08-25T13:31:51.589728Z</t>
        </is>
      </c>
      <c r="C572" s="24" t="inlineStr">
        <is>
          <t>2026-08-25T18:00Z</t>
        </is>
      </c>
      <c r="D572" s="24" t="inlineStr">
        <is>
          <t>189-2026:184732</t>
        </is>
      </c>
      <c r="E572" s="24" t="inlineStr">
        <is>
          <t>TENNIS</t>
        </is>
      </c>
      <c r="F572" s="24" t="inlineStr">
        <is>
          <t>Mona Barthel</t>
        </is>
      </c>
      <c r="G572" s="24" t="inlineStr">
        <is>
          <t>Whitney Osuigwe</t>
        </is>
      </c>
      <c r="H572" s="24" t="inlineStr">
        <is>
          <t>moneyline</t>
        </is>
      </c>
      <c r="I572" s="24" t="inlineStr">
        <is>
          <t>away</t>
        </is>
      </c>
      <c r="J572" s="25" t="n"/>
      <c r="K572" s="24" t="inlineStr">
        <is>
          <t>polymarket_us</t>
        </is>
      </c>
      <c r="L572" s="26" t="n">
        <v>-133</v>
      </c>
      <c r="M572" s="27" t="n">
        <v>1.75188</v>
      </c>
      <c r="N572" s="28" t="n">
        <v>0.570815</v>
      </c>
      <c r="O572" s="28" t="n">
        <v>0.5007</v>
      </c>
      <c r="P572" s="28" t="n">
        <v>0.05</v>
      </c>
      <c r="Q572" s="28" t="n">
        <v>-0.070115</v>
      </c>
      <c r="R572" s="26" t="n">
        <v>0</v>
      </c>
      <c r="S572" s="29" t="n">
        <v>1</v>
      </c>
      <c r="T572" s="24" t="inlineStr">
        <is>
          <t>tennis-surface-elo-v1</t>
        </is>
      </c>
      <c r="U572" s="24" t="inlineStr">
        <is>
          <t>settled</t>
        </is>
      </c>
      <c r="V572" s="24" t="inlineStr">
        <is>
          <t>win</t>
        </is>
      </c>
      <c r="W572" s="26" t="n">
        <v>1</v>
      </c>
      <c r="X572" s="26" t="n">
        <v>0</v>
      </c>
      <c r="Y572" s="25" t="n"/>
      <c r="Z572" s="26" t="n">
        <v>-133</v>
      </c>
      <c r="AA572" s="28" t="n">
        <v>0.57</v>
      </c>
      <c r="AB572" s="28" t="n">
        <v>-0.000815</v>
      </c>
      <c r="AC572" s="30" t="n">
        <v>0.7519</v>
      </c>
      <c r="AD572" s="24" t="inlineStr">
        <is>
          <t>2026-08-26T12:36:20.670275Z</t>
        </is>
      </c>
      <c r="AE572" s="31" t="inlineStr">
        <is>
          <t>Surface-blended Elo on Hard: Mona Barthel p=0.501 vs Whitney Osuigwe. Executable ask 0.5700 (aec-wta-whiosu-monbar-2026-08-25).</t>
        </is>
      </c>
      <c r="AF572" s="31" t="inlineStr">
        <is>
          <t>Surface-blended Elo model; singles only, WTA+ATP market coverage, not yet locked-holdout qualified -- promoted by explicit operator directive, not genuine walk-forward validation.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Mona Barthel</t>
        </is>
      </c>
      <c r="AQ572" s="24" t="inlineStr">
        <is>
          <t>Mona Barthel</t>
        </is>
      </c>
      <c r="AR572" s="24" t="inlineStr">
        <is>
          <t>Mona Barthel</t>
        </is>
      </c>
      <c r="AS572" s="24" t="inlineStr">
        <is>
          <t>Whitney Osuigwe</t>
        </is>
      </c>
      <c r="AT572" s="24" t="inlineStr">
        <is>
          <t>Whitney Osuigwe</t>
        </is>
      </c>
      <c r="AU572" s="24" t="inlineStr">
        <is>
          <t>Whitney Osuigwe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d777da58446bc099047b154203518e2585ef1a678f613f2b430f2589f7bf5cff</t>
        </is>
      </c>
      <c r="BB572" s="24" t="inlineStr">
        <is>
          <t>surface_blended_elo</t>
        </is>
      </c>
      <c r="BC572" s="24" t="inlineStr">
        <is>
          <t>tennis-surface-elo-v1</t>
        </is>
      </c>
      <c r="BD572" s="24" t="inlineStr">
        <is>
          <t>d777da58446bc099047b154203518e2585ef1a678f613f2b430f2589f7bf5cff</t>
        </is>
      </c>
      <c r="BE572" s="24" t="inlineStr">
        <is>
          <t>tennis-surface-elo-v1</t>
        </is>
      </c>
      <c r="BF572" s="24" t="inlineStr">
        <is>
          <t>1</t>
        </is>
      </c>
      <c r="BG572" s="24" t="inlineStr">
        <is>
          <t>d777da58446bc099047b154203518e2585ef1a678f613f2b430f2589f7bf5cff</t>
        </is>
      </c>
      <c r="BH572" s="24" t="inlineStr">
        <is>
          <t>2026-08-25T13:29:43.601927Z</t>
        </is>
      </c>
      <c r="BI572" s="24" t="inlineStr">
        <is>
          <t>["same_event","same_team_same_day","same_league_same_day"]</t>
        </is>
      </c>
      <c r="BJ572" s="25" t="n"/>
      <c r="BK572" s="26" t="n">
        <v>-133</v>
      </c>
      <c r="BL572" s="27" t="n">
        <v>1.75188</v>
      </c>
      <c r="BM572" s="28" t="n">
        <v>0.570815</v>
      </c>
      <c r="BN572" s="28" t="n"/>
      <c r="BO572" s="28" t="n"/>
      <c r="BP572" s="25" t="n"/>
      <c r="BQ572" s="27" t="n">
        <v>1.75188</v>
      </c>
      <c r="BR572" s="28" t="n">
        <v>0.57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inlineStr">
        <is>
          <t>a7a91f58a0c8120ae44a55b9fe697ae3a608aa3c4a76a8a6d4837ba86a7592ec</t>
        </is>
      </c>
      <c r="DE572" s="24" t="inlineStr">
        <is>
          <t>/Users/vincentc9002/model-prediction/data/odds/tennis/2026-08-25/polymarket_snapshots.jsonl</t>
        </is>
      </c>
      <c r="DF572" s="24" t="inlineStr">
        <is>
          <t>506042:2026-08-25T13:29:43.601927Z</t>
        </is>
      </c>
      <c r="DG572" s="24" t="n"/>
      <c r="DH572" s="24" t="n"/>
      <c r="DI572" s="24" t="n"/>
      <c r="DJ572" s="24" t="inlineStr">
        <is>
          <t>0.570815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053f372a277041ad</t>
        </is>
      </c>
      <c r="B573" s="24" t="inlineStr">
        <is>
          <t>2026-08-25T13:31:51.589728Z</t>
        </is>
      </c>
      <c r="C573" s="24" t="inlineStr">
        <is>
          <t>2026-08-25T18:00Z</t>
        </is>
      </c>
      <c r="D573" s="24" t="inlineStr">
        <is>
          <t>189-2026:184733</t>
        </is>
      </c>
      <c r="E573" s="24" t="inlineStr">
        <is>
          <t>TENNIS</t>
        </is>
      </c>
      <c r="F573" s="24" t="inlineStr">
        <is>
          <t>Priscilla Hon</t>
        </is>
      </c>
      <c r="G573" s="24" t="inlineStr">
        <is>
          <t>Alice Tubello</t>
        </is>
      </c>
      <c r="H573" s="24" t="inlineStr">
        <is>
          <t>moneyline</t>
        </is>
      </c>
      <c r="I573" s="24" t="inlineStr">
        <is>
          <t>away</t>
        </is>
      </c>
      <c r="J573" s="25" t="n"/>
      <c r="K573" s="24" t="inlineStr">
        <is>
          <t>polymarket_us</t>
        </is>
      </c>
      <c r="L573" s="26" t="n">
        <v>-163</v>
      </c>
      <c r="M573" s="27" t="n">
        <v>1.613497</v>
      </c>
      <c r="N573" s="28" t="n">
        <v>0.619772</v>
      </c>
      <c r="O573" s="28" t="n">
        <v>0.543</v>
      </c>
      <c r="P573" s="28" t="n">
        <v>0.05</v>
      </c>
      <c r="Q573" s="28" t="n">
        <v>-0.07677200000000001</v>
      </c>
      <c r="R573" s="26" t="n">
        <v>0</v>
      </c>
      <c r="S573" s="29" t="n">
        <v>1</v>
      </c>
      <c r="T573" s="24" t="inlineStr">
        <is>
          <t>tennis-surface-elo-v1</t>
        </is>
      </c>
      <c r="U573" s="24" t="inlineStr">
        <is>
          <t>settled</t>
        </is>
      </c>
      <c r="V573" s="24" t="inlineStr">
        <is>
          <t>win</t>
        </is>
      </c>
      <c r="W573" s="26" t="n">
        <v>1</v>
      </c>
      <c r="X573" s="26" t="n">
        <v>0</v>
      </c>
      <c r="Y573" s="25" t="n"/>
      <c r="Z573" s="26" t="n">
        <v>-163</v>
      </c>
      <c r="AA573" s="28" t="n">
        <v>0.62</v>
      </c>
      <c r="AB573" s="28" t="n">
        <v>0.000228</v>
      </c>
      <c r="AC573" s="30" t="n">
        <v>0.6135</v>
      </c>
      <c r="AD573" s="24" t="inlineStr">
        <is>
          <t>2026-08-26T12:36:22.645368Z</t>
        </is>
      </c>
      <c r="AE573" s="31" t="inlineStr">
        <is>
          <t>Surface-blended Elo on Hard: Priscilla Hon p=0.543 vs Alice Tubello. Executable ask 0.6200 (aec-wta-alitub-prihon-2026-08-25).</t>
        </is>
      </c>
      <c r="AF573" s="31" t="inlineStr">
        <is>
          <t>Surface-blended Elo model; singles only, WTA+ATP market coverage, not yet locked-holdout qualified -- promoted by explicit operator directive, not genuine walk-forward validation.</t>
        </is>
      </c>
      <c r="AG573" s="24" t="inlineStr">
        <is>
          <t>not_applicable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PAPER_CALL_LOW_EDGE</t>
        </is>
      </c>
      <c r="AP573" s="24" t="inlineStr">
        <is>
          <t>Priscilla Hon</t>
        </is>
      </c>
      <c r="AQ573" s="24" t="inlineStr">
        <is>
          <t>Priscilla Hon</t>
        </is>
      </c>
      <c r="AR573" s="24" t="inlineStr">
        <is>
          <t>Priscilla Hon</t>
        </is>
      </c>
      <c r="AS573" s="24" t="inlineStr">
        <is>
          <t>Alice Tubello</t>
        </is>
      </c>
      <c r="AT573" s="24" t="inlineStr">
        <is>
          <t>Alice Tubello</t>
        </is>
      </c>
      <c r="AU573" s="24" t="inlineStr">
        <is>
          <t>Alice Tubello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d777da58446bc099047b154203518e2585ef1a678f613f2b430f2589f7bf5cff</t>
        </is>
      </c>
      <c r="BB573" s="24" t="inlineStr">
        <is>
          <t>surface_blended_elo</t>
        </is>
      </c>
      <c r="BC573" s="24" t="inlineStr">
        <is>
          <t>tennis-surface-elo-v1</t>
        </is>
      </c>
      <c r="BD573" s="24" t="inlineStr">
        <is>
          <t>d777da58446bc099047b154203518e2585ef1a678f613f2b430f2589f7bf5cff</t>
        </is>
      </c>
      <c r="BE573" s="24" t="inlineStr">
        <is>
          <t>tennis-surface-elo-v1</t>
        </is>
      </c>
      <c r="BF573" s="24" t="inlineStr">
        <is>
          <t>1</t>
        </is>
      </c>
      <c r="BG573" s="24" t="inlineStr">
        <is>
          <t>d777da58446bc099047b154203518e2585ef1a678f613f2b430f2589f7bf5cff</t>
        </is>
      </c>
      <c r="BH573" s="24" t="inlineStr">
        <is>
          <t>2026-08-25T13:29:43.543676Z</t>
        </is>
      </c>
      <c r="BI573" s="24" t="inlineStr">
        <is>
          <t>["same_event","same_team_same_day","same_league_same_day"]</t>
        </is>
      </c>
      <c r="BJ573" s="25" t="n"/>
      <c r="BK573" s="26" t="n">
        <v>-163</v>
      </c>
      <c r="BL573" s="27" t="n">
        <v>1.613497</v>
      </c>
      <c r="BM573" s="28" t="n">
        <v>0.619772</v>
      </c>
      <c r="BN573" s="28" t="n"/>
      <c r="BO573" s="28" t="n"/>
      <c r="BP573" s="25" t="n"/>
      <c r="BQ573" s="27" t="n">
        <v>1.613497</v>
      </c>
      <c r="BR573" s="28" t="n">
        <v>0.62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False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inlineStr">
        <is>
          <t>9b9e3bd4268b208517b4b39ece9a4fe59872f2c7eaca16e81d924c7877201f8c</t>
        </is>
      </c>
      <c r="DE573" s="24" t="inlineStr">
        <is>
          <t>/Users/vincentc9002/model-prediction/data/odds/tennis/2026-08-25/polymarket_snapshots.jsonl</t>
        </is>
      </c>
      <c r="DF573" s="24" t="inlineStr">
        <is>
          <t>506044:2026-08-25T13:29:43.543676Z</t>
        </is>
      </c>
      <c r="DG573" s="24" t="n"/>
      <c r="DH573" s="24" t="n"/>
      <c r="DI573" s="24" t="n"/>
      <c r="DJ573" s="24" t="inlineStr">
        <is>
          <t>0.619772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fe51156f36f943cb</t>
        </is>
      </c>
      <c r="B574" s="24" t="inlineStr">
        <is>
          <t>2026-08-25T13:31:51.589728Z</t>
        </is>
      </c>
      <c r="C574" s="24" t="inlineStr">
        <is>
          <t>2026-08-25T18:00Z</t>
        </is>
      </c>
      <c r="D574" s="24" t="inlineStr">
        <is>
          <t>189-2026:184734</t>
        </is>
      </c>
      <c r="E574" s="24" t="inlineStr">
        <is>
          <t>TENNIS</t>
        </is>
      </c>
      <c r="F574" s="24" t="inlineStr">
        <is>
          <t>Leyre Romero Gormaz</t>
        </is>
      </c>
      <c r="G574" s="24" t="inlineStr">
        <is>
          <t>Joanna Garland</t>
        </is>
      </c>
      <c r="H574" s="24" t="inlineStr">
        <is>
          <t>moneyline</t>
        </is>
      </c>
      <c r="I574" s="24" t="inlineStr">
        <is>
          <t>away</t>
        </is>
      </c>
      <c r="J574" s="25" t="n"/>
      <c r="K574" s="24" t="inlineStr">
        <is>
          <t>polymarket_us</t>
        </is>
      </c>
      <c r="L574" s="26" t="n">
        <v>104</v>
      </c>
      <c r="M574" s="27" t="n">
        <v>2.04</v>
      </c>
      <c r="N574" s="28" t="n">
        <v>0.490196</v>
      </c>
      <c r="O574" s="28" t="n">
        <v>0.5925</v>
      </c>
      <c r="P574" s="28" t="n">
        <v>0.05</v>
      </c>
      <c r="Q574" s="28" t="n">
        <v>0.102304</v>
      </c>
      <c r="R574" s="26" t="n">
        <v>71</v>
      </c>
      <c r="S574" s="29" t="n">
        <v>1.25</v>
      </c>
      <c r="T574" s="24" t="inlineStr">
        <is>
          <t>tennis-surface-elo-v1</t>
        </is>
      </c>
      <c r="U574" s="24" t="inlineStr">
        <is>
          <t>settled</t>
        </is>
      </c>
      <c r="V574" s="24" t="inlineStr">
        <is>
          <t>loss</t>
        </is>
      </c>
      <c r="W574" s="26" t="n">
        <v>0</v>
      </c>
      <c r="X574" s="26" t="n">
        <v>1</v>
      </c>
      <c r="Y574" s="25" t="n"/>
      <c r="Z574" s="26" t="n">
        <v>104</v>
      </c>
      <c r="AA574" s="28" t="n">
        <v>0.49</v>
      </c>
      <c r="AB574" s="28" t="n">
        <v>-0.000196</v>
      </c>
      <c r="AC574" s="30" t="n">
        <v>-1.25</v>
      </c>
      <c r="AD574" s="24" t="inlineStr">
        <is>
          <t>2026-08-26T12:36:24.621229Z</t>
        </is>
      </c>
      <c r="AE574" s="31" t="inlineStr">
        <is>
          <t>Surface-blended Elo on Hard: Leyre Romero Gormaz p=0.592 vs Joanna Garland. Executable ask 0.4900 (aec-wta-joagar-leygor-2026-08-25).</t>
        </is>
      </c>
      <c r="AF574" s="31" t="inlineStr">
        <is>
          <t>Surface-blended Elo model; singles only, WTA+ATP market coverage, not yet locked-holdout qualified -- promoted by explicit operator directive, not genuine walk-forward validation.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model_qualified</t>
        </is>
      </c>
      <c r="AL574" s="26" t="n">
        <v>4</v>
      </c>
      <c r="AM574" s="24" t="inlineStr">
        <is>
          <t>QUALIFIED_SHADOW_CALL</t>
        </is>
      </c>
      <c r="AN574" s="24" t="inlineStr">
        <is>
          <t>CALL</t>
        </is>
      </c>
      <c r="AO574" s="24" t="inlineStr">
        <is>
          <t>QUALIFIED</t>
        </is>
      </c>
      <c r="AP574" s="24" t="inlineStr">
        <is>
          <t>Leyre Romero Gormaz</t>
        </is>
      </c>
      <c r="AQ574" s="24" t="inlineStr">
        <is>
          <t>Leyre Romero Gormaz</t>
        </is>
      </c>
      <c r="AR574" s="24" t="inlineStr">
        <is>
          <t>Leyre Romero Gormaz</t>
        </is>
      </c>
      <c r="AS574" s="24" t="inlineStr">
        <is>
          <t>Joanna Garland</t>
        </is>
      </c>
      <c r="AT574" s="24" t="inlineStr">
        <is>
          <t>Joanna Garland</t>
        </is>
      </c>
      <c r="AU574" s="24" t="inlineStr">
        <is>
          <t>Joanna Garland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d777da58446bc099047b154203518e2585ef1a678f613f2b430f2589f7bf5cff</t>
        </is>
      </c>
      <c r="BB574" s="24" t="inlineStr">
        <is>
          <t>surface_blended_elo</t>
        </is>
      </c>
      <c r="BC574" s="24" t="inlineStr">
        <is>
          <t>tennis-surface-elo-v1</t>
        </is>
      </c>
      <c r="BD574" s="24" t="inlineStr">
        <is>
          <t>d777da58446bc099047b154203518e2585ef1a678f613f2b430f2589f7bf5cff</t>
        </is>
      </c>
      <c r="BE574" s="24" t="inlineStr">
        <is>
          <t>tennis-surface-elo-v1</t>
        </is>
      </c>
      <c r="BF574" s="24" t="inlineStr">
        <is>
          <t>1</t>
        </is>
      </c>
      <c r="BG574" s="24" t="inlineStr">
        <is>
          <t>d777da58446bc099047b154203518e2585ef1a678f613f2b430f2589f7bf5cff</t>
        </is>
      </c>
      <c r="BH574" s="24" t="inlineStr">
        <is>
          <t>2026-08-25T13:29:43.594681Z</t>
        </is>
      </c>
      <c r="BI574" s="24" t="inlineStr">
        <is>
          <t>["same_event","same_team_same_day","same_league_same_day"]</t>
        </is>
      </c>
      <c r="BJ574" s="25" t="n"/>
      <c r="BK574" s="26" t="n">
        <v>104</v>
      </c>
      <c r="BL574" s="27" t="n">
        <v>2.04</v>
      </c>
      <c r="BM574" s="28" t="n">
        <v>0.490196</v>
      </c>
      <c r="BN574" s="28" t="n"/>
      <c r="BO574" s="28" t="n"/>
      <c r="BP574" s="25" t="n"/>
      <c r="BQ574" s="27" t="n">
        <v>2.04</v>
      </c>
      <c r="BR574" s="28" t="n">
        <v>0.49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inlineStr">
        <is>
          <t>9d2edd9413a5504b09a4286a76b279eac6f9554252c6084675e38ed001ba1949</t>
        </is>
      </c>
      <c r="DE574" s="24" t="inlineStr">
        <is>
          <t>/Users/vincentc9002/model-prediction/data/odds/tennis/2026-08-25/polymarket_snapshots.jsonl</t>
        </is>
      </c>
      <c r="DF574" s="24" t="inlineStr">
        <is>
          <t>506047:2026-08-25T13:29:43.594681Z</t>
        </is>
      </c>
      <c r="DG574" s="24" t="n"/>
      <c r="DH574" s="24" t="n"/>
      <c r="DI574" s="24" t="n"/>
      <c r="DJ574" s="24" t="inlineStr">
        <is>
          <t>0.490196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9f0cc85a62e24484</t>
        </is>
      </c>
      <c r="B575" s="24" t="inlineStr">
        <is>
          <t>2026-08-25T13:31:51.589728Z</t>
        </is>
      </c>
      <c r="C575" s="24" t="inlineStr">
        <is>
          <t>2026-08-25T18:00Z</t>
        </is>
      </c>
      <c r="D575" s="24" t="inlineStr">
        <is>
          <t>189-2026:184736</t>
        </is>
      </c>
      <c r="E575" s="24" t="inlineStr">
        <is>
          <t>TENNIS</t>
        </is>
      </c>
      <c r="F575" s="24" t="inlineStr">
        <is>
          <t>Tatiana Prozorova</t>
        </is>
      </c>
      <c r="G575" s="24" t="inlineStr">
        <is>
          <t>Kristina Liutova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178</v>
      </c>
      <c r="M575" s="27" t="n">
        <v>2.78</v>
      </c>
      <c r="N575" s="28" t="n">
        <v>0.359712</v>
      </c>
      <c r="O575" s="28" t="n">
        <v>0.6324</v>
      </c>
      <c r="P575" s="28" t="n">
        <v>0.05</v>
      </c>
      <c r="Q575" s="28" t="n">
        <v>0.272688</v>
      </c>
      <c r="R575" s="26" t="n">
        <v>100</v>
      </c>
      <c r="S575" s="29" t="n">
        <v>2</v>
      </c>
      <c r="T575" s="24" t="inlineStr">
        <is>
          <t>tennis-surface-elo-v1</t>
        </is>
      </c>
      <c r="U575" s="24" t="inlineStr">
        <is>
          <t>settled</t>
        </is>
      </c>
      <c r="V575" s="24" t="inlineStr">
        <is>
          <t>loss</t>
        </is>
      </c>
      <c r="W575" s="26" t="n">
        <v>0</v>
      </c>
      <c r="X575" s="26" t="n">
        <v>1</v>
      </c>
      <c r="Y575" s="25" t="n"/>
      <c r="Z575" s="26" t="n">
        <v>178</v>
      </c>
      <c r="AA575" s="28" t="n">
        <v>0.36</v>
      </c>
      <c r="AB575" s="28" t="n">
        <v>0.000288</v>
      </c>
      <c r="AC575" s="30" t="n">
        <v>-2</v>
      </c>
      <c r="AD575" s="24" t="inlineStr">
        <is>
          <t>2026-08-26T12:36:26.597507Z</t>
        </is>
      </c>
      <c r="AE575" s="31" t="inlineStr">
        <is>
          <t>Surface-blended Elo on Hard: Tatiana Prozorova p=0.632 vs Kristina Liutova. Executable ask 0.3600 (aec-wta-kriliu-tatpro-2026-08-25).</t>
        </is>
      </c>
      <c r="AF575" s="31" t="inlineStr">
        <is>
          <t>Surface-blended Elo model; singles only, WTA+ATP market coverage, not yet locked-holdout qualified -- promoted by explicit operator directive, not genuine walk-forward validation.</t>
        </is>
      </c>
      <c r="AG575" s="24" t="inlineStr">
        <is>
          <t>review_required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PAPER_CALL_MODEL_UNVALIDATED</t>
        </is>
      </c>
      <c r="AP575" s="24" t="inlineStr">
        <is>
          <t>Tatiana Prozorova</t>
        </is>
      </c>
      <c r="AQ575" s="24" t="inlineStr">
        <is>
          <t>Tatiana Prozorova</t>
        </is>
      </c>
      <c r="AR575" s="24" t="inlineStr">
        <is>
          <t>Tatiana Prozorova</t>
        </is>
      </c>
      <c r="AS575" s="24" t="inlineStr">
        <is>
          <t>Kristina Liutova</t>
        </is>
      </c>
      <c r="AT575" s="24" t="inlineStr">
        <is>
          <t>Kristina Liutova</t>
        </is>
      </c>
      <c r="AU575" s="24" t="inlineStr">
        <is>
          <t>Kristina Liutova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d777da58446bc099047b154203518e2585ef1a678f613f2b430f2589f7bf5cff</t>
        </is>
      </c>
      <c r="BB575" s="24" t="inlineStr">
        <is>
          <t>surface_blended_elo</t>
        </is>
      </c>
      <c r="BC575" s="24" t="inlineStr">
        <is>
          <t>tennis-surface-elo-v1</t>
        </is>
      </c>
      <c r="BD575" s="24" t="inlineStr">
        <is>
          <t>d777da58446bc099047b154203518e2585ef1a678f613f2b430f2589f7bf5cff</t>
        </is>
      </c>
      <c r="BE575" s="24" t="inlineStr">
        <is>
          <t>tennis-surface-elo-v1</t>
        </is>
      </c>
      <c r="BF575" s="24" t="inlineStr">
        <is>
          <t>1</t>
        </is>
      </c>
      <c r="BG575" s="24" t="inlineStr">
        <is>
          <t>d777da58446bc099047b154203518e2585ef1a678f613f2b430f2589f7bf5cff</t>
        </is>
      </c>
      <c r="BH575" s="24" t="inlineStr">
        <is>
          <t>2026-08-25T13:29:43.573659Z</t>
        </is>
      </c>
      <c r="BI575" s="24" t="inlineStr">
        <is>
          <t>["same_event","same_team_same_day","same_league_same_day"]</t>
        </is>
      </c>
      <c r="BJ575" s="25" t="n"/>
      <c r="BK575" s="26" t="n">
        <v>178</v>
      </c>
      <c r="BL575" s="27" t="n">
        <v>2.78</v>
      </c>
      <c r="BM575" s="28" t="n">
        <v>0.359712</v>
      </c>
      <c r="BN575" s="28" t="n"/>
      <c r="BO575" s="28" t="n"/>
      <c r="BP575" s="25" t="n"/>
      <c r="BQ575" s="27" t="n">
        <v>2.78</v>
      </c>
      <c r="BR575" s="28" t="n">
        <v>0.36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inlineStr">
        <is>
          <t>741b5f48919bfc75f468b411c4170318b5c6a60a97471ab63d5d8540e6f539fa</t>
        </is>
      </c>
      <c r="DE575" s="24" t="inlineStr">
        <is>
          <t>/Users/vincentc9002/model-prediction/data/odds/tennis/2026-08-25/polymarket_snapshots.jsonl</t>
        </is>
      </c>
      <c r="DF575" s="24" t="inlineStr">
        <is>
          <t>506086:2026-08-25T13:29:43.573659Z</t>
        </is>
      </c>
      <c r="DG575" s="24" t="n"/>
      <c r="DH575" s="24" t="n"/>
      <c r="DI575" s="24" t="n"/>
      <c r="DJ575" s="24" t="inlineStr">
        <is>
          <t>0.359712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29a3ef7741d24a4f</t>
        </is>
      </c>
      <c r="B576" s="24" t="inlineStr">
        <is>
          <t>2026-08-25T13:31:51.589728Z</t>
        </is>
      </c>
      <c r="C576" s="24" t="inlineStr">
        <is>
          <t>2026-08-25T18:00Z</t>
        </is>
      </c>
      <c r="D576" s="24" t="inlineStr">
        <is>
          <t>189-2026:184737</t>
        </is>
      </c>
      <c r="E576" s="24" t="inlineStr">
        <is>
          <t>TENNIS</t>
        </is>
      </c>
      <c r="F576" s="24" t="inlineStr">
        <is>
          <t>Kajsa Rinaldo Persson</t>
        </is>
      </c>
      <c r="G576" s="24" t="inlineStr">
        <is>
          <t>Lola Radivojevic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-170</v>
      </c>
      <c r="M576" s="27" t="n">
        <v>1.588235</v>
      </c>
      <c r="N576" s="28" t="n">
        <v>0.62963</v>
      </c>
      <c r="O576" s="28" t="n">
        <v>0.5462</v>
      </c>
      <c r="P576" s="28" t="n">
        <v>0.05</v>
      </c>
      <c r="Q576" s="28" t="n">
        <v>-0.08343</v>
      </c>
      <c r="R576" s="26" t="n">
        <v>0</v>
      </c>
      <c r="S576" s="29" t="n">
        <v>1</v>
      </c>
      <c r="T576" s="24" t="inlineStr">
        <is>
          <t>tennis-surface-elo-v1</t>
        </is>
      </c>
      <c r="U576" s="24" t="inlineStr">
        <is>
          <t>settled</t>
        </is>
      </c>
      <c r="V576" s="24" t="inlineStr">
        <is>
          <t>win</t>
        </is>
      </c>
      <c r="W576" s="26" t="n">
        <v>0</v>
      </c>
      <c r="X576" s="26" t="n">
        <v>1</v>
      </c>
      <c r="Y576" s="25" t="n"/>
      <c r="Z576" s="26" t="n">
        <v>-170</v>
      </c>
      <c r="AA576" s="28" t="n">
        <v>0.63</v>
      </c>
      <c r="AB576" s="28" t="n">
        <v>0.00037</v>
      </c>
      <c r="AC576" s="30" t="n">
        <v>0.5881999999999999</v>
      </c>
      <c r="AD576" s="24" t="inlineStr">
        <is>
          <t>2026-08-26T12:36:28.567523Z</t>
        </is>
      </c>
      <c r="AE576" s="31" t="inlineStr">
        <is>
          <t>Surface-blended Elo on Hard: Kajsa Rinaldo Persson p=0.454 vs Lola Radivojevic. Executable ask 0.6300 (aec-wta-lolrad-kajper-2026-08-25).</t>
        </is>
      </c>
      <c r="AF576" s="31" t="inlineStr">
        <is>
          <t>Surface-blended Elo model; singles only, WTA+ATP market coverage, not yet locked-holdout qualified -- promoted by explicit operator directive, not genuine walk-forward validation.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Kajsa Rinaldo Persson</t>
        </is>
      </c>
      <c r="AQ576" s="24" t="inlineStr">
        <is>
          <t>Kajsa Rinaldo Persson</t>
        </is>
      </c>
      <c r="AR576" s="24" t="inlineStr">
        <is>
          <t>Kajsa Rinaldo Persson</t>
        </is>
      </c>
      <c r="AS576" s="24" t="inlineStr">
        <is>
          <t>Lola Radivojevic</t>
        </is>
      </c>
      <c r="AT576" s="24" t="inlineStr">
        <is>
          <t>Lola Radivojevic</t>
        </is>
      </c>
      <c r="AU576" s="24" t="inlineStr">
        <is>
          <t>Lola Radivojevic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d777da58446bc099047b154203518e2585ef1a678f613f2b430f2589f7bf5cff</t>
        </is>
      </c>
      <c r="BB576" s="24" t="inlineStr">
        <is>
          <t>surface_blended_elo</t>
        </is>
      </c>
      <c r="BC576" s="24" t="inlineStr">
        <is>
          <t>tennis-surface-elo-v1</t>
        </is>
      </c>
      <c r="BD576" s="24" t="inlineStr">
        <is>
          <t>d777da58446bc099047b154203518e2585ef1a678f613f2b430f2589f7bf5cff</t>
        </is>
      </c>
      <c r="BE576" s="24" t="inlineStr">
        <is>
          <t>tennis-surface-elo-v1</t>
        </is>
      </c>
      <c r="BF576" s="24" t="inlineStr">
        <is>
          <t>1</t>
        </is>
      </c>
      <c r="BG576" s="24" t="inlineStr">
        <is>
          <t>d777da58446bc099047b154203518e2585ef1a678f613f2b430f2589f7bf5cff</t>
        </is>
      </c>
      <c r="BH576" s="24" t="inlineStr">
        <is>
          <t>2026-08-25T13:29:43.596944Z</t>
        </is>
      </c>
      <c r="BI576" s="24" t="inlineStr">
        <is>
          <t>["same_event","same_team_same_day","same_league_same_day"]</t>
        </is>
      </c>
      <c r="BJ576" s="25" t="n"/>
      <c r="BK576" s="26" t="n">
        <v>-170</v>
      </c>
      <c r="BL576" s="27" t="n">
        <v>1.588235</v>
      </c>
      <c r="BM576" s="28" t="n">
        <v>0.62963</v>
      </c>
      <c r="BN576" s="28" t="n"/>
      <c r="BO576" s="28" t="n"/>
      <c r="BP576" s="25" t="n"/>
      <c r="BQ576" s="27" t="n">
        <v>1.588235</v>
      </c>
      <c r="BR576" s="28" t="n">
        <v>0.63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inlineStr">
        <is>
          <t>631c36efa78ea910ca7f835005ae0d5f917563b6e02e23a11c5c8ecc66d214a1</t>
        </is>
      </c>
      <c r="DE576" s="24" t="inlineStr">
        <is>
          <t>/Users/vincentc9002/model-prediction/data/odds/tennis/2026-08-25/polymarket_snapshots.jsonl</t>
        </is>
      </c>
      <c r="DF576" s="24" t="inlineStr">
        <is>
          <t>506089:2026-08-25T13:29:43.596944Z</t>
        </is>
      </c>
      <c r="DG576" s="24" t="n"/>
      <c r="DH576" s="24" t="n"/>
      <c r="DI576" s="24" t="n"/>
      <c r="DJ576" s="24" t="inlineStr">
        <is>
          <t>0.62963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8aca510371ba4456</t>
        </is>
      </c>
      <c r="B577" s="24" t="inlineStr">
        <is>
          <t>2026-08-25T13:31:51.589728Z</t>
        </is>
      </c>
      <c r="C577" s="24" t="inlineStr">
        <is>
          <t>2026-08-25T19:30Z</t>
        </is>
      </c>
      <c r="D577" s="24" t="inlineStr">
        <is>
          <t>189-2026:184698</t>
        </is>
      </c>
      <c r="E577" s="24" t="inlineStr">
        <is>
          <t>TENNIS</t>
        </is>
      </c>
      <c r="F577" s="24" t="inlineStr">
        <is>
          <t>Guo Hanyu</t>
        </is>
      </c>
      <c r="G577" s="24" t="inlineStr">
        <is>
          <t>Yuan Yue</t>
        </is>
      </c>
      <c r="H577" s="24" t="inlineStr">
        <is>
          <t>moneyline</t>
        </is>
      </c>
      <c r="I577" s="24" t="inlineStr">
        <is>
          <t>away</t>
        </is>
      </c>
      <c r="J577" s="25" t="n"/>
      <c r="K577" s="24" t="inlineStr">
        <is>
          <t>polymarket_us</t>
        </is>
      </c>
      <c r="L577" s="26" t="n">
        <v>163</v>
      </c>
      <c r="M577" s="27" t="n">
        <v>2.63</v>
      </c>
      <c r="N577" s="28" t="n">
        <v>0.380228</v>
      </c>
      <c r="O577" s="28" t="n">
        <v>0.5089</v>
      </c>
      <c r="P577" s="28" t="n">
        <v>0.05</v>
      </c>
      <c r="Q577" s="28" t="n">
        <v>0.128672</v>
      </c>
      <c r="R577" s="26" t="n">
        <v>84</v>
      </c>
      <c r="S577" s="29" t="n">
        <v>1.5</v>
      </c>
      <c r="T577" s="24" t="inlineStr">
        <is>
          <t>tennis-surface-elo-v1</t>
        </is>
      </c>
      <c r="U577" s="24" t="inlineStr">
        <is>
          <t>settled</t>
        </is>
      </c>
      <c r="V577" s="24" t="inlineStr">
        <is>
          <t>loss</t>
        </is>
      </c>
      <c r="W577" s="26" t="n">
        <v>0</v>
      </c>
      <c r="X577" s="26" t="n">
        <v>1</v>
      </c>
      <c r="Y577" s="25" t="n"/>
      <c r="Z577" s="26" t="n"/>
      <c r="AA577" s="28" t="n"/>
      <c r="AB577" s="28" t="n"/>
      <c r="AC577" s="30" t="n">
        <v>-1.5</v>
      </c>
      <c r="AD577" s="24" t="inlineStr">
        <is>
          <t>2026-08-26T12:36:30.538125Z</t>
        </is>
      </c>
      <c r="AE577" s="31" t="inlineStr">
        <is>
          <t>Surface-blended Elo on Hard: Guo Hanyu p=0.509 vs Yuan Yue. Executable ask 0.3800 (aec-wta-yueyua-hanguo-2026-08-25).</t>
        </is>
      </c>
      <c r="AF577" s="31" t="inlineStr">
        <is>
          <t>Surface-blended Elo model; singles only, WTA+ATP market coverage, not yet locked-holdout qualified -- promoted by explicit operator directive, not genuine walk-forward validation.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Guo Hanyu</t>
        </is>
      </c>
      <c r="AQ577" s="24" t="inlineStr">
        <is>
          <t>Guo Hanyu</t>
        </is>
      </c>
      <c r="AR577" s="24" t="inlineStr">
        <is>
          <t>Guo Hanyu</t>
        </is>
      </c>
      <c r="AS577" s="24" t="inlineStr">
        <is>
          <t>Yuan Yue</t>
        </is>
      </c>
      <c r="AT577" s="24" t="inlineStr">
        <is>
          <t>Yuan Yue</t>
        </is>
      </c>
      <c r="AU577" s="24" t="inlineStr">
        <is>
          <t>Yuan Yue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d777da58446bc099047b154203518e2585ef1a678f613f2b430f2589f7bf5cff</t>
        </is>
      </c>
      <c r="BB577" s="24" t="inlineStr">
        <is>
          <t>surface_blended_elo</t>
        </is>
      </c>
      <c r="BC577" s="24" t="inlineStr">
        <is>
          <t>tennis-surface-elo-v1</t>
        </is>
      </c>
      <c r="BD577" s="24" t="inlineStr">
        <is>
          <t>d777da58446bc099047b154203518e2585ef1a678f613f2b430f2589f7bf5cff</t>
        </is>
      </c>
      <c r="BE577" s="24" t="inlineStr">
        <is>
          <t>tennis-surface-elo-v1</t>
        </is>
      </c>
      <c r="BF577" s="24" t="inlineStr">
        <is>
          <t>1</t>
        </is>
      </c>
      <c r="BG577" s="24" t="inlineStr">
        <is>
          <t>d777da58446bc099047b154203518e2585ef1a678f613f2b430f2589f7bf5cff</t>
        </is>
      </c>
      <c r="BH577" s="24" t="inlineStr">
        <is>
          <t>2026-08-25T13:29:43.633000Z</t>
        </is>
      </c>
      <c r="BI577" s="24" t="inlineStr">
        <is>
          <t>["same_event","same_team_same_day","same_league_same_day"]</t>
        </is>
      </c>
      <c r="BJ577" s="25" t="n"/>
      <c r="BK577" s="26" t="n">
        <v>163</v>
      </c>
      <c r="BL577" s="27" t="n">
        <v>2.63</v>
      </c>
      <c r="BM577" s="28" t="n">
        <v>0.380228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inlineStr">
        <is>
          <t>df50891889535fb41266ae0faf8eed024be5158dea501e6f6fadce57b7efe5c3</t>
        </is>
      </c>
      <c r="DE577" s="24" t="inlineStr">
        <is>
          <t>/Users/vincentc9002/model-prediction/data/odds/tennis/2026-08-25/polymarket_snapshots.jsonl</t>
        </is>
      </c>
      <c r="DF577" s="24" t="inlineStr">
        <is>
          <t>506079:2026-08-25T13:29:43.633000Z</t>
        </is>
      </c>
      <c r="DG577" s="24" t="n"/>
      <c r="DH577" s="24" t="n"/>
      <c r="DI577" s="24" t="n"/>
      <c r="DJ577" s="24" t="inlineStr">
        <is>
          <t>0.380228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d8be4b433c0c4345</t>
        </is>
      </c>
      <c r="B578" s="24" t="inlineStr">
        <is>
          <t>2026-08-25T13:31:51.589728Z</t>
        </is>
      </c>
      <c r="C578" s="24" t="inlineStr">
        <is>
          <t>2026-08-25T19:30Z</t>
        </is>
      </c>
      <c r="D578" s="24" t="inlineStr">
        <is>
          <t>189-2026:184699</t>
        </is>
      </c>
      <c r="E578" s="24" t="inlineStr">
        <is>
          <t>TENNIS</t>
        </is>
      </c>
      <c r="F578" s="24" t="inlineStr">
        <is>
          <t>Katherine Sebov</t>
        </is>
      </c>
      <c r="G578" s="24" t="inlineStr">
        <is>
          <t>Julia Avdeeva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-108</v>
      </c>
      <c r="M578" s="27" t="n">
        <v>1.925926</v>
      </c>
      <c r="N578" s="28" t="n">
        <v>0.519231</v>
      </c>
      <c r="O578" s="28" t="n">
        <v>0.6291</v>
      </c>
      <c r="P578" s="28" t="n">
        <v>0.05</v>
      </c>
      <c r="Q578" s="28" t="n">
        <v>0.109869</v>
      </c>
      <c r="R578" s="26" t="n">
        <v>75</v>
      </c>
      <c r="S578" s="29" t="n">
        <v>1.5</v>
      </c>
      <c r="T578" s="24" t="inlineStr">
        <is>
          <t>tennis-surface-elo-v1</t>
        </is>
      </c>
      <c r="U578" s="24" t="inlineStr">
        <is>
          <t>settled</t>
        </is>
      </c>
      <c r="V578" s="24" t="inlineStr">
        <is>
          <t>loss</t>
        </is>
      </c>
      <c r="W578" s="26" t="n">
        <v>0</v>
      </c>
      <c r="X578" s="26" t="n">
        <v>1</v>
      </c>
      <c r="Y578" s="25" t="n"/>
      <c r="Z578" s="26" t="n">
        <v>-108</v>
      </c>
      <c r="AA578" s="28" t="n">
        <v>0.52</v>
      </c>
      <c r="AB578" s="28" t="n">
        <v>0.000769</v>
      </c>
      <c r="AC578" s="30" t="n">
        <v>-1.5</v>
      </c>
      <c r="AD578" s="24" t="inlineStr">
        <is>
          <t>2026-08-26T12:36:32.517856Z</t>
        </is>
      </c>
      <c r="AE578" s="31" t="inlineStr">
        <is>
          <t>Surface-blended Elo on Hard: Katherine Sebov p=0.629 vs Julia Avdeeva. Executable ask 0.5200 (aec-wta-julavd-katseb-2026-08-25).</t>
        </is>
      </c>
      <c r="AF578" s="31" t="inlineStr">
        <is>
          <t>Surface-blended Elo model; singles only, WTA+ATP market coverage, not yet locked-holdout qualified -- promoted by explicit operator directive, not genuine walk-forward validation.</t>
        </is>
      </c>
      <c r="AG578" s="24" t="inlineStr">
        <is>
          <t>review_required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Katherine Sebov</t>
        </is>
      </c>
      <c r="AQ578" s="24" t="inlineStr">
        <is>
          <t>Katherine Sebov</t>
        </is>
      </c>
      <c r="AR578" s="24" t="inlineStr">
        <is>
          <t>Katherine Sebov</t>
        </is>
      </c>
      <c r="AS578" s="24" t="inlineStr">
        <is>
          <t>Julia Avdeeva</t>
        </is>
      </c>
      <c r="AT578" s="24" t="inlineStr">
        <is>
          <t>Julia Avdeeva</t>
        </is>
      </c>
      <c r="AU578" s="24" t="inlineStr">
        <is>
          <t>Julia Avdeeva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d777da58446bc099047b154203518e2585ef1a678f613f2b430f2589f7bf5cff</t>
        </is>
      </c>
      <c r="BB578" s="24" t="inlineStr">
        <is>
          <t>surface_blended_elo</t>
        </is>
      </c>
      <c r="BC578" s="24" t="inlineStr">
        <is>
          <t>tennis-surface-elo-v1</t>
        </is>
      </c>
      <c r="BD578" s="24" t="inlineStr">
        <is>
          <t>d777da58446bc099047b154203518e2585ef1a678f613f2b430f2589f7bf5cff</t>
        </is>
      </c>
      <c r="BE578" s="24" t="inlineStr">
        <is>
          <t>tennis-surface-elo-v1</t>
        </is>
      </c>
      <c r="BF578" s="24" t="inlineStr">
        <is>
          <t>1</t>
        </is>
      </c>
      <c r="BG578" s="24" t="inlineStr">
        <is>
          <t>d777da58446bc099047b154203518e2585ef1a678f613f2b430f2589f7bf5cff</t>
        </is>
      </c>
      <c r="BH578" s="24" t="inlineStr">
        <is>
          <t>2026-08-25T13:29:43.614504Z</t>
        </is>
      </c>
      <c r="BI578" s="24" t="inlineStr">
        <is>
          <t>["same_event","same_team_same_day","same_league_same_day"]</t>
        </is>
      </c>
      <c r="BJ578" s="25" t="n"/>
      <c r="BK578" s="26" t="n">
        <v>-108</v>
      </c>
      <c r="BL578" s="27" t="n">
        <v>1.925926</v>
      </c>
      <c r="BM578" s="28" t="n">
        <v>0.519231</v>
      </c>
      <c r="BN578" s="28" t="n"/>
      <c r="BO578" s="28" t="n"/>
      <c r="BP578" s="25" t="n"/>
      <c r="BQ578" s="27" t="n">
        <v>1.925926</v>
      </c>
      <c r="BR578" s="28" t="n">
        <v>0.52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True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inlineStr">
        <is>
          <t>3e415e7463baf6519e31a61ae451aa3d53531b3a90927d57b5d693df27f33c22</t>
        </is>
      </c>
      <c r="DE578" s="24" t="inlineStr">
        <is>
          <t>/Users/vincentc9002/model-prediction/data/odds/tennis/2026-08-25/polymarket_snapshots.jsonl</t>
        </is>
      </c>
      <c r="DF578" s="24" t="inlineStr">
        <is>
          <t>506080:2026-08-25T13:29:43.614504Z</t>
        </is>
      </c>
      <c r="DG578" s="24" t="n"/>
      <c r="DH578" s="24" t="n"/>
      <c r="DI578" s="24" t="n"/>
      <c r="DJ578" s="24" t="inlineStr">
        <is>
          <t>0.519231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f1f8cfc16ade47d3</t>
        </is>
      </c>
      <c r="B579" s="24" t="inlineStr">
        <is>
          <t>2026-08-25T13:31:51.589728Z</t>
        </is>
      </c>
      <c r="C579" s="24" t="inlineStr">
        <is>
          <t>2026-08-25T19:30Z</t>
        </is>
      </c>
      <c r="D579" s="24" t="inlineStr">
        <is>
          <t>189-2026:184700</t>
        </is>
      </c>
      <c r="E579" s="24" t="inlineStr">
        <is>
          <t>TENNIS</t>
        </is>
      </c>
      <c r="F579" s="24" t="inlineStr">
        <is>
          <t>Katrina Scott</t>
        </is>
      </c>
      <c r="G579" s="24" t="inlineStr">
        <is>
          <t>Katie Swan</t>
        </is>
      </c>
      <c r="H579" s="24" t="inlineStr">
        <is>
          <t>moneyline</t>
        </is>
      </c>
      <c r="I579" s="24" t="inlineStr">
        <is>
          <t>away</t>
        </is>
      </c>
      <c r="J579" s="25" t="n"/>
      <c r="K579" s="24" t="inlineStr">
        <is>
          <t>polymarket_us</t>
        </is>
      </c>
      <c r="L579" s="26" t="n">
        <v>127</v>
      </c>
      <c r="M579" s="27" t="n">
        <v>2.27</v>
      </c>
      <c r="N579" s="28" t="n">
        <v>0.440529</v>
      </c>
      <c r="O579" s="28" t="n">
        <v>0.5072</v>
      </c>
      <c r="P579" s="28" t="n">
        <v>0.05</v>
      </c>
      <c r="Q579" s="28" t="n">
        <v>0.06667099999999999</v>
      </c>
      <c r="R579" s="26" t="n">
        <v>53</v>
      </c>
      <c r="S579" s="29" t="n">
        <v>1</v>
      </c>
      <c r="T579" s="24" t="inlineStr">
        <is>
          <t>tennis-surface-elo-v1</t>
        </is>
      </c>
      <c r="U579" s="24" t="inlineStr">
        <is>
          <t>settled</t>
        </is>
      </c>
      <c r="V579" s="24" t="inlineStr">
        <is>
          <t>loss</t>
        </is>
      </c>
      <c r="W579" s="26" t="n">
        <v>0</v>
      </c>
      <c r="X579" s="26" t="n">
        <v>1</v>
      </c>
      <c r="Y579" s="25" t="n"/>
      <c r="Z579" s="26" t="n">
        <v>127</v>
      </c>
      <c r="AA579" s="28" t="n">
        <v>0.44</v>
      </c>
      <c r="AB579" s="28" t="n">
        <v>-0.000529</v>
      </c>
      <c r="AC579" s="30" t="n">
        <v>-1</v>
      </c>
      <c r="AD579" s="24" t="inlineStr">
        <is>
          <t>2026-08-26T12:36:34.493964Z</t>
        </is>
      </c>
      <c r="AE579" s="31" t="inlineStr">
        <is>
          <t>Surface-blended Elo on Hard: Katrina Scott p=0.507 vs Katie Swan. Executable ask 0.4400 (aec-wta-katswa-katsco-2026-08-25).</t>
        </is>
      </c>
      <c r="AF579" s="31" t="inlineStr">
        <is>
          <t>Surface-blended Elo model; singles only, WTA+ATP market coverage, not yet locked-holdout qualified -- promoted by explicit operator directive, not genuine walk-forward validation.</t>
        </is>
      </c>
      <c r="AG579" s="24" t="inlineStr">
        <is>
          <t>review_required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PAPER_CALL_MODEL_UNVALIDATED</t>
        </is>
      </c>
      <c r="AP579" s="24" t="inlineStr">
        <is>
          <t>Katrina Scott</t>
        </is>
      </c>
      <c r="AQ579" s="24" t="inlineStr">
        <is>
          <t>Katrina Scott</t>
        </is>
      </c>
      <c r="AR579" s="24" t="inlineStr">
        <is>
          <t>Katrina Scott</t>
        </is>
      </c>
      <c r="AS579" s="24" t="inlineStr">
        <is>
          <t>Katie Swan</t>
        </is>
      </c>
      <c r="AT579" s="24" t="inlineStr">
        <is>
          <t>Katie Swan</t>
        </is>
      </c>
      <c r="AU579" s="24" t="inlineStr">
        <is>
          <t>Katie Swan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d777da58446bc099047b154203518e2585ef1a678f613f2b430f2589f7bf5cff</t>
        </is>
      </c>
      <c r="BB579" s="24" t="inlineStr">
        <is>
          <t>surface_blended_elo</t>
        </is>
      </c>
      <c r="BC579" s="24" t="inlineStr">
        <is>
          <t>tennis-surface-elo-v1</t>
        </is>
      </c>
      <c r="BD579" s="24" t="inlineStr">
        <is>
          <t>d777da58446bc099047b154203518e2585ef1a678f613f2b430f2589f7bf5cff</t>
        </is>
      </c>
      <c r="BE579" s="24" t="inlineStr">
        <is>
          <t>tennis-surface-elo-v1</t>
        </is>
      </c>
      <c r="BF579" s="24" t="inlineStr">
        <is>
          <t>1</t>
        </is>
      </c>
      <c r="BG579" s="24" t="inlineStr">
        <is>
          <t>d777da58446bc099047b154203518e2585ef1a678f613f2b430f2589f7bf5cff</t>
        </is>
      </c>
      <c r="BH579" s="24" t="inlineStr">
        <is>
          <t>2026-08-25T13:29:43.611939Z</t>
        </is>
      </c>
      <c r="BI579" s="24" t="inlineStr">
        <is>
          <t>["same_event","same_team_same_day","same_league_same_day"]</t>
        </is>
      </c>
      <c r="BJ579" s="25" t="n"/>
      <c r="BK579" s="26" t="n">
        <v>127</v>
      </c>
      <c r="BL579" s="27" t="n">
        <v>2.27</v>
      </c>
      <c r="BM579" s="28" t="n">
        <v>0.440529</v>
      </c>
      <c r="BN579" s="28" t="n"/>
      <c r="BO579" s="28" t="n"/>
      <c r="BP579" s="25" t="n"/>
      <c r="BQ579" s="27" t="n">
        <v>2.27</v>
      </c>
      <c r="BR579" s="28" t="n">
        <v>0.44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inlineStr">
        <is>
          <t>75f694e1320694a1d457598e34d51a0b90a7cf10f1c057ae57b846acb08834d1</t>
        </is>
      </c>
      <c r="DE579" s="24" t="inlineStr">
        <is>
          <t>/Users/vincentc9002/model-prediction/data/odds/tennis/2026-08-25/polymarket_snapshots.jsonl</t>
        </is>
      </c>
      <c r="DF579" s="24" t="inlineStr">
        <is>
          <t>506081:2026-08-25T13:29:43.611939Z</t>
        </is>
      </c>
      <c r="DG579" s="24" t="n"/>
      <c r="DH579" s="24" t="n"/>
      <c r="DI579" s="24" t="n"/>
      <c r="DJ579" s="24" t="inlineStr">
        <is>
          <t>0.440529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4b2f2093a87a49de</t>
        </is>
      </c>
      <c r="B580" s="24" t="inlineStr">
        <is>
          <t>2026-08-25T13:31:51.589728Z</t>
        </is>
      </c>
      <c r="C580" s="24" t="inlineStr">
        <is>
          <t>2026-08-25T19:30Z</t>
        </is>
      </c>
      <c r="D580" s="24" t="inlineStr">
        <is>
          <t>189-2026:184701</t>
        </is>
      </c>
      <c r="E580" s="24" t="inlineStr">
        <is>
          <t>TENNIS</t>
        </is>
      </c>
      <c r="F580" s="24" t="inlineStr">
        <is>
          <t>Mary Stoiana</t>
        </is>
      </c>
      <c r="G580" s="24" t="inlineStr">
        <is>
          <t>Harmony Tan</t>
        </is>
      </c>
      <c r="H580" s="24" t="inlineStr">
        <is>
          <t>moneyline</t>
        </is>
      </c>
      <c r="I580" s="24" t="inlineStr">
        <is>
          <t>away</t>
        </is>
      </c>
      <c r="J580" s="25" t="n"/>
      <c r="K580" s="24" t="inlineStr">
        <is>
          <t>polymarket_us</t>
        </is>
      </c>
      <c r="L580" s="26" t="n">
        <v>-335</v>
      </c>
      <c r="M580" s="27" t="n">
        <v>1.298507</v>
      </c>
      <c r="N580" s="28" t="n">
        <v>0.770115</v>
      </c>
      <c r="O580" s="28" t="n">
        <v>0.5881999999999999</v>
      </c>
      <c r="P580" s="28" t="n">
        <v>0.05</v>
      </c>
      <c r="Q580" s="28" t="n">
        <v>-0.181915</v>
      </c>
      <c r="R580" s="26" t="n">
        <v>0</v>
      </c>
      <c r="S580" s="29" t="n">
        <v>1</v>
      </c>
      <c r="T580" s="24" t="inlineStr">
        <is>
          <t>tennis-surface-elo-v1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-335</v>
      </c>
      <c r="AA580" s="28" t="n">
        <v>0.77</v>
      </c>
      <c r="AB580" s="28" t="n">
        <v>-0.000115</v>
      </c>
      <c r="AC580" s="30" t="n">
        <v>0.2985</v>
      </c>
      <c r="AD580" s="24" t="inlineStr">
        <is>
          <t>2026-08-26T12:36:36.463763Z</t>
        </is>
      </c>
      <c r="AE580" s="31" t="inlineStr">
        <is>
          <t>Surface-blended Elo on Hard: Mary Stoiana p=0.588 vs Harmony Tan. Executable ask 0.7700 (aec-wta-hartan-marsto-2026-08-25).</t>
        </is>
      </c>
      <c r="AF580" s="31" t="inlineStr">
        <is>
          <t>Surface-blended Elo model; singles only, WTA+ATP market coverage, not yet locked-holdout qualified -- promoted by explicit operator directive, not genuine walk-forward validation.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Mary Stoiana</t>
        </is>
      </c>
      <c r="AQ580" s="24" t="inlineStr">
        <is>
          <t>Mary Stoiana</t>
        </is>
      </c>
      <c r="AR580" s="24" t="inlineStr">
        <is>
          <t>Mary Stoiana</t>
        </is>
      </c>
      <c r="AS580" s="24" t="inlineStr">
        <is>
          <t>Harmony Tan</t>
        </is>
      </c>
      <c r="AT580" s="24" t="inlineStr">
        <is>
          <t>Harmony Tan</t>
        </is>
      </c>
      <c r="AU580" s="24" t="inlineStr">
        <is>
          <t>Harmony Tan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d777da58446bc099047b154203518e2585ef1a678f613f2b430f2589f7bf5cff</t>
        </is>
      </c>
      <c r="BB580" s="24" t="inlineStr">
        <is>
          <t>surface_blended_elo</t>
        </is>
      </c>
      <c r="BC580" s="24" t="inlineStr">
        <is>
          <t>tennis-surface-elo-v1</t>
        </is>
      </c>
      <c r="BD580" s="24" t="inlineStr">
        <is>
          <t>d777da58446bc099047b154203518e2585ef1a678f613f2b430f2589f7bf5cff</t>
        </is>
      </c>
      <c r="BE580" s="24" t="inlineStr">
        <is>
          <t>tennis-surface-elo-v1</t>
        </is>
      </c>
      <c r="BF580" s="24" t="inlineStr">
        <is>
          <t>1</t>
        </is>
      </c>
      <c r="BG580" s="24" t="inlineStr">
        <is>
          <t>d777da58446bc099047b154203518e2585ef1a678f613f2b430f2589f7bf5cff</t>
        </is>
      </c>
      <c r="BH580" s="24" t="inlineStr">
        <is>
          <t>2026-08-25T13:29:43.605710Z</t>
        </is>
      </c>
      <c r="BI580" s="24" t="inlineStr">
        <is>
          <t>["same_event","same_team_same_day","same_league_same_day"]</t>
        </is>
      </c>
      <c r="BJ580" s="25" t="n"/>
      <c r="BK580" s="26" t="n">
        <v>-335</v>
      </c>
      <c r="BL580" s="27" t="n">
        <v>1.298507</v>
      </c>
      <c r="BM580" s="28" t="n">
        <v>0.770115</v>
      </c>
      <c r="BN580" s="28" t="n"/>
      <c r="BO580" s="28" t="n"/>
      <c r="BP580" s="25" t="n"/>
      <c r="BQ580" s="27" t="n">
        <v>1.298507</v>
      </c>
      <c r="BR580" s="28" t="n">
        <v>0.77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inlineStr">
        <is>
          <t>4df6d454daed468dd6a20fe24298d9f540d4e9524e47a05abda9d19dda911497</t>
        </is>
      </c>
      <c r="DE580" s="24" t="inlineStr">
        <is>
          <t>/Users/vincentc9002/model-prediction/data/odds/tennis/2026-08-25/polymarket_snapshots.jsonl</t>
        </is>
      </c>
      <c r="DF580" s="24" t="inlineStr">
        <is>
          <t>506084:2026-08-25T13:29:43.605710Z</t>
        </is>
      </c>
      <c r="DG580" s="24" t="n"/>
      <c r="DH580" s="24" t="n"/>
      <c r="DI580" s="24" t="n"/>
      <c r="DJ580" s="24" t="inlineStr">
        <is>
          <t>0.770115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b9a7bb7f0efe4dd2</t>
        </is>
      </c>
      <c r="B581" s="24" t="inlineStr">
        <is>
          <t>2026-08-25T13:31:51.589728Z</t>
        </is>
      </c>
      <c r="C581" s="24" t="inlineStr">
        <is>
          <t>2026-08-25T19:30Z</t>
        </is>
      </c>
      <c r="D581" s="24" t="inlineStr">
        <is>
          <t>189-2026:184711</t>
        </is>
      </c>
      <c r="E581" s="24" t="inlineStr">
        <is>
          <t>TENNIS</t>
        </is>
      </c>
      <c r="F581" s="24" t="inlineStr">
        <is>
          <t>Hayu Kinoshita</t>
        </is>
      </c>
      <c r="G581" s="24" t="inlineStr">
        <is>
          <t>Darja Semenistaja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polymarket_us</t>
        </is>
      </c>
      <c r="L581" s="26" t="n">
        <v>-144</v>
      </c>
      <c r="M581" s="27" t="n">
        <v>1.694444</v>
      </c>
      <c r="N581" s="28" t="n">
        <v>0.590164</v>
      </c>
      <c r="O581" s="28" t="n">
        <v>0.6133999999999999</v>
      </c>
      <c r="P581" s="28" t="n">
        <v>0.05</v>
      </c>
      <c r="Q581" s="28" t="n">
        <v>0.023236</v>
      </c>
      <c r="R581" s="26" t="n">
        <v>32</v>
      </c>
      <c r="S581" s="29" t="n">
        <v>1</v>
      </c>
      <c r="T581" s="24" t="inlineStr">
        <is>
          <t>tennis-surface-elo-v1</t>
        </is>
      </c>
      <c r="U581" s="24" t="inlineStr">
        <is>
          <t>settled</t>
        </is>
      </c>
      <c r="V581" s="24" t="inlineStr">
        <is>
          <t>win</t>
        </is>
      </c>
      <c r="W581" s="26" t="n">
        <v>0</v>
      </c>
      <c r="X581" s="26" t="n">
        <v>1</v>
      </c>
      <c r="Y581" s="25" t="n"/>
      <c r="Z581" s="26" t="n">
        <v>-144</v>
      </c>
      <c r="AA581" s="28" t="n">
        <v>0.59</v>
      </c>
      <c r="AB581" s="28" t="n">
        <v>-0.000164</v>
      </c>
      <c r="AC581" s="30" t="n">
        <v>0.6944</v>
      </c>
      <c r="AD581" s="24" t="inlineStr">
        <is>
          <t>2026-08-26T12:36:38.442249Z</t>
        </is>
      </c>
      <c r="AE581" s="31" t="inlineStr">
        <is>
          <t>Surface-blended Elo on Hard: Hayu Kinoshita p=0.387 vs Darja Semenistaja. Executable ask 0.5900 (aec-wta-darsem-haykin-2026-08-25).</t>
        </is>
      </c>
      <c r="AF581" s="31" t="inlineStr">
        <is>
          <t>Surface-blended Elo model; singles only, WTA+ATP market coverage, not yet locked-holdout qualified -- promoted by explicit operator directive, not genuine walk-forward validation.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Hayu Kinoshita</t>
        </is>
      </c>
      <c r="AQ581" s="24" t="inlineStr">
        <is>
          <t>Hayu Kinoshita</t>
        </is>
      </c>
      <c r="AR581" s="24" t="inlineStr">
        <is>
          <t>Hayu Kinoshita</t>
        </is>
      </c>
      <c r="AS581" s="24" t="inlineStr">
        <is>
          <t>Darja Semenistaja</t>
        </is>
      </c>
      <c r="AT581" s="24" t="inlineStr">
        <is>
          <t>Darja Semenistaja</t>
        </is>
      </c>
      <c r="AU581" s="24" t="inlineStr">
        <is>
          <t>Darja Semenistaja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d777da58446bc099047b154203518e2585ef1a678f613f2b430f2589f7bf5cff</t>
        </is>
      </c>
      <c r="BB581" s="24" t="inlineStr">
        <is>
          <t>surface_blended_elo</t>
        </is>
      </c>
      <c r="BC581" s="24" t="inlineStr">
        <is>
          <t>tennis-surface-elo-v1</t>
        </is>
      </c>
      <c r="BD581" s="24" t="inlineStr">
        <is>
          <t>d777da58446bc099047b154203518e2585ef1a678f613f2b430f2589f7bf5cff</t>
        </is>
      </c>
      <c r="BE581" s="24" t="inlineStr">
        <is>
          <t>tennis-surface-elo-v1</t>
        </is>
      </c>
      <c r="BF581" s="24" t="inlineStr">
        <is>
          <t>1</t>
        </is>
      </c>
      <c r="BG581" s="24" t="inlineStr">
        <is>
          <t>d777da58446bc099047b154203518e2585ef1a678f613f2b430f2589f7bf5cff</t>
        </is>
      </c>
      <c r="BH581" s="24" t="inlineStr">
        <is>
          <t>2026-08-25T13:29:43.613439Z</t>
        </is>
      </c>
      <c r="BI581" s="24" t="inlineStr">
        <is>
          <t>["same_event","same_team_same_day","same_league_same_day"]</t>
        </is>
      </c>
      <c r="BJ581" s="25" t="n"/>
      <c r="BK581" s="26" t="n">
        <v>-144</v>
      </c>
      <c r="BL581" s="27" t="n">
        <v>1.694444</v>
      </c>
      <c r="BM581" s="28" t="n">
        <v>0.590164</v>
      </c>
      <c r="BN581" s="28" t="n"/>
      <c r="BO581" s="28" t="n"/>
      <c r="BP581" s="25" t="n"/>
      <c r="BQ581" s="27" t="n">
        <v>1.694444</v>
      </c>
      <c r="BR581" s="28" t="n">
        <v>0.59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inlineStr">
        <is>
          <t>904f2858c126e90f275894d13cd9b6226ad8f881151bc59ac7d08e3a88c2c5ba</t>
        </is>
      </c>
      <c r="DE581" s="24" t="inlineStr">
        <is>
          <t>/Users/vincentc9002/model-prediction/data/odds/tennis/2026-08-25/polymarket_snapshots.jsonl</t>
        </is>
      </c>
      <c r="DF581" s="24" t="inlineStr">
        <is>
          <t>506050:2026-08-25T13:29:43.613439Z</t>
        </is>
      </c>
      <c r="DG581" s="24" t="n"/>
      <c r="DH581" s="24" t="n"/>
      <c r="DI581" s="24" t="n"/>
      <c r="DJ581" s="24" t="inlineStr">
        <is>
          <t>0.590164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8ecab4c131d64545</t>
        </is>
      </c>
      <c r="B582" s="24" t="inlineStr">
        <is>
          <t>2026-08-25T13:31:51.589728Z</t>
        </is>
      </c>
      <c r="C582" s="24" t="inlineStr">
        <is>
          <t>2026-08-25T19:30Z</t>
        </is>
      </c>
      <c r="D582" s="24" t="inlineStr">
        <is>
          <t>189-2026:184712</t>
        </is>
      </c>
      <c r="E582" s="24" t="inlineStr">
        <is>
          <t>TENNIS</t>
        </is>
      </c>
      <c r="F582" s="24" t="inlineStr">
        <is>
          <t>Alexandra Shubladze</t>
        </is>
      </c>
      <c r="G582" s="24" t="inlineStr">
        <is>
          <t>Anastasiia Sobolieva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-400</v>
      </c>
      <c r="M582" s="27" t="n">
        <v>1.25</v>
      </c>
      <c r="N582" s="28" t="n">
        <v>0.8</v>
      </c>
      <c r="O582" s="28" t="n">
        <v>0.5958</v>
      </c>
      <c r="P582" s="28" t="n">
        <v>0.05</v>
      </c>
      <c r="Q582" s="28" t="n">
        <v>-0.2042</v>
      </c>
      <c r="R582" s="26" t="n">
        <v>0</v>
      </c>
      <c r="S582" s="29" t="n">
        <v>1</v>
      </c>
      <c r="T582" s="24" t="inlineStr">
        <is>
          <t>tennis-surface-elo-v1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0</v>
      </c>
      <c r="Y582" s="25" t="n"/>
      <c r="Z582" s="26" t="n">
        <v>-400</v>
      </c>
      <c r="AA582" s="28" t="n">
        <v>0.8</v>
      </c>
      <c r="AB582" s="28" t="n">
        <v>0</v>
      </c>
      <c r="AC582" s="30" t="n">
        <v>0.25</v>
      </c>
      <c r="AD582" s="24" t="inlineStr">
        <is>
          <t>2026-08-26T12:36:40.415710Z</t>
        </is>
      </c>
      <c r="AE582" s="31" t="inlineStr">
        <is>
          <t>Surface-blended Elo on Hard: Alexandra Shubladze p=0.596 vs Anastasiia Sobolieva. Executable ask 0.8000 (aec-wta-anasob-aleshu-2026-08-25).</t>
        </is>
      </c>
      <c r="AF582" s="31" t="inlineStr">
        <is>
          <t>Surface-blended Elo model; singles only, WTA+ATP market coverage, not yet locked-holdout qualified -- promoted by explicit operator directive, not genuine walk-forward validation.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PAPER_CALL_MODEL_UNVALIDATED</t>
        </is>
      </c>
      <c r="AP582" s="24" t="inlineStr">
        <is>
          <t>Alexandra Shubladze</t>
        </is>
      </c>
      <c r="AQ582" s="24" t="inlineStr">
        <is>
          <t>Alexandra Shubladze</t>
        </is>
      </c>
      <c r="AR582" s="24" t="inlineStr">
        <is>
          <t>Alexandra Shubladze</t>
        </is>
      </c>
      <c r="AS582" s="24" t="inlineStr">
        <is>
          <t>Anastasiia Sobolieva</t>
        </is>
      </c>
      <c r="AT582" s="24" t="inlineStr">
        <is>
          <t>Anastasiia Sobolieva</t>
        </is>
      </c>
      <c r="AU582" s="24" t="inlineStr">
        <is>
          <t>Anastasiia Sobolieva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d777da58446bc099047b154203518e2585ef1a678f613f2b430f2589f7bf5cff</t>
        </is>
      </c>
      <c r="BB582" s="24" t="inlineStr">
        <is>
          <t>surface_blended_elo</t>
        </is>
      </c>
      <c r="BC582" s="24" t="inlineStr">
        <is>
          <t>tennis-surface-elo-v1</t>
        </is>
      </c>
      <c r="BD582" s="24" t="inlineStr">
        <is>
          <t>d777da58446bc099047b154203518e2585ef1a678f613f2b430f2589f7bf5cff</t>
        </is>
      </c>
      <c r="BE582" s="24" t="inlineStr">
        <is>
          <t>tennis-surface-elo-v1</t>
        </is>
      </c>
      <c r="BF582" s="24" t="inlineStr">
        <is>
          <t>1</t>
        </is>
      </c>
      <c r="BG582" s="24" t="inlineStr">
        <is>
          <t>d777da58446bc099047b154203518e2585ef1a678f613f2b430f2589f7bf5cff</t>
        </is>
      </c>
      <c r="BH582" s="24" t="inlineStr">
        <is>
          <t>2026-08-25T13:29:43.644071Z</t>
        </is>
      </c>
      <c r="BI582" s="24" t="inlineStr">
        <is>
          <t>["same_event","same_team_same_day","same_league_same_day"]</t>
        </is>
      </c>
      <c r="BJ582" s="25" t="n"/>
      <c r="BK582" s="26" t="n">
        <v>-400</v>
      </c>
      <c r="BL582" s="27" t="n">
        <v>1.25</v>
      </c>
      <c r="BM582" s="28" t="n">
        <v>0.8</v>
      </c>
      <c r="BN582" s="28" t="n"/>
      <c r="BO582" s="28" t="n"/>
      <c r="BP582" s="25" t="n"/>
      <c r="BQ582" s="27" t="n">
        <v>1.25</v>
      </c>
      <c r="BR582" s="28" t="n">
        <v>0.8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inlineStr">
        <is>
          <t>c918b947381172bd60f74ead4a8f9bc7861b39b8da6c36f7235f2dce74ca6813</t>
        </is>
      </c>
      <c r="DE582" s="24" t="inlineStr">
        <is>
          <t>/Users/vincentc9002/model-prediction/data/odds/tennis/2026-08-25/polymarket_snapshots.jsonl</t>
        </is>
      </c>
      <c r="DF582" s="24" t="inlineStr">
        <is>
          <t>506053:2026-08-25T13:29:43.644071Z</t>
        </is>
      </c>
      <c r="DG582" s="24" t="n"/>
      <c r="DH582" s="24" t="n"/>
      <c r="DI582" s="24" t="n"/>
      <c r="DJ582" s="24" t="inlineStr">
        <is>
          <t>0.8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7055255128f74b4a</t>
        </is>
      </c>
      <c r="B583" s="24" t="inlineStr">
        <is>
          <t>2026-08-25T13:31:51.589728Z</t>
        </is>
      </c>
      <c r="C583" s="24" t="inlineStr">
        <is>
          <t>2026-08-25T19:30Z</t>
        </is>
      </c>
      <c r="D583" s="24" t="inlineStr">
        <is>
          <t>189-2026:184714</t>
        </is>
      </c>
      <c r="E583" s="24" t="inlineStr">
        <is>
          <t>TENNIS</t>
        </is>
      </c>
      <c r="F583" s="24" t="inlineStr">
        <is>
          <t>Maddison Inglis</t>
        </is>
      </c>
      <c r="G583" s="24" t="inlineStr">
        <is>
          <t>Storm Hunter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104</v>
      </c>
      <c r="M583" s="27" t="n">
        <v>2.04</v>
      </c>
      <c r="N583" s="28" t="n">
        <v>0.490196</v>
      </c>
      <c r="O583" s="28" t="n">
        <v>0.5244</v>
      </c>
      <c r="P583" s="28" t="n">
        <v>0.05</v>
      </c>
      <c r="Q583" s="28" t="n">
        <v>0.034204</v>
      </c>
      <c r="R583" s="26" t="n">
        <v>37</v>
      </c>
      <c r="S583" s="29" t="n">
        <v>1</v>
      </c>
      <c r="T583" s="24" t="inlineStr">
        <is>
          <t>tennis-surface-elo-v1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1</v>
      </c>
      <c r="Y583" s="25" t="n"/>
      <c r="Z583" s="26" t="n">
        <v>104</v>
      </c>
      <c r="AA583" s="28" t="n">
        <v>0.49</v>
      </c>
      <c r="AB583" s="28" t="n">
        <v>-0.000196</v>
      </c>
      <c r="AC583" s="30" t="n">
        <v>1.04</v>
      </c>
      <c r="AD583" s="24" t="inlineStr">
        <is>
          <t>2026-08-26T12:36:42.384278Z</t>
        </is>
      </c>
      <c r="AE583" s="31" t="inlineStr">
        <is>
          <t>Surface-blended Elo on Hard: Maddison Inglis p=0.476 vs Storm Hunter. Executable ask 0.4900 (aec-wta-stohun-mading-2026-08-25).</t>
        </is>
      </c>
      <c r="AF583" s="31" t="inlineStr">
        <is>
          <t>Surface-blended Elo model; singles only, WTA+ATP market coverage, not yet locked-holdout qualified -- promoted by explicit operator directive, not genuine walk-forward validation.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Maddison Inglis</t>
        </is>
      </c>
      <c r="AQ583" s="24" t="inlineStr">
        <is>
          <t>Maddison Inglis</t>
        </is>
      </c>
      <c r="AR583" s="24" t="inlineStr">
        <is>
          <t>Maddison Inglis</t>
        </is>
      </c>
      <c r="AS583" s="24" t="inlineStr">
        <is>
          <t>Storm Hunter</t>
        </is>
      </c>
      <c r="AT583" s="24" t="inlineStr">
        <is>
          <t>Storm Hunter</t>
        </is>
      </c>
      <c r="AU583" s="24" t="inlineStr">
        <is>
          <t>Storm Hunter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d777da58446bc099047b154203518e2585ef1a678f613f2b430f2589f7bf5cff</t>
        </is>
      </c>
      <c r="BB583" s="24" t="inlineStr">
        <is>
          <t>surface_blended_elo</t>
        </is>
      </c>
      <c r="BC583" s="24" t="inlineStr">
        <is>
          <t>tennis-surface-elo-v1</t>
        </is>
      </c>
      <c r="BD583" s="24" t="inlineStr">
        <is>
          <t>d777da58446bc099047b154203518e2585ef1a678f613f2b430f2589f7bf5cff</t>
        </is>
      </c>
      <c r="BE583" s="24" t="inlineStr">
        <is>
          <t>tennis-surface-elo-v1</t>
        </is>
      </c>
      <c r="BF583" s="24" t="inlineStr">
        <is>
          <t>1</t>
        </is>
      </c>
      <c r="BG583" s="24" t="inlineStr">
        <is>
          <t>d777da58446bc099047b154203518e2585ef1a678f613f2b430f2589f7bf5cff</t>
        </is>
      </c>
      <c r="BH583" s="24" t="inlineStr">
        <is>
          <t>2026-08-25T13:29:43.631703Z</t>
        </is>
      </c>
      <c r="BI583" s="24" t="inlineStr">
        <is>
          <t>["same_event","same_team_same_day","same_league_same_day"]</t>
        </is>
      </c>
      <c r="BJ583" s="25" t="n"/>
      <c r="BK583" s="26" t="n">
        <v>104</v>
      </c>
      <c r="BL583" s="27" t="n">
        <v>2.04</v>
      </c>
      <c r="BM583" s="28" t="n">
        <v>0.490196</v>
      </c>
      <c r="BN583" s="28" t="n"/>
      <c r="BO583" s="28" t="n"/>
      <c r="BP583" s="25" t="n"/>
      <c r="BQ583" s="27" t="n">
        <v>2.04</v>
      </c>
      <c r="BR583" s="28" t="n">
        <v>0.49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inlineStr">
        <is>
          <t>dc72f34889630961a9ae8503c3dbe622b272cabfd9beab3384d4cd1748033216</t>
        </is>
      </c>
      <c r="DE583" s="24" t="inlineStr">
        <is>
          <t>/Users/vincentc9002/model-prediction/data/odds/tennis/2026-08-25/polymarket_snapshots.jsonl</t>
        </is>
      </c>
      <c r="DF583" s="24" t="inlineStr">
        <is>
          <t>506058:2026-08-25T13:29:43.631703Z</t>
        </is>
      </c>
      <c r="DG583" s="24" t="n"/>
      <c r="DH583" s="24" t="n"/>
      <c r="DI583" s="24" t="n"/>
      <c r="DJ583" s="24" t="inlineStr">
        <is>
          <t>0.490196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f852a91515564cd6</t>
        </is>
      </c>
      <c r="B584" s="24" t="inlineStr">
        <is>
          <t>2026-08-25T13:31:51.589728Z</t>
        </is>
      </c>
      <c r="C584" s="24" t="inlineStr">
        <is>
          <t>2026-08-25T21:00Z</t>
        </is>
      </c>
      <c r="D584" s="24" t="inlineStr">
        <is>
          <t>189-2026:184747</t>
        </is>
      </c>
      <c r="E584" s="24" t="inlineStr">
        <is>
          <t>TENNIS</t>
        </is>
      </c>
      <c r="F584" s="24" t="inlineStr">
        <is>
          <t>Maria Lourdes Carle</t>
        </is>
      </c>
      <c r="G584" s="24" t="inlineStr">
        <is>
          <t>Vendula Valdmannova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-245</v>
      </c>
      <c r="M584" s="27" t="n">
        <v>1.408163</v>
      </c>
      <c r="N584" s="28" t="n">
        <v>0.710145</v>
      </c>
      <c r="O584" s="28" t="n">
        <v>0.5848</v>
      </c>
      <c r="P584" s="28" t="n">
        <v>0.05</v>
      </c>
      <c r="Q584" s="28" t="n">
        <v>-0.125345</v>
      </c>
      <c r="R584" s="26" t="n">
        <v>0</v>
      </c>
      <c r="S584" s="29" t="n">
        <v>1</v>
      </c>
      <c r="T584" s="24" t="inlineStr">
        <is>
          <t>tennis-surface-elo-v1</t>
        </is>
      </c>
      <c r="U584" s="24" t="inlineStr">
        <is>
          <t>settled</t>
        </is>
      </c>
      <c r="V584" s="24" t="inlineStr">
        <is>
          <t>win</t>
        </is>
      </c>
      <c r="W584" s="26" t="n">
        <v>0</v>
      </c>
      <c r="X584" s="26" t="n">
        <v>1</v>
      </c>
      <c r="Y584" s="25" t="n"/>
      <c r="Z584" s="26" t="n">
        <v>-245</v>
      </c>
      <c r="AA584" s="28" t="n">
        <v>0.71</v>
      </c>
      <c r="AB584" s="28" t="n">
        <v>-0.000145</v>
      </c>
      <c r="AC584" s="30" t="n">
        <v>0.4082</v>
      </c>
      <c r="AD584" s="24" t="inlineStr">
        <is>
          <t>2026-08-26T12:36:44.364659Z</t>
        </is>
      </c>
      <c r="AE584" s="31" t="inlineStr">
        <is>
          <t>Surface-blended Elo on Hard: Maria Lourdes Carle p=0.415 vs Vendula Valdmannova. Executable ask 0.7100 (aec-wta-venval-marcar-2026-08-25).</t>
        </is>
      </c>
      <c r="AF584" s="31" t="inlineStr">
        <is>
          <t>Surface-blended Elo model; singles only, WTA+ATP market coverage, not yet locked-holdout qualified -- promoted by explicit operator directive, not genuine walk-forward validation.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PAPER_CALL_LOW_EDGE</t>
        </is>
      </c>
      <c r="AP584" s="24" t="inlineStr">
        <is>
          <t>Maria Lourdes Carle</t>
        </is>
      </c>
      <c r="AQ584" s="24" t="inlineStr">
        <is>
          <t>Maria Lourdes Carle</t>
        </is>
      </c>
      <c r="AR584" s="24" t="inlineStr">
        <is>
          <t>Maria Lourdes Carle</t>
        </is>
      </c>
      <c r="AS584" s="24" t="inlineStr">
        <is>
          <t>Vendula Valdmannova</t>
        </is>
      </c>
      <c r="AT584" s="24" t="inlineStr">
        <is>
          <t>Vendula Valdmannova</t>
        </is>
      </c>
      <c r="AU584" s="24" t="inlineStr">
        <is>
          <t>Vendula Valdmannova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d777da58446bc099047b154203518e2585ef1a678f613f2b430f2589f7bf5cff</t>
        </is>
      </c>
      <c r="BB584" s="24" t="inlineStr">
        <is>
          <t>surface_blended_elo</t>
        </is>
      </c>
      <c r="BC584" s="24" t="inlineStr">
        <is>
          <t>tennis-surface-elo-v1</t>
        </is>
      </c>
      <c r="BD584" s="24" t="inlineStr">
        <is>
          <t>d777da58446bc099047b154203518e2585ef1a678f613f2b430f2589f7bf5cff</t>
        </is>
      </c>
      <c r="BE584" s="24" t="inlineStr">
        <is>
          <t>tennis-surface-elo-v1</t>
        </is>
      </c>
      <c r="BF584" s="24" t="inlineStr">
        <is>
          <t>1</t>
        </is>
      </c>
      <c r="BG584" s="24" t="inlineStr">
        <is>
          <t>d777da58446bc099047b154203518e2585ef1a678f613f2b430f2589f7bf5cff</t>
        </is>
      </c>
      <c r="BH584" s="24" t="inlineStr">
        <is>
          <t>2026-08-25T13:29:43.666882Z</t>
        </is>
      </c>
      <c r="BI584" s="24" t="inlineStr">
        <is>
          <t>["same_event","same_team_same_day","same_league_same_day"]</t>
        </is>
      </c>
      <c r="BJ584" s="25" t="n"/>
      <c r="BK584" s="26" t="n">
        <v>-245</v>
      </c>
      <c r="BL584" s="27" t="n">
        <v>1.408163</v>
      </c>
      <c r="BM584" s="28" t="n">
        <v>0.710145</v>
      </c>
      <c r="BN584" s="28" t="n"/>
      <c r="BO584" s="28" t="n"/>
      <c r="BP584" s="25" t="n"/>
      <c r="BQ584" s="27" t="n">
        <v>1.408163</v>
      </c>
      <c r="BR584" s="28" t="n">
        <v>0.71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inlineStr">
        <is>
          <t>ed44ddb02983f1bfba764186d5f4ed518c919d30212e3e0c6d2a4d777a5d727f</t>
        </is>
      </c>
      <c r="DE584" s="24" t="inlineStr">
        <is>
          <t>/Users/vincentc9002/model-prediction/data/odds/tennis/2026-08-25/polymarket_snapshots.jsonl</t>
        </is>
      </c>
      <c r="DF584" s="24" t="inlineStr">
        <is>
          <t>506075:2026-08-25T13:29:43.666882Z</t>
        </is>
      </c>
      <c r="DG584" s="24" t="n"/>
      <c r="DH584" s="24" t="n"/>
      <c r="DI584" s="24" t="n"/>
      <c r="DJ584" s="24" t="inlineStr">
        <is>
          <t>0.710145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cf5a2d34ceaf4219</t>
        </is>
      </c>
      <c r="B585" s="24" t="inlineStr">
        <is>
          <t>2026-08-25T13:31:51.589728Z</t>
        </is>
      </c>
      <c r="C585" s="24" t="inlineStr">
        <is>
          <t>2026-08-25T21:00Z</t>
        </is>
      </c>
      <c r="D585" s="24" t="inlineStr">
        <is>
          <t>189-2026:184748</t>
        </is>
      </c>
      <c r="E585" s="24" t="inlineStr">
        <is>
          <t>TENNIS</t>
        </is>
      </c>
      <c r="F585" s="24" t="inlineStr">
        <is>
          <t>Aliaksandra Sasnovich</t>
        </is>
      </c>
      <c r="G585" s="24" t="inlineStr">
        <is>
          <t>Dalma Galfi</t>
        </is>
      </c>
      <c r="H585" s="24" t="inlineStr">
        <is>
          <t>moneyline</t>
        </is>
      </c>
      <c r="I585" s="24" t="inlineStr">
        <is>
          <t>away</t>
        </is>
      </c>
      <c r="J585" s="25" t="n"/>
      <c r="K585" s="24" t="inlineStr">
        <is>
          <t>polymarket_us</t>
        </is>
      </c>
      <c r="L585" s="26" t="n">
        <v>-178</v>
      </c>
      <c r="M585" s="27" t="n">
        <v>1.561798</v>
      </c>
      <c r="N585" s="28" t="n">
        <v>0.640288</v>
      </c>
      <c r="O585" s="28" t="n">
        <v>0.6232</v>
      </c>
      <c r="P585" s="28" t="n">
        <v>0.05</v>
      </c>
      <c r="Q585" s="28" t="n">
        <v>-0.017088</v>
      </c>
      <c r="R585" s="26" t="n">
        <v>11</v>
      </c>
      <c r="S585" s="29" t="n">
        <v>1</v>
      </c>
      <c r="T585" s="24" t="inlineStr">
        <is>
          <t>tennis-surface-elo-v1</t>
        </is>
      </c>
      <c r="U585" s="24" t="inlineStr">
        <is>
          <t>settled</t>
        </is>
      </c>
      <c r="V585" s="24" t="inlineStr">
        <is>
          <t>win</t>
        </is>
      </c>
      <c r="W585" s="26" t="n">
        <v>1</v>
      </c>
      <c r="X585" s="26" t="n">
        <v>0</v>
      </c>
      <c r="Y585" s="25" t="n"/>
      <c r="Z585" s="26" t="n">
        <v>-178</v>
      </c>
      <c r="AA585" s="28" t="n">
        <v>0.64</v>
      </c>
      <c r="AB585" s="28" t="n">
        <v>-0.000288</v>
      </c>
      <c r="AC585" s="30" t="n">
        <v>0.5618</v>
      </c>
      <c r="AD585" s="24" t="inlineStr">
        <is>
          <t>2026-08-26T12:36:46.335699Z</t>
        </is>
      </c>
      <c r="AE585" s="31" t="inlineStr">
        <is>
          <t>Surface-blended Elo on Hard: Aliaksandra Sasnovich p=0.623 vs Dalma Galfi. Executable ask 0.6400 (aec-wta-dalgal-alisas-2026-08-25).</t>
        </is>
      </c>
      <c r="AF585" s="31" t="inlineStr">
        <is>
          <t>Surface-blended Elo model; singles only, WTA+ATP market coverage, not yet locked-holdout qualified -- promoted by explicit operator directive, not genuine walk-forward validation.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Aliaksandra Sasnovich</t>
        </is>
      </c>
      <c r="AQ585" s="24" t="inlineStr">
        <is>
          <t>Aliaksandra Sasnovich</t>
        </is>
      </c>
      <c r="AR585" s="24" t="inlineStr">
        <is>
          <t>Aliaksandra Sasnovich</t>
        </is>
      </c>
      <c r="AS585" s="24" t="inlineStr">
        <is>
          <t>Dalma Galfi</t>
        </is>
      </c>
      <c r="AT585" s="24" t="inlineStr">
        <is>
          <t>Dalma Galfi</t>
        </is>
      </c>
      <c r="AU585" s="24" t="inlineStr">
        <is>
          <t>Dalma Galfi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d777da58446bc099047b154203518e2585ef1a678f613f2b430f2589f7bf5cff</t>
        </is>
      </c>
      <c r="BB585" s="24" t="inlineStr">
        <is>
          <t>surface_blended_elo</t>
        </is>
      </c>
      <c r="BC585" s="24" t="inlineStr">
        <is>
          <t>tennis-surface-elo-v1</t>
        </is>
      </c>
      <c r="BD585" s="24" t="inlineStr">
        <is>
          <t>d777da58446bc099047b154203518e2585ef1a678f613f2b430f2589f7bf5cff</t>
        </is>
      </c>
      <c r="BE585" s="24" t="inlineStr">
        <is>
          <t>tennis-surface-elo-v1</t>
        </is>
      </c>
      <c r="BF585" s="24" t="inlineStr">
        <is>
          <t>1</t>
        </is>
      </c>
      <c r="BG585" s="24" t="inlineStr">
        <is>
          <t>d777da58446bc099047b154203518e2585ef1a678f613f2b430f2589f7bf5cff</t>
        </is>
      </c>
      <c r="BH585" s="24" t="inlineStr">
        <is>
          <t>2026-08-25T13:29:43.703099Z</t>
        </is>
      </c>
      <c r="BI585" s="24" t="inlineStr">
        <is>
          <t>["same_event","same_team_same_day","same_league_same_day"]</t>
        </is>
      </c>
      <c r="BJ585" s="25" t="n"/>
      <c r="BK585" s="26" t="n">
        <v>-178</v>
      </c>
      <c r="BL585" s="27" t="n">
        <v>1.561798</v>
      </c>
      <c r="BM585" s="28" t="n">
        <v>0.640288</v>
      </c>
      <c r="BN585" s="28" t="n"/>
      <c r="BO585" s="28" t="n"/>
      <c r="BP585" s="25" t="n"/>
      <c r="BQ585" s="27" t="n">
        <v>1.561798</v>
      </c>
      <c r="BR585" s="28" t="n">
        <v>0.64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inlineStr">
        <is>
          <t>5dcdf98c32f3a19afe5747a9bc3ed48d7f87b84eb4a0cd8a741c78fdd13813c3</t>
        </is>
      </c>
      <c r="DE585" s="24" t="inlineStr">
        <is>
          <t>/Users/vincentc9002/model-prediction/data/odds/tennis/2026-08-25/polymarket_snapshots.jsonl</t>
        </is>
      </c>
      <c r="DF585" s="24" t="inlineStr">
        <is>
          <t>506076:2026-08-25T13:29:43.703099Z</t>
        </is>
      </c>
      <c r="DG585" s="24" t="n"/>
      <c r="DH585" s="24" t="n"/>
      <c r="DI585" s="24" t="n"/>
      <c r="DJ585" s="24" t="inlineStr">
        <is>
          <t>0.640288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18a0503989c64415</t>
        </is>
      </c>
      <c r="B586" s="24" t="inlineStr">
        <is>
          <t>2026-08-25T13:31:51.589728Z</t>
        </is>
      </c>
      <c r="C586" s="24" t="inlineStr">
        <is>
          <t>2026-08-25T21:00Z</t>
        </is>
      </c>
      <c r="D586" s="24" t="inlineStr">
        <is>
          <t>189-2026:184752</t>
        </is>
      </c>
      <c r="E586" s="24" t="inlineStr">
        <is>
          <t>TENNIS</t>
        </is>
      </c>
      <c r="F586" s="24" t="inlineStr">
        <is>
          <t>Kristina Mladenovic</t>
        </is>
      </c>
      <c r="G586" s="24" t="inlineStr">
        <is>
          <t>Elvina Kalieva</t>
        </is>
      </c>
      <c r="H586" s="24" t="inlineStr">
        <is>
          <t>moneyline</t>
        </is>
      </c>
      <c r="I586" s="24" t="inlineStr">
        <is>
          <t>home</t>
        </is>
      </c>
      <c r="J586" s="25" t="n"/>
      <c r="K586" s="24" t="inlineStr">
        <is>
          <t>polymarket_us</t>
        </is>
      </c>
      <c r="L586" s="26" t="n">
        <v>-900</v>
      </c>
      <c r="M586" s="27" t="n">
        <v>1.111111</v>
      </c>
      <c r="N586" s="28" t="n">
        <v>0.9</v>
      </c>
      <c r="O586" s="28" t="n">
        <v>0.6867</v>
      </c>
      <c r="P586" s="28" t="n">
        <v>0.05</v>
      </c>
      <c r="Q586" s="28" t="n">
        <v>-0.2133</v>
      </c>
      <c r="R586" s="26" t="n">
        <v>0</v>
      </c>
      <c r="S586" s="29" t="n">
        <v>1</v>
      </c>
      <c r="T586" s="24" t="inlineStr">
        <is>
          <t>tennis-surface-elo-v1</t>
        </is>
      </c>
      <c r="U586" s="24" t="inlineStr">
        <is>
          <t>settled</t>
        </is>
      </c>
      <c r="V586" s="24" t="inlineStr">
        <is>
          <t>win</t>
        </is>
      </c>
      <c r="W586" s="26" t="n">
        <v>0</v>
      </c>
      <c r="X586" s="26" t="n">
        <v>1</v>
      </c>
      <c r="Y586" s="25" t="n"/>
      <c r="Z586" s="26" t="n">
        <v>-900</v>
      </c>
      <c r="AA586" s="28" t="n">
        <v>0.9</v>
      </c>
      <c r="AB586" s="28" t="n">
        <v>0</v>
      </c>
      <c r="AC586" s="30" t="n">
        <v>0.1111</v>
      </c>
      <c r="AD586" s="24" t="inlineStr">
        <is>
          <t>2026-08-26T12:36:48.318864Z</t>
        </is>
      </c>
      <c r="AE586" s="31" t="inlineStr">
        <is>
          <t>Surface-blended Elo on Hard: Kristina Mladenovic p=0.313 vs Elvina Kalieva. Executable ask 0.9000 (aec-wta-elvkal-krimla-2026-08-25).</t>
        </is>
      </c>
      <c r="AF586" s="31" t="inlineStr">
        <is>
          <t>Surface-blended Elo model; singles only, WTA+ATP market coverage, not yet locked-holdout qualified -- promoted by explicit operator directive, not genuine walk-forward validation.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Kristina Mladenovic</t>
        </is>
      </c>
      <c r="AQ586" s="24" t="inlineStr">
        <is>
          <t>Kristina Mladenovic</t>
        </is>
      </c>
      <c r="AR586" s="24" t="inlineStr">
        <is>
          <t>Kristina Mladenovic</t>
        </is>
      </c>
      <c r="AS586" s="24" t="inlineStr">
        <is>
          <t>Elvina Kalieva</t>
        </is>
      </c>
      <c r="AT586" s="24" t="inlineStr">
        <is>
          <t>Elvina Kalieva</t>
        </is>
      </c>
      <c r="AU586" s="24" t="inlineStr">
        <is>
          <t>Elvina Kalieva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d777da58446bc099047b154203518e2585ef1a678f613f2b430f2589f7bf5cff</t>
        </is>
      </c>
      <c r="BB586" s="24" t="inlineStr">
        <is>
          <t>surface_blended_elo</t>
        </is>
      </c>
      <c r="BC586" s="24" t="inlineStr">
        <is>
          <t>tennis-surface-elo-v1</t>
        </is>
      </c>
      <c r="BD586" s="24" t="inlineStr">
        <is>
          <t>d777da58446bc099047b154203518e2585ef1a678f613f2b430f2589f7bf5cff</t>
        </is>
      </c>
      <c r="BE586" s="24" t="inlineStr">
        <is>
          <t>tennis-surface-elo-v1</t>
        </is>
      </c>
      <c r="BF586" s="24" t="inlineStr">
        <is>
          <t>1</t>
        </is>
      </c>
      <c r="BG586" s="24" t="inlineStr">
        <is>
          <t>d777da58446bc099047b154203518e2585ef1a678f613f2b430f2589f7bf5cff</t>
        </is>
      </c>
      <c r="BH586" s="24" t="inlineStr">
        <is>
          <t>2026-08-25T13:29:43.661666Z</t>
        </is>
      </c>
      <c r="BI586" s="24" t="inlineStr">
        <is>
          <t>["same_event","same_team_same_day","same_league_same_day"]</t>
        </is>
      </c>
      <c r="BJ586" s="25" t="n"/>
      <c r="BK586" s="26" t="n">
        <v>-900</v>
      </c>
      <c r="BL586" s="27" t="n">
        <v>1.111111</v>
      </c>
      <c r="BM586" s="28" t="n">
        <v>0.9</v>
      </c>
      <c r="BN586" s="28" t="n"/>
      <c r="BO586" s="28" t="n"/>
      <c r="BP586" s="25" t="n"/>
      <c r="BQ586" s="27" t="n">
        <v>1.111111</v>
      </c>
      <c r="BR586" s="28" t="n">
        <v>0.9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inlineStr">
        <is>
          <t>1b44e069b26e3f732d15fd6fe7045b11351987a9aa3547d635e95b4c1f7d0d16</t>
        </is>
      </c>
      <c r="DE586" s="24" t="inlineStr">
        <is>
          <t>/Users/vincentc9002/model-prediction/data/odds/tennis/2026-08-25/polymarket_snapshots.jsonl</t>
        </is>
      </c>
      <c r="DF586" s="24" t="inlineStr">
        <is>
          <t>506072:2026-08-25T13:29:43.661666Z</t>
        </is>
      </c>
      <c r="DG586" s="24" t="n"/>
      <c r="DH586" s="24" t="n"/>
      <c r="DI586" s="24" t="n"/>
      <c r="DJ586" s="24" t="inlineStr">
        <is>
          <t>0.9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b69c0fcbd85b4af2</t>
        </is>
      </c>
      <c r="B587" s="24" t="inlineStr">
        <is>
          <t>2026-08-25T13:31:51.589728Z</t>
        </is>
      </c>
      <c r="C587" s="24" t="inlineStr">
        <is>
          <t>2026-08-25T21:00Z</t>
        </is>
      </c>
      <c r="D587" s="24" t="inlineStr">
        <is>
          <t>189-2026:184753</t>
        </is>
      </c>
      <c r="E587" s="24" t="inlineStr">
        <is>
          <t>TENNIS</t>
        </is>
      </c>
      <c r="F587" s="24" t="inlineStr">
        <is>
          <t>Jennifer Ruggeri</t>
        </is>
      </c>
      <c r="G587" s="24" t="inlineStr">
        <is>
          <t>Sofia Costoulas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-488</v>
      </c>
      <c r="M587" s="27" t="n">
        <v>1.204918</v>
      </c>
      <c r="N587" s="28" t="n">
        <v>0.829932</v>
      </c>
      <c r="O587" s="28" t="n">
        <v>0.5931999999999999</v>
      </c>
      <c r="P587" s="28" t="n">
        <v>0.05</v>
      </c>
      <c r="Q587" s="28" t="n">
        <v>-0.236732</v>
      </c>
      <c r="R587" s="26" t="n">
        <v>0</v>
      </c>
      <c r="S587" s="29" t="n">
        <v>1</v>
      </c>
      <c r="T587" s="24" t="inlineStr">
        <is>
          <t>tennis-surface-elo-v1</t>
        </is>
      </c>
      <c r="U587" s="24" t="inlineStr">
        <is>
          <t>settled</t>
        </is>
      </c>
      <c r="V587" s="24" t="inlineStr">
        <is>
          <t>win</t>
        </is>
      </c>
      <c r="W587" s="26" t="n">
        <v>0</v>
      </c>
      <c r="X587" s="26" t="n">
        <v>1</v>
      </c>
      <c r="Y587" s="25" t="n"/>
      <c r="Z587" s="26" t="n">
        <v>-488</v>
      </c>
      <c r="AA587" s="28" t="n">
        <v>0.83</v>
      </c>
      <c r="AB587" s="28" t="n">
        <v>6.8e-05</v>
      </c>
      <c r="AC587" s="30" t="n">
        <v>0.2049</v>
      </c>
      <c r="AD587" s="24" t="inlineStr">
        <is>
          <t>2026-08-26T12:36:50.299670Z</t>
        </is>
      </c>
      <c r="AE587" s="31" t="inlineStr">
        <is>
          <t>Surface-blended Elo on Hard: Jennifer Ruggeri p=0.407 vs Sofia Costoulas. Executable ask 0.8300 (aec-wta-sofcos-jenrug-2026-08-25).</t>
        </is>
      </c>
      <c r="AF587" s="31" t="inlineStr">
        <is>
          <t>Surface-blended Elo model; singles only, WTA+ATP market coverage, not yet locked-holdout qualified -- promoted by explicit operator directive, not genuine walk-forward validation.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Jennifer Ruggeri</t>
        </is>
      </c>
      <c r="AQ587" s="24" t="inlineStr">
        <is>
          <t>Jennifer Ruggeri</t>
        </is>
      </c>
      <c r="AR587" s="24" t="inlineStr">
        <is>
          <t>Jennifer Ruggeri</t>
        </is>
      </c>
      <c r="AS587" s="24" t="inlineStr">
        <is>
          <t>Sofia Costoulas</t>
        </is>
      </c>
      <c r="AT587" s="24" t="inlineStr">
        <is>
          <t>Sofia Costoulas</t>
        </is>
      </c>
      <c r="AU587" s="24" t="inlineStr">
        <is>
          <t>Sofia Costoulas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d777da58446bc099047b154203518e2585ef1a678f613f2b430f2589f7bf5cff</t>
        </is>
      </c>
      <c r="BB587" s="24" t="inlineStr">
        <is>
          <t>surface_blended_elo</t>
        </is>
      </c>
      <c r="BC587" s="24" t="inlineStr">
        <is>
          <t>tennis-surface-elo-v1</t>
        </is>
      </c>
      <c r="BD587" s="24" t="inlineStr">
        <is>
          <t>d777da58446bc099047b154203518e2585ef1a678f613f2b430f2589f7bf5cff</t>
        </is>
      </c>
      <c r="BE587" s="24" t="inlineStr">
        <is>
          <t>tennis-surface-elo-v1</t>
        </is>
      </c>
      <c r="BF587" s="24" t="inlineStr">
        <is>
          <t>1</t>
        </is>
      </c>
      <c r="BG587" s="24" t="inlineStr">
        <is>
          <t>d777da58446bc099047b154203518e2585ef1a678f613f2b430f2589f7bf5cff</t>
        </is>
      </c>
      <c r="BH587" s="24" t="inlineStr">
        <is>
          <t>2026-08-25T13:29:43.679808Z</t>
        </is>
      </c>
      <c r="BI587" s="24" t="inlineStr">
        <is>
          <t>["same_event","same_team_same_day","same_league_same_day"]</t>
        </is>
      </c>
      <c r="BJ587" s="25" t="n"/>
      <c r="BK587" s="26" t="n">
        <v>-488</v>
      </c>
      <c r="BL587" s="27" t="n">
        <v>1.204918</v>
      </c>
      <c r="BM587" s="28" t="n">
        <v>0.829932</v>
      </c>
      <c r="BN587" s="28" t="n"/>
      <c r="BO587" s="28" t="n"/>
      <c r="BP587" s="25" t="n"/>
      <c r="BQ587" s="27" t="n">
        <v>1.204918</v>
      </c>
      <c r="BR587" s="28" t="n">
        <v>0.83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inlineStr">
        <is>
          <t>bd2b1f07b54e30aaefce99bcb002de35bd2083f304aaf371ecbb8f0039d86a13</t>
        </is>
      </c>
      <c r="DE587" s="24" t="inlineStr">
        <is>
          <t>/Users/vincentc9002/model-prediction/data/odds/tennis/2026-08-25/polymarket_snapshots.jsonl</t>
        </is>
      </c>
      <c r="DF587" s="24" t="inlineStr">
        <is>
          <t>506074:2026-08-25T13:29:43.679808Z</t>
        </is>
      </c>
      <c r="DG587" s="24" t="n"/>
      <c r="DH587" s="24" t="n"/>
      <c r="DI587" s="24" t="n"/>
      <c r="DJ587" s="24" t="inlineStr">
        <is>
          <t>0.829932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34dde34cb2444f3e</t>
        </is>
      </c>
      <c r="B588" s="24" t="inlineStr">
        <is>
          <t>2026-08-25T13:31:51.589728Z</t>
        </is>
      </c>
      <c r="C588" s="24" t="inlineStr">
        <is>
          <t>2026-08-26T04:00Z</t>
        </is>
      </c>
      <c r="D588" s="24" t="inlineStr">
        <is>
          <t>189-2026:184756</t>
        </is>
      </c>
      <c r="E588" s="24" t="inlineStr">
        <is>
          <t>TENNIS</t>
        </is>
      </c>
      <c r="F588" s="24" t="inlineStr">
        <is>
          <t>Ekaterine Gorgodze</t>
        </is>
      </c>
      <c r="G588" s="24" t="inlineStr">
        <is>
          <t>Despina Papamichail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335</v>
      </c>
      <c r="M588" s="27" t="n">
        <v>4.35</v>
      </c>
      <c r="N588" s="28" t="n">
        <v>0.229885</v>
      </c>
      <c r="O588" s="28" t="n">
        <v>0.5027</v>
      </c>
      <c r="P588" s="28" t="n">
        <v>0.05</v>
      </c>
      <c r="Q588" s="28" t="n">
        <v>0.272815</v>
      </c>
      <c r="R588" s="26" t="n">
        <v>100</v>
      </c>
      <c r="S588" s="29" t="n">
        <v>2</v>
      </c>
      <c r="T588" s="24" t="inlineStr">
        <is>
          <t>tennis-surface-elo-v1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0</v>
      </c>
      <c r="Y588" s="25" t="n"/>
      <c r="Z588" s="26" t="n"/>
      <c r="AA588" s="28" t="n"/>
      <c r="AB588" s="28" t="n"/>
      <c r="AC588" s="30" t="n">
        <v>-2</v>
      </c>
      <c r="AD588" s="24" t="inlineStr">
        <is>
          <t>2026-08-26T22:12:33.497240Z</t>
        </is>
      </c>
      <c r="AE588" s="31" t="inlineStr">
        <is>
          <t>Surface-blended Elo on Hard: Ekaterine Gorgodze p=0.497 vs Despina Papamichail. Executable ask 0.2300 (aec-wta-despap-ekagor-2026-08-25).</t>
        </is>
      </c>
      <c r="AF588" s="31" t="inlineStr">
        <is>
          <t>Surface-blended Elo model; singles only, WTA+ATP market coverage, not yet locked-holdout qualified -- promoted by explicit operator directive, not genuine walk-forward validation.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Ekaterine Gorgodze</t>
        </is>
      </c>
      <c r="AQ588" s="24" t="inlineStr">
        <is>
          <t>Ekaterine Gorgodze</t>
        </is>
      </c>
      <c r="AR588" s="24" t="inlineStr">
        <is>
          <t>Ekaterine Gorgodze</t>
        </is>
      </c>
      <c r="AS588" s="24" t="inlineStr">
        <is>
          <t>Despina Papamichail</t>
        </is>
      </c>
      <c r="AT588" s="24" t="inlineStr">
        <is>
          <t>Despina Papamichail</t>
        </is>
      </c>
      <c r="AU588" s="24" t="inlineStr">
        <is>
          <t>Despina Papamichail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d777da58446bc099047b154203518e2585ef1a678f613f2b430f2589f7bf5cff</t>
        </is>
      </c>
      <c r="BB588" s="24" t="inlineStr">
        <is>
          <t>surface_blended_elo</t>
        </is>
      </c>
      <c r="BC588" s="24" t="inlineStr">
        <is>
          <t>tennis-surface-elo-v1</t>
        </is>
      </c>
      <c r="BD588" s="24" t="inlineStr">
        <is>
          <t>d777da58446bc099047b154203518e2585ef1a678f613f2b430f2589f7bf5cff</t>
        </is>
      </c>
      <c r="BE588" s="24" t="inlineStr">
        <is>
          <t>tennis-surface-elo-v1</t>
        </is>
      </c>
      <c r="BF588" s="24" t="inlineStr">
        <is>
          <t>1</t>
        </is>
      </c>
      <c r="BG588" s="24" t="inlineStr">
        <is>
          <t>d777da58446bc099047b154203518e2585ef1a678f613f2b430f2589f7bf5cff</t>
        </is>
      </c>
      <c r="BH588" s="24" t="inlineStr">
        <is>
          <t>2026-08-25T06:23:07.863614Z</t>
        </is>
      </c>
      <c r="BI588" s="24" t="inlineStr">
        <is>
          <t>["same_event","same_team_same_day","same_league_same_day"]</t>
        </is>
      </c>
      <c r="BJ588" s="25" t="n"/>
      <c r="BK588" s="26" t="n">
        <v>335</v>
      </c>
      <c r="BL588" s="27" t="n">
        <v>4.35</v>
      </c>
      <c r="BM588" s="28" t="n">
        <v>0.229885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inlineStr">
        <is>
          <t>c59822d60b96ece423a69cef9b1feea65da0542a6d2a135a05c9915d468fc050</t>
        </is>
      </c>
      <c r="DE588" s="24" t="inlineStr">
        <is>
          <t>/Users/vincentc9002/model-prediction/data/odds/tennis/2026-08-25/polymarket_snapshots.jsonl</t>
        </is>
      </c>
      <c r="DF588" s="24" t="inlineStr">
        <is>
          <t>516126:2026-08-25T06:23:07.863614Z</t>
        </is>
      </c>
      <c r="DG588" s="24" t="n"/>
      <c r="DH588" s="24" t="n"/>
      <c r="DI588" s="24" t="n"/>
      <c r="DJ588" s="24" t="inlineStr">
        <is>
          <t>0.229885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135d8b87bc084770</t>
        </is>
      </c>
      <c r="B589" s="24" t="inlineStr">
        <is>
          <t>2026-08-25T13:31:51.589728Z</t>
        </is>
      </c>
      <c r="C589" s="24" t="inlineStr">
        <is>
          <t>2026-08-26T04:00Z</t>
        </is>
      </c>
      <c r="D589" s="24" t="inlineStr">
        <is>
          <t>189-2026:184781</t>
        </is>
      </c>
      <c r="E589" s="24" t="inlineStr">
        <is>
          <t>TENNIS</t>
        </is>
      </c>
      <c r="F589" s="24" t="inlineStr">
        <is>
          <t>Angela Fita Boluda</t>
        </is>
      </c>
      <c r="G589" s="24" t="inlineStr">
        <is>
          <t>Heather Watson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-376</v>
      </c>
      <c r="M589" s="27" t="n">
        <v>1.265957</v>
      </c>
      <c r="N589" s="28" t="n">
        <v>0.789916</v>
      </c>
      <c r="O589" s="28" t="n">
        <v>0.6102</v>
      </c>
      <c r="P589" s="28" t="n">
        <v>0.05</v>
      </c>
      <c r="Q589" s="28" t="n">
        <v>-0.179716</v>
      </c>
      <c r="R589" s="26" t="n">
        <v>0</v>
      </c>
      <c r="S589" s="29" t="n">
        <v>1</v>
      </c>
      <c r="T589" s="24" t="inlineStr">
        <is>
          <t>tennis-surface-elo-v1</t>
        </is>
      </c>
      <c r="U589" s="24" t="inlineStr">
        <is>
          <t>settled</t>
        </is>
      </c>
      <c r="V589" s="24" t="inlineStr">
        <is>
          <t>win</t>
        </is>
      </c>
      <c r="W589" s="26" t="n">
        <v>0</v>
      </c>
      <c r="X589" s="26" t="n">
        <v>1</v>
      </c>
      <c r="Y589" s="25" t="n"/>
      <c r="Z589" s="26" t="n"/>
      <c r="AA589" s="28" t="n"/>
      <c r="AB589" s="28" t="n"/>
      <c r="AC589" s="30" t="n">
        <v>0.266</v>
      </c>
      <c r="AD589" s="24" t="inlineStr">
        <is>
          <t>2026-08-27T00:40:35.263936Z</t>
        </is>
      </c>
      <c r="AE589" s="31" t="inlineStr">
        <is>
          <t>Surface-blended Elo on Hard: Angela Fita Boluda p=0.390 vs Heather Watson. Executable ask 0.7900 (aec-wta-heawat-angbol-2026-08-25).</t>
        </is>
      </c>
      <c r="AF589" s="31" t="inlineStr">
        <is>
          <t>Surface-blended Elo model; singles only, WTA+ATP market coverage, not yet locked-holdout qualified -- promoted by explicit operator directive, not genuine walk-forward validation.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Angela Fita Boluda</t>
        </is>
      </c>
      <c r="AQ589" s="24" t="inlineStr">
        <is>
          <t>Angela Fita Boluda</t>
        </is>
      </c>
      <c r="AR589" s="24" t="inlineStr">
        <is>
          <t>Angela Fita Boluda</t>
        </is>
      </c>
      <c r="AS589" s="24" t="inlineStr">
        <is>
          <t>Heather Watson</t>
        </is>
      </c>
      <c r="AT589" s="24" t="inlineStr">
        <is>
          <t>Heather Watson</t>
        </is>
      </c>
      <c r="AU589" s="24" t="inlineStr">
        <is>
          <t>Heather Watson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d777da58446bc099047b154203518e2585ef1a678f613f2b430f2589f7bf5cff</t>
        </is>
      </c>
      <c r="BB589" s="24" t="inlineStr">
        <is>
          <t>surface_blended_elo</t>
        </is>
      </c>
      <c r="BC589" s="24" t="inlineStr">
        <is>
          <t>tennis-surface-elo-v1</t>
        </is>
      </c>
      <c r="BD589" s="24" t="inlineStr">
        <is>
          <t>d777da58446bc099047b154203518e2585ef1a678f613f2b430f2589f7bf5cff</t>
        </is>
      </c>
      <c r="BE589" s="24" t="inlineStr">
        <is>
          <t>tennis-surface-elo-v1</t>
        </is>
      </c>
      <c r="BF589" s="24" t="inlineStr">
        <is>
          <t>1</t>
        </is>
      </c>
      <c r="BG589" s="24" t="inlineStr">
        <is>
          <t>d777da58446bc099047b154203518e2585ef1a678f613f2b430f2589f7bf5cff</t>
        </is>
      </c>
      <c r="BH589" s="24" t="inlineStr">
        <is>
          <t>2026-08-25T06:23:07.864698Z</t>
        </is>
      </c>
      <c r="BI589" s="24" t="inlineStr">
        <is>
          <t>["same_event","same_team_same_day","same_league_same_day"]</t>
        </is>
      </c>
      <c r="BJ589" s="25" t="n"/>
      <c r="BK589" s="26" t="n">
        <v>-376</v>
      </c>
      <c r="BL589" s="27" t="n">
        <v>1.265957</v>
      </c>
      <c r="BM589" s="28" t="n">
        <v>0.789916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inlineStr">
        <is>
          <t>dcf28b1df351eb1e24475919387f9960f03baa998e9ad41b541fdd8aef351309</t>
        </is>
      </c>
      <c r="DE589" s="24" t="inlineStr">
        <is>
          <t>/Users/vincentc9002/model-prediction/data/odds/tennis/2026-08-25/polymarket_snapshots.jsonl</t>
        </is>
      </c>
      <c r="DF589" s="24" t="inlineStr">
        <is>
          <t>514459:2026-08-25T06:23:07.864698Z</t>
        </is>
      </c>
      <c r="DG589" s="24" t="n"/>
      <c r="DH589" s="24" t="n"/>
      <c r="DI589" s="24" t="n"/>
      <c r="DJ589" s="24" t="inlineStr">
        <is>
          <t>0.789916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c49bb17aaa4046bc</t>
        </is>
      </c>
      <c r="B590" s="24" t="inlineStr">
        <is>
          <t>2026-08-25T13:31:51.589728Z</t>
        </is>
      </c>
      <c r="C590" s="24" t="inlineStr">
        <is>
          <t>2026-08-26T04:00Z</t>
        </is>
      </c>
      <c r="D590" s="24" t="inlineStr">
        <is>
          <t>189-2026:184786</t>
        </is>
      </c>
      <c r="E590" s="24" t="inlineStr">
        <is>
          <t>TENNIS</t>
        </is>
      </c>
      <c r="F590" s="24" t="inlineStr">
        <is>
          <t>Carson Branstine</t>
        </is>
      </c>
      <c r="G590" s="24" t="inlineStr">
        <is>
          <t>Linda Fruhvirtova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polymarket_us</t>
        </is>
      </c>
      <c r="L590" s="26" t="n">
        <v>133</v>
      </c>
      <c r="M590" s="27" t="n">
        <v>2.33</v>
      </c>
      <c r="N590" s="28" t="n">
        <v>0.429185</v>
      </c>
      <c r="O590" s="28" t="n">
        <v>0.5603</v>
      </c>
      <c r="P590" s="28" t="n">
        <v>0.05</v>
      </c>
      <c r="Q590" s="28" t="n">
        <v>0.131115</v>
      </c>
      <c r="R590" s="26" t="n">
        <v>86</v>
      </c>
      <c r="S590" s="29" t="n">
        <v>1.5</v>
      </c>
      <c r="T590" s="24" t="inlineStr">
        <is>
          <t>tennis-surface-elo-v1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0</v>
      </c>
      <c r="Y590" s="25" t="n"/>
      <c r="Z590" s="26" t="n"/>
      <c r="AA590" s="28" t="n"/>
      <c r="AB590" s="28" t="n"/>
      <c r="AC590" s="30" t="n">
        <v>1.995</v>
      </c>
      <c r="AD590" s="24" t="inlineStr">
        <is>
          <t>2026-08-26T22:12:35.869950Z</t>
        </is>
      </c>
      <c r="AE590" s="31" t="inlineStr">
        <is>
          <t>Surface-blended Elo on Hard: Carson Branstine p=0.560 vs Linda Fruhvirtova. Executable ask 0.4300 (aec-wta-linfru-carbra-2026-08-25).</t>
        </is>
      </c>
      <c r="AF590" s="31" t="inlineStr">
        <is>
          <t>Surface-blended Elo model; singles only, WTA+ATP market coverage, not yet locked-holdout qualified -- promoted by explicit operator directive, not genuine walk-forward validation.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Carson Branstine</t>
        </is>
      </c>
      <c r="AQ590" s="24" t="inlineStr">
        <is>
          <t>Carson Branstine</t>
        </is>
      </c>
      <c r="AR590" s="24" t="inlineStr">
        <is>
          <t>Carson Branstine</t>
        </is>
      </c>
      <c r="AS590" s="24" t="inlineStr">
        <is>
          <t>Linda Fruhvirtova</t>
        </is>
      </c>
      <c r="AT590" s="24" t="inlineStr">
        <is>
          <t>Linda Fruhvirtova</t>
        </is>
      </c>
      <c r="AU590" s="24" t="inlineStr">
        <is>
          <t>Linda Fruhvirtova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d777da58446bc099047b154203518e2585ef1a678f613f2b430f2589f7bf5cff</t>
        </is>
      </c>
      <c r="BB590" s="24" t="inlineStr">
        <is>
          <t>surface_blended_elo</t>
        </is>
      </c>
      <c r="BC590" s="24" t="inlineStr">
        <is>
          <t>tennis-surface-elo-v1</t>
        </is>
      </c>
      <c r="BD590" s="24" t="inlineStr">
        <is>
          <t>d777da58446bc099047b154203518e2585ef1a678f613f2b430f2589f7bf5cff</t>
        </is>
      </c>
      <c r="BE590" s="24" t="inlineStr">
        <is>
          <t>tennis-surface-elo-v1</t>
        </is>
      </c>
      <c r="BF590" s="24" t="inlineStr">
        <is>
          <t>1</t>
        </is>
      </c>
      <c r="BG590" s="24" t="inlineStr">
        <is>
          <t>d777da58446bc099047b154203518e2585ef1a678f613f2b430f2589f7bf5cff</t>
        </is>
      </c>
      <c r="BH590" s="24" t="inlineStr">
        <is>
          <t>2026-08-25T06:23:07.875583Z</t>
        </is>
      </c>
      <c r="BI590" s="24" t="inlineStr">
        <is>
          <t>["same_event","same_team_same_day","same_league_same_day"]</t>
        </is>
      </c>
      <c r="BJ590" s="25" t="n"/>
      <c r="BK590" s="26" t="n">
        <v>133</v>
      </c>
      <c r="BL590" s="27" t="n">
        <v>2.33</v>
      </c>
      <c r="BM590" s="28" t="n">
        <v>0.429185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inlineStr">
        <is>
          <t>7a16bc392901edad8f11897c01f984a154cb64a19c36d2bad9fd22a2bc0d75fe</t>
        </is>
      </c>
      <c r="DE590" s="24" t="inlineStr">
        <is>
          <t>/Users/vincentc9002/model-prediction/data/odds/tennis/2026-08-25/polymarket_snapshots.jsonl</t>
        </is>
      </c>
      <c r="DF590" s="24" t="inlineStr">
        <is>
          <t>514776:2026-08-25T06:23:07.875583Z</t>
        </is>
      </c>
      <c r="DG590" s="24" t="n"/>
      <c r="DH590" s="24" t="n"/>
      <c r="DI590" s="24" t="n"/>
      <c r="DJ590" s="24" t="inlineStr">
        <is>
          <t>0.429185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3bc73d17fc784596</t>
        </is>
      </c>
      <c r="B591" s="24" t="inlineStr">
        <is>
          <t>2026-08-25T13:31:51.589728Z</t>
        </is>
      </c>
      <c r="C591" s="24" t="inlineStr">
        <is>
          <t>2026-08-26T04:00Z</t>
        </is>
      </c>
      <c r="D591" s="24" t="inlineStr">
        <is>
          <t>189-2026:184791</t>
        </is>
      </c>
      <c r="E591" s="24" t="inlineStr">
        <is>
          <t>TENNIS</t>
        </is>
      </c>
      <c r="F591" s="24" t="inlineStr">
        <is>
          <t>Himeno Sakatsume</t>
        </is>
      </c>
      <c r="G591" s="24" t="inlineStr">
        <is>
          <t>Tyra Caterina Grant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-194</v>
      </c>
      <c r="M591" s="27" t="n">
        <v>1.515464</v>
      </c>
      <c r="N591" s="28" t="n">
        <v>0.659864</v>
      </c>
      <c r="O591" s="28" t="n">
        <v>0.5334</v>
      </c>
      <c r="P591" s="28" t="n">
        <v>0.05</v>
      </c>
      <c r="Q591" s="28" t="n">
        <v>-0.126464</v>
      </c>
      <c r="R591" s="26" t="n">
        <v>0</v>
      </c>
      <c r="S591" s="29" t="n">
        <v>1</v>
      </c>
      <c r="T591" s="24" t="inlineStr">
        <is>
          <t>tennis-surface-elo-v1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2026-08-26T22:12:38.131073Z</t>
        </is>
      </c>
      <c r="AE591" s="31" t="inlineStr">
        <is>
          <t>Surface-blended Elo on Hard: Himeno Sakatsume p=0.467 vs Tyra Caterina Grant. Executable ask 0.6600 (aec-wta-tyrgra-himsak-2026-08-25).</t>
        </is>
      </c>
      <c r="AF591" s="31" t="inlineStr">
        <is>
          <t>Surface-blended Elo model; singles only, WTA+ATP market coverage, not yet locked-holdout qualified -- promoted by explicit operator directive, not genuine walk-forward validation.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Himeno Sakatsume</t>
        </is>
      </c>
      <c r="AQ591" s="24" t="inlineStr">
        <is>
          <t>Himeno Sakatsume</t>
        </is>
      </c>
      <c r="AR591" s="24" t="inlineStr">
        <is>
          <t>Himeno Sakatsume</t>
        </is>
      </c>
      <c r="AS591" s="24" t="inlineStr">
        <is>
          <t>Tyra Caterina Grant</t>
        </is>
      </c>
      <c r="AT591" s="24" t="inlineStr">
        <is>
          <t>Tyra Caterina Grant</t>
        </is>
      </c>
      <c r="AU591" s="24" t="inlineStr">
        <is>
          <t>Tyra Caterina Grant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d777da58446bc099047b154203518e2585ef1a678f613f2b430f2589f7bf5cff</t>
        </is>
      </c>
      <c r="BB591" s="24" t="inlineStr">
        <is>
          <t>surface_blended_elo</t>
        </is>
      </c>
      <c r="BC591" s="24" t="inlineStr">
        <is>
          <t>tennis-surface-elo-v1</t>
        </is>
      </c>
      <c r="BD591" s="24" t="inlineStr">
        <is>
          <t>d777da58446bc099047b154203518e2585ef1a678f613f2b430f2589f7bf5cff</t>
        </is>
      </c>
      <c r="BE591" s="24" t="inlineStr">
        <is>
          <t>tennis-surface-elo-v1</t>
        </is>
      </c>
      <c r="BF591" s="24" t="inlineStr">
        <is>
          <t>1</t>
        </is>
      </c>
      <c r="BG591" s="24" t="inlineStr">
        <is>
          <t>d777da58446bc099047b154203518e2585ef1a678f613f2b430f2589f7bf5cff</t>
        </is>
      </c>
      <c r="BH591" s="24" t="inlineStr">
        <is>
          <t>2026-08-25T06:23:07.856785Z</t>
        </is>
      </c>
      <c r="BI591" s="24" t="inlineStr">
        <is>
          <t>["same_event","same_team_same_day","same_league_same_day"]</t>
        </is>
      </c>
      <c r="BJ591" s="25" t="n"/>
      <c r="BK591" s="26" t="n">
        <v>-194</v>
      </c>
      <c r="BL591" s="27" t="n">
        <v>1.515464</v>
      </c>
      <c r="BM591" s="28" t="n">
        <v>0.659864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inlineStr">
        <is>
          <t>d5aec7096d06c876b19f443aea5204948d5888329a30304f13bcd880672168b3</t>
        </is>
      </c>
      <c r="DE591" s="24" t="inlineStr">
        <is>
          <t>/Users/vincentc9002/model-prediction/data/odds/tennis/2026-08-25/polymarket_snapshots.jsonl</t>
        </is>
      </c>
      <c r="DF591" s="24" t="inlineStr">
        <is>
          <t>515357:2026-08-25T06:23:07.856785Z</t>
        </is>
      </c>
      <c r="DG591" s="24" t="n"/>
      <c r="DH591" s="24" t="n"/>
      <c r="DI591" s="24" t="n"/>
      <c r="DJ591" s="24" t="inlineStr">
        <is>
          <t>0.659864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5bd0bd3dc6e44668</t>
        </is>
      </c>
      <c r="B592" s="24" t="inlineStr">
        <is>
          <t>2026-08-25T13:31:51.589728Z</t>
        </is>
      </c>
      <c r="C592" s="24" t="inlineStr">
        <is>
          <t>2026-08-25T15:00Z</t>
        </is>
      </c>
      <c r="D592" s="24" t="inlineStr">
        <is>
          <t>189-2026:184599</t>
        </is>
      </c>
      <c r="E592" s="24" t="inlineStr">
        <is>
          <t>TENNIS</t>
        </is>
      </c>
      <c r="F592" s="24" t="inlineStr">
        <is>
          <t>Dusan Lajovic</t>
        </is>
      </c>
      <c r="G592" s="24" t="inlineStr">
        <is>
          <t>SoonWoo Kwon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-194</v>
      </c>
      <c r="M592" s="27" t="n">
        <v>1.515464</v>
      </c>
      <c r="N592" s="28" t="n">
        <v>0.659864</v>
      </c>
      <c r="O592" s="28" t="n">
        <v>0.5862000000000001</v>
      </c>
      <c r="P592" s="28" t="n">
        <v>0.05</v>
      </c>
      <c r="Q592" s="28" t="n">
        <v>-0.07366399999999999</v>
      </c>
      <c r="R592" s="26" t="n">
        <v>0</v>
      </c>
      <c r="S592" s="29" t="n">
        <v>1</v>
      </c>
      <c r="T592" s="24" t="inlineStr">
        <is>
          <t>tennis-surface-elo-v1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0</v>
      </c>
      <c r="Y592" s="25" t="n"/>
      <c r="Z592" s="26" t="n"/>
      <c r="AA592" s="28" t="n"/>
      <c r="AB592" s="28" t="n"/>
      <c r="AC592" s="30" t="n">
        <v>-1</v>
      </c>
      <c r="AD592" s="24" t="inlineStr">
        <is>
          <t>2026-08-26T12:36:52.270181Z</t>
        </is>
      </c>
      <c r="AE592" s="31" t="inlineStr">
        <is>
          <t>Surface-blended Elo on Hard: Dusan Lajovic p=0.414 vs SoonWoo Kwon. Executable ask 0.6600 (aec-atp-sookwo-duslaj-2026-08-25).</t>
        </is>
      </c>
      <c r="AF592" s="31" t="inlineStr">
        <is>
          <t>Surface-blended Elo model; singles only, WTA+ATP market coverage, not yet locked-holdout qualified -- promoted by explicit operator directive, not genuine walk-forward validation.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PAPER_CALL_LOW_EDGE</t>
        </is>
      </c>
      <c r="AP592" s="24" t="inlineStr">
        <is>
          <t>Dusan Lajovic</t>
        </is>
      </c>
      <c r="AQ592" s="24" t="inlineStr">
        <is>
          <t>Dusan Lajovic</t>
        </is>
      </c>
      <c r="AR592" s="24" t="inlineStr">
        <is>
          <t>Dusan Lajovic</t>
        </is>
      </c>
      <c r="AS592" s="24" t="inlineStr">
        <is>
          <t>SoonWoo Kwon</t>
        </is>
      </c>
      <c r="AT592" s="24" t="inlineStr">
        <is>
          <t>SoonWoo Kwon</t>
        </is>
      </c>
      <c r="AU592" s="24" t="inlineStr">
        <is>
          <t>SoonWoo Kwon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d777da58446bc099047b154203518e2585ef1a678f613f2b430f2589f7bf5cff</t>
        </is>
      </c>
      <c r="BB592" s="24" t="inlineStr">
        <is>
          <t>surface_blended_elo</t>
        </is>
      </c>
      <c r="BC592" s="24" t="inlineStr">
        <is>
          <t>tennis-surface-elo-v1</t>
        </is>
      </c>
      <c r="BD592" s="24" t="inlineStr">
        <is>
          <t>d777da58446bc099047b154203518e2585ef1a678f613f2b430f2589f7bf5cff</t>
        </is>
      </c>
      <c r="BE592" s="24" t="inlineStr">
        <is>
          <t>tennis-surface-elo-v1</t>
        </is>
      </c>
      <c r="BF592" s="24" t="inlineStr">
        <is>
          <t>1</t>
        </is>
      </c>
      <c r="BG592" s="24" t="inlineStr">
        <is>
          <t>d777da58446bc099047b154203518e2585ef1a678f613f2b430f2589f7bf5cff</t>
        </is>
      </c>
      <c r="BH592" s="24" t="inlineStr">
        <is>
          <t>2026-08-25T13:29:43.989634Z</t>
        </is>
      </c>
      <c r="BI592" s="24" t="inlineStr">
        <is>
          <t>["same_event","same_team_same_day","same_league_same_day"]</t>
        </is>
      </c>
      <c r="BJ592" s="25" t="n"/>
      <c r="BK592" s="26" t="n">
        <v>-194</v>
      </c>
      <c r="BL592" s="27" t="n">
        <v>1.515464</v>
      </c>
      <c r="BM592" s="28" t="n">
        <v>0.659864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False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inlineStr">
        <is>
          <t>9c8886694fbf16f9ec34a491eaad7eafdcf03adf46343a3500c345511d24ff3f</t>
        </is>
      </c>
      <c r="DE592" s="24" t="inlineStr">
        <is>
          <t>/Users/vincentc9002/model-prediction/data/odds/tennis/2026-08-25/polymarket_snapshots.jsonl</t>
        </is>
      </c>
      <c r="DF592" s="24" t="inlineStr">
        <is>
          <t>506097:2026-08-25T13:29:43.989634Z</t>
        </is>
      </c>
      <c r="DG592" s="24" t="n"/>
      <c r="DH592" s="24" t="n"/>
      <c r="DI592" s="24" t="n"/>
      <c r="DJ592" s="24" t="inlineStr">
        <is>
          <t>0.659864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248fc167451c4ac0</t>
        </is>
      </c>
      <c r="B593" s="24" t="inlineStr">
        <is>
          <t>2026-08-25T13:31:51.589728Z</t>
        </is>
      </c>
      <c r="C593" s="24" t="inlineStr">
        <is>
          <t>2026-08-25T15:00Z</t>
        </is>
      </c>
      <c r="D593" s="24" t="inlineStr">
        <is>
          <t>189-2026:184604</t>
        </is>
      </c>
      <c r="E593" s="24" t="inlineStr">
        <is>
          <t>TENNIS</t>
        </is>
      </c>
      <c r="F593" s="24" t="inlineStr">
        <is>
          <t>David Jorda Sanchis</t>
        </is>
      </c>
      <c r="G593" s="24" t="inlineStr">
        <is>
          <t>Henri Squire</t>
        </is>
      </c>
      <c r="H593" s="24" t="inlineStr">
        <is>
          <t>moneyline</t>
        </is>
      </c>
      <c r="I593" s="24" t="inlineStr">
        <is>
          <t>home</t>
        </is>
      </c>
      <c r="J593" s="25" t="n"/>
      <c r="K593" s="24" t="inlineStr">
        <is>
          <t>polymarket_us</t>
        </is>
      </c>
      <c r="L593" s="26" t="n">
        <v>-223</v>
      </c>
      <c r="M593" s="27" t="n">
        <v>1.44843</v>
      </c>
      <c r="N593" s="28" t="n">
        <v>0.690402</v>
      </c>
      <c r="O593" s="28" t="n">
        <v>0.5218</v>
      </c>
      <c r="P593" s="28" t="n">
        <v>0.05</v>
      </c>
      <c r="Q593" s="28" t="n">
        <v>-0.168602</v>
      </c>
      <c r="R593" s="26" t="n">
        <v>0</v>
      </c>
      <c r="S593" s="29" t="n">
        <v>1</v>
      </c>
      <c r="T593" s="24" t="inlineStr">
        <is>
          <t>tennis-surface-elo-v1</t>
        </is>
      </c>
      <c r="U593" s="24" t="inlineStr">
        <is>
          <t>settled</t>
        </is>
      </c>
      <c r="V593" s="24" t="inlineStr">
        <is>
          <t>loss</t>
        </is>
      </c>
      <c r="W593" s="26" t="n">
        <v>1</v>
      </c>
      <c r="X593" s="26" t="n">
        <v>0</v>
      </c>
      <c r="Y593" s="25" t="n"/>
      <c r="Z593" s="26" t="n">
        <v>-223</v>
      </c>
      <c r="AA593" s="28" t="n">
        <v>0.6899999999999999</v>
      </c>
      <c r="AB593" s="28" t="n">
        <v>-0.000402</v>
      </c>
      <c r="AC593" s="30" t="n">
        <v>-1</v>
      </c>
      <c r="AD593" s="24" t="inlineStr">
        <is>
          <t>2026-08-26T12:36:54.237515Z</t>
        </is>
      </c>
      <c r="AE593" s="31" t="inlineStr">
        <is>
          <t>Surface-blended Elo on Hard: David Jorda Sanchis p=0.478 vs Henri Squire. Executable ask 0.6900 (aec-atp-hensqu-davsan-2026-08-25).</t>
        </is>
      </c>
      <c r="AF593" s="31" t="inlineStr">
        <is>
          <t>Surface-blended Elo model; singles only, WTA+ATP market coverage, not yet locked-holdout qualified -- promoted by explicit operator directive, not genuine walk-forward validation.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David Jorda Sanchis</t>
        </is>
      </c>
      <c r="AQ593" s="24" t="inlineStr">
        <is>
          <t>David Jorda Sanchis</t>
        </is>
      </c>
      <c r="AR593" s="24" t="inlineStr">
        <is>
          <t>David Jorda Sanchis</t>
        </is>
      </c>
      <c r="AS593" s="24" t="inlineStr">
        <is>
          <t>Henri Squire</t>
        </is>
      </c>
      <c r="AT593" s="24" t="inlineStr">
        <is>
          <t>Henri Squire</t>
        </is>
      </c>
      <c r="AU593" s="24" t="inlineStr">
        <is>
          <t>Henri Squire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d777da58446bc099047b154203518e2585ef1a678f613f2b430f2589f7bf5cff</t>
        </is>
      </c>
      <c r="BB593" s="24" t="inlineStr">
        <is>
          <t>surface_blended_elo</t>
        </is>
      </c>
      <c r="BC593" s="24" t="inlineStr">
        <is>
          <t>tennis-surface-elo-v1</t>
        </is>
      </c>
      <c r="BD593" s="24" t="inlineStr">
        <is>
          <t>d777da58446bc099047b154203518e2585ef1a678f613f2b430f2589f7bf5cff</t>
        </is>
      </c>
      <c r="BE593" s="24" t="inlineStr">
        <is>
          <t>tennis-surface-elo-v1</t>
        </is>
      </c>
      <c r="BF593" s="24" t="inlineStr">
        <is>
          <t>1</t>
        </is>
      </c>
      <c r="BG593" s="24" t="inlineStr">
        <is>
          <t>d777da58446bc099047b154203518e2585ef1a678f613f2b430f2589f7bf5cff</t>
        </is>
      </c>
      <c r="BH593" s="24" t="inlineStr">
        <is>
          <t>2026-08-25T13:29:43.832787Z</t>
        </is>
      </c>
      <c r="BI593" s="24" t="inlineStr">
        <is>
          <t>["same_event","same_team_same_day","same_league_same_day"]</t>
        </is>
      </c>
      <c r="BJ593" s="25" t="n"/>
      <c r="BK593" s="26" t="n">
        <v>-223</v>
      </c>
      <c r="BL593" s="27" t="n">
        <v>1.44843</v>
      </c>
      <c r="BM593" s="28" t="n">
        <v>0.690402</v>
      </c>
      <c r="BN593" s="28" t="n"/>
      <c r="BO593" s="28" t="n"/>
      <c r="BP593" s="25" t="n"/>
      <c r="BQ593" s="27" t="n">
        <v>1.44843</v>
      </c>
      <c r="BR593" s="28" t="n">
        <v>0.6899999999999999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inlineStr">
        <is>
          <t>d25d9a661831d2c26d127fcd9f0eeac798f466eb1d5e68900b2ea15ed55ff643</t>
        </is>
      </c>
      <c r="DE593" s="24" t="inlineStr">
        <is>
          <t>/Users/vincentc9002/model-prediction/data/odds/tennis/2026-08-25/polymarket_snapshots.jsonl</t>
        </is>
      </c>
      <c r="DF593" s="24" t="inlineStr">
        <is>
          <t>506095:2026-08-25T13:29:43.832787Z</t>
        </is>
      </c>
      <c r="DG593" s="24" t="n"/>
      <c r="DH593" s="24" t="n"/>
      <c r="DI593" s="24" t="n"/>
      <c r="DJ593" s="24" t="inlineStr">
        <is>
          <t>0.690402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5be0dcd5b72140ba</t>
        </is>
      </c>
      <c r="B594" s="24" t="inlineStr">
        <is>
          <t>2026-08-25T13:31:51.589728Z</t>
        </is>
      </c>
      <c r="C594" s="24" t="inlineStr">
        <is>
          <t>2026-08-25T15:00Z</t>
        </is>
      </c>
      <c r="D594" s="24" t="inlineStr">
        <is>
          <t>189-2026:184618</t>
        </is>
      </c>
      <c r="E594" s="24" t="inlineStr">
        <is>
          <t>TENNIS</t>
        </is>
      </c>
      <c r="F594" s="24" t="inlineStr">
        <is>
          <t>Kei Nishikori</t>
        </is>
      </c>
      <c r="G594" s="24" t="inlineStr">
        <is>
          <t>Sebastian Ofner</t>
        </is>
      </c>
      <c r="H594" s="24" t="inlineStr">
        <is>
          <t>moneyline</t>
        </is>
      </c>
      <c r="I594" s="24" t="inlineStr">
        <is>
          <t>away</t>
        </is>
      </c>
      <c r="J594" s="25" t="n"/>
      <c r="K594" s="24" t="inlineStr">
        <is>
          <t>polymarket_us</t>
        </is>
      </c>
      <c r="L594" s="26" t="n">
        <v>-104</v>
      </c>
      <c r="M594" s="27" t="n">
        <v>1.961538</v>
      </c>
      <c r="N594" s="28" t="n">
        <v>0.509804</v>
      </c>
      <c r="O594" s="28" t="n">
        <v>0.6873</v>
      </c>
      <c r="P594" s="28" t="n">
        <v>0.05</v>
      </c>
      <c r="Q594" s="28" t="n">
        <v>0.177496</v>
      </c>
      <c r="R594" s="26" t="n">
        <v>100</v>
      </c>
      <c r="S594" s="29" t="n">
        <v>1.75</v>
      </c>
      <c r="T594" s="24" t="inlineStr">
        <is>
          <t>tennis-surface-elo-v1</t>
        </is>
      </c>
      <c r="U594" s="24" t="inlineStr">
        <is>
          <t>settled</t>
        </is>
      </c>
      <c r="V594" s="24" t="inlineStr">
        <is>
          <t>win</t>
        </is>
      </c>
      <c r="W594" s="26" t="n">
        <v>1</v>
      </c>
      <c r="X594" s="26" t="n">
        <v>0</v>
      </c>
      <c r="Y594" s="25" t="n"/>
      <c r="Z594" s="26" t="n">
        <v>-104</v>
      </c>
      <c r="AA594" s="28" t="n">
        <v>0.51</v>
      </c>
      <c r="AB594" s="28" t="n">
        <v>0.000196</v>
      </c>
      <c r="AC594" s="30" t="n">
        <v>1.6827</v>
      </c>
      <c r="AD594" s="24" t="inlineStr">
        <is>
          <t>2026-08-26T12:36:56.196031Z</t>
        </is>
      </c>
      <c r="AE594" s="31" t="inlineStr">
        <is>
          <t>Surface-blended Elo on Hard: Kei Nishikori p=0.687 vs Sebastian Ofner. Executable ask 0.5100 (aec-atp-sebofn-keinis-2026-08-25).</t>
        </is>
      </c>
      <c r="AF594" s="31" t="inlineStr">
        <is>
          <t>Surface-blended Elo model; singles only, WTA+ATP market coverage, not yet locked-holdout qualified -- promoted by explicit operator directive, not genuine walk-forward validation.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Kei Nishikori</t>
        </is>
      </c>
      <c r="AQ594" s="24" t="inlineStr">
        <is>
          <t>Kei Nishikori</t>
        </is>
      </c>
      <c r="AR594" s="24" t="inlineStr">
        <is>
          <t>Kei Nishikori</t>
        </is>
      </c>
      <c r="AS594" s="24" t="inlineStr">
        <is>
          <t>Sebastian Ofner</t>
        </is>
      </c>
      <c r="AT594" s="24" t="inlineStr">
        <is>
          <t>Sebastian Ofner</t>
        </is>
      </c>
      <c r="AU594" s="24" t="inlineStr">
        <is>
          <t>Sebastian Ofner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d777da58446bc099047b154203518e2585ef1a678f613f2b430f2589f7bf5cff</t>
        </is>
      </c>
      <c r="BB594" s="24" t="inlineStr">
        <is>
          <t>surface_blended_elo</t>
        </is>
      </c>
      <c r="BC594" s="24" t="inlineStr">
        <is>
          <t>tennis-surface-elo-v1</t>
        </is>
      </c>
      <c r="BD594" s="24" t="inlineStr">
        <is>
          <t>d777da58446bc099047b154203518e2585ef1a678f613f2b430f2589f7bf5cff</t>
        </is>
      </c>
      <c r="BE594" s="24" t="inlineStr">
        <is>
          <t>tennis-surface-elo-v1</t>
        </is>
      </c>
      <c r="BF594" s="24" t="inlineStr">
        <is>
          <t>1</t>
        </is>
      </c>
      <c r="BG594" s="24" t="inlineStr">
        <is>
          <t>d777da58446bc099047b154203518e2585ef1a678f613f2b430f2589f7bf5cff</t>
        </is>
      </c>
      <c r="BH594" s="24" t="inlineStr">
        <is>
          <t>2026-08-25T13:29:44.622444Z</t>
        </is>
      </c>
      <c r="BI594" s="24" t="inlineStr">
        <is>
          <t>["same_event","same_team_same_day","same_league_same_day"]</t>
        </is>
      </c>
      <c r="BJ594" s="25" t="n"/>
      <c r="BK594" s="26" t="n">
        <v>-104</v>
      </c>
      <c r="BL594" s="27" t="n">
        <v>1.961538</v>
      </c>
      <c r="BM594" s="28" t="n">
        <v>0.509804</v>
      </c>
      <c r="BN594" s="28" t="n"/>
      <c r="BO594" s="28" t="n"/>
      <c r="BP594" s="25" t="n"/>
      <c r="BQ594" s="27" t="n">
        <v>1.961538</v>
      </c>
      <c r="BR594" s="28" t="n">
        <v>0.51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inlineStr">
        <is>
          <t>9f96b60d1f16e8b9d1c033f6237f2fc0ef56beb076493de2de8f0db2a84918c1</t>
        </is>
      </c>
      <c r="DE594" s="24" t="inlineStr">
        <is>
          <t>/Users/vincentc9002/model-prediction/data/odds/tennis/2026-08-25/polymarket_snapshots.jsonl</t>
        </is>
      </c>
      <c r="DF594" s="24" t="inlineStr">
        <is>
          <t>506130:2026-08-25T13:29:44.622444Z</t>
        </is>
      </c>
      <c r="DG594" s="24" t="n"/>
      <c r="DH594" s="24" t="n"/>
      <c r="DI594" s="24" t="n"/>
      <c r="DJ594" s="24" t="inlineStr">
        <is>
          <t>0.509804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ed811cc92ae141db</t>
        </is>
      </c>
      <c r="B595" s="24" t="inlineStr">
        <is>
          <t>2026-08-25T13:31:51.589728Z</t>
        </is>
      </c>
      <c r="C595" s="24" t="inlineStr">
        <is>
          <t>2026-08-25T15:00Z</t>
        </is>
      </c>
      <c r="D595" s="24" t="inlineStr">
        <is>
          <t>189-2026:184623</t>
        </is>
      </c>
      <c r="E595" s="24" t="inlineStr">
        <is>
          <t>TENNIS</t>
        </is>
      </c>
      <c r="F595" s="24" t="inlineStr">
        <is>
          <t>Gilles Arnaud Bailly</t>
        </is>
      </c>
      <c r="G595" s="24" t="inlineStr">
        <is>
          <t>Timofey Skatov</t>
        </is>
      </c>
      <c r="H595" s="24" t="inlineStr">
        <is>
          <t>moneyline</t>
        </is>
      </c>
      <c r="I595" s="24" t="inlineStr">
        <is>
          <t>away</t>
        </is>
      </c>
      <c r="J595" s="25" t="n"/>
      <c r="K595" s="24" t="inlineStr">
        <is>
          <t>polymarket_us</t>
        </is>
      </c>
      <c r="L595" s="26" t="n">
        <v>133</v>
      </c>
      <c r="M595" s="27" t="n">
        <v>2.33</v>
      </c>
      <c r="N595" s="28" t="n">
        <v>0.429185</v>
      </c>
      <c r="O595" s="28" t="n">
        <v>0.5331</v>
      </c>
      <c r="P595" s="28" t="n">
        <v>0.05</v>
      </c>
      <c r="Q595" s="28" t="n">
        <v>0.103915</v>
      </c>
      <c r="R595" s="26" t="n">
        <v>72</v>
      </c>
      <c r="S595" s="29" t="n">
        <v>1.25</v>
      </c>
      <c r="T595" s="24" t="inlineStr">
        <is>
          <t>tennis-surface-elo-v1</t>
        </is>
      </c>
      <c r="U595" s="24" t="inlineStr">
        <is>
          <t>settled</t>
        </is>
      </c>
      <c r="V595" s="24" t="inlineStr">
        <is>
          <t>loss</t>
        </is>
      </c>
      <c r="W595" s="26" t="n">
        <v>0</v>
      </c>
      <c r="X595" s="26" t="n">
        <v>1</v>
      </c>
      <c r="Y595" s="25" t="n"/>
      <c r="Z595" s="26" t="n">
        <v>133</v>
      </c>
      <c r="AA595" s="28" t="n">
        <v>0.43</v>
      </c>
      <c r="AB595" s="28" t="n">
        <v>0.000815</v>
      </c>
      <c r="AC595" s="30" t="n">
        <v>-1.25</v>
      </c>
      <c r="AD595" s="24" t="inlineStr">
        <is>
          <t>2026-08-26T12:36:58.162392Z</t>
        </is>
      </c>
      <c r="AE595" s="31" t="inlineStr">
        <is>
          <t>Surface-blended Elo on Hard: Gilles Arnaud Bailly p=0.533 vs Timofey Skatov. Executable ask 0.4300 (aec-atp-timska-gilbai-2026-08-25).</t>
        </is>
      </c>
      <c r="AF595" s="31" t="inlineStr">
        <is>
          <t>Surface-blended Elo model; singles only, WTA+ATP market coverage, not yet locked-holdout qualified -- promoted by explicit operator directive, not genuine walk-forward validation.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Gilles Arnaud Bailly</t>
        </is>
      </c>
      <c r="AQ595" s="24" t="inlineStr">
        <is>
          <t>Gilles Arnaud Bailly</t>
        </is>
      </c>
      <c r="AR595" s="24" t="inlineStr">
        <is>
          <t>Gilles Arnaud Bailly</t>
        </is>
      </c>
      <c r="AS595" s="24" t="inlineStr">
        <is>
          <t>Timofey Skatov</t>
        </is>
      </c>
      <c r="AT595" s="24" t="inlineStr">
        <is>
          <t>Timofey Skatov</t>
        </is>
      </c>
      <c r="AU595" s="24" t="inlineStr">
        <is>
          <t>Timofey Skatov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d777da58446bc099047b154203518e2585ef1a678f613f2b430f2589f7bf5cff</t>
        </is>
      </c>
      <c r="BB595" s="24" t="inlineStr">
        <is>
          <t>surface_blended_elo</t>
        </is>
      </c>
      <c r="BC595" s="24" t="inlineStr">
        <is>
          <t>tennis-surface-elo-v1</t>
        </is>
      </c>
      <c r="BD595" s="24" t="inlineStr">
        <is>
          <t>d777da58446bc099047b154203518e2585ef1a678f613f2b430f2589f7bf5cff</t>
        </is>
      </c>
      <c r="BE595" s="24" t="inlineStr">
        <is>
          <t>tennis-surface-elo-v1</t>
        </is>
      </c>
      <c r="BF595" s="24" t="inlineStr">
        <is>
          <t>1</t>
        </is>
      </c>
      <c r="BG595" s="24" t="inlineStr">
        <is>
          <t>d777da58446bc099047b154203518e2585ef1a678f613f2b430f2589f7bf5cff</t>
        </is>
      </c>
      <c r="BH595" s="24" t="inlineStr">
        <is>
          <t>2026-08-25T13:29:44.043942Z</t>
        </is>
      </c>
      <c r="BI595" s="24" t="inlineStr">
        <is>
          <t>["same_event","same_team_same_day","same_league_same_day"]</t>
        </is>
      </c>
      <c r="BJ595" s="25" t="n"/>
      <c r="BK595" s="26" t="n">
        <v>133</v>
      </c>
      <c r="BL595" s="27" t="n">
        <v>2.33</v>
      </c>
      <c r="BM595" s="28" t="n">
        <v>0.429185</v>
      </c>
      <c r="BN595" s="28" t="n"/>
      <c r="BO595" s="28" t="n"/>
      <c r="BP595" s="25" t="n"/>
      <c r="BQ595" s="27" t="n">
        <v>2.33</v>
      </c>
      <c r="BR595" s="28" t="n">
        <v>0.43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inlineStr">
        <is>
          <t>32a548239f67b25c533495ea14b54d0f8515db57a21aa1e363945cde3865da1e</t>
        </is>
      </c>
      <c r="DE595" s="24" t="inlineStr">
        <is>
          <t>/Users/vincentc9002/model-prediction/data/odds/tennis/2026-08-25/polymarket_snapshots.jsonl</t>
        </is>
      </c>
      <c r="DF595" s="24" t="inlineStr">
        <is>
          <t>506105:2026-08-25T13:29:44.043942Z</t>
        </is>
      </c>
      <c r="DG595" s="24" t="n"/>
      <c r="DH595" s="24" t="n"/>
      <c r="DI595" s="24" t="n"/>
      <c r="DJ595" s="24" t="inlineStr">
        <is>
          <t>0.429185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6a0c2010b38f4cf1</t>
        </is>
      </c>
      <c r="B596" s="24" t="inlineStr">
        <is>
          <t>2026-08-25T13:31:51.589728Z</t>
        </is>
      </c>
      <c r="C596" s="24" t="inlineStr">
        <is>
          <t>2026-08-25T15:00Z</t>
        </is>
      </c>
      <c r="D596" s="24" t="inlineStr">
        <is>
          <t>189-2026:184643</t>
        </is>
      </c>
      <c r="E596" s="24" t="inlineStr">
        <is>
          <t>TENNIS</t>
        </is>
      </c>
      <c r="F596" s="24" t="inlineStr">
        <is>
          <t>Clement Tabur</t>
        </is>
      </c>
      <c r="G596" s="24" t="inlineStr">
        <is>
          <t>Braden Shick</t>
        </is>
      </c>
      <c r="H596" s="24" t="inlineStr">
        <is>
          <t>moneyline</t>
        </is>
      </c>
      <c r="I596" s="24" t="inlineStr">
        <is>
          <t>away</t>
        </is>
      </c>
      <c r="J596" s="25" t="n"/>
      <c r="K596" s="24" t="inlineStr">
        <is>
          <t>polymarket_us</t>
        </is>
      </c>
      <c r="L596" s="26" t="n">
        <v>-144</v>
      </c>
      <c r="M596" s="27" t="n">
        <v>1.694444</v>
      </c>
      <c r="N596" s="28" t="n">
        <v>0.590164</v>
      </c>
      <c r="O596" s="28" t="n">
        <v>0.5431</v>
      </c>
      <c r="P596" s="28" t="n">
        <v>0.05</v>
      </c>
      <c r="Q596" s="28" t="n">
        <v>-0.047064</v>
      </c>
      <c r="R596" s="26" t="n">
        <v>0</v>
      </c>
      <c r="S596" s="29" t="n">
        <v>1</v>
      </c>
      <c r="T596" s="24" t="inlineStr">
        <is>
          <t>tennis-surface-elo-v1</t>
        </is>
      </c>
      <c r="U596" s="24" t="inlineStr">
        <is>
          <t>settled</t>
        </is>
      </c>
      <c r="V596" s="24" t="inlineStr">
        <is>
          <t>loss</t>
        </is>
      </c>
      <c r="W596" s="26" t="n">
        <v>0</v>
      </c>
      <c r="X596" s="26" t="n">
        <v>1</v>
      </c>
      <c r="Y596" s="25" t="n"/>
      <c r="Z596" s="26" t="n">
        <v>-144</v>
      </c>
      <c r="AA596" s="28" t="n">
        <v>0.59</v>
      </c>
      <c r="AB596" s="28" t="n">
        <v>-0.000164</v>
      </c>
      <c r="AC596" s="30" t="n">
        <v>-1</v>
      </c>
      <c r="AD596" s="24" t="inlineStr">
        <is>
          <t>2026-08-26T12:37:00.128811Z</t>
        </is>
      </c>
      <c r="AE596" s="31" t="inlineStr">
        <is>
          <t>Surface-blended Elo on Hard: Clement Tabur p=0.543 vs Braden Shick. Executable ask 0.5900 (aec-atp-brashi-cletab-2026-08-25).</t>
        </is>
      </c>
      <c r="AF596" s="31" t="inlineStr">
        <is>
          <t>Surface-blended Elo model; singles only, WTA+ATP market coverage, not yet locked-holdout qualified -- promoted by explicit operator directive, not genuine walk-forward validation.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Clement Tabur</t>
        </is>
      </c>
      <c r="AQ596" s="24" t="inlineStr">
        <is>
          <t>Clement Tabur</t>
        </is>
      </c>
      <c r="AR596" s="24" t="inlineStr">
        <is>
          <t>Clement Tabur</t>
        </is>
      </c>
      <c r="AS596" s="24" t="inlineStr">
        <is>
          <t>Braden Shick</t>
        </is>
      </c>
      <c r="AT596" s="24" t="inlineStr">
        <is>
          <t>Braden Shick</t>
        </is>
      </c>
      <c r="AU596" s="24" t="inlineStr">
        <is>
          <t>Braden Shick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d777da58446bc099047b154203518e2585ef1a678f613f2b430f2589f7bf5cff</t>
        </is>
      </c>
      <c r="BB596" s="24" t="inlineStr">
        <is>
          <t>surface_blended_elo</t>
        </is>
      </c>
      <c r="BC596" s="24" t="inlineStr">
        <is>
          <t>tennis-surface-elo-v1</t>
        </is>
      </c>
      <c r="BD596" s="24" t="inlineStr">
        <is>
          <t>d777da58446bc099047b154203518e2585ef1a678f613f2b430f2589f7bf5cff</t>
        </is>
      </c>
      <c r="BE596" s="24" t="inlineStr">
        <is>
          <t>tennis-surface-elo-v1</t>
        </is>
      </c>
      <c r="BF596" s="24" t="inlineStr">
        <is>
          <t>1</t>
        </is>
      </c>
      <c r="BG596" s="24" t="inlineStr">
        <is>
          <t>d777da58446bc099047b154203518e2585ef1a678f613f2b430f2589f7bf5cff</t>
        </is>
      </c>
      <c r="BH596" s="24" t="inlineStr">
        <is>
          <t>2026-08-25T13:29:44.335119Z</t>
        </is>
      </c>
      <c r="BI596" s="24" t="inlineStr">
        <is>
          <t>["same_event","same_team_same_day","same_league_same_day"]</t>
        </is>
      </c>
      <c r="BJ596" s="25" t="n"/>
      <c r="BK596" s="26" t="n">
        <v>-144</v>
      </c>
      <c r="BL596" s="27" t="n">
        <v>1.694444</v>
      </c>
      <c r="BM596" s="28" t="n">
        <v>0.590164</v>
      </c>
      <c r="BN596" s="28" t="n"/>
      <c r="BO596" s="28" t="n"/>
      <c r="BP596" s="25" t="n"/>
      <c r="BQ596" s="27" t="n">
        <v>1.694444</v>
      </c>
      <c r="BR596" s="28" t="n">
        <v>0.59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False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inlineStr">
        <is>
          <t>1bd8e233edad084272ce5fed13254b0080cde12d56c28a3947ea320143d2bfa9</t>
        </is>
      </c>
      <c r="DE596" s="24" t="inlineStr">
        <is>
          <t>/Users/vincentc9002/model-prediction/data/odds/tennis/2026-08-25/polymarket_snapshots.jsonl</t>
        </is>
      </c>
      <c r="DF596" s="24" t="inlineStr">
        <is>
          <t>506104:2026-08-25T13:29:44.335119Z</t>
        </is>
      </c>
      <c r="DG596" s="24" t="n"/>
      <c r="DH596" s="24" t="n"/>
      <c r="DI596" s="24" t="n"/>
      <c r="DJ596" s="24" t="inlineStr">
        <is>
          <t>0.590164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b7fc70534aaf422d</t>
        </is>
      </c>
      <c r="B597" s="24" t="inlineStr">
        <is>
          <t>2026-08-25T13:31:51.589728Z</t>
        </is>
      </c>
      <c r="C597" s="24" t="inlineStr">
        <is>
          <t>2026-08-25T16:30Z</t>
        </is>
      </c>
      <c r="D597" s="24" t="inlineStr">
        <is>
          <t>189-2026:184598</t>
        </is>
      </c>
      <c r="E597" s="24" t="inlineStr">
        <is>
          <t>TENNIS</t>
        </is>
      </c>
      <c r="F597" s="24" t="inlineStr">
        <is>
          <t>Sumit Nagal</t>
        </is>
      </c>
      <c r="G597" s="24" t="inlineStr">
        <is>
          <t>Arthur Gea</t>
        </is>
      </c>
      <c r="H597" s="24" t="inlineStr">
        <is>
          <t>moneyline</t>
        </is>
      </c>
      <c r="I597" s="24" t="inlineStr">
        <is>
          <t>home</t>
        </is>
      </c>
      <c r="J597" s="25" t="n"/>
      <c r="K597" s="24" t="inlineStr">
        <is>
          <t>polymarket_us</t>
        </is>
      </c>
      <c r="L597" s="26" t="n">
        <v>-669</v>
      </c>
      <c r="M597" s="27" t="n">
        <v>1.149477</v>
      </c>
      <c r="N597" s="28" t="n">
        <v>0.869961</v>
      </c>
      <c r="O597" s="28" t="n">
        <v>0.6881</v>
      </c>
      <c r="P597" s="28" t="n">
        <v>0.05</v>
      </c>
      <c r="Q597" s="28" t="n">
        <v>-0.181861</v>
      </c>
      <c r="R597" s="26" t="n">
        <v>0</v>
      </c>
      <c r="S597" s="29" t="n">
        <v>1</v>
      </c>
      <c r="T597" s="24" t="inlineStr">
        <is>
          <t>tennis-surface-elo-v1</t>
        </is>
      </c>
      <c r="U597" s="24" t="inlineStr">
        <is>
          <t>settled</t>
        </is>
      </c>
      <c r="V597" s="24" t="inlineStr">
        <is>
          <t>win</t>
        </is>
      </c>
      <c r="W597" s="26" t="n">
        <v>0</v>
      </c>
      <c r="X597" s="26" t="n">
        <v>1</v>
      </c>
      <c r="Y597" s="25" t="n"/>
      <c r="Z597" s="26" t="n">
        <v>-669</v>
      </c>
      <c r="AA597" s="28" t="n">
        <v>0.87</v>
      </c>
      <c r="AB597" s="28" t="n">
        <v>3.9e-05</v>
      </c>
      <c r="AC597" s="30" t="n">
        <v>0.1495</v>
      </c>
      <c r="AD597" s="24" t="inlineStr">
        <is>
          <t>2026-08-26T12:37:02.090915Z</t>
        </is>
      </c>
      <c r="AE597" s="31" t="inlineStr">
        <is>
          <t>Surface-blended Elo on Hard: Sumit Nagal p=0.312 vs Arthur Gea. Executable ask 0.8700 (aec-atp-artgea-sumnag-2026-08-25).</t>
        </is>
      </c>
      <c r="AF597" s="31" t="inlineStr">
        <is>
          <t>Surface-blended Elo model; singles only, WTA+ATP market coverage, not yet locked-holdout qualified -- promoted by explicit operator directive, not genuine walk-forward validation.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Sumit Nagal</t>
        </is>
      </c>
      <c r="AQ597" s="24" t="inlineStr">
        <is>
          <t>Sumit Nagal</t>
        </is>
      </c>
      <c r="AR597" s="24" t="inlineStr">
        <is>
          <t>Sumit Nagal</t>
        </is>
      </c>
      <c r="AS597" s="24" t="inlineStr">
        <is>
          <t>Arthur Gea</t>
        </is>
      </c>
      <c r="AT597" s="24" t="inlineStr">
        <is>
          <t>Arthur Gea</t>
        </is>
      </c>
      <c r="AU597" s="24" t="inlineStr">
        <is>
          <t>Arthur Gea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d777da58446bc099047b154203518e2585ef1a678f613f2b430f2589f7bf5cff</t>
        </is>
      </c>
      <c r="BB597" s="24" t="inlineStr">
        <is>
          <t>surface_blended_elo</t>
        </is>
      </c>
      <c r="BC597" s="24" t="inlineStr">
        <is>
          <t>tennis-surface-elo-v1</t>
        </is>
      </c>
      <c r="BD597" s="24" t="inlineStr">
        <is>
          <t>d777da58446bc099047b154203518e2585ef1a678f613f2b430f2589f7bf5cff</t>
        </is>
      </c>
      <c r="BE597" s="24" t="inlineStr">
        <is>
          <t>tennis-surface-elo-v1</t>
        </is>
      </c>
      <c r="BF597" s="24" t="inlineStr">
        <is>
          <t>1</t>
        </is>
      </c>
      <c r="BG597" s="24" t="inlineStr">
        <is>
          <t>d777da58446bc099047b154203518e2585ef1a678f613f2b430f2589f7bf5cff</t>
        </is>
      </c>
      <c r="BH597" s="24" t="inlineStr">
        <is>
          <t>2026-08-25T13:29:45.399839Z</t>
        </is>
      </c>
      <c r="BI597" s="24" t="inlineStr">
        <is>
          <t>["same_event","same_team_same_day","same_league_same_day"]</t>
        </is>
      </c>
      <c r="BJ597" s="25" t="n"/>
      <c r="BK597" s="26" t="n">
        <v>-669</v>
      </c>
      <c r="BL597" s="27" t="n">
        <v>1.149477</v>
      </c>
      <c r="BM597" s="28" t="n">
        <v>0.869961</v>
      </c>
      <c r="BN597" s="28" t="n"/>
      <c r="BO597" s="28" t="n"/>
      <c r="BP597" s="25" t="n"/>
      <c r="BQ597" s="27" t="n">
        <v>1.149477</v>
      </c>
      <c r="BR597" s="28" t="n">
        <v>0.87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inlineStr">
        <is>
          <t>c6621b52bfff5dc71acb93d906d2a0a899e460ff5a48f7f5aca151f7328bbe9e</t>
        </is>
      </c>
      <c r="DE597" s="24" t="inlineStr">
        <is>
          <t>/Users/vincentc9002/model-prediction/data/odds/tennis/2026-08-25/polymarket_snapshots.jsonl</t>
        </is>
      </c>
      <c r="DF597" s="24" t="inlineStr">
        <is>
          <t>506085:2026-08-25T13:29:45.399839Z</t>
        </is>
      </c>
      <c r="DG597" s="24" t="n"/>
      <c r="DH597" s="24" t="n"/>
      <c r="DI597" s="24" t="n"/>
      <c r="DJ597" s="24" t="inlineStr">
        <is>
          <t>0.869961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28b6cb4fa71c4ffd</t>
        </is>
      </c>
      <c r="B598" s="24" t="inlineStr">
        <is>
          <t>2026-08-25T13:31:51.589728Z</t>
        </is>
      </c>
      <c r="C598" s="24" t="inlineStr">
        <is>
          <t>2026-08-25T16:30Z</t>
        </is>
      </c>
      <c r="D598" s="24" t="inlineStr">
        <is>
          <t>189-2026:184601</t>
        </is>
      </c>
      <c r="E598" s="24" t="inlineStr">
        <is>
          <t>TENNIS</t>
        </is>
      </c>
      <c r="F598" s="24" t="inlineStr">
        <is>
          <t>Nishesh Basavareddy</t>
        </is>
      </c>
      <c r="G598" s="24" t="inlineStr">
        <is>
          <t>Moise Kouame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polymarket_us</t>
        </is>
      </c>
      <c r="L598" s="26" t="n">
        <v>104</v>
      </c>
      <c r="M598" s="27" t="n">
        <v>2.04</v>
      </c>
      <c r="N598" s="28" t="n">
        <v>0.490196</v>
      </c>
      <c r="O598" s="28" t="n">
        <v>0.5968</v>
      </c>
      <c r="P598" s="28" t="n">
        <v>0.05</v>
      </c>
      <c r="Q598" s="28" t="n">
        <v>0.106604</v>
      </c>
      <c r="R598" s="26" t="n">
        <v>73</v>
      </c>
      <c r="S598" s="29" t="n">
        <v>1.5</v>
      </c>
      <c r="T598" s="24" t="inlineStr">
        <is>
          <t>tennis-surface-elo-v1</t>
        </is>
      </c>
      <c r="U598" s="24" t="inlineStr">
        <is>
          <t>settled</t>
        </is>
      </c>
      <c r="V598" s="24" t="inlineStr">
        <is>
          <t>win</t>
        </is>
      </c>
      <c r="W598" s="26" t="n">
        <v>1</v>
      </c>
      <c r="X598" s="26" t="n">
        <v>0</v>
      </c>
      <c r="Y598" s="25" t="n"/>
      <c r="Z598" s="26" t="n">
        <v>104</v>
      </c>
      <c r="AA598" s="28" t="n">
        <v>0.49</v>
      </c>
      <c r="AB598" s="28" t="n">
        <v>-0.000196</v>
      </c>
      <c r="AC598" s="30" t="n">
        <v>1.56</v>
      </c>
      <c r="AD598" s="24" t="inlineStr">
        <is>
          <t>2026-08-26T12:37:04.061348Z</t>
        </is>
      </c>
      <c r="AE598" s="31" t="inlineStr">
        <is>
          <t>Surface-blended Elo on Hard: Nishesh Basavareddy p=0.597 vs Moise Kouame. Executable ask 0.4900 (aec-atp-moikou-nisbas-2026-08-25).</t>
        </is>
      </c>
      <c r="AF598" s="31" t="inlineStr">
        <is>
          <t>Surface-blended Elo model; singles only, WTA+ATP market coverage, not yet locked-holdout qualified -- promoted by explicit operator directive, not genuine walk-forward validation.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Nishesh Basavareddy</t>
        </is>
      </c>
      <c r="AQ598" s="24" t="inlineStr">
        <is>
          <t>Nishesh Basavareddy</t>
        </is>
      </c>
      <c r="AR598" s="24" t="inlineStr">
        <is>
          <t>Nishesh Basavareddy</t>
        </is>
      </c>
      <c r="AS598" s="24" t="inlineStr">
        <is>
          <t>Moise Kouame</t>
        </is>
      </c>
      <c r="AT598" s="24" t="inlineStr">
        <is>
          <t>Moise Kouame</t>
        </is>
      </c>
      <c r="AU598" s="24" t="inlineStr">
        <is>
          <t>Moise Kouame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d777da58446bc099047b154203518e2585ef1a678f613f2b430f2589f7bf5cff</t>
        </is>
      </c>
      <c r="BB598" s="24" t="inlineStr">
        <is>
          <t>surface_blended_elo</t>
        </is>
      </c>
      <c r="BC598" s="24" t="inlineStr">
        <is>
          <t>tennis-surface-elo-v1</t>
        </is>
      </c>
      <c r="BD598" s="24" t="inlineStr">
        <is>
          <t>d777da58446bc099047b154203518e2585ef1a678f613f2b430f2589f7bf5cff</t>
        </is>
      </c>
      <c r="BE598" s="24" t="inlineStr">
        <is>
          <t>tennis-surface-elo-v1</t>
        </is>
      </c>
      <c r="BF598" s="24" t="inlineStr">
        <is>
          <t>1</t>
        </is>
      </c>
      <c r="BG598" s="24" t="inlineStr">
        <is>
          <t>d777da58446bc099047b154203518e2585ef1a678f613f2b430f2589f7bf5cff</t>
        </is>
      </c>
      <c r="BH598" s="24" t="inlineStr">
        <is>
          <t>2026-08-25T13:29:45.667897Z</t>
        </is>
      </c>
      <c r="BI598" s="24" t="inlineStr">
        <is>
          <t>["same_event","same_team_same_day","same_league_same_day"]</t>
        </is>
      </c>
      <c r="BJ598" s="25" t="n"/>
      <c r="BK598" s="26" t="n">
        <v>104</v>
      </c>
      <c r="BL598" s="27" t="n">
        <v>2.04</v>
      </c>
      <c r="BM598" s="28" t="n">
        <v>0.490196</v>
      </c>
      <c r="BN598" s="28" t="n"/>
      <c r="BO598" s="28" t="n"/>
      <c r="BP598" s="25" t="n"/>
      <c r="BQ598" s="27" t="n">
        <v>2.04</v>
      </c>
      <c r="BR598" s="28" t="n">
        <v>0.49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inlineStr">
        <is>
          <t>96d31457918563fe04f2b5be8a0cebc7c4950633f86c8af4f7271d121d2099b2</t>
        </is>
      </c>
      <c r="DE598" s="24" t="inlineStr">
        <is>
          <t>/Users/vincentc9002/model-prediction/data/odds/tennis/2026-08-25/polymarket_snapshots.jsonl</t>
        </is>
      </c>
      <c r="DF598" s="24" t="inlineStr">
        <is>
          <t>506093:2026-08-25T13:29:45.667897Z</t>
        </is>
      </c>
      <c r="DG598" s="24" t="n"/>
      <c r="DH598" s="24" t="n"/>
      <c r="DI598" s="24" t="n"/>
      <c r="DJ598" s="24" t="inlineStr">
        <is>
          <t>0.490196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0819977421394f05</t>
        </is>
      </c>
      <c r="B599" s="24" t="inlineStr">
        <is>
          <t>2026-08-25T13:31:51.589728Z</t>
        </is>
      </c>
      <c r="C599" s="24" t="inlineStr">
        <is>
          <t>2026-08-25T16:30Z</t>
        </is>
      </c>
      <c r="D599" s="24" t="inlineStr">
        <is>
          <t>189-2026:184610</t>
        </is>
      </c>
      <c r="E599" s="24" t="inlineStr">
        <is>
          <t>TENNIS</t>
        </is>
      </c>
      <c r="F599" s="24" t="inlineStr">
        <is>
          <t>Federico Coria</t>
        </is>
      </c>
      <c r="G599" s="24" t="inlineStr">
        <is>
          <t>Clement Chidekh</t>
        </is>
      </c>
      <c r="H599" s="24" t="inlineStr">
        <is>
          <t>moneyline</t>
        </is>
      </c>
      <c r="I599" s="24" t="inlineStr">
        <is>
          <t>home</t>
        </is>
      </c>
      <c r="J599" s="25" t="n"/>
      <c r="K599" s="24" t="inlineStr">
        <is>
          <t>polymarket_us</t>
        </is>
      </c>
      <c r="L599" s="26" t="n">
        <v>-900</v>
      </c>
      <c r="M599" s="27" t="n">
        <v>1.111111</v>
      </c>
      <c r="N599" s="28" t="n">
        <v>0.9</v>
      </c>
      <c r="O599" s="28" t="n">
        <v>0.5706</v>
      </c>
      <c r="P599" s="28" t="n">
        <v>0.05</v>
      </c>
      <c r="Q599" s="28" t="n">
        <v>-0.3294</v>
      </c>
      <c r="R599" s="26" t="n">
        <v>0</v>
      </c>
      <c r="S599" s="29" t="n">
        <v>1</v>
      </c>
      <c r="T599" s="24" t="inlineStr">
        <is>
          <t>tennis-surface-elo-v1</t>
        </is>
      </c>
      <c r="U599" s="24" t="inlineStr">
        <is>
          <t>settled</t>
        </is>
      </c>
      <c r="V599" s="24" t="inlineStr">
        <is>
          <t>win</t>
        </is>
      </c>
      <c r="W599" s="26" t="n">
        <v>0</v>
      </c>
      <c r="X599" s="26" t="n">
        <v>1</v>
      </c>
      <c r="Y599" s="25" t="n"/>
      <c r="Z599" s="26" t="n">
        <v>-900</v>
      </c>
      <c r="AA599" s="28" t="n">
        <v>0.9</v>
      </c>
      <c r="AB599" s="28" t="n">
        <v>0</v>
      </c>
      <c r="AC599" s="30" t="n">
        <v>0.1111</v>
      </c>
      <c r="AD599" s="24" t="inlineStr">
        <is>
          <t>2026-08-26T12:37:06.024721Z</t>
        </is>
      </c>
      <c r="AE599" s="31" t="inlineStr">
        <is>
          <t>Surface-blended Elo on Hard: Federico Coria p=0.429 vs Clement Chidekh. Executable ask 0.9000 (aec-atp-clechi-fedcor-2026-08-25).</t>
        </is>
      </c>
      <c r="AF599" s="31" t="inlineStr">
        <is>
          <t>Surface-blended Elo model; singles only, WTA+ATP market coverage, not yet locked-holdout qualified -- promoted by explicit operator directive, not genuine walk-forward validation.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Federico Coria</t>
        </is>
      </c>
      <c r="AQ599" s="24" t="inlineStr">
        <is>
          <t>Federico Coria</t>
        </is>
      </c>
      <c r="AR599" s="24" t="inlineStr">
        <is>
          <t>Federico Coria</t>
        </is>
      </c>
      <c r="AS599" s="24" t="inlineStr">
        <is>
          <t>Clement Chidekh</t>
        </is>
      </c>
      <c r="AT599" s="24" t="inlineStr">
        <is>
          <t>Clement Chidekh</t>
        </is>
      </c>
      <c r="AU599" s="24" t="inlineStr">
        <is>
          <t>Clement Chidekh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d777da58446bc099047b154203518e2585ef1a678f613f2b430f2589f7bf5cff</t>
        </is>
      </c>
      <c r="BB599" s="24" t="inlineStr">
        <is>
          <t>surface_blended_elo</t>
        </is>
      </c>
      <c r="BC599" s="24" t="inlineStr">
        <is>
          <t>tennis-surface-elo-v1</t>
        </is>
      </c>
      <c r="BD599" s="24" t="inlineStr">
        <is>
          <t>d777da58446bc099047b154203518e2585ef1a678f613f2b430f2589f7bf5cff</t>
        </is>
      </c>
      <c r="BE599" s="24" t="inlineStr">
        <is>
          <t>tennis-surface-elo-v1</t>
        </is>
      </c>
      <c r="BF599" s="24" t="inlineStr">
        <is>
          <t>1</t>
        </is>
      </c>
      <c r="BG599" s="24" t="inlineStr">
        <is>
          <t>d777da58446bc099047b154203518e2585ef1a678f613f2b430f2589f7bf5cff</t>
        </is>
      </c>
      <c r="BH599" s="24" t="inlineStr">
        <is>
          <t>2026-08-25T13:29:44.767129Z</t>
        </is>
      </c>
      <c r="BI599" s="24" t="inlineStr">
        <is>
          <t>["same_event","same_team_same_day","same_league_same_day"]</t>
        </is>
      </c>
      <c r="BJ599" s="25" t="n"/>
      <c r="BK599" s="26" t="n">
        <v>-900</v>
      </c>
      <c r="BL599" s="27" t="n">
        <v>1.111111</v>
      </c>
      <c r="BM599" s="28" t="n">
        <v>0.9</v>
      </c>
      <c r="BN599" s="28" t="n"/>
      <c r="BO599" s="28" t="n"/>
      <c r="BP599" s="25" t="n"/>
      <c r="BQ599" s="27" t="n">
        <v>1.111111</v>
      </c>
      <c r="BR599" s="28" t="n">
        <v>0.9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inlineStr">
        <is>
          <t>727aa2c988204e04cd49bea799f4a79a9bee6a96ffe8bbf08e99fd7db4b0c6ab</t>
        </is>
      </c>
      <c r="DE599" s="24" t="inlineStr">
        <is>
          <t>/Users/vincentc9002/model-prediction/data/odds/tennis/2026-08-25/polymarket_snapshots.jsonl</t>
        </is>
      </c>
      <c r="DF599" s="24" t="inlineStr">
        <is>
          <t>506087:2026-08-25T13:29:44.767129Z</t>
        </is>
      </c>
      <c r="DG599" s="24" t="n"/>
      <c r="DH599" s="24" t="n"/>
      <c r="DI599" s="24" t="n"/>
      <c r="DJ599" s="24" t="inlineStr">
        <is>
          <t>0.9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b77bb8b212cb422e</t>
        </is>
      </c>
      <c r="B600" s="24" t="inlineStr">
        <is>
          <t>2026-08-25T13:31:51.589728Z</t>
        </is>
      </c>
      <c r="C600" s="24" t="inlineStr">
        <is>
          <t>2026-08-25T16:30Z</t>
        </is>
      </c>
      <c r="D600" s="24" t="inlineStr">
        <is>
          <t>189-2026:184611</t>
        </is>
      </c>
      <c r="E600" s="24" t="inlineStr">
        <is>
          <t>TENNIS</t>
        </is>
      </c>
      <c r="F600" s="24" t="inlineStr">
        <is>
          <t>Nikolas Sanchez Izquierdo</t>
        </is>
      </c>
      <c r="G600" s="24" t="inlineStr">
        <is>
          <t>Luka Mikrut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133</v>
      </c>
      <c r="M600" s="27" t="n">
        <v>2.33</v>
      </c>
      <c r="N600" s="28" t="n">
        <v>0.429185</v>
      </c>
      <c r="O600" s="28" t="n">
        <v>0.5545</v>
      </c>
      <c r="P600" s="28" t="n">
        <v>0.05</v>
      </c>
      <c r="Q600" s="28" t="n">
        <v>0.125315</v>
      </c>
      <c r="R600" s="26" t="n">
        <v>83</v>
      </c>
      <c r="S600" s="29" t="n">
        <v>1.5</v>
      </c>
      <c r="T600" s="24" t="inlineStr">
        <is>
          <t>tennis-surface-elo-v1</t>
        </is>
      </c>
      <c r="U600" s="24" t="inlineStr">
        <is>
          <t>settled</t>
        </is>
      </c>
      <c r="V600" s="24" t="inlineStr">
        <is>
          <t>loss</t>
        </is>
      </c>
      <c r="W600" s="26" t="n">
        <v>0</v>
      </c>
      <c r="X600" s="26" t="n">
        <v>1</v>
      </c>
      <c r="Y600" s="25" t="n"/>
      <c r="Z600" s="26" t="n">
        <v>133</v>
      </c>
      <c r="AA600" s="28" t="n">
        <v>0.43</v>
      </c>
      <c r="AB600" s="28" t="n">
        <v>0.000815</v>
      </c>
      <c r="AC600" s="30" t="n">
        <v>-1.5</v>
      </c>
      <c r="AD600" s="24" t="inlineStr">
        <is>
          <t>2026-08-26T12:37:07.985665Z</t>
        </is>
      </c>
      <c r="AE600" s="31" t="inlineStr">
        <is>
          <t>Surface-blended Elo on Hard: Nikolas Sanchez Izquierdo p=0.554 vs Luka Mikrut. Executable ask 0.4300 (aec-atp-lukmik-nikizq-2026-08-25).</t>
        </is>
      </c>
      <c r="AF600" s="31" t="inlineStr">
        <is>
          <t>Surface-blended Elo model; singles only, WTA+ATP market coverage, not yet locked-holdout qualified -- promoted by explicit operator directive, not genuine walk-forward validation.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PAPER_CALL_MODEL_UNVALIDATED</t>
        </is>
      </c>
      <c r="AP600" s="24" t="inlineStr">
        <is>
          <t>Nikolas Sanchez Izquierdo</t>
        </is>
      </c>
      <c r="AQ600" s="24" t="inlineStr">
        <is>
          <t>Nikolas Sanchez Izquierdo</t>
        </is>
      </c>
      <c r="AR600" s="24" t="inlineStr">
        <is>
          <t>Nikolas Sanchez Izquierdo</t>
        </is>
      </c>
      <c r="AS600" s="24" t="inlineStr">
        <is>
          <t>Luka Mikrut</t>
        </is>
      </c>
      <c r="AT600" s="24" t="inlineStr">
        <is>
          <t>Luka Mikrut</t>
        </is>
      </c>
      <c r="AU600" s="24" t="inlineStr">
        <is>
          <t>Luka Mikrut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d777da58446bc099047b154203518e2585ef1a678f613f2b430f2589f7bf5cff</t>
        </is>
      </c>
      <c r="BB600" s="24" t="inlineStr">
        <is>
          <t>surface_blended_elo</t>
        </is>
      </c>
      <c r="BC600" s="24" t="inlineStr">
        <is>
          <t>tennis-surface-elo-v1</t>
        </is>
      </c>
      <c r="BD600" s="24" t="inlineStr">
        <is>
          <t>d777da58446bc099047b154203518e2585ef1a678f613f2b430f2589f7bf5cff</t>
        </is>
      </c>
      <c r="BE600" s="24" t="inlineStr">
        <is>
          <t>tennis-surface-elo-v1</t>
        </is>
      </c>
      <c r="BF600" s="24" t="inlineStr">
        <is>
          <t>1</t>
        </is>
      </c>
      <c r="BG600" s="24" t="inlineStr">
        <is>
          <t>d777da58446bc099047b154203518e2585ef1a678f613f2b430f2589f7bf5cff</t>
        </is>
      </c>
      <c r="BH600" s="24" t="inlineStr">
        <is>
          <t>2026-08-25T13:29:44.915628Z</t>
        </is>
      </c>
      <c r="BI600" s="24" t="inlineStr">
        <is>
          <t>["same_event","same_team_same_day","same_league_same_day"]</t>
        </is>
      </c>
      <c r="BJ600" s="25" t="n"/>
      <c r="BK600" s="26" t="n">
        <v>133</v>
      </c>
      <c r="BL600" s="27" t="n">
        <v>2.33</v>
      </c>
      <c r="BM600" s="28" t="n">
        <v>0.429185</v>
      </c>
      <c r="BN600" s="28" t="n"/>
      <c r="BO600" s="28" t="n"/>
      <c r="BP600" s="25" t="n"/>
      <c r="BQ600" s="27" t="n">
        <v>2.33</v>
      </c>
      <c r="BR600" s="28" t="n">
        <v>0.43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inlineStr">
        <is>
          <t>ba74de35cd576325c502b37195a584f5994f7d8fd7a2997bdf39fa9fe7d742c1</t>
        </is>
      </c>
      <c r="DE600" s="24" t="inlineStr">
        <is>
          <t>/Users/vincentc9002/model-prediction/data/odds/tennis/2026-08-25/polymarket_snapshots.jsonl</t>
        </is>
      </c>
      <c r="DF600" s="24" t="inlineStr">
        <is>
          <t>506090:2026-08-25T13:29:44.915628Z</t>
        </is>
      </c>
      <c r="DG600" s="24" t="n"/>
      <c r="DH600" s="24" t="n"/>
      <c r="DI600" s="24" t="n"/>
      <c r="DJ600" s="24" t="inlineStr">
        <is>
          <t>0.429185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383aa79164a848fa</t>
        </is>
      </c>
      <c r="B601" s="24" t="inlineStr">
        <is>
          <t>2026-08-25T13:31:51.589728Z</t>
        </is>
      </c>
      <c r="C601" s="24" t="inlineStr">
        <is>
          <t>2026-08-25T16:30Z</t>
        </is>
      </c>
      <c r="D601" s="24" t="inlineStr">
        <is>
          <t>189-2026:184616</t>
        </is>
      </c>
      <c r="E601" s="24" t="inlineStr">
        <is>
          <t>TENNIS</t>
        </is>
      </c>
      <c r="F601" s="24" t="inlineStr">
        <is>
          <t>Pablo Llamas Ruiz</t>
        </is>
      </c>
      <c r="G601" s="24" t="inlineStr">
        <is>
          <t>Alex Bolt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-257</v>
      </c>
      <c r="M601" s="27" t="n">
        <v>1.389105</v>
      </c>
      <c r="N601" s="28" t="n">
        <v>0.719888</v>
      </c>
      <c r="O601" s="28" t="n">
        <v>0.5664</v>
      </c>
      <c r="P601" s="28" t="n">
        <v>0.05</v>
      </c>
      <c r="Q601" s="28" t="n">
        <v>-0.153488</v>
      </c>
      <c r="R601" s="26" t="n">
        <v>0</v>
      </c>
      <c r="S601" s="29" t="n">
        <v>1</v>
      </c>
      <c r="T601" s="24" t="inlineStr">
        <is>
          <t>tennis-surface-elo-v1</t>
        </is>
      </c>
      <c r="U601" s="24" t="inlineStr">
        <is>
          <t>settled</t>
        </is>
      </c>
      <c r="V601" s="24" t="inlineStr">
        <is>
          <t>win</t>
        </is>
      </c>
      <c r="W601" s="26" t="n">
        <v>1</v>
      </c>
      <c r="X601" s="26" t="n">
        <v>0</v>
      </c>
      <c r="Y601" s="25" t="n"/>
      <c r="Z601" s="26" t="n">
        <v>-257</v>
      </c>
      <c r="AA601" s="28" t="n">
        <v>0.72</v>
      </c>
      <c r="AB601" s="28" t="n">
        <v>0.000112</v>
      </c>
      <c r="AC601" s="30" t="n">
        <v>0.3891</v>
      </c>
      <c r="AD601" s="24" t="inlineStr">
        <is>
          <t>2026-08-26T12:37:09.961593Z</t>
        </is>
      </c>
      <c r="AE601" s="31" t="inlineStr">
        <is>
          <t>Surface-blended Elo on Hard: Pablo Llamas Ruiz p=0.566 vs Alex Bolt. Executable ask 0.7200 (aec-atp-alebol-pabrui-2026-08-25).</t>
        </is>
      </c>
      <c r="AF601" s="31" t="inlineStr">
        <is>
          <t>Surface-blended Elo model; singles only, WTA+ATP market coverage, not yet locked-holdout qualified -- promoted by explicit operator directive, not genuine walk-forward validation.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Pablo Llamas Ruiz</t>
        </is>
      </c>
      <c r="AQ601" s="24" t="inlineStr">
        <is>
          <t>Pablo Llamas Ruiz</t>
        </is>
      </c>
      <c r="AR601" s="24" t="inlineStr">
        <is>
          <t>Pablo Llamas Ruiz</t>
        </is>
      </c>
      <c r="AS601" s="24" t="inlineStr">
        <is>
          <t>Alex Bolt</t>
        </is>
      </c>
      <c r="AT601" s="24" t="inlineStr">
        <is>
          <t>Alex Bolt</t>
        </is>
      </c>
      <c r="AU601" s="24" t="inlineStr">
        <is>
          <t>Alex Bolt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d777da58446bc099047b154203518e2585ef1a678f613f2b430f2589f7bf5cff</t>
        </is>
      </c>
      <c r="BB601" s="24" t="inlineStr">
        <is>
          <t>surface_blended_elo</t>
        </is>
      </c>
      <c r="BC601" s="24" t="inlineStr">
        <is>
          <t>tennis-surface-elo-v1</t>
        </is>
      </c>
      <c r="BD601" s="24" t="inlineStr">
        <is>
          <t>d777da58446bc099047b154203518e2585ef1a678f613f2b430f2589f7bf5cff</t>
        </is>
      </c>
      <c r="BE601" s="24" t="inlineStr">
        <is>
          <t>tennis-surface-elo-v1</t>
        </is>
      </c>
      <c r="BF601" s="24" t="inlineStr">
        <is>
          <t>1</t>
        </is>
      </c>
      <c r="BG601" s="24" t="inlineStr">
        <is>
          <t>d777da58446bc099047b154203518e2585ef1a678f613f2b430f2589f7bf5cff</t>
        </is>
      </c>
      <c r="BH601" s="24" t="inlineStr">
        <is>
          <t>2026-08-25T13:29:45.319070Z</t>
        </is>
      </c>
      <c r="BI601" s="24" t="inlineStr">
        <is>
          <t>["same_event","same_team_same_day","same_league_same_day"]</t>
        </is>
      </c>
      <c r="BJ601" s="25" t="n"/>
      <c r="BK601" s="26" t="n">
        <v>-257</v>
      </c>
      <c r="BL601" s="27" t="n">
        <v>1.389105</v>
      </c>
      <c r="BM601" s="28" t="n">
        <v>0.719888</v>
      </c>
      <c r="BN601" s="28" t="n"/>
      <c r="BO601" s="28" t="n"/>
      <c r="BP601" s="25" t="n"/>
      <c r="BQ601" s="27" t="n">
        <v>1.389105</v>
      </c>
      <c r="BR601" s="28" t="n">
        <v>0.72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inlineStr">
        <is>
          <t>50ac39ccad24d97c2581df402cf7f911b3c5ad89e26d95cb346cdb7af8436a14</t>
        </is>
      </c>
      <c r="DE601" s="24" t="inlineStr">
        <is>
          <t>/Users/vincentc9002/model-prediction/data/odds/tennis/2026-08-25/polymarket_snapshots.jsonl</t>
        </is>
      </c>
      <c r="DF601" s="24" t="inlineStr">
        <is>
          <t>506129:2026-08-25T13:29:45.319070Z</t>
        </is>
      </c>
      <c r="DG601" s="24" t="n"/>
      <c r="DH601" s="24" t="n"/>
      <c r="DI601" s="24" t="n"/>
      <c r="DJ601" s="24" t="inlineStr">
        <is>
          <t>0.719888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ff3df705ea3a4951</t>
        </is>
      </c>
      <c r="B602" s="24" t="inlineStr">
        <is>
          <t>2026-08-25T13:31:51.589728Z</t>
        </is>
      </c>
      <c r="C602" s="24" t="inlineStr">
        <is>
          <t>2026-08-25T16:30Z</t>
        </is>
      </c>
      <c r="D602" s="24" t="inlineStr">
        <is>
          <t>189-2026:184624</t>
        </is>
      </c>
      <c r="E602" s="24" t="inlineStr">
        <is>
          <t>TENNIS</t>
        </is>
      </c>
      <c r="F602" s="24" t="inlineStr">
        <is>
          <t>Grigor Dimitrov</t>
        </is>
      </c>
      <c r="G602" s="24" t="inlineStr">
        <is>
          <t>Lorenzo Giustino</t>
        </is>
      </c>
      <c r="H602" s="24" t="inlineStr">
        <is>
          <t>moneyline</t>
        </is>
      </c>
      <c r="I602" s="24" t="inlineStr">
        <is>
          <t>away</t>
        </is>
      </c>
      <c r="J602" s="25" t="n"/>
      <c r="K602" s="24" t="inlineStr">
        <is>
          <t>polymarket_us</t>
        </is>
      </c>
      <c r="L602" s="26" t="n">
        <v>-900</v>
      </c>
      <c r="M602" s="27" t="n">
        <v>1.111111</v>
      </c>
      <c r="N602" s="28" t="n">
        <v>0.9</v>
      </c>
      <c r="O602" s="28" t="n">
        <v>0.7022</v>
      </c>
      <c r="P602" s="28" t="n">
        <v>0.05</v>
      </c>
      <c r="Q602" s="28" t="n">
        <v>-0.1978</v>
      </c>
      <c r="R602" s="26" t="n">
        <v>0</v>
      </c>
      <c r="S602" s="29" t="n">
        <v>1</v>
      </c>
      <c r="T602" s="24" t="inlineStr">
        <is>
          <t>tennis-surface-elo-v1</t>
        </is>
      </c>
      <c r="U602" s="24" t="inlineStr">
        <is>
          <t>settled</t>
        </is>
      </c>
      <c r="V602" s="24" t="inlineStr">
        <is>
          <t>win</t>
        </is>
      </c>
      <c r="W602" s="26" t="n">
        <v>1</v>
      </c>
      <c r="X602" s="26" t="n">
        <v>0</v>
      </c>
      <c r="Y602" s="25" t="n"/>
      <c r="Z602" s="26" t="n">
        <v>-900</v>
      </c>
      <c r="AA602" s="28" t="n">
        <v>0.9</v>
      </c>
      <c r="AB602" s="28" t="n">
        <v>0</v>
      </c>
      <c r="AC602" s="30" t="n">
        <v>0.1111</v>
      </c>
      <c r="AD602" s="24" t="inlineStr">
        <is>
          <t>2026-08-26T12:37:11.930160Z</t>
        </is>
      </c>
      <c r="AE602" s="31" t="inlineStr">
        <is>
          <t>Surface-blended Elo on Hard: Grigor Dimitrov p=0.702 vs Lorenzo Giustino. Executable ask 0.9000 (aec-atp-lorgiu-gridim-2026-08-25).</t>
        </is>
      </c>
      <c r="AF602" s="31" t="inlineStr">
        <is>
          <t>Surface-blended Elo model; singles only, WTA+ATP market coverage, not yet locked-holdout qualified -- promoted by explicit operator directive, not genuine walk-forward validation.</t>
        </is>
      </c>
      <c r="AG602" s="24" t="inlineStr">
        <is>
          <t>not_applicable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Grigor Dimitrov</t>
        </is>
      </c>
      <c r="AQ602" s="24" t="inlineStr">
        <is>
          <t>Grigor Dimitrov</t>
        </is>
      </c>
      <c r="AR602" s="24" t="inlineStr">
        <is>
          <t>Grigor Dimitrov</t>
        </is>
      </c>
      <c r="AS602" s="24" t="inlineStr">
        <is>
          <t>Lorenzo Giustino</t>
        </is>
      </c>
      <c r="AT602" s="24" t="inlineStr">
        <is>
          <t>Lorenzo Giustino</t>
        </is>
      </c>
      <c r="AU602" s="24" t="inlineStr">
        <is>
          <t>Lorenzo Giustino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d777da58446bc099047b154203518e2585ef1a678f613f2b430f2589f7bf5cff</t>
        </is>
      </c>
      <c r="BB602" s="24" t="inlineStr">
        <is>
          <t>surface_blended_elo</t>
        </is>
      </c>
      <c r="BC602" s="24" t="inlineStr">
        <is>
          <t>tennis-surface-elo-v1</t>
        </is>
      </c>
      <c r="BD602" s="24" t="inlineStr">
        <is>
          <t>d777da58446bc099047b154203518e2585ef1a678f613f2b430f2589f7bf5cff</t>
        </is>
      </c>
      <c r="BE602" s="24" t="inlineStr">
        <is>
          <t>tennis-surface-elo-v1</t>
        </is>
      </c>
      <c r="BF602" s="24" t="inlineStr">
        <is>
          <t>1</t>
        </is>
      </c>
      <c r="BG602" s="24" t="inlineStr">
        <is>
          <t>d777da58446bc099047b154203518e2585ef1a678f613f2b430f2589f7bf5cff</t>
        </is>
      </c>
      <c r="BH602" s="24" t="inlineStr">
        <is>
          <t>2026-08-25T13:29:45.615926Z</t>
        </is>
      </c>
      <c r="BI602" s="24" t="inlineStr">
        <is>
          <t>["same_event","same_team_same_day","same_league_same_day"]</t>
        </is>
      </c>
      <c r="BJ602" s="25" t="n"/>
      <c r="BK602" s="26" t="n">
        <v>-900</v>
      </c>
      <c r="BL602" s="27" t="n">
        <v>1.111111</v>
      </c>
      <c r="BM602" s="28" t="n">
        <v>0.9</v>
      </c>
      <c r="BN602" s="28" t="n"/>
      <c r="BO602" s="28" t="n"/>
      <c r="BP602" s="25" t="n"/>
      <c r="BQ602" s="27" t="n">
        <v>1.111111</v>
      </c>
      <c r="BR602" s="28" t="n">
        <v>0.9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inlineStr">
        <is>
          <t>79725f3ed045b8ab19f32941f706f060002cebbc78d028e3128e7be84853c870</t>
        </is>
      </c>
      <c r="DE602" s="24" t="inlineStr">
        <is>
          <t>/Users/vincentc9002/model-prediction/data/odds/tennis/2026-08-25/polymarket_snapshots.jsonl</t>
        </is>
      </c>
      <c r="DF602" s="24" t="inlineStr">
        <is>
          <t>506106:2026-08-25T13:29:45.615926Z</t>
        </is>
      </c>
      <c r="DG602" s="24" t="n"/>
      <c r="DH602" s="24" t="n"/>
      <c r="DI602" s="24" t="n"/>
      <c r="DJ602" s="24" t="inlineStr">
        <is>
          <t>0.9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21e8e5fcbdb74beb</t>
        </is>
      </c>
      <c r="B603" s="24" t="inlineStr">
        <is>
          <t>2026-08-25T13:31:51.589728Z</t>
        </is>
      </c>
      <c r="C603" s="24" t="inlineStr">
        <is>
          <t>2026-08-25T16:30Z</t>
        </is>
      </c>
      <c r="D603" s="24" t="inlineStr">
        <is>
          <t>189-2026:184640</t>
        </is>
      </c>
      <c r="E603" s="24" t="inlineStr">
        <is>
          <t>TENNIS</t>
        </is>
      </c>
      <c r="F603" s="24" t="inlineStr">
        <is>
          <t>Michael Mmoh</t>
        </is>
      </c>
      <c r="G603" s="24" t="inlineStr">
        <is>
          <t>Henrique Rocha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133</v>
      </c>
      <c r="M603" s="27" t="n">
        <v>2.33</v>
      </c>
      <c r="N603" s="28" t="n">
        <v>0.429185</v>
      </c>
      <c r="O603" s="28" t="n">
        <v>0.5667</v>
      </c>
      <c r="P603" s="28" t="n">
        <v>0.05</v>
      </c>
      <c r="Q603" s="28" t="n">
        <v>0.137515</v>
      </c>
      <c r="R603" s="26" t="n">
        <v>89</v>
      </c>
      <c r="S603" s="29" t="n">
        <v>1.5</v>
      </c>
      <c r="T603" s="24" t="inlineStr">
        <is>
          <t>tennis-surface-elo-v1</t>
        </is>
      </c>
      <c r="U603" s="24" t="inlineStr">
        <is>
          <t>settled</t>
        </is>
      </c>
      <c r="V603" s="24" t="inlineStr">
        <is>
          <t>loss</t>
        </is>
      </c>
      <c r="W603" s="26" t="n">
        <v>0</v>
      </c>
      <c r="X603" s="26" t="n">
        <v>1</v>
      </c>
      <c r="Y603" s="25" t="n"/>
      <c r="Z603" s="26" t="n">
        <v>133</v>
      </c>
      <c r="AA603" s="28" t="n">
        <v>0.43</v>
      </c>
      <c r="AB603" s="28" t="n">
        <v>0.000815</v>
      </c>
      <c r="AC603" s="30" t="n">
        <v>-1.5</v>
      </c>
      <c r="AD603" s="24" t="inlineStr">
        <is>
          <t>2026-08-26T12:37:13.897521Z</t>
        </is>
      </c>
      <c r="AE603" s="31" t="inlineStr">
        <is>
          <t>Surface-blended Elo on Hard: Michael Mmoh p=0.567 vs Henrique Rocha. Executable ask 0.4300 (aec-atp-henroc-micmmo-2026-08-25).</t>
        </is>
      </c>
      <c r="AF603" s="31" t="inlineStr">
        <is>
          <t>Surface-blended Elo model; singles only, WTA+ATP market coverage, not yet locked-holdout qualified -- promoted by explicit operator directive, not genuine walk-forward validation.</t>
        </is>
      </c>
      <c r="AG603" s="24" t="inlineStr">
        <is>
          <t>review_required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Michael Mmoh</t>
        </is>
      </c>
      <c r="AQ603" s="24" t="inlineStr">
        <is>
          <t>Michael Mmoh</t>
        </is>
      </c>
      <c r="AR603" s="24" t="inlineStr">
        <is>
          <t>Michael Mmoh</t>
        </is>
      </c>
      <c r="AS603" s="24" t="inlineStr">
        <is>
          <t>Henrique Rocha</t>
        </is>
      </c>
      <c r="AT603" s="24" t="inlineStr">
        <is>
          <t>Henrique Rocha</t>
        </is>
      </c>
      <c r="AU603" s="24" t="inlineStr">
        <is>
          <t>Henrique Rocha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d777da58446bc099047b154203518e2585ef1a678f613f2b430f2589f7bf5cff</t>
        </is>
      </c>
      <c r="BB603" s="24" t="inlineStr">
        <is>
          <t>surface_blended_elo</t>
        </is>
      </c>
      <c r="BC603" s="24" t="inlineStr">
        <is>
          <t>tennis-surface-elo-v1</t>
        </is>
      </c>
      <c r="BD603" s="24" t="inlineStr">
        <is>
          <t>d777da58446bc099047b154203518e2585ef1a678f613f2b430f2589f7bf5cff</t>
        </is>
      </c>
      <c r="BE603" s="24" t="inlineStr">
        <is>
          <t>tennis-surface-elo-v1</t>
        </is>
      </c>
      <c r="BF603" s="24" t="inlineStr">
        <is>
          <t>1</t>
        </is>
      </c>
      <c r="BG603" s="24" t="inlineStr">
        <is>
          <t>d777da58446bc099047b154203518e2585ef1a678f613f2b430f2589f7bf5cff</t>
        </is>
      </c>
      <c r="BH603" s="24" t="inlineStr">
        <is>
          <t>2026-08-25T13:29:45.079182Z</t>
        </is>
      </c>
      <c r="BI603" s="24" t="inlineStr">
        <is>
          <t>["same_event","same_team_same_day","same_league_same_day"]</t>
        </is>
      </c>
      <c r="BJ603" s="25" t="n"/>
      <c r="BK603" s="26" t="n">
        <v>133</v>
      </c>
      <c r="BL603" s="27" t="n">
        <v>2.33</v>
      </c>
      <c r="BM603" s="28" t="n">
        <v>0.429185</v>
      </c>
      <c r="BN603" s="28" t="n"/>
      <c r="BO603" s="28" t="n"/>
      <c r="BP603" s="25" t="n"/>
      <c r="BQ603" s="27" t="n">
        <v>2.33</v>
      </c>
      <c r="BR603" s="28" t="n">
        <v>0.43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inlineStr">
        <is>
          <t>09b165ab294d6de3b2fbd1bac390c7bd8e41a1d52079473430404a519f9070b2</t>
        </is>
      </c>
      <c r="DE603" s="24" t="inlineStr">
        <is>
          <t>/Users/vincentc9002/model-prediction/data/odds/tennis/2026-08-25/polymarket_snapshots.jsonl</t>
        </is>
      </c>
      <c r="DF603" s="24" t="inlineStr">
        <is>
          <t>506123:2026-08-25T13:29:45.079182Z</t>
        </is>
      </c>
      <c r="DG603" s="24" t="n"/>
      <c r="DH603" s="24" t="n"/>
      <c r="DI603" s="24" t="n"/>
      <c r="DJ603" s="24" t="inlineStr">
        <is>
          <t>0.429185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5c35296f261b4f47</t>
        </is>
      </c>
      <c r="B604" s="24" t="inlineStr">
        <is>
          <t>2026-08-25T13:31:51.589728Z</t>
        </is>
      </c>
      <c r="C604" s="24" t="inlineStr">
        <is>
          <t>2026-08-25T16:30Z</t>
        </is>
      </c>
      <c r="D604" s="24" t="inlineStr">
        <is>
          <t>189-2026:184641</t>
        </is>
      </c>
      <c r="E604" s="24" t="inlineStr">
        <is>
          <t>TENNIS</t>
        </is>
      </c>
      <c r="F604" s="24" t="inlineStr">
        <is>
          <t>Lloyd Harris</t>
        </is>
      </c>
      <c r="G604" s="24" t="inlineStr">
        <is>
          <t>Bernard Tomic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-213</v>
      </c>
      <c r="M604" s="27" t="n">
        <v>1.469484</v>
      </c>
      <c r="N604" s="28" t="n">
        <v>0.680511</v>
      </c>
      <c r="O604" s="28" t="n">
        <v>0.6075</v>
      </c>
      <c r="P604" s="28" t="n">
        <v>0.05</v>
      </c>
      <c r="Q604" s="28" t="n">
        <v>-0.07301100000000001</v>
      </c>
      <c r="R604" s="26" t="n">
        <v>0</v>
      </c>
      <c r="S604" s="29" t="n">
        <v>1</v>
      </c>
      <c r="T604" s="24" t="inlineStr">
        <is>
          <t>tennis-surface-elo-v1</t>
        </is>
      </c>
      <c r="U604" s="24" t="inlineStr">
        <is>
          <t>settled</t>
        </is>
      </c>
      <c r="V604" s="24" t="inlineStr">
        <is>
          <t>win</t>
        </is>
      </c>
      <c r="W604" s="26" t="n">
        <v>1</v>
      </c>
      <c r="X604" s="26" t="n">
        <v>0</v>
      </c>
      <c r="Y604" s="25" t="n"/>
      <c r="Z604" s="26" t="n">
        <v>-213</v>
      </c>
      <c r="AA604" s="28" t="n">
        <v>0.68</v>
      </c>
      <c r="AB604" s="28" t="n">
        <v>-0.000511</v>
      </c>
      <c r="AC604" s="30" t="n">
        <v>0.4695</v>
      </c>
      <c r="AD604" s="24" t="inlineStr">
        <is>
          <t>2026-08-26T12:37:15.869495Z</t>
        </is>
      </c>
      <c r="AE604" s="31" t="inlineStr">
        <is>
          <t>Surface-blended Elo on Hard: Lloyd Harris p=0.608 vs Bernard Tomic. Executable ask 0.6800 (aec-atp-bertom-llohar-2026-08-25).</t>
        </is>
      </c>
      <c r="AF604" s="31" t="inlineStr">
        <is>
          <t>Surface-blended Elo model; singles only, WTA+ATP market coverage, not yet locked-holdout qualified -- promoted by explicit operator directive, not genuine walk-forward validation.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Lloyd Harris</t>
        </is>
      </c>
      <c r="AQ604" s="24" t="inlineStr">
        <is>
          <t>Lloyd Harris</t>
        </is>
      </c>
      <c r="AR604" s="24" t="inlineStr">
        <is>
          <t>Lloyd Harris</t>
        </is>
      </c>
      <c r="AS604" s="24" t="inlineStr">
        <is>
          <t>Bernard Tomic</t>
        </is>
      </c>
      <c r="AT604" s="24" t="inlineStr">
        <is>
          <t>Bernard Tomic</t>
        </is>
      </c>
      <c r="AU604" s="24" t="inlineStr">
        <is>
          <t>Bernard Tomic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d777da58446bc099047b154203518e2585ef1a678f613f2b430f2589f7bf5cff</t>
        </is>
      </c>
      <c r="BB604" s="24" t="inlineStr">
        <is>
          <t>surface_blended_elo</t>
        </is>
      </c>
      <c r="BC604" s="24" t="inlineStr">
        <is>
          <t>tennis-surface-elo-v1</t>
        </is>
      </c>
      <c r="BD604" s="24" t="inlineStr">
        <is>
          <t>d777da58446bc099047b154203518e2585ef1a678f613f2b430f2589f7bf5cff</t>
        </is>
      </c>
      <c r="BE604" s="24" t="inlineStr">
        <is>
          <t>tennis-surface-elo-v1</t>
        </is>
      </c>
      <c r="BF604" s="24" t="inlineStr">
        <is>
          <t>1</t>
        </is>
      </c>
      <c r="BG604" s="24" t="inlineStr">
        <is>
          <t>d777da58446bc099047b154203518e2585ef1a678f613f2b430f2589f7bf5cff</t>
        </is>
      </c>
      <c r="BH604" s="24" t="inlineStr">
        <is>
          <t>2026-08-25T13:29:44.538111Z</t>
        </is>
      </c>
      <c r="BI604" s="24" t="inlineStr">
        <is>
          <t>["same_event","same_team_same_day","same_league_same_day"]</t>
        </is>
      </c>
      <c r="BJ604" s="25" t="n"/>
      <c r="BK604" s="26" t="n">
        <v>-213</v>
      </c>
      <c r="BL604" s="27" t="n">
        <v>1.469484</v>
      </c>
      <c r="BM604" s="28" t="n">
        <v>0.680511</v>
      </c>
      <c r="BN604" s="28" t="n"/>
      <c r="BO604" s="28" t="n"/>
      <c r="BP604" s="25" t="n"/>
      <c r="BQ604" s="27" t="n">
        <v>1.469484</v>
      </c>
      <c r="BR604" s="28" t="n">
        <v>0.68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inlineStr">
        <is>
          <t>9ec634b650e097a4f53a4b44ee17b09f3eb503a10b64b46fefaffe7e5acd779a</t>
        </is>
      </c>
      <c r="DE604" s="24" t="inlineStr">
        <is>
          <t>/Users/vincentc9002/model-prediction/data/odds/tennis/2026-08-25/polymarket_snapshots.jsonl</t>
        </is>
      </c>
      <c r="DF604" s="24" t="inlineStr">
        <is>
          <t>506125:2026-08-25T13:29:44.538111Z</t>
        </is>
      </c>
      <c r="DG604" s="24" t="n"/>
      <c r="DH604" s="24" t="n"/>
      <c r="DI604" s="24" t="n"/>
      <c r="DJ604" s="24" t="inlineStr">
        <is>
          <t>0.680511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8de65d6126f34964</t>
        </is>
      </c>
      <c r="B605" s="24" t="inlineStr">
        <is>
          <t>2026-08-25T13:31:51.589728Z</t>
        </is>
      </c>
      <c r="C605" s="24" t="inlineStr">
        <is>
          <t>2026-08-25T16:30Z</t>
        </is>
      </c>
      <c r="D605" s="24" t="inlineStr">
        <is>
          <t>189-2026:184642</t>
        </is>
      </c>
      <c r="E605" s="24" t="inlineStr">
        <is>
          <t>TENNIS</t>
        </is>
      </c>
      <c r="F605" s="24" t="inlineStr">
        <is>
          <t>Vitaliy Sachko</t>
        </is>
      </c>
      <c r="G605" s="24" t="inlineStr">
        <is>
          <t>Gauthier Onclin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polymarket_us</t>
        </is>
      </c>
      <c r="L605" s="26" t="n">
        <v>-233</v>
      </c>
      <c r="M605" s="27" t="n">
        <v>1.429185</v>
      </c>
      <c r="N605" s="28" t="n">
        <v>0.6997</v>
      </c>
      <c r="O605" s="28" t="n">
        <v>0.5596</v>
      </c>
      <c r="P605" s="28" t="n">
        <v>0.05</v>
      </c>
      <c r="Q605" s="28" t="n">
        <v>-0.1401</v>
      </c>
      <c r="R605" s="26" t="n">
        <v>0</v>
      </c>
      <c r="S605" s="29" t="n">
        <v>1</v>
      </c>
      <c r="T605" s="24" t="inlineStr">
        <is>
          <t>tennis-surface-elo-v1</t>
        </is>
      </c>
      <c r="U605" s="24" t="inlineStr">
        <is>
          <t>settled</t>
        </is>
      </c>
      <c r="V605" s="24" t="inlineStr">
        <is>
          <t>loss</t>
        </is>
      </c>
      <c r="W605" s="26" t="n">
        <v>1</v>
      </c>
      <c r="X605" s="26" t="n">
        <v>0</v>
      </c>
      <c r="Y605" s="25" t="n"/>
      <c r="Z605" s="26" t="n">
        <v>-233</v>
      </c>
      <c r="AA605" s="28" t="n">
        <v>0.7</v>
      </c>
      <c r="AB605" s="28" t="n">
        <v>0.0003</v>
      </c>
      <c r="AC605" s="30" t="n">
        <v>-1</v>
      </c>
      <c r="AD605" s="24" t="inlineStr">
        <is>
          <t>2026-08-26T12:37:17.837930Z</t>
        </is>
      </c>
      <c r="AE605" s="31" t="inlineStr">
        <is>
          <t>Surface-blended Elo on Hard: Vitaliy Sachko p=0.440 vs Gauthier Onclin. Executable ask 0.7000 (aec-atp-gauonc-vitsac-2026-08-25).</t>
        </is>
      </c>
      <c r="AF605" s="31" t="inlineStr">
        <is>
          <t>Surface-blended Elo model; singles only, WTA+ATP market coverage, not yet locked-holdout qualified -- promoted by explicit operator directive, not genuine walk-forward validation.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Vitaliy Sachko</t>
        </is>
      </c>
      <c r="AQ605" s="24" t="inlineStr">
        <is>
          <t>Vitaliy Sachko</t>
        </is>
      </c>
      <c r="AR605" s="24" t="inlineStr">
        <is>
          <t>Vitaliy Sachko</t>
        </is>
      </c>
      <c r="AS605" s="24" t="inlineStr">
        <is>
          <t>Gauthier Onclin</t>
        </is>
      </c>
      <c r="AT605" s="24" t="inlineStr">
        <is>
          <t>Gauthier Onclin</t>
        </is>
      </c>
      <c r="AU605" s="24" t="inlineStr">
        <is>
          <t>Gauthier Onclin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d777da58446bc099047b154203518e2585ef1a678f613f2b430f2589f7bf5cff</t>
        </is>
      </c>
      <c r="BB605" s="24" t="inlineStr">
        <is>
          <t>surface_blended_elo</t>
        </is>
      </c>
      <c r="BC605" s="24" t="inlineStr">
        <is>
          <t>tennis-surface-elo-v1</t>
        </is>
      </c>
      <c r="BD605" s="24" t="inlineStr">
        <is>
          <t>d777da58446bc099047b154203518e2585ef1a678f613f2b430f2589f7bf5cff</t>
        </is>
      </c>
      <c r="BE605" s="24" t="inlineStr">
        <is>
          <t>tennis-surface-elo-v1</t>
        </is>
      </c>
      <c r="BF605" s="24" t="inlineStr">
        <is>
          <t>1</t>
        </is>
      </c>
      <c r="BG605" s="24" t="inlineStr">
        <is>
          <t>d777da58446bc099047b154203518e2585ef1a678f613f2b430f2589f7bf5cff</t>
        </is>
      </c>
      <c r="BH605" s="24" t="inlineStr">
        <is>
          <t>2026-08-25T13:29:45.199167Z</t>
        </is>
      </c>
      <c r="BI605" s="24" t="inlineStr">
        <is>
          <t>["same_event","same_team_same_day","same_league_same_day"]</t>
        </is>
      </c>
      <c r="BJ605" s="25" t="n"/>
      <c r="BK605" s="26" t="n">
        <v>-233</v>
      </c>
      <c r="BL605" s="27" t="n">
        <v>1.429185</v>
      </c>
      <c r="BM605" s="28" t="n">
        <v>0.6997</v>
      </c>
      <c r="BN605" s="28" t="n"/>
      <c r="BO605" s="28" t="n"/>
      <c r="BP605" s="25" t="n"/>
      <c r="BQ605" s="27" t="n">
        <v>1.429185</v>
      </c>
      <c r="BR605" s="28" t="n">
        <v>0.7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inlineStr">
        <is>
          <t>bf4e9c924bc42e031ad48aa64054cca85f4b0f30342d8483a320ab36e718a50d</t>
        </is>
      </c>
      <c r="DE605" s="24" t="inlineStr">
        <is>
          <t>/Users/vincentc9002/model-prediction/data/odds/tennis/2026-08-25/polymarket_snapshots.jsonl</t>
        </is>
      </c>
      <c r="DF605" s="24" t="inlineStr">
        <is>
          <t>506126:2026-08-25T13:29:45.199167Z</t>
        </is>
      </c>
      <c r="DG605" s="24" t="n"/>
      <c r="DH605" s="24" t="n"/>
      <c r="DI605" s="24" t="n"/>
      <c r="DJ605" s="24" t="inlineStr">
        <is>
          <t>0.6997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8fcdc7a290df4db2</t>
        </is>
      </c>
      <c r="B606" s="24" t="inlineStr">
        <is>
          <t>2026-08-25T13:31:51.589728Z</t>
        </is>
      </c>
      <c r="C606" s="24" t="inlineStr">
        <is>
          <t>2026-08-25T18:00Z</t>
        </is>
      </c>
      <c r="D606" s="24" t="inlineStr">
        <is>
          <t>189-2026:184609</t>
        </is>
      </c>
      <c r="E606" s="24" t="inlineStr">
        <is>
          <t>TENNIS</t>
        </is>
      </c>
      <c r="F606" s="24" t="inlineStr">
        <is>
          <t>Tristan Boyer</t>
        </is>
      </c>
      <c r="G606" s="24" t="inlineStr">
        <is>
          <t>Andre Ilagan</t>
        </is>
      </c>
      <c r="H606" s="24" t="inlineStr">
        <is>
          <t>moneyline</t>
        </is>
      </c>
      <c r="I606" s="24" t="inlineStr">
        <is>
          <t>away</t>
        </is>
      </c>
      <c r="J606" s="25" t="n"/>
      <c r="K606" s="24" t="inlineStr">
        <is>
          <t>polymarket_us</t>
        </is>
      </c>
      <c r="L606" s="26" t="n">
        <v>-104</v>
      </c>
      <c r="M606" s="27" t="n">
        <v>1.961538</v>
      </c>
      <c r="N606" s="28" t="n">
        <v>0.509804</v>
      </c>
      <c r="O606" s="28" t="n">
        <v>0.532</v>
      </c>
      <c r="P606" s="28" t="n">
        <v>0.05</v>
      </c>
      <c r="Q606" s="28" t="n">
        <v>0.022196</v>
      </c>
      <c r="R606" s="26" t="n">
        <v>31</v>
      </c>
      <c r="S606" s="29" t="n">
        <v>1</v>
      </c>
      <c r="T606" s="24" t="inlineStr">
        <is>
          <t>tennis-surface-elo-v1</t>
        </is>
      </c>
      <c r="U606" s="24" t="inlineStr">
        <is>
          <t>settled</t>
        </is>
      </c>
      <c r="V606" s="24" t="inlineStr">
        <is>
          <t>loss</t>
        </is>
      </c>
      <c r="W606" s="26" t="n">
        <v>0</v>
      </c>
      <c r="X606" s="26" t="n">
        <v>1</v>
      </c>
      <c r="Y606" s="25" t="n"/>
      <c r="Z606" s="26" t="n">
        <v>-104</v>
      </c>
      <c r="AA606" s="28" t="n">
        <v>0.51</v>
      </c>
      <c r="AB606" s="28" t="n">
        <v>0.000196</v>
      </c>
      <c r="AC606" s="30" t="n">
        <v>-1</v>
      </c>
      <c r="AD606" s="24" t="inlineStr">
        <is>
          <t>2026-08-26T12:37:19.824303Z</t>
        </is>
      </c>
      <c r="AE606" s="31" t="inlineStr">
        <is>
          <t>Surface-blended Elo on Hard: Tristan Boyer p=0.532 vs Andre Ilagan. Executable ask 0.5100 (aec-atp-andila-triboy-2026-08-25).</t>
        </is>
      </c>
      <c r="AF606" s="31" t="inlineStr">
        <is>
          <t>Surface-blended Elo model; singles only, WTA+ATP market coverage, not yet locked-holdout qualified -- promoted by explicit operator directive, not genuine walk-forward validation.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PAPER_CALL_MODEL_UNVALIDATED</t>
        </is>
      </c>
      <c r="AP606" s="24" t="inlineStr">
        <is>
          <t>Tristan Boyer</t>
        </is>
      </c>
      <c r="AQ606" s="24" t="inlineStr">
        <is>
          <t>Tristan Boyer</t>
        </is>
      </c>
      <c r="AR606" s="24" t="inlineStr">
        <is>
          <t>Tristan Boyer</t>
        </is>
      </c>
      <c r="AS606" s="24" t="inlineStr">
        <is>
          <t>Andre Ilagan</t>
        </is>
      </c>
      <c r="AT606" s="24" t="inlineStr">
        <is>
          <t>Andre Ilagan</t>
        </is>
      </c>
      <c r="AU606" s="24" t="inlineStr">
        <is>
          <t>Andre Ilagan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d777da58446bc099047b154203518e2585ef1a678f613f2b430f2589f7bf5cff</t>
        </is>
      </c>
      <c r="BB606" s="24" t="inlineStr">
        <is>
          <t>surface_blended_elo</t>
        </is>
      </c>
      <c r="BC606" s="24" t="inlineStr">
        <is>
          <t>tennis-surface-elo-v1</t>
        </is>
      </c>
      <c r="BD606" s="24" t="inlineStr">
        <is>
          <t>d777da58446bc099047b154203518e2585ef1a678f613f2b430f2589f7bf5cff</t>
        </is>
      </c>
      <c r="BE606" s="24" t="inlineStr">
        <is>
          <t>tennis-surface-elo-v1</t>
        </is>
      </c>
      <c r="BF606" s="24" t="inlineStr">
        <is>
          <t>1</t>
        </is>
      </c>
      <c r="BG606" s="24" t="inlineStr">
        <is>
          <t>d777da58446bc099047b154203518e2585ef1a678f613f2b430f2589f7bf5cff</t>
        </is>
      </c>
      <c r="BH606" s="24" t="inlineStr">
        <is>
          <t>2026-08-25T13:29:46.537348Z</t>
        </is>
      </c>
      <c r="BI606" s="24" t="inlineStr">
        <is>
          <t>["same_event","same_team_same_day","same_league_same_day"]</t>
        </is>
      </c>
      <c r="BJ606" s="25" t="n"/>
      <c r="BK606" s="26" t="n">
        <v>-104</v>
      </c>
      <c r="BL606" s="27" t="n">
        <v>1.961538</v>
      </c>
      <c r="BM606" s="28" t="n">
        <v>0.509804</v>
      </c>
      <c r="BN606" s="28" t="n"/>
      <c r="BO606" s="28" t="n"/>
      <c r="BP606" s="25" t="n"/>
      <c r="BQ606" s="27" t="n">
        <v>1.961538</v>
      </c>
      <c r="BR606" s="28" t="n">
        <v>0.51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inlineStr">
        <is>
          <t>88ff0c7159bf675716b2df228c808c75a0d726acee68eef3b908f364b5941db1</t>
        </is>
      </c>
      <c r="DE606" s="24" t="inlineStr">
        <is>
          <t>/Users/vincentc9002/model-prediction/data/odds/tennis/2026-08-25/polymarket_snapshots.jsonl</t>
        </is>
      </c>
      <c r="DF606" s="24" t="inlineStr">
        <is>
          <t>506100:2026-08-25T13:29:46.537348Z</t>
        </is>
      </c>
      <c r="DG606" s="24" t="n"/>
      <c r="DH606" s="24" t="n"/>
      <c r="DI606" s="24" t="n"/>
      <c r="DJ606" s="24" t="inlineStr">
        <is>
          <t>0.509804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bec727ec3e6142a1</t>
        </is>
      </c>
      <c r="B607" s="24" t="inlineStr">
        <is>
          <t>2026-08-25T13:31:51.589728Z</t>
        </is>
      </c>
      <c r="C607" s="24" t="inlineStr">
        <is>
          <t>2026-08-25T18:00Z</t>
        </is>
      </c>
      <c r="D607" s="24" t="inlineStr">
        <is>
          <t>189-2026:184649</t>
        </is>
      </c>
      <c r="E607" s="24" t="inlineStr">
        <is>
          <t>TENNIS</t>
        </is>
      </c>
      <c r="F607" s="24" t="inlineStr">
        <is>
          <t>Christopher O'Connell</t>
        </is>
      </c>
      <c r="G607" s="24" t="inlineStr">
        <is>
          <t>Stefanos Sakellaridis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-156</v>
      </c>
      <c r="M607" s="27" t="n">
        <v>1.641026</v>
      </c>
      <c r="N607" s="28" t="n">
        <v>0.609375</v>
      </c>
      <c r="O607" s="28" t="n">
        <v>0.6036</v>
      </c>
      <c r="P607" s="28" t="n">
        <v>0.05</v>
      </c>
      <c r="Q607" s="28" t="n">
        <v>-0.005775</v>
      </c>
      <c r="R607" s="26" t="n">
        <v>17</v>
      </c>
      <c r="S607" s="29" t="n">
        <v>1</v>
      </c>
      <c r="T607" s="24" t="inlineStr">
        <is>
          <t>tennis-surface-elo-v1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-156</v>
      </c>
      <c r="AA607" s="28" t="n">
        <v>0.61</v>
      </c>
      <c r="AB607" s="28" t="n">
        <v>0.000625</v>
      </c>
      <c r="AC607" s="30" t="n">
        <v>0.641</v>
      </c>
      <c r="AD607" s="24" t="inlineStr">
        <is>
          <t>2026-08-26T12:37:21.850187Z</t>
        </is>
      </c>
      <c r="AE607" s="31" t="inlineStr">
        <is>
          <t>Surface-blended Elo on Hard: Christopher O'Connell p=0.604 vs Stefanos Sakellaridis. Executable ask 0.6100 (aec-atp-stesak-chroco-2026-08-25).</t>
        </is>
      </c>
      <c r="AF607" s="31" t="inlineStr">
        <is>
          <t>Surface-blended Elo model; singles only, WTA+ATP market coverage, not yet locked-holdout qualified -- promoted by explicit operator directive, not genuine walk-forward validation.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Christopher O'Connell</t>
        </is>
      </c>
      <c r="AQ607" s="24" t="inlineStr">
        <is>
          <t>Christopher O'Connell</t>
        </is>
      </c>
      <c r="AR607" s="24" t="inlineStr">
        <is>
          <t>Christopher O'Connell</t>
        </is>
      </c>
      <c r="AS607" s="24" t="inlineStr">
        <is>
          <t>Stefanos Sakellaridis</t>
        </is>
      </c>
      <c r="AT607" s="24" t="inlineStr">
        <is>
          <t>Stefanos Sakellaridis</t>
        </is>
      </c>
      <c r="AU607" s="24" t="inlineStr">
        <is>
          <t>Stefanos Sakellaridis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d777da58446bc099047b154203518e2585ef1a678f613f2b430f2589f7bf5cff</t>
        </is>
      </c>
      <c r="BB607" s="24" t="inlineStr">
        <is>
          <t>surface_blended_elo</t>
        </is>
      </c>
      <c r="BC607" s="24" t="inlineStr">
        <is>
          <t>tennis-surface-elo-v1</t>
        </is>
      </c>
      <c r="BD607" s="24" t="inlineStr">
        <is>
          <t>d777da58446bc099047b154203518e2585ef1a678f613f2b430f2589f7bf5cff</t>
        </is>
      </c>
      <c r="BE607" s="24" t="inlineStr">
        <is>
          <t>tennis-surface-elo-v1</t>
        </is>
      </c>
      <c r="BF607" s="24" t="inlineStr">
        <is>
          <t>1</t>
        </is>
      </c>
      <c r="BG607" s="24" t="inlineStr">
        <is>
          <t>d777da58446bc099047b154203518e2585ef1a678f613f2b430f2589f7bf5cff</t>
        </is>
      </c>
      <c r="BH607" s="24" t="inlineStr">
        <is>
          <t>2026-08-25T13:29:46.425472Z</t>
        </is>
      </c>
      <c r="BI607" s="24" t="inlineStr">
        <is>
          <t>["same_event","same_team_same_day","same_league_same_day"]</t>
        </is>
      </c>
      <c r="BJ607" s="25" t="n"/>
      <c r="BK607" s="26" t="n">
        <v>-156</v>
      </c>
      <c r="BL607" s="27" t="n">
        <v>1.641026</v>
      </c>
      <c r="BM607" s="28" t="n">
        <v>0.609375</v>
      </c>
      <c r="BN607" s="28" t="n"/>
      <c r="BO607" s="28" t="n"/>
      <c r="BP607" s="25" t="n"/>
      <c r="BQ607" s="27" t="n">
        <v>1.641026</v>
      </c>
      <c r="BR607" s="28" t="n">
        <v>0.61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False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inlineStr">
        <is>
          <t>ffc43e7bebd8da3698a45524709ad308036133fa854f182a9204ff1e5956a907</t>
        </is>
      </c>
      <c r="DE607" s="24" t="inlineStr">
        <is>
          <t>/Users/vincentc9002/model-prediction/data/odds/tennis/2026-08-25/polymarket_snapshots.jsonl</t>
        </is>
      </c>
      <c r="DF607" s="24" t="inlineStr">
        <is>
          <t>506114:2026-08-25T13:29:46.425472Z</t>
        </is>
      </c>
      <c r="DG607" s="24" t="n"/>
      <c r="DH607" s="24" t="n"/>
      <c r="DI607" s="24" t="n"/>
      <c r="DJ607" s="24" t="inlineStr">
        <is>
          <t>0.609375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f6c96bd2e09e4f11</t>
        </is>
      </c>
      <c r="B608" s="24" t="inlineStr">
        <is>
          <t>2026-08-25T13:31:51.589728Z</t>
        </is>
      </c>
      <c r="C608" s="24" t="inlineStr">
        <is>
          <t>2026-08-25T18:00Z</t>
        </is>
      </c>
      <c r="D608" s="24" t="inlineStr">
        <is>
          <t>189-2026:184655</t>
        </is>
      </c>
      <c r="E608" s="24" t="inlineStr">
        <is>
          <t>TENNIS</t>
        </is>
      </c>
      <c r="F608" s="24" t="inlineStr">
        <is>
          <t>Max Alcala Gurri</t>
        </is>
      </c>
      <c r="G608" s="24" t="inlineStr">
        <is>
          <t>Zsombor Piros</t>
        </is>
      </c>
      <c r="H608" s="24" t="inlineStr">
        <is>
          <t>moneyline</t>
        </is>
      </c>
      <c r="I608" s="24" t="inlineStr">
        <is>
          <t>away</t>
        </is>
      </c>
      <c r="J608" s="25" t="n"/>
      <c r="K608" s="24" t="inlineStr">
        <is>
          <t>polymarket_us</t>
        </is>
      </c>
      <c r="L608" s="26" t="n">
        <v>355</v>
      </c>
      <c r="M608" s="27" t="n">
        <v>4.55</v>
      </c>
      <c r="N608" s="28" t="n">
        <v>0.21978</v>
      </c>
      <c r="O608" s="28" t="n">
        <v>0.5309</v>
      </c>
      <c r="P608" s="28" t="n">
        <v>0.05</v>
      </c>
      <c r="Q608" s="28" t="n">
        <v>0.31112</v>
      </c>
      <c r="R608" s="26" t="n">
        <v>100</v>
      </c>
      <c r="S608" s="29" t="n">
        <v>2</v>
      </c>
      <c r="T608" s="24" t="inlineStr">
        <is>
          <t>tennis-surface-elo-v1</t>
        </is>
      </c>
      <c r="U608" s="24" t="inlineStr">
        <is>
          <t>settled</t>
        </is>
      </c>
      <c r="V608" s="24" t="inlineStr">
        <is>
          <t>loss</t>
        </is>
      </c>
      <c r="W608" s="26" t="n">
        <v>0</v>
      </c>
      <c r="X608" s="26" t="n">
        <v>1</v>
      </c>
      <c r="Y608" s="25" t="n"/>
      <c r="Z608" s="26" t="n">
        <v>355</v>
      </c>
      <c r="AA608" s="28" t="n">
        <v>0.22</v>
      </c>
      <c r="AB608" s="28" t="n">
        <v>0.00022</v>
      </c>
      <c r="AC608" s="30" t="n">
        <v>-2</v>
      </c>
      <c r="AD608" s="24" t="inlineStr">
        <is>
          <t>2026-08-26T12:37:23.820910Z</t>
        </is>
      </c>
      <c r="AE608" s="31" t="inlineStr">
        <is>
          <t>Surface-blended Elo on Hard: Max Alcala Gurri p=0.531 vs Zsombor Piros. Executable ask 0.2200 (aec-atp-zsopir-maxgur-2026-08-25).</t>
        </is>
      </c>
      <c r="AF608" s="31" t="inlineStr">
        <is>
          <t>Surface-blended Elo model; singles only, WTA+ATP market coverage, not yet locked-holdout qualified -- promoted by explicit operator directive, not genuine walk-forward validation.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Max Alcala Gurri</t>
        </is>
      </c>
      <c r="AQ608" s="24" t="inlineStr">
        <is>
          <t>Max Alcala Gurri</t>
        </is>
      </c>
      <c r="AR608" s="24" t="inlineStr">
        <is>
          <t>Max Alcala Gurri</t>
        </is>
      </c>
      <c r="AS608" s="24" t="inlineStr">
        <is>
          <t>Zsombor Piros</t>
        </is>
      </c>
      <c r="AT608" s="24" t="inlineStr">
        <is>
          <t>Zsombor Piros</t>
        </is>
      </c>
      <c r="AU608" s="24" t="inlineStr">
        <is>
          <t>Zsombor Piros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d777da58446bc099047b154203518e2585ef1a678f613f2b430f2589f7bf5cff</t>
        </is>
      </c>
      <c r="BB608" s="24" t="inlineStr">
        <is>
          <t>surface_blended_elo</t>
        </is>
      </c>
      <c r="BC608" s="24" t="inlineStr">
        <is>
          <t>tennis-surface-elo-v1</t>
        </is>
      </c>
      <c r="BD608" s="24" t="inlineStr">
        <is>
          <t>d777da58446bc099047b154203518e2585ef1a678f613f2b430f2589f7bf5cff</t>
        </is>
      </c>
      <c r="BE608" s="24" t="inlineStr">
        <is>
          <t>tennis-surface-elo-v1</t>
        </is>
      </c>
      <c r="BF608" s="24" t="inlineStr">
        <is>
          <t>1</t>
        </is>
      </c>
      <c r="BG608" s="24" t="inlineStr">
        <is>
          <t>d777da58446bc099047b154203518e2585ef1a678f613f2b430f2589f7bf5cff</t>
        </is>
      </c>
      <c r="BH608" s="24" t="inlineStr">
        <is>
          <t>2026-08-25T13:29:46.257553Z</t>
        </is>
      </c>
      <c r="BI608" s="24" t="inlineStr">
        <is>
          <t>["same_event","same_team_same_day","same_league_same_day"]</t>
        </is>
      </c>
      <c r="BJ608" s="25" t="n"/>
      <c r="BK608" s="26" t="n">
        <v>355</v>
      </c>
      <c r="BL608" s="27" t="n">
        <v>4.55</v>
      </c>
      <c r="BM608" s="28" t="n">
        <v>0.21978</v>
      </c>
      <c r="BN608" s="28" t="n"/>
      <c r="BO608" s="28" t="n"/>
      <c r="BP608" s="25" t="n"/>
      <c r="BQ608" s="27" t="n">
        <v>4.55</v>
      </c>
      <c r="BR608" s="28" t="n">
        <v>0.22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inlineStr">
        <is>
          <t>aa69ae8ed0f79b36b17fd07ddcf91d88021f21561862b825c62bddfec03c0266</t>
        </is>
      </c>
      <c r="DE608" s="24" t="inlineStr">
        <is>
          <t>/Users/vincentc9002/model-prediction/data/odds/tennis/2026-08-25/polymarket_snapshots.jsonl</t>
        </is>
      </c>
      <c r="DF608" s="24" t="inlineStr">
        <is>
          <t>506111:2026-08-25T13:29:46.257553Z</t>
        </is>
      </c>
      <c r="DG608" s="24" t="n"/>
      <c r="DH608" s="24" t="n"/>
      <c r="DI608" s="24" t="n"/>
      <c r="DJ608" s="24" t="inlineStr">
        <is>
          <t>0.21978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07b35212debb4097</t>
        </is>
      </c>
      <c r="B609" s="24" t="inlineStr">
        <is>
          <t>2026-08-25T13:31:51.589728Z</t>
        </is>
      </c>
      <c r="C609" s="24" t="inlineStr">
        <is>
          <t>2026-08-25T18:00Z</t>
        </is>
      </c>
      <c r="D609" s="24" t="inlineStr">
        <is>
          <t>189-2026:184656</t>
        </is>
      </c>
      <c r="E609" s="24" t="inlineStr">
        <is>
          <t>TENNIS</t>
        </is>
      </c>
      <c r="F609" s="24" t="inlineStr">
        <is>
          <t>Daniil Glinka</t>
        </is>
      </c>
      <c r="G609" s="24" t="inlineStr">
        <is>
          <t>Pedro Martinez</t>
        </is>
      </c>
      <c r="H609" s="24" t="inlineStr">
        <is>
          <t>moneyline</t>
        </is>
      </c>
      <c r="I609" s="24" t="inlineStr">
        <is>
          <t>away</t>
        </is>
      </c>
      <c r="J609" s="25" t="n"/>
      <c r="K609" s="24" t="inlineStr">
        <is>
          <t>polymarket_us</t>
        </is>
      </c>
      <c r="L609" s="26" t="n">
        <v>133</v>
      </c>
      <c r="M609" s="27" t="n">
        <v>2.33</v>
      </c>
      <c r="N609" s="28" t="n">
        <v>0.429185</v>
      </c>
      <c r="O609" s="28" t="n">
        <v>0.5991</v>
      </c>
      <c r="P609" s="28" t="n">
        <v>0.05</v>
      </c>
      <c r="Q609" s="28" t="n">
        <v>0.169915</v>
      </c>
      <c r="R609" s="26" t="n">
        <v>100</v>
      </c>
      <c r="S609" s="29" t="n">
        <v>1.75</v>
      </c>
      <c r="T609" s="24" t="inlineStr">
        <is>
          <t>tennis-surface-elo-v1</t>
        </is>
      </c>
      <c r="U609" s="24" t="inlineStr">
        <is>
          <t>settled</t>
        </is>
      </c>
      <c r="V609" s="24" t="inlineStr">
        <is>
          <t>win</t>
        </is>
      </c>
      <c r="W609" s="26" t="n">
        <v>1</v>
      </c>
      <c r="X609" s="26" t="n">
        <v>0</v>
      </c>
      <c r="Y609" s="25" t="n"/>
      <c r="Z609" s="26" t="n">
        <v>133</v>
      </c>
      <c r="AA609" s="28" t="n">
        <v>0.43</v>
      </c>
      <c r="AB609" s="28" t="n">
        <v>0.000815</v>
      </c>
      <c r="AC609" s="30" t="n">
        <v>2.3275</v>
      </c>
      <c r="AD609" s="24" t="inlineStr">
        <is>
          <t>2026-08-26T12:37:25.787791Z</t>
        </is>
      </c>
      <c r="AE609" s="31" t="inlineStr">
        <is>
          <t>Surface-blended Elo on Hard: Daniil Glinka p=0.599 vs Pedro Martinez. Executable ask 0.4300 (aec-atp-pedmar-dangli-2026-08-25).</t>
        </is>
      </c>
      <c r="AF609" s="31" t="inlineStr">
        <is>
          <t>Surface-blended Elo model; singles only, WTA+ATP market coverage, not yet locked-holdout qualified -- promoted by explicit operator directive, not genuine walk-forward validation.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Daniil Glinka</t>
        </is>
      </c>
      <c r="AQ609" s="24" t="inlineStr">
        <is>
          <t>Daniil Glinka</t>
        </is>
      </c>
      <c r="AR609" s="24" t="inlineStr">
        <is>
          <t>Daniil Glinka</t>
        </is>
      </c>
      <c r="AS609" s="24" t="inlineStr">
        <is>
          <t>Pedro Martinez</t>
        </is>
      </c>
      <c r="AT609" s="24" t="inlineStr">
        <is>
          <t>Pedro Martinez</t>
        </is>
      </c>
      <c r="AU609" s="24" t="inlineStr">
        <is>
          <t>Pedro Martinez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d777da58446bc099047b154203518e2585ef1a678f613f2b430f2589f7bf5cff</t>
        </is>
      </c>
      <c r="BB609" s="24" t="inlineStr">
        <is>
          <t>surface_blended_elo</t>
        </is>
      </c>
      <c r="BC609" s="24" t="inlineStr">
        <is>
          <t>tennis-surface-elo-v1</t>
        </is>
      </c>
      <c r="BD609" s="24" t="inlineStr">
        <is>
          <t>d777da58446bc099047b154203518e2585ef1a678f613f2b430f2589f7bf5cff</t>
        </is>
      </c>
      <c r="BE609" s="24" t="inlineStr">
        <is>
          <t>tennis-surface-elo-v1</t>
        </is>
      </c>
      <c r="BF609" s="24" t="inlineStr">
        <is>
          <t>1</t>
        </is>
      </c>
      <c r="BG609" s="24" t="inlineStr">
        <is>
          <t>d777da58446bc099047b154203518e2585ef1a678f613f2b430f2589f7bf5cff</t>
        </is>
      </c>
      <c r="BH609" s="24" t="inlineStr">
        <is>
          <t>2026-08-25T13:29:46.034413Z</t>
        </is>
      </c>
      <c r="BI609" s="24" t="inlineStr">
        <is>
          <t>["same_event","same_team_same_day","same_league_same_day"]</t>
        </is>
      </c>
      <c r="BJ609" s="25" t="n"/>
      <c r="BK609" s="26" t="n">
        <v>133</v>
      </c>
      <c r="BL609" s="27" t="n">
        <v>2.33</v>
      </c>
      <c r="BM609" s="28" t="n">
        <v>0.429185</v>
      </c>
      <c r="BN609" s="28" t="n"/>
      <c r="BO609" s="28" t="n"/>
      <c r="BP609" s="25" t="n"/>
      <c r="BQ609" s="27" t="n">
        <v>2.33</v>
      </c>
      <c r="BR609" s="28" t="n">
        <v>0.43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inlineStr">
        <is>
          <t>f4a02ffb8c94500367f725c62146b911ba91747de81659f892770a12ac8e58dd</t>
        </is>
      </c>
      <c r="DE609" s="24" t="inlineStr">
        <is>
          <t>/Users/vincentc9002/model-prediction/data/odds/tennis/2026-08-25/polymarket_snapshots.jsonl</t>
        </is>
      </c>
      <c r="DF609" s="24" t="inlineStr">
        <is>
          <t>506112:2026-08-25T13:29:46.034413Z</t>
        </is>
      </c>
      <c r="DG609" s="24" t="n"/>
      <c r="DH609" s="24" t="n"/>
      <c r="DI609" s="24" t="n"/>
      <c r="DJ609" s="24" t="inlineStr">
        <is>
          <t>0.429185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d83f43ffd0aa463b</t>
        </is>
      </c>
      <c r="B610" s="24" t="inlineStr">
        <is>
          <t>2026-08-25T13:31:51.589728Z</t>
        </is>
      </c>
      <c r="C610" s="24" t="inlineStr">
        <is>
          <t>2026-08-25T18:00Z</t>
        </is>
      </c>
      <c r="D610" s="24" t="inlineStr">
        <is>
          <t>189-2026:184657</t>
        </is>
      </c>
      <c r="E610" s="24" t="inlineStr">
        <is>
          <t>TENNIS</t>
        </is>
      </c>
      <c r="F610" s="24" t="inlineStr">
        <is>
          <t>Nicolai Budkov Kjaer</t>
        </is>
      </c>
      <c r="G610" s="24" t="inlineStr">
        <is>
          <t>Maks Kasnikowski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polymarket_us</t>
        </is>
      </c>
      <c r="L610" s="26" t="n">
        <v>-170</v>
      </c>
      <c r="M610" s="27" t="n">
        <v>1.588235</v>
      </c>
      <c r="N610" s="28" t="n">
        <v>0.62963</v>
      </c>
      <c r="O610" s="28" t="n">
        <v>0.5014999999999999</v>
      </c>
      <c r="P610" s="28" t="n">
        <v>0.05</v>
      </c>
      <c r="Q610" s="28" t="n">
        <v>-0.12813</v>
      </c>
      <c r="R610" s="26" t="n">
        <v>0</v>
      </c>
      <c r="S610" s="29" t="n">
        <v>1</v>
      </c>
      <c r="T610" s="24" t="inlineStr">
        <is>
          <t>tennis-surface-elo-v1</t>
        </is>
      </c>
      <c r="U610" s="24" t="inlineStr">
        <is>
          <t>settled</t>
        </is>
      </c>
      <c r="V610" s="24" t="inlineStr">
        <is>
          <t>win</t>
        </is>
      </c>
      <c r="W610" s="26" t="n">
        <v>1</v>
      </c>
      <c r="X610" s="26" t="n">
        <v>0</v>
      </c>
      <c r="Y610" s="25" t="n"/>
      <c r="Z610" s="26" t="n">
        <v>-170</v>
      </c>
      <c r="AA610" s="28" t="n">
        <v>0.63</v>
      </c>
      <c r="AB610" s="28" t="n">
        <v>0.00037</v>
      </c>
      <c r="AC610" s="30" t="n">
        <v>0.5881999999999999</v>
      </c>
      <c r="AD610" s="24" t="inlineStr">
        <is>
          <t>2026-08-26T12:37:27.758244Z</t>
        </is>
      </c>
      <c r="AE610" s="31" t="inlineStr">
        <is>
          <t>Surface-blended Elo on Hard: Nicolai Budkov Kjaer p=0.501 vs Maks Kasnikowski. Executable ask 0.6300 (aec-atp-makkas-nickja-2026-08-25).</t>
        </is>
      </c>
      <c r="AF610" s="31" t="inlineStr">
        <is>
          <t>Surface-blended Elo model; singles only, WTA+ATP market coverage, not yet locked-holdout qualified -- promoted by explicit operator directive, not genuine walk-forward validation.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Nicolai Budkov Kjaer</t>
        </is>
      </c>
      <c r="AQ610" s="24" t="inlineStr">
        <is>
          <t>Nicolai Budkov Kjaer</t>
        </is>
      </c>
      <c r="AR610" s="24" t="inlineStr">
        <is>
          <t>Nicolai Budkov Kjaer</t>
        </is>
      </c>
      <c r="AS610" s="24" t="inlineStr">
        <is>
          <t>Maks Kasnikowski</t>
        </is>
      </c>
      <c r="AT610" s="24" t="inlineStr">
        <is>
          <t>Maks Kasnikowski</t>
        </is>
      </c>
      <c r="AU610" s="24" t="inlineStr">
        <is>
          <t>Maks Kasnikowski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d777da58446bc099047b154203518e2585ef1a678f613f2b430f2589f7bf5cff</t>
        </is>
      </c>
      <c r="BB610" s="24" t="inlineStr">
        <is>
          <t>surface_blended_elo</t>
        </is>
      </c>
      <c r="BC610" s="24" t="inlineStr">
        <is>
          <t>tennis-surface-elo-v1</t>
        </is>
      </c>
      <c r="BD610" s="24" t="inlineStr">
        <is>
          <t>d777da58446bc099047b154203518e2585ef1a678f613f2b430f2589f7bf5cff</t>
        </is>
      </c>
      <c r="BE610" s="24" t="inlineStr">
        <is>
          <t>tennis-surface-elo-v1</t>
        </is>
      </c>
      <c r="BF610" s="24" t="inlineStr">
        <is>
          <t>1</t>
        </is>
      </c>
      <c r="BG610" s="24" t="inlineStr">
        <is>
          <t>d777da58446bc099047b154203518e2585ef1a678f613f2b430f2589f7bf5cff</t>
        </is>
      </c>
      <c r="BH610" s="24" t="inlineStr">
        <is>
          <t>2026-08-25T13:29:45.961870Z</t>
        </is>
      </c>
      <c r="BI610" s="24" t="inlineStr">
        <is>
          <t>["same_event","same_team_same_day","same_league_same_day"]</t>
        </is>
      </c>
      <c r="BJ610" s="25" t="n"/>
      <c r="BK610" s="26" t="n">
        <v>-170</v>
      </c>
      <c r="BL610" s="27" t="n">
        <v>1.588235</v>
      </c>
      <c r="BM610" s="28" t="n">
        <v>0.62963</v>
      </c>
      <c r="BN610" s="28" t="n"/>
      <c r="BO610" s="28" t="n"/>
      <c r="BP610" s="25" t="n"/>
      <c r="BQ610" s="27" t="n">
        <v>1.588235</v>
      </c>
      <c r="BR610" s="28" t="n">
        <v>0.63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False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inlineStr">
        <is>
          <t>e9f43776d383b467b87b9bc005deacda6ce985b02fa61082e064c5596155b1a2</t>
        </is>
      </c>
      <c r="DE610" s="24" t="inlineStr">
        <is>
          <t>/Users/vincentc9002/model-prediction/data/odds/tennis/2026-08-25/polymarket_snapshots.jsonl</t>
        </is>
      </c>
      <c r="DF610" s="24" t="inlineStr">
        <is>
          <t>506113:2026-08-25T13:29:45.961870Z</t>
        </is>
      </c>
      <c r="DG610" s="24" t="n"/>
      <c r="DH610" s="24" t="n"/>
      <c r="DI610" s="24" t="n"/>
      <c r="DJ610" s="24" t="inlineStr">
        <is>
          <t>0.62963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b055259719fd40c9</t>
        </is>
      </c>
      <c r="B611" s="24" t="inlineStr">
        <is>
          <t>2026-08-25T13:31:51.589728Z</t>
        </is>
      </c>
      <c r="C611" s="24" t="inlineStr">
        <is>
          <t>2026-08-25T19:30Z</t>
        </is>
      </c>
      <c r="D611" s="24" t="inlineStr">
        <is>
          <t>189-2026:184605</t>
        </is>
      </c>
      <c r="E611" s="24" t="inlineStr">
        <is>
          <t>TENNIS</t>
        </is>
      </c>
      <c r="F611" s="24" t="inlineStr">
        <is>
          <t>Dan Added</t>
        </is>
      </c>
      <c r="G611" s="24" t="inlineStr">
        <is>
          <t>Jerome Kym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-488</v>
      </c>
      <c r="M611" s="27" t="n">
        <v>1.204918</v>
      </c>
      <c r="N611" s="28" t="n">
        <v>0.829932</v>
      </c>
      <c r="O611" s="28" t="n">
        <v>0.656</v>
      </c>
      <c r="P611" s="28" t="n">
        <v>0.05</v>
      </c>
      <c r="Q611" s="28" t="n">
        <v>-0.173932</v>
      </c>
      <c r="R611" s="26" t="n">
        <v>0</v>
      </c>
      <c r="S611" s="29" t="n">
        <v>1</v>
      </c>
      <c r="T611" s="24" t="inlineStr">
        <is>
          <t>tennis-surface-elo-v1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1</v>
      </c>
      <c r="Y611" s="25" t="n"/>
      <c r="Z611" s="26" t="n">
        <v>-488</v>
      </c>
      <c r="AA611" s="28" t="n">
        <v>0.83</v>
      </c>
      <c r="AB611" s="28" t="n">
        <v>6.8e-05</v>
      </c>
      <c r="AC611" s="30" t="n">
        <v>0.2049</v>
      </c>
      <c r="AD611" s="24" t="inlineStr">
        <is>
          <t>2026-08-26T12:37:29.728906Z</t>
        </is>
      </c>
      <c r="AE611" s="31" t="inlineStr">
        <is>
          <t>Surface-blended Elo on Hard: Dan Added p=0.344 vs Jerome Kym. Executable ask 0.8300 (aec-atp-jerkym-danadd-2026-08-25).</t>
        </is>
      </c>
      <c r="AF611" s="31" t="inlineStr">
        <is>
          <t>Surface-blended Elo model; singles only, WTA+ATP market coverage, not yet locked-holdout qualified -- promoted by explicit operator directive, not genuine walk-forward validation.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Dan Added</t>
        </is>
      </c>
      <c r="AQ611" s="24" t="inlineStr">
        <is>
          <t>Dan Added</t>
        </is>
      </c>
      <c r="AR611" s="24" t="inlineStr">
        <is>
          <t>Dan Added</t>
        </is>
      </c>
      <c r="AS611" s="24" t="inlineStr">
        <is>
          <t>Jerome Kym</t>
        </is>
      </c>
      <c r="AT611" s="24" t="inlineStr">
        <is>
          <t>Jerome Kym</t>
        </is>
      </c>
      <c r="AU611" s="24" t="inlineStr">
        <is>
          <t>Jerome Kym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d777da58446bc099047b154203518e2585ef1a678f613f2b430f2589f7bf5cff</t>
        </is>
      </c>
      <c r="BB611" s="24" t="inlineStr">
        <is>
          <t>surface_blended_elo</t>
        </is>
      </c>
      <c r="BC611" s="24" t="inlineStr">
        <is>
          <t>tennis-surface-elo-v1</t>
        </is>
      </c>
      <c r="BD611" s="24" t="inlineStr">
        <is>
          <t>d777da58446bc099047b154203518e2585ef1a678f613f2b430f2589f7bf5cff</t>
        </is>
      </c>
      <c r="BE611" s="24" t="inlineStr">
        <is>
          <t>tennis-surface-elo-v1</t>
        </is>
      </c>
      <c r="BF611" s="24" t="inlineStr">
        <is>
          <t>1</t>
        </is>
      </c>
      <c r="BG611" s="24" t="inlineStr">
        <is>
          <t>d777da58446bc099047b154203518e2585ef1a678f613f2b430f2589f7bf5cff</t>
        </is>
      </c>
      <c r="BH611" s="24" t="inlineStr">
        <is>
          <t>2026-08-25T13:29:51.151505Z</t>
        </is>
      </c>
      <c r="BI611" s="24" t="inlineStr">
        <is>
          <t>["same_event","same_team_same_day","same_league_same_day"]</t>
        </is>
      </c>
      <c r="BJ611" s="25" t="n"/>
      <c r="BK611" s="26" t="n">
        <v>-488</v>
      </c>
      <c r="BL611" s="27" t="n">
        <v>1.204918</v>
      </c>
      <c r="BM611" s="28" t="n">
        <v>0.829932</v>
      </c>
      <c r="BN611" s="28" t="n"/>
      <c r="BO611" s="28" t="n"/>
      <c r="BP611" s="25" t="n"/>
      <c r="BQ611" s="27" t="n">
        <v>1.204918</v>
      </c>
      <c r="BR611" s="28" t="n">
        <v>0.83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inlineStr">
        <is>
          <t>44c7f42be22c736717ef367dec8775b6fb7a9f4b8d1ab9b82345dc1fc5f4623e</t>
        </is>
      </c>
      <c r="DE611" s="24" t="inlineStr">
        <is>
          <t>/Users/vincentc9002/model-prediction/data/odds/tennis/2026-08-25/polymarket_snapshots.jsonl</t>
        </is>
      </c>
      <c r="DF611" s="24" t="inlineStr">
        <is>
          <t>506101:2026-08-25T13:29:51.151505Z</t>
        </is>
      </c>
      <c r="DG611" s="24" t="n"/>
      <c r="DH611" s="24" t="n"/>
      <c r="DI611" s="24" t="n"/>
      <c r="DJ611" s="24" t="inlineStr">
        <is>
          <t>0.829932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cc4f333426e1473d</t>
        </is>
      </c>
      <c r="B612" s="24" t="inlineStr">
        <is>
          <t>2026-08-25T13:31:51.589728Z</t>
        </is>
      </c>
      <c r="C612" s="24" t="inlineStr">
        <is>
          <t>2026-08-25T19:30Z</t>
        </is>
      </c>
      <c r="D612" s="24" t="inlineStr">
        <is>
          <t>189-2026:184606</t>
        </is>
      </c>
      <c r="E612" s="24" t="inlineStr">
        <is>
          <t>TENNIS</t>
        </is>
      </c>
      <c r="F612" s="24" t="inlineStr">
        <is>
          <t>Andrea Pellegrino</t>
        </is>
      </c>
      <c r="G612" s="24" t="inlineStr">
        <is>
          <t>Colton Smith</t>
        </is>
      </c>
      <c r="H612" s="24" t="inlineStr">
        <is>
          <t>moneyline</t>
        </is>
      </c>
      <c r="I612" s="24" t="inlineStr">
        <is>
          <t>away</t>
        </is>
      </c>
      <c r="J612" s="25" t="n"/>
      <c r="K612" s="24" t="inlineStr">
        <is>
          <t>polymarket_us</t>
        </is>
      </c>
      <c r="L612" s="26" t="n">
        <v>194</v>
      </c>
      <c r="M612" s="27" t="n">
        <v>2.94</v>
      </c>
      <c r="N612" s="28" t="n">
        <v>0.340136</v>
      </c>
      <c r="O612" s="28" t="n">
        <v>0.586</v>
      </c>
      <c r="P612" s="28" t="n">
        <v>0.05</v>
      </c>
      <c r="Q612" s="28" t="n">
        <v>0.245864</v>
      </c>
      <c r="R612" s="26" t="n">
        <v>100</v>
      </c>
      <c r="S612" s="29" t="n">
        <v>2</v>
      </c>
      <c r="T612" s="24" t="inlineStr">
        <is>
          <t>tennis-surface-elo-v1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1</v>
      </c>
      <c r="Y612" s="25" t="n"/>
      <c r="Z612" s="26" t="n">
        <v>194</v>
      </c>
      <c r="AA612" s="28" t="n">
        <v>0.34</v>
      </c>
      <c r="AB612" s="28" t="n">
        <v>-0.000136</v>
      </c>
      <c r="AC612" s="30" t="n">
        <v>-2</v>
      </c>
      <c r="AD612" s="24" t="inlineStr">
        <is>
          <t>2026-08-26T12:37:31.724287Z</t>
        </is>
      </c>
      <c r="AE612" s="31" t="inlineStr">
        <is>
          <t>Surface-blended Elo on Hard: Andrea Pellegrino p=0.586 vs Colton Smith. Executable ask 0.3400 (aec-atp-colsmi-andpel-2026-08-25).</t>
        </is>
      </c>
      <c r="AF612" s="31" t="inlineStr">
        <is>
          <t>Surface-blended Elo model; singles only, WTA+ATP market coverage, not yet locked-holdout qualified -- promoted by explicit operator directive, not genuine walk-forward validation.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model_qualified</t>
        </is>
      </c>
      <c r="AL612" s="26" t="n">
        <v>4</v>
      </c>
      <c r="AM612" s="24" t="inlineStr">
        <is>
          <t>QUALIFIED_SHADOW_CALL</t>
        </is>
      </c>
      <c r="AN612" s="24" t="inlineStr">
        <is>
          <t>CALL</t>
        </is>
      </c>
      <c r="AO612" s="24" t="inlineStr">
        <is>
          <t>QUALIFIED</t>
        </is>
      </c>
      <c r="AP612" s="24" t="inlineStr">
        <is>
          <t>Andrea Pellegrino</t>
        </is>
      </c>
      <c r="AQ612" s="24" t="inlineStr">
        <is>
          <t>Andrea Pellegrino</t>
        </is>
      </c>
      <c r="AR612" s="24" t="inlineStr">
        <is>
          <t>Andrea Pellegrino</t>
        </is>
      </c>
      <c r="AS612" s="24" t="inlineStr">
        <is>
          <t>Colton Smith</t>
        </is>
      </c>
      <c r="AT612" s="24" t="inlineStr">
        <is>
          <t>Colton Smith</t>
        </is>
      </c>
      <c r="AU612" s="24" t="inlineStr">
        <is>
          <t>Colton Smith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d777da58446bc099047b154203518e2585ef1a678f613f2b430f2589f7bf5cff</t>
        </is>
      </c>
      <c r="BB612" s="24" t="inlineStr">
        <is>
          <t>surface_blended_elo</t>
        </is>
      </c>
      <c r="BC612" s="24" t="inlineStr">
        <is>
          <t>tennis-surface-elo-v1</t>
        </is>
      </c>
      <c r="BD612" s="24" t="inlineStr">
        <is>
          <t>d777da58446bc099047b154203518e2585ef1a678f613f2b430f2589f7bf5cff</t>
        </is>
      </c>
      <c r="BE612" s="24" t="inlineStr">
        <is>
          <t>tennis-surface-elo-v1</t>
        </is>
      </c>
      <c r="BF612" s="24" t="inlineStr">
        <is>
          <t>1</t>
        </is>
      </c>
      <c r="BG612" s="24" t="inlineStr">
        <is>
          <t>d777da58446bc099047b154203518e2585ef1a678f613f2b430f2589f7bf5cff</t>
        </is>
      </c>
      <c r="BH612" s="24" t="inlineStr">
        <is>
          <t>2026-08-25T13:29:51.301483Z</t>
        </is>
      </c>
      <c r="BI612" s="24" t="inlineStr">
        <is>
          <t>["same_event","same_team_same_day","same_league_same_day"]</t>
        </is>
      </c>
      <c r="BJ612" s="25" t="n"/>
      <c r="BK612" s="26" t="n">
        <v>194</v>
      </c>
      <c r="BL612" s="27" t="n">
        <v>2.94</v>
      </c>
      <c r="BM612" s="28" t="n">
        <v>0.340136</v>
      </c>
      <c r="BN612" s="28" t="n"/>
      <c r="BO612" s="28" t="n"/>
      <c r="BP612" s="25" t="n"/>
      <c r="BQ612" s="27" t="n">
        <v>2.94</v>
      </c>
      <c r="BR612" s="28" t="n">
        <v>0.34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inlineStr">
        <is>
          <t>b06085caee7aa72b521bacc2301a20df151714811dfa8f96545075e303968c2e</t>
        </is>
      </c>
      <c r="DE612" s="24" t="inlineStr">
        <is>
          <t>/Users/vincentc9002/model-prediction/data/odds/tennis/2026-08-25/polymarket_snapshots.jsonl</t>
        </is>
      </c>
      <c r="DF612" s="24" t="inlineStr">
        <is>
          <t>506102:2026-08-25T13:29:51.301483Z</t>
        </is>
      </c>
      <c r="DG612" s="24" t="n"/>
      <c r="DH612" s="24" t="n"/>
      <c r="DI612" s="24" t="n"/>
      <c r="DJ612" s="24" t="inlineStr">
        <is>
          <t>0.340136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f6f8ca31338848dc</t>
        </is>
      </c>
      <c r="B613" s="24" t="inlineStr">
        <is>
          <t>2026-08-25T13:31:51.589728Z</t>
        </is>
      </c>
      <c r="C613" s="24" t="inlineStr">
        <is>
          <t>2026-08-25T19:30Z</t>
        </is>
      </c>
      <c r="D613" s="24" t="inlineStr">
        <is>
          <t>189-2026:184654</t>
        </is>
      </c>
      <c r="E613" s="24" t="inlineStr">
        <is>
          <t>TENNIS</t>
        </is>
      </c>
      <c r="F613" s="24" t="inlineStr">
        <is>
          <t>Hugo Dellien</t>
        </is>
      </c>
      <c r="G613" s="24" t="inlineStr">
        <is>
          <t>Moez Echargui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178</v>
      </c>
      <c r="M613" s="27" t="n">
        <v>2.78</v>
      </c>
      <c r="N613" s="28" t="n">
        <v>0.359712</v>
      </c>
      <c r="O613" s="28" t="n">
        <v>0.5436</v>
      </c>
      <c r="P613" s="28" t="n">
        <v>0.05</v>
      </c>
      <c r="Q613" s="28" t="n">
        <v>0.183888</v>
      </c>
      <c r="R613" s="26" t="n">
        <v>100</v>
      </c>
      <c r="S613" s="29" t="n">
        <v>2</v>
      </c>
      <c r="T613" s="24" t="inlineStr">
        <is>
          <t>tennis-surface-elo-v1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178</v>
      </c>
      <c r="AA613" s="28" t="n">
        <v>0.36</v>
      </c>
      <c r="AB613" s="28" t="n">
        <v>0.000288</v>
      </c>
      <c r="AC613" s="30" t="n">
        <v>3.56</v>
      </c>
      <c r="AD613" s="24" t="inlineStr">
        <is>
          <t>2026-08-26T12:37:33.702622Z</t>
        </is>
      </c>
      <c r="AE613" s="31" t="inlineStr">
        <is>
          <t>Surface-blended Elo on Hard: Hugo Dellien p=0.544 vs Moez Echargui. Executable ask 0.3600 (aec-atp-moeech-hugdel-2026-08-25).</t>
        </is>
      </c>
      <c r="AF613" s="31" t="inlineStr">
        <is>
          <t>Surface-blended Elo model; singles only, WTA+ATP market coverage, not yet locked-holdout qualified -- promoted by explicit operator directive, not genuine walk-forward validation.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Hugo Dellien</t>
        </is>
      </c>
      <c r="AQ613" s="24" t="inlineStr">
        <is>
          <t>Hugo Dellien</t>
        </is>
      </c>
      <c r="AR613" s="24" t="inlineStr">
        <is>
          <t>Hugo Dellien</t>
        </is>
      </c>
      <c r="AS613" s="24" t="inlineStr">
        <is>
          <t>Moez Echargui</t>
        </is>
      </c>
      <c r="AT613" s="24" t="inlineStr">
        <is>
          <t>Moez Echargui</t>
        </is>
      </c>
      <c r="AU613" s="24" t="inlineStr">
        <is>
          <t>Moez Echargui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d777da58446bc099047b154203518e2585ef1a678f613f2b430f2589f7bf5cff</t>
        </is>
      </c>
      <c r="BB613" s="24" t="inlineStr">
        <is>
          <t>surface_blended_elo</t>
        </is>
      </c>
      <c r="BC613" s="24" t="inlineStr">
        <is>
          <t>tennis-surface-elo-v1</t>
        </is>
      </c>
      <c r="BD613" s="24" t="inlineStr">
        <is>
          <t>d777da58446bc099047b154203518e2585ef1a678f613f2b430f2589f7bf5cff</t>
        </is>
      </c>
      <c r="BE613" s="24" t="inlineStr">
        <is>
          <t>tennis-surface-elo-v1</t>
        </is>
      </c>
      <c r="BF613" s="24" t="inlineStr">
        <is>
          <t>1</t>
        </is>
      </c>
      <c r="BG613" s="24" t="inlineStr">
        <is>
          <t>d777da58446bc099047b154203518e2585ef1a678f613f2b430f2589f7bf5cff</t>
        </is>
      </c>
      <c r="BH613" s="24" t="inlineStr">
        <is>
          <t>2026-08-25T13:29:51.502902Z</t>
        </is>
      </c>
      <c r="BI613" s="24" t="inlineStr">
        <is>
          <t>["same_event","same_team_same_day","same_league_same_day"]</t>
        </is>
      </c>
      <c r="BJ613" s="25" t="n"/>
      <c r="BK613" s="26" t="n">
        <v>178</v>
      </c>
      <c r="BL613" s="27" t="n">
        <v>2.78</v>
      </c>
      <c r="BM613" s="28" t="n">
        <v>0.359712</v>
      </c>
      <c r="BN613" s="28" t="n"/>
      <c r="BO613" s="28" t="n"/>
      <c r="BP613" s="25" t="n"/>
      <c r="BQ613" s="27" t="n">
        <v>2.78</v>
      </c>
      <c r="BR613" s="28" t="n">
        <v>0.36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inlineStr">
        <is>
          <t>bce9f9fa242ce60aee97636acb4484c11721ab9604d0cd54b1dacca2ee592aa5</t>
        </is>
      </c>
      <c r="DE613" s="24" t="inlineStr">
        <is>
          <t>/Users/vincentc9002/model-prediction/data/odds/tennis/2026-08-25/polymarket_snapshots.jsonl</t>
        </is>
      </c>
      <c r="DF613" s="24" t="inlineStr">
        <is>
          <t>506110:2026-08-25T13:29:51.502902Z</t>
        </is>
      </c>
      <c r="DG613" s="24" t="n"/>
      <c r="DH613" s="24" t="n"/>
      <c r="DI613" s="24" t="n"/>
      <c r="DJ613" s="24" t="inlineStr">
        <is>
          <t>0.359712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9b382aef78a24cbc</t>
        </is>
      </c>
      <c r="B614" s="24" t="inlineStr">
        <is>
          <t>2026-08-25T13:31:51.589728Z</t>
        </is>
      </c>
      <c r="C614" s="24" t="inlineStr">
        <is>
          <t>2026-08-25T19:30Z</t>
        </is>
      </c>
      <c r="D614" s="24" t="inlineStr">
        <is>
          <t>189-2026:184659</t>
        </is>
      </c>
      <c r="E614" s="24" t="inlineStr">
        <is>
          <t>TENNIS</t>
        </is>
      </c>
      <c r="F614" s="24" t="inlineStr">
        <is>
          <t>Rio Noguchi</t>
        </is>
      </c>
      <c r="G614" s="24" t="inlineStr">
        <is>
          <t>Bu Yunchaokete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-257</v>
      </c>
      <c r="M614" s="27" t="n">
        <v>1.389105</v>
      </c>
      <c r="N614" s="28" t="n">
        <v>0.719888</v>
      </c>
      <c r="O614" s="28" t="n">
        <v>0.5731000000000001</v>
      </c>
      <c r="P614" s="28" t="n">
        <v>0.05</v>
      </c>
      <c r="Q614" s="28" t="n">
        <v>-0.146788</v>
      </c>
      <c r="R614" s="26" t="n">
        <v>0</v>
      </c>
      <c r="S614" s="29" t="n">
        <v>1</v>
      </c>
      <c r="T614" s="24" t="inlineStr">
        <is>
          <t>tennis-surface-elo-v1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1</v>
      </c>
      <c r="Y614" s="25" t="n"/>
      <c r="Z614" s="26" t="n"/>
      <c r="AA614" s="28" t="n"/>
      <c r="AB614" s="28" t="n"/>
      <c r="AC614" s="30" t="n">
        <v>0.3891</v>
      </c>
      <c r="AD614" s="24" t="inlineStr">
        <is>
          <t>2026-08-26T12:37:35.664165Z</t>
        </is>
      </c>
      <c r="AE614" s="31" t="inlineStr">
        <is>
          <t>Surface-blended Elo on Hard: Rio Noguchi p=0.427 vs Bu Yunchaokete. Executable ask 0.7200 (aec-atp-yunbu-rionog-2026-08-25).</t>
        </is>
      </c>
      <c r="AF614" s="31" t="inlineStr">
        <is>
          <t>Surface-blended Elo model; singles only, WTA+ATP market coverage, not yet locked-holdout qualified -- promoted by explicit operator directive, not genuine walk-forward validation.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Rio Noguchi</t>
        </is>
      </c>
      <c r="AQ614" s="24" t="inlineStr">
        <is>
          <t>Rio Noguchi</t>
        </is>
      </c>
      <c r="AR614" s="24" t="inlineStr">
        <is>
          <t>Rio Noguchi</t>
        </is>
      </c>
      <c r="AS614" s="24" t="inlineStr">
        <is>
          <t>Bu Yunchaokete</t>
        </is>
      </c>
      <c r="AT614" s="24" t="inlineStr">
        <is>
          <t>Bu Yunchaokete</t>
        </is>
      </c>
      <c r="AU614" s="24" t="inlineStr">
        <is>
          <t>Bu Yunchaokete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d777da58446bc099047b154203518e2585ef1a678f613f2b430f2589f7bf5cff</t>
        </is>
      </c>
      <c r="BB614" s="24" t="inlineStr">
        <is>
          <t>surface_blended_elo</t>
        </is>
      </c>
      <c r="BC614" s="24" t="inlineStr">
        <is>
          <t>tennis-surface-elo-v1</t>
        </is>
      </c>
      <c r="BD614" s="24" t="inlineStr">
        <is>
          <t>d777da58446bc099047b154203518e2585ef1a678f613f2b430f2589f7bf5cff</t>
        </is>
      </c>
      <c r="BE614" s="24" t="inlineStr">
        <is>
          <t>tennis-surface-elo-v1</t>
        </is>
      </c>
      <c r="BF614" s="24" t="inlineStr">
        <is>
          <t>1</t>
        </is>
      </c>
      <c r="BG614" s="24" t="inlineStr">
        <is>
          <t>d777da58446bc099047b154203518e2585ef1a678f613f2b430f2589f7bf5cff</t>
        </is>
      </c>
      <c r="BH614" s="24" t="inlineStr">
        <is>
          <t>2026-08-25T13:29:52.499695Z</t>
        </is>
      </c>
      <c r="BI614" s="24" t="inlineStr">
        <is>
          <t>["same_event","same_team_same_day","same_league_same_day"]</t>
        </is>
      </c>
      <c r="BJ614" s="25" t="n"/>
      <c r="BK614" s="26" t="n">
        <v>-257</v>
      </c>
      <c r="BL614" s="27" t="n">
        <v>1.389105</v>
      </c>
      <c r="BM614" s="28" t="n">
        <v>0.719888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inlineStr">
        <is>
          <t>08b32a9312b75494430ea5e6cc263eab1ff409473060f68bc53f749f41ddf979</t>
        </is>
      </c>
      <c r="DE614" s="24" t="inlineStr">
        <is>
          <t>/Users/vincentc9002/model-prediction/data/odds/tennis/2026-08-25/polymarket_snapshots.jsonl</t>
        </is>
      </c>
      <c r="DF614" s="24" t="inlineStr">
        <is>
          <t>506107:2026-08-25T13:29:52.499695Z</t>
        </is>
      </c>
      <c r="DG614" s="24" t="n"/>
      <c r="DH614" s="24" t="n"/>
      <c r="DI614" s="24" t="n"/>
      <c r="DJ614" s="24" t="inlineStr">
        <is>
          <t>0.719888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07af64273f0a4d08</t>
        </is>
      </c>
      <c r="B615" s="24" t="inlineStr">
        <is>
          <t>2026-08-25T13:31:51.589728Z</t>
        </is>
      </c>
      <c r="C615" s="24" t="inlineStr">
        <is>
          <t>2026-08-25T19:30Z</t>
        </is>
      </c>
      <c r="D615" s="24" t="inlineStr">
        <is>
          <t>189-2026:184660</t>
        </is>
      </c>
      <c r="E615" s="24" t="inlineStr">
        <is>
          <t>TENNIS</t>
        </is>
      </c>
      <c r="F615" s="24" t="inlineStr">
        <is>
          <t>Borna Gojo</t>
        </is>
      </c>
      <c r="G615" s="24" t="inlineStr">
        <is>
          <t>Zdenek Kolar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-400</v>
      </c>
      <c r="M615" s="27" t="n">
        <v>1.25</v>
      </c>
      <c r="N615" s="28" t="n">
        <v>0.8</v>
      </c>
      <c r="O615" s="28" t="n">
        <v>0.527</v>
      </c>
      <c r="P615" s="28" t="n">
        <v>0.05</v>
      </c>
      <c r="Q615" s="28" t="n">
        <v>-0.273</v>
      </c>
      <c r="R615" s="26" t="n">
        <v>0</v>
      </c>
      <c r="S615" s="29" t="n">
        <v>1</v>
      </c>
      <c r="T615" s="24" t="inlineStr">
        <is>
          <t>tennis-surface-elo-v1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-400</v>
      </c>
      <c r="AA615" s="28" t="n">
        <v>0.8</v>
      </c>
      <c r="AB615" s="28" t="n">
        <v>0</v>
      </c>
      <c r="AC615" s="30" t="n">
        <v>0.25</v>
      </c>
      <c r="AD615" s="24" t="inlineStr">
        <is>
          <t>2026-08-26T12:37:37.635214Z</t>
        </is>
      </c>
      <c r="AE615" s="31" t="inlineStr">
        <is>
          <t>Surface-blended Elo on Hard: Borna Gojo p=0.527 vs Zdenek Kolar. Executable ask 0.8000 (aec-atp-zdekol-borgoj-2026-08-25).</t>
        </is>
      </c>
      <c r="AF615" s="31" t="inlineStr">
        <is>
          <t>Surface-blended Elo model; singles only, WTA+ATP market coverage, not yet locked-holdout qualified -- promoted by explicit operator directive, not genuine walk-forward validation.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Borna Gojo</t>
        </is>
      </c>
      <c r="AQ615" s="24" t="inlineStr">
        <is>
          <t>Borna Gojo</t>
        </is>
      </c>
      <c r="AR615" s="24" t="inlineStr">
        <is>
          <t>Borna Gojo</t>
        </is>
      </c>
      <c r="AS615" s="24" t="inlineStr">
        <is>
          <t>Zdenek Kolar</t>
        </is>
      </c>
      <c r="AT615" s="24" t="inlineStr">
        <is>
          <t>Zdenek Kolar</t>
        </is>
      </c>
      <c r="AU615" s="24" t="inlineStr">
        <is>
          <t>Zdenek Kolar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d777da58446bc099047b154203518e2585ef1a678f613f2b430f2589f7bf5cff</t>
        </is>
      </c>
      <c r="BB615" s="24" t="inlineStr">
        <is>
          <t>surface_blended_elo</t>
        </is>
      </c>
      <c r="BC615" s="24" t="inlineStr">
        <is>
          <t>tennis-surface-elo-v1</t>
        </is>
      </c>
      <c r="BD615" s="24" t="inlineStr">
        <is>
          <t>d777da58446bc099047b154203518e2585ef1a678f613f2b430f2589f7bf5cff</t>
        </is>
      </c>
      <c r="BE615" s="24" t="inlineStr">
        <is>
          <t>tennis-surface-elo-v1</t>
        </is>
      </c>
      <c r="BF615" s="24" t="inlineStr">
        <is>
          <t>1</t>
        </is>
      </c>
      <c r="BG615" s="24" t="inlineStr">
        <is>
          <t>d777da58446bc099047b154203518e2585ef1a678f613f2b430f2589f7bf5cff</t>
        </is>
      </c>
      <c r="BH615" s="24" t="inlineStr">
        <is>
          <t>2026-08-25T13:29:52.276453Z</t>
        </is>
      </c>
      <c r="BI615" s="24" t="inlineStr">
        <is>
          <t>["same_event","same_team_same_day","same_league_same_day"]</t>
        </is>
      </c>
      <c r="BJ615" s="25" t="n"/>
      <c r="BK615" s="26" t="n">
        <v>-400</v>
      </c>
      <c r="BL615" s="27" t="n">
        <v>1.25</v>
      </c>
      <c r="BM615" s="28" t="n">
        <v>0.8</v>
      </c>
      <c r="BN615" s="28" t="n"/>
      <c r="BO615" s="28" t="n"/>
      <c r="BP615" s="25" t="n"/>
      <c r="BQ615" s="27" t="n">
        <v>1.25</v>
      </c>
      <c r="BR615" s="28" t="n">
        <v>0.8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inlineStr">
        <is>
          <t>948ee9fe7601a0d3e40471d2eaaf9c5ae126d208ed2de61c36efce5b428b7a50</t>
        </is>
      </c>
      <c r="DE615" s="24" t="inlineStr">
        <is>
          <t>/Users/vincentc9002/model-prediction/data/odds/tennis/2026-08-25/polymarket_snapshots.jsonl</t>
        </is>
      </c>
      <c r="DF615" s="24" t="inlineStr">
        <is>
          <t>506108:2026-08-25T13:29:52.276453Z</t>
        </is>
      </c>
      <c r="DG615" s="24" t="n"/>
      <c r="DH615" s="24" t="n"/>
      <c r="DI615" s="24" t="n"/>
      <c r="DJ615" s="24" t="inlineStr">
        <is>
          <t>0.8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6d502ee5d2c544ee</t>
        </is>
      </c>
      <c r="B616" s="24" t="inlineStr">
        <is>
          <t>2026-08-25T13:31:51.589728Z</t>
        </is>
      </c>
      <c r="C616" s="24" t="inlineStr">
        <is>
          <t>2026-08-25T19:30Z</t>
        </is>
      </c>
      <c r="D616" s="24" t="inlineStr">
        <is>
          <t>189-2026:184661</t>
        </is>
      </c>
      <c r="E616" s="24" t="inlineStr">
        <is>
          <t>TENNIS</t>
        </is>
      </c>
      <c r="F616" s="24" t="inlineStr">
        <is>
          <t>Federico Cina</t>
        </is>
      </c>
      <c r="G616" s="24" t="inlineStr">
        <is>
          <t>Luca Nardi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-194</v>
      </c>
      <c r="M616" s="27" t="n">
        <v>1.515464</v>
      </c>
      <c r="N616" s="28" t="n">
        <v>0.659864</v>
      </c>
      <c r="O616" s="28" t="n">
        <v>0.5570000000000001</v>
      </c>
      <c r="P616" s="28" t="n">
        <v>0.05</v>
      </c>
      <c r="Q616" s="28" t="n">
        <v>-0.102864</v>
      </c>
      <c r="R616" s="26" t="n">
        <v>0</v>
      </c>
      <c r="S616" s="29" t="n">
        <v>1</v>
      </c>
      <c r="T616" s="24" t="inlineStr">
        <is>
          <t>tennis-surface-elo-v1</t>
        </is>
      </c>
      <c r="U616" s="24" t="inlineStr">
        <is>
          <t>settled</t>
        </is>
      </c>
      <c r="V616" s="24" t="inlineStr">
        <is>
          <t>win</t>
        </is>
      </c>
      <c r="W616" s="26" t="n">
        <v>1</v>
      </c>
      <c r="X616" s="26" t="n">
        <v>0</v>
      </c>
      <c r="Y616" s="25" t="n"/>
      <c r="Z616" s="26" t="n">
        <v>-194</v>
      </c>
      <c r="AA616" s="28" t="n">
        <v>0.66</v>
      </c>
      <c r="AB616" s="28" t="n">
        <v>0.000136</v>
      </c>
      <c r="AC616" s="30" t="n">
        <v>0.5155</v>
      </c>
      <c r="AD616" s="24" t="inlineStr">
        <is>
          <t>2026-08-26T12:37:39.613837Z</t>
        </is>
      </c>
      <c r="AE616" s="31" t="inlineStr">
        <is>
          <t>Surface-blended Elo on Hard: Federico Cina p=0.557 vs Luca Nardi. Executable ask 0.6600 (aec-atp-lucnar-fedcin-2026-08-25).</t>
        </is>
      </c>
      <c r="AF616" s="31" t="inlineStr">
        <is>
          <t>Surface-blended Elo model; singles only, WTA+ATP market coverage, not yet locked-holdout qualified -- promoted by explicit operator directive, not genuine walk-forward validation.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Federico Cina</t>
        </is>
      </c>
      <c r="AQ616" s="24" t="inlineStr">
        <is>
          <t>Federico Cina</t>
        </is>
      </c>
      <c r="AR616" s="24" t="inlineStr">
        <is>
          <t>Federico Cina</t>
        </is>
      </c>
      <c r="AS616" s="24" t="inlineStr">
        <is>
          <t>Luca Nardi</t>
        </is>
      </c>
      <c r="AT616" s="24" t="inlineStr">
        <is>
          <t>Luca Nardi</t>
        </is>
      </c>
      <c r="AU616" s="24" t="inlineStr">
        <is>
          <t>Luca Nardi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d777da58446bc099047b154203518e2585ef1a678f613f2b430f2589f7bf5cff</t>
        </is>
      </c>
      <c r="BB616" s="24" t="inlineStr">
        <is>
          <t>surface_blended_elo</t>
        </is>
      </c>
      <c r="BC616" s="24" t="inlineStr">
        <is>
          <t>tennis-surface-elo-v1</t>
        </is>
      </c>
      <c r="BD616" s="24" t="inlineStr">
        <is>
          <t>d777da58446bc099047b154203518e2585ef1a678f613f2b430f2589f7bf5cff</t>
        </is>
      </c>
      <c r="BE616" s="24" t="inlineStr">
        <is>
          <t>tennis-surface-elo-v1</t>
        </is>
      </c>
      <c r="BF616" s="24" t="inlineStr">
        <is>
          <t>1</t>
        </is>
      </c>
      <c r="BG616" s="24" t="inlineStr">
        <is>
          <t>d777da58446bc099047b154203518e2585ef1a678f613f2b430f2589f7bf5cff</t>
        </is>
      </c>
      <c r="BH616" s="24" t="inlineStr">
        <is>
          <t>2026-08-25T13:29:52.407878Z</t>
        </is>
      </c>
      <c r="BI616" s="24" t="inlineStr">
        <is>
          <t>["same_event","same_team_same_day","same_league_same_day"]</t>
        </is>
      </c>
      <c r="BJ616" s="25" t="n"/>
      <c r="BK616" s="26" t="n">
        <v>-194</v>
      </c>
      <c r="BL616" s="27" t="n">
        <v>1.515464</v>
      </c>
      <c r="BM616" s="28" t="n">
        <v>0.659864</v>
      </c>
      <c r="BN616" s="28" t="n"/>
      <c r="BO616" s="28" t="n"/>
      <c r="BP616" s="25" t="n"/>
      <c r="BQ616" s="27" t="n">
        <v>1.515464</v>
      </c>
      <c r="BR616" s="28" t="n">
        <v>0.66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inlineStr">
        <is>
          <t>cee51850b5e84dfa6d64e52fe07e9f36fca117042f054aed57fcf387606188e3</t>
        </is>
      </c>
      <c r="DE616" s="24" t="inlineStr">
        <is>
          <t>/Users/vincentc9002/model-prediction/data/odds/tennis/2026-08-25/polymarket_snapshots.jsonl</t>
        </is>
      </c>
      <c r="DF616" s="24" t="inlineStr">
        <is>
          <t>506109:2026-08-25T13:29:52.407878Z</t>
        </is>
      </c>
      <c r="DG616" s="24" t="n"/>
      <c r="DH616" s="24" t="n"/>
      <c r="DI616" s="24" t="n"/>
      <c r="DJ616" s="24" t="inlineStr">
        <is>
          <t>0.659864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e4799561b3d34069</t>
        </is>
      </c>
      <c r="B617" s="24" t="inlineStr">
        <is>
          <t>2026-08-25T13:31:51.589728Z</t>
        </is>
      </c>
      <c r="C617" s="24" t="inlineStr">
        <is>
          <t>2026-08-25T21:00Z</t>
        </is>
      </c>
      <c r="D617" s="24" t="inlineStr">
        <is>
          <t>189-2026:184630</t>
        </is>
      </c>
      <c r="E617" s="24" t="inlineStr">
        <is>
          <t>TENNIS</t>
        </is>
      </c>
      <c r="F617" s="24" t="inlineStr">
        <is>
          <t>Nikoloz Basilashvili</t>
        </is>
      </c>
      <c r="G617" s="24" t="inlineStr">
        <is>
          <t>SeongChan Hong</t>
        </is>
      </c>
      <c r="H617" s="24" t="inlineStr">
        <is>
          <t>moneyline</t>
        </is>
      </c>
      <c r="I617" s="24" t="inlineStr">
        <is>
          <t>away</t>
        </is>
      </c>
      <c r="J617" s="25" t="n"/>
      <c r="K617" s="24" t="inlineStr">
        <is>
          <t>polymarket_us</t>
        </is>
      </c>
      <c r="L617" s="26" t="n">
        <v>-213</v>
      </c>
      <c r="M617" s="27" t="n">
        <v>1.469484</v>
      </c>
      <c r="N617" s="28" t="n">
        <v>0.680511</v>
      </c>
      <c r="O617" s="28" t="n">
        <v>0.5103</v>
      </c>
      <c r="P617" s="28" t="n">
        <v>0.05</v>
      </c>
      <c r="Q617" s="28" t="n">
        <v>-0.170211</v>
      </c>
      <c r="R617" s="26" t="n">
        <v>0</v>
      </c>
      <c r="S617" s="29" t="n">
        <v>1</v>
      </c>
      <c r="T617" s="24" t="inlineStr">
        <is>
          <t>tennis-surface-elo-v1</t>
        </is>
      </c>
      <c r="U617" s="24" t="inlineStr">
        <is>
          <t>settled</t>
        </is>
      </c>
      <c r="V617" s="24" t="inlineStr">
        <is>
          <t>loss</t>
        </is>
      </c>
      <c r="W617" s="26" t="n">
        <v>0</v>
      </c>
      <c r="X617" s="26" t="n">
        <v>1</v>
      </c>
      <c r="Y617" s="25" t="n"/>
      <c r="Z617" s="26" t="n">
        <v>-213</v>
      </c>
      <c r="AA617" s="28" t="n">
        <v>0.68</v>
      </c>
      <c r="AB617" s="28" t="n">
        <v>-0.000511</v>
      </c>
      <c r="AC617" s="30" t="n">
        <v>-1</v>
      </c>
      <c r="AD617" s="24" t="inlineStr">
        <is>
          <t>2026-08-26T12:37:41.592241Z</t>
        </is>
      </c>
      <c r="AE617" s="31" t="inlineStr">
        <is>
          <t>Surface-blended Elo on Hard: Nikoloz Basilashvili p=0.510 vs SeongChan Hong. Executable ask 0.6800 (aec-atp-seohon-nikbas-2026-08-25).</t>
        </is>
      </c>
      <c r="AF617" s="31" t="inlineStr">
        <is>
          <t>Surface-blended Elo model; singles only, WTA+ATP market coverage, not yet locked-holdout qualified -- promoted by explicit operator directive, not genuine walk-forward validation.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Nikoloz Basilashvili</t>
        </is>
      </c>
      <c r="AQ617" s="24" t="inlineStr">
        <is>
          <t>Nikoloz Basilashvili</t>
        </is>
      </c>
      <c r="AR617" s="24" t="inlineStr">
        <is>
          <t>Nikoloz Basilashvili</t>
        </is>
      </c>
      <c r="AS617" s="24" t="inlineStr">
        <is>
          <t>SeongChan Hong</t>
        </is>
      </c>
      <c r="AT617" s="24" t="inlineStr">
        <is>
          <t>SeongChan Hong</t>
        </is>
      </c>
      <c r="AU617" s="24" t="inlineStr">
        <is>
          <t>SeongChan Hong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d777da58446bc099047b154203518e2585ef1a678f613f2b430f2589f7bf5cff</t>
        </is>
      </c>
      <c r="BB617" s="24" t="inlineStr">
        <is>
          <t>surface_blended_elo</t>
        </is>
      </c>
      <c r="BC617" s="24" t="inlineStr">
        <is>
          <t>tennis-surface-elo-v1</t>
        </is>
      </c>
      <c r="BD617" s="24" t="inlineStr">
        <is>
          <t>d777da58446bc099047b154203518e2585ef1a678f613f2b430f2589f7bf5cff</t>
        </is>
      </c>
      <c r="BE617" s="24" t="inlineStr">
        <is>
          <t>tennis-surface-elo-v1</t>
        </is>
      </c>
      <c r="BF617" s="24" t="inlineStr">
        <is>
          <t>1</t>
        </is>
      </c>
      <c r="BG617" s="24" t="inlineStr">
        <is>
          <t>d777da58446bc099047b154203518e2585ef1a678f613f2b430f2589f7bf5cff</t>
        </is>
      </c>
      <c r="BH617" s="24" t="inlineStr">
        <is>
          <t>2026-08-25T13:29:53.530139Z</t>
        </is>
      </c>
      <c r="BI617" s="24" t="inlineStr">
        <is>
          <t>["same_event","same_team_same_day","same_league_same_day"]</t>
        </is>
      </c>
      <c r="BJ617" s="25" t="n"/>
      <c r="BK617" s="26" t="n">
        <v>-213</v>
      </c>
      <c r="BL617" s="27" t="n">
        <v>1.469484</v>
      </c>
      <c r="BM617" s="28" t="n">
        <v>0.680511</v>
      </c>
      <c r="BN617" s="28" t="n"/>
      <c r="BO617" s="28" t="n"/>
      <c r="BP617" s="25" t="n"/>
      <c r="BQ617" s="27" t="n">
        <v>1.469484</v>
      </c>
      <c r="BR617" s="28" t="n">
        <v>0.68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inlineStr">
        <is>
          <t>3858802f72ec3d23ffc965a20845a5de1fcd30e4b8c30984899f6d80d579d452</t>
        </is>
      </c>
      <c r="DE617" s="24" t="inlineStr">
        <is>
          <t>/Users/vincentc9002/model-prediction/data/odds/tennis/2026-08-25/polymarket_snapshots.jsonl</t>
        </is>
      </c>
      <c r="DF617" s="24" t="inlineStr">
        <is>
          <t>506121:2026-08-25T13:29:53.530139Z</t>
        </is>
      </c>
      <c r="DG617" s="24" t="n"/>
      <c r="DH617" s="24" t="n"/>
      <c r="DI617" s="24" t="n"/>
      <c r="DJ617" s="24" t="inlineStr">
        <is>
          <t>0.680511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7ca7667dc1b94752</t>
        </is>
      </c>
      <c r="B618" s="24" t="inlineStr">
        <is>
          <t>2026-08-25T13:31:51.589728Z</t>
        </is>
      </c>
      <c r="C618" s="24" t="inlineStr">
        <is>
          <t>2026-08-25T21:00Z</t>
        </is>
      </c>
      <c r="D618" s="24" t="inlineStr">
        <is>
          <t>189-2026:184636</t>
        </is>
      </c>
      <c r="E618" s="24" t="inlineStr">
        <is>
          <t>TENNIS</t>
        </is>
      </c>
      <c r="F618" s="24" t="inlineStr">
        <is>
          <t>Andrew Johnson</t>
        </is>
      </c>
      <c r="G618" s="24" t="inlineStr">
        <is>
          <t>Taro Daniel</t>
        </is>
      </c>
      <c r="H618" s="24" t="inlineStr">
        <is>
          <t>moneyline</t>
        </is>
      </c>
      <c r="I618" s="24" t="inlineStr">
        <is>
          <t>away</t>
        </is>
      </c>
      <c r="J618" s="25" t="n"/>
      <c r="K618" s="24" t="inlineStr">
        <is>
          <t>polymarket_us</t>
        </is>
      </c>
      <c r="L618" s="26" t="n">
        <v>614</v>
      </c>
      <c r="M618" s="27" t="n">
        <v>7.14</v>
      </c>
      <c r="N618" s="28" t="n">
        <v>0.140056</v>
      </c>
      <c r="O618" s="28" t="n">
        <v>0.5672</v>
      </c>
      <c r="P618" s="28" t="n">
        <v>0.05</v>
      </c>
      <c r="Q618" s="28" t="n">
        <v>0.427144</v>
      </c>
      <c r="R618" s="26" t="n">
        <v>100</v>
      </c>
      <c r="S618" s="29" t="n">
        <v>2</v>
      </c>
      <c r="T618" s="24" t="inlineStr">
        <is>
          <t>tennis-surface-elo-v1</t>
        </is>
      </c>
      <c r="U618" s="24" t="inlineStr">
        <is>
          <t>settled</t>
        </is>
      </c>
      <c r="V618" s="24" t="inlineStr">
        <is>
          <t>win</t>
        </is>
      </c>
      <c r="W618" s="26" t="n">
        <v>1</v>
      </c>
      <c r="X618" s="26" t="n">
        <v>0</v>
      </c>
      <c r="Y618" s="25" t="n"/>
      <c r="Z618" s="26" t="n">
        <v>614</v>
      </c>
      <c r="AA618" s="28" t="n">
        <v>0.14</v>
      </c>
      <c r="AB618" s="28" t="n">
        <v>-5.6e-05</v>
      </c>
      <c r="AC618" s="30" t="n">
        <v>12.28</v>
      </c>
      <c r="AD618" s="24" t="inlineStr">
        <is>
          <t>2026-08-26T12:37:43.577620Z</t>
        </is>
      </c>
      <c r="AE618" s="31" t="inlineStr">
        <is>
          <t>Surface-blended Elo on Hard: Andrew Johnson p=0.567 vs Taro Daniel. Executable ask 0.1400 (aec-atp-tardan-andjoh-2026-08-25).</t>
        </is>
      </c>
      <c r="AF618" s="31" t="inlineStr">
        <is>
          <t>Surface-blended Elo model; singles only, WTA+ATP market coverage, not yet locked-holdout qualified -- promoted by explicit operator directive, not genuine walk-forward validation.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Andrew Johnson</t>
        </is>
      </c>
      <c r="AQ618" s="24" t="inlineStr">
        <is>
          <t>Andrew Johnson</t>
        </is>
      </c>
      <c r="AR618" s="24" t="inlineStr">
        <is>
          <t>Andrew Johnson</t>
        </is>
      </c>
      <c r="AS618" s="24" t="inlineStr">
        <is>
          <t>Taro Daniel</t>
        </is>
      </c>
      <c r="AT618" s="24" t="inlineStr">
        <is>
          <t>Taro Daniel</t>
        </is>
      </c>
      <c r="AU618" s="24" t="inlineStr">
        <is>
          <t>Taro Daniel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d777da58446bc099047b154203518e2585ef1a678f613f2b430f2589f7bf5cff</t>
        </is>
      </c>
      <c r="BB618" s="24" t="inlineStr">
        <is>
          <t>surface_blended_elo</t>
        </is>
      </c>
      <c r="BC618" s="24" t="inlineStr">
        <is>
          <t>tennis-surface-elo-v1</t>
        </is>
      </c>
      <c r="BD618" s="24" t="inlineStr">
        <is>
          <t>d777da58446bc099047b154203518e2585ef1a678f613f2b430f2589f7bf5cff</t>
        </is>
      </c>
      <c r="BE618" s="24" t="inlineStr">
        <is>
          <t>tennis-surface-elo-v1</t>
        </is>
      </c>
      <c r="BF618" s="24" t="inlineStr">
        <is>
          <t>1</t>
        </is>
      </c>
      <c r="BG618" s="24" t="inlineStr">
        <is>
          <t>d777da58446bc099047b154203518e2585ef1a678f613f2b430f2589f7bf5cff</t>
        </is>
      </c>
      <c r="BH618" s="24" t="inlineStr">
        <is>
          <t>2026-08-25T13:29:54.456541Z</t>
        </is>
      </c>
      <c r="BI618" s="24" t="inlineStr">
        <is>
          <t>["same_event","same_team_same_day","same_league_same_day"]</t>
        </is>
      </c>
      <c r="BJ618" s="25" t="n"/>
      <c r="BK618" s="26" t="n">
        <v>614</v>
      </c>
      <c r="BL618" s="27" t="n">
        <v>7.14</v>
      </c>
      <c r="BM618" s="28" t="n">
        <v>0.140056</v>
      </c>
      <c r="BN618" s="28" t="n"/>
      <c r="BO618" s="28" t="n"/>
      <c r="BP618" s="25" t="n"/>
      <c r="BQ618" s="27" t="n">
        <v>7.14</v>
      </c>
      <c r="BR618" s="28" t="n">
        <v>0.14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True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inlineStr">
        <is>
          <t>ca8ebacade05908457acd09999b45fe683eace8a7f50d7c2f81ad8b3e97496f1</t>
        </is>
      </c>
      <c r="DE618" s="24" t="inlineStr">
        <is>
          <t>/Users/vincentc9002/model-prediction/data/odds/tennis/2026-08-25/polymarket_snapshots.jsonl</t>
        </is>
      </c>
      <c r="DF618" s="24" t="inlineStr">
        <is>
          <t>506117:2026-08-25T13:29:54.456541Z</t>
        </is>
      </c>
      <c r="DG618" s="24" t="n"/>
      <c r="DH618" s="24" t="n"/>
      <c r="DI618" s="24" t="n"/>
      <c r="DJ618" s="24" t="inlineStr">
        <is>
          <t>0.140056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105538cc46fd4519</t>
        </is>
      </c>
      <c r="B619" s="24" t="inlineStr">
        <is>
          <t>2026-08-25T13:31:51.589728Z</t>
        </is>
      </c>
      <c r="C619" s="24" t="inlineStr">
        <is>
          <t>2026-08-25T21:00Z</t>
        </is>
      </c>
      <c r="D619" s="24" t="inlineStr">
        <is>
          <t>189-2026:184650</t>
        </is>
      </c>
      <c r="E619" s="24" t="inlineStr">
        <is>
          <t>TENNIS</t>
        </is>
      </c>
      <c r="F619" s="24" t="inlineStr">
        <is>
          <t>Liam Draxl</t>
        </is>
      </c>
      <c r="G619" s="24" t="inlineStr">
        <is>
          <t>Nicolas Mejia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100</v>
      </c>
      <c r="M619" s="27" t="n">
        <v>2</v>
      </c>
      <c r="N619" s="28" t="n">
        <v>0.5</v>
      </c>
      <c r="O619" s="28" t="n">
        <v>0.546</v>
      </c>
      <c r="P619" s="28" t="n">
        <v>0.05</v>
      </c>
      <c r="Q619" s="28" t="n">
        <v>0.046</v>
      </c>
      <c r="R619" s="26" t="n">
        <v>43</v>
      </c>
      <c r="S619" s="29" t="n">
        <v>1</v>
      </c>
      <c r="T619" s="24" t="inlineStr">
        <is>
          <t>tennis-surface-elo-v1</t>
        </is>
      </c>
      <c r="U619" s="24" t="inlineStr">
        <is>
          <t>settled</t>
        </is>
      </c>
      <c r="V619" s="24" t="inlineStr">
        <is>
          <t>loss</t>
        </is>
      </c>
      <c r="W619" s="26" t="n">
        <v>1</v>
      </c>
      <c r="X619" s="26" t="n">
        <v>0</v>
      </c>
      <c r="Y619" s="25" t="n"/>
      <c r="Z619" s="26" t="n">
        <v>100</v>
      </c>
      <c r="AA619" s="28" t="n">
        <v>0.5</v>
      </c>
      <c r="AB619" s="28" t="n">
        <v>0</v>
      </c>
      <c r="AC619" s="30" t="n">
        <v>-1</v>
      </c>
      <c r="AD619" s="24" t="inlineStr">
        <is>
          <t>2026-08-26T12:37:45.548582Z</t>
        </is>
      </c>
      <c r="AE619" s="31" t="inlineStr">
        <is>
          <t>Surface-blended Elo on Hard: Liam Draxl p=0.454 vs Nicolas Mejia. Executable ask 0.5000 (aec-atp-nicmej-liadra-2026-08-25).</t>
        </is>
      </c>
      <c r="AF619" s="31" t="inlineStr">
        <is>
          <t>Surface-blended Elo model; singles only, WTA+ATP market coverage, not yet locked-holdout qualified -- promoted by explicit operator directive, not genuine walk-forward validation.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Liam Draxl</t>
        </is>
      </c>
      <c r="AQ619" s="24" t="inlineStr">
        <is>
          <t>Liam Draxl</t>
        </is>
      </c>
      <c r="AR619" s="24" t="inlineStr">
        <is>
          <t>Liam Draxl</t>
        </is>
      </c>
      <c r="AS619" s="24" t="inlineStr">
        <is>
          <t>Nicolas Mejia</t>
        </is>
      </c>
      <c r="AT619" s="24" t="inlineStr">
        <is>
          <t>Nicolas Mejia</t>
        </is>
      </c>
      <c r="AU619" s="24" t="inlineStr">
        <is>
          <t>Nicolas Mejia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d777da58446bc099047b154203518e2585ef1a678f613f2b430f2589f7bf5cff</t>
        </is>
      </c>
      <c r="BB619" s="24" t="inlineStr">
        <is>
          <t>surface_blended_elo</t>
        </is>
      </c>
      <c r="BC619" s="24" t="inlineStr">
        <is>
          <t>tennis-surface-elo-v1</t>
        </is>
      </c>
      <c r="BD619" s="24" t="inlineStr">
        <is>
          <t>d777da58446bc099047b154203518e2585ef1a678f613f2b430f2589f7bf5cff</t>
        </is>
      </c>
      <c r="BE619" s="24" t="inlineStr">
        <is>
          <t>tennis-surface-elo-v1</t>
        </is>
      </c>
      <c r="BF619" s="24" t="inlineStr">
        <is>
          <t>1</t>
        </is>
      </c>
      <c r="BG619" s="24" t="inlineStr">
        <is>
          <t>d777da58446bc099047b154203518e2585ef1a678f613f2b430f2589f7bf5cff</t>
        </is>
      </c>
      <c r="BH619" s="24" t="inlineStr">
        <is>
          <t>2026-08-25T13:29:53.718330Z</t>
        </is>
      </c>
      <c r="BI619" s="24" t="inlineStr">
        <is>
          <t>["same_event","same_team_same_day","same_league_same_day"]</t>
        </is>
      </c>
      <c r="BJ619" s="25" t="n"/>
      <c r="BK619" s="26" t="n">
        <v>100</v>
      </c>
      <c r="BL619" s="27" t="n">
        <v>2</v>
      </c>
      <c r="BM619" s="28" t="n">
        <v>0.5</v>
      </c>
      <c r="BN619" s="28" t="n"/>
      <c r="BO619" s="28" t="n"/>
      <c r="BP619" s="25" t="n"/>
      <c r="BQ619" s="27" t="n">
        <v>2</v>
      </c>
      <c r="BR619" s="28" t="n">
        <v>0.5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inlineStr">
        <is>
          <t>b8b4cb43a4a27dd7d697ff00948e72e2d17eb8d6db765e13bfddb14cafe3d9a2</t>
        </is>
      </c>
      <c r="DE619" s="24" t="inlineStr">
        <is>
          <t>/Users/vincentc9002/model-prediction/data/odds/tennis/2026-08-25/polymarket_snapshots.jsonl</t>
        </is>
      </c>
      <c r="DF619" s="24" t="inlineStr">
        <is>
          <t>506116:2026-08-25T13:29:53.718330Z</t>
        </is>
      </c>
      <c r="DG619" s="24" t="n"/>
      <c r="DH619" s="24" t="n"/>
      <c r="DI619" s="24" t="n"/>
      <c r="DJ619" s="24" t="inlineStr">
        <is>
          <t>0.5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eef89e97d0804d75</t>
        </is>
      </c>
      <c r="B620" s="24" t="inlineStr">
        <is>
          <t>2026-08-25T13:31:51.589728Z</t>
        </is>
      </c>
      <c r="C620" s="24" t="inlineStr">
        <is>
          <t>2026-08-26T04:00Z</t>
        </is>
      </c>
      <c r="D620" s="24" t="inlineStr">
        <is>
          <t>189-2026:184670</t>
        </is>
      </c>
      <c r="E620" s="24" t="inlineStr">
        <is>
          <t>TENNIS</t>
        </is>
      </c>
      <c r="F620" s="24" t="inlineStr">
        <is>
          <t>Alexis Galarneau</t>
        </is>
      </c>
      <c r="G620" s="24" t="inlineStr">
        <is>
          <t>Dalibor Svrcina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-186</v>
      </c>
      <c r="M620" s="27" t="n">
        <v>1.537634</v>
      </c>
      <c r="N620" s="28" t="n">
        <v>0.65035</v>
      </c>
      <c r="O620" s="28" t="n">
        <v>0.517</v>
      </c>
      <c r="P620" s="28" t="n">
        <v>0.05</v>
      </c>
      <c r="Q620" s="28" t="n">
        <v>-0.13335</v>
      </c>
      <c r="R620" s="26" t="n">
        <v>0</v>
      </c>
      <c r="S620" s="29" t="n">
        <v>1</v>
      </c>
      <c r="T620" s="24" t="inlineStr">
        <is>
          <t>tennis-surface-elo-v1</t>
        </is>
      </c>
      <c r="U620" s="24" t="inlineStr">
        <is>
          <t>settled</t>
        </is>
      </c>
      <c r="V620" s="24" t="inlineStr">
        <is>
          <t>win</t>
        </is>
      </c>
      <c r="W620" s="26" t="n">
        <v>0</v>
      </c>
      <c r="X620" s="26" t="n">
        <v>1</v>
      </c>
      <c r="Y620" s="25" t="n"/>
      <c r="Z620" s="26" t="n"/>
      <c r="AA620" s="28" t="n"/>
      <c r="AB620" s="28" t="n"/>
      <c r="AC620" s="30" t="n">
        <v>0.5376</v>
      </c>
      <c r="AD620" s="24" t="inlineStr">
        <is>
          <t>2026-08-26T22:12:40.689754Z</t>
        </is>
      </c>
      <c r="AE620" s="31" t="inlineStr">
        <is>
          <t>Surface-blended Elo on Hard: Alexis Galarneau p=0.483 vs Dalibor Svrcina. Executable ask 0.6500 (aec-atp-dalsvr-alegal-2026-08-25).</t>
        </is>
      </c>
      <c r="AF620" s="31" t="inlineStr">
        <is>
          <t>Surface-blended Elo model; singles only, WTA+ATP market coverage, not yet locked-holdout qualified -- promoted by explicit operator directive, not genuine walk-forward validation.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PAPER_CALL_LOW_EDGE</t>
        </is>
      </c>
      <c r="AP620" s="24" t="inlineStr">
        <is>
          <t>Alexis Galarneau</t>
        </is>
      </c>
      <c r="AQ620" s="24" t="inlineStr">
        <is>
          <t>Alexis Galarneau</t>
        </is>
      </c>
      <c r="AR620" s="24" t="inlineStr">
        <is>
          <t>Alexis Galarneau</t>
        </is>
      </c>
      <c r="AS620" s="24" t="inlineStr">
        <is>
          <t>Dalibor Svrcina</t>
        </is>
      </c>
      <c r="AT620" s="24" t="inlineStr">
        <is>
          <t>Dalibor Svrcina</t>
        </is>
      </c>
      <c r="AU620" s="24" t="inlineStr">
        <is>
          <t>Dalibor Svrcina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d777da58446bc099047b154203518e2585ef1a678f613f2b430f2589f7bf5cff</t>
        </is>
      </c>
      <c r="BB620" s="24" t="inlineStr">
        <is>
          <t>surface_blended_elo</t>
        </is>
      </c>
      <c r="BC620" s="24" t="inlineStr">
        <is>
          <t>tennis-surface-elo-v1</t>
        </is>
      </c>
      <c r="BD620" s="24" t="inlineStr">
        <is>
          <t>d777da58446bc099047b154203518e2585ef1a678f613f2b430f2589f7bf5cff</t>
        </is>
      </c>
      <c r="BE620" s="24" t="inlineStr">
        <is>
          <t>tennis-surface-elo-v1</t>
        </is>
      </c>
      <c r="BF620" s="24" t="inlineStr">
        <is>
          <t>1</t>
        </is>
      </c>
      <c r="BG620" s="24" t="inlineStr">
        <is>
          <t>d777da58446bc099047b154203518e2585ef1a678f613f2b430f2589f7bf5cff</t>
        </is>
      </c>
      <c r="BH620" s="24" t="inlineStr">
        <is>
          <t>2026-08-25T06:23:08.125641Z</t>
        </is>
      </c>
      <c r="BI620" s="24" t="inlineStr">
        <is>
          <t>["same_event","same_team_same_day","same_league_same_day"]</t>
        </is>
      </c>
      <c r="BJ620" s="25" t="n"/>
      <c r="BK620" s="26" t="n">
        <v>-186</v>
      </c>
      <c r="BL620" s="27" t="n">
        <v>1.537634</v>
      </c>
      <c r="BM620" s="28" t="n">
        <v>0.65035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False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inlineStr">
        <is>
          <t>7ae453ece10feffcadaf99cbf7877fd59c81b05d7c1726b16eac25eddeab606a</t>
        </is>
      </c>
      <c r="DE620" s="24" t="inlineStr">
        <is>
          <t>/Users/vincentc9002/model-prediction/data/odds/tennis/2026-08-25/polymarket_snapshots.jsonl</t>
        </is>
      </c>
      <c r="DF620" s="24" t="inlineStr">
        <is>
          <t>514574:2026-08-25T06:23:08.125641Z</t>
        </is>
      </c>
      <c r="DG620" s="24" t="n"/>
      <c r="DH620" s="24" t="n"/>
      <c r="DI620" s="24" t="n"/>
      <c r="DJ620" s="24" t="inlineStr">
        <is>
          <t>0.65035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e4c171cedacd4a1f</t>
        </is>
      </c>
      <c r="B621" s="24" t="inlineStr">
        <is>
          <t>2026-08-25T13:31:51.589728Z</t>
        </is>
      </c>
      <c r="C621" s="24" t="inlineStr">
        <is>
          <t>2026-08-26T04:00Z</t>
        </is>
      </c>
      <c r="D621" s="24" t="inlineStr">
        <is>
          <t>189-2026:184682</t>
        </is>
      </c>
      <c r="E621" s="24" t="inlineStr">
        <is>
          <t>TENNIS</t>
        </is>
      </c>
      <c r="F621" s="24" t="inlineStr">
        <is>
          <t>Harry Wendelken</t>
        </is>
      </c>
      <c r="G621" s="24" t="inlineStr">
        <is>
          <t>Remy Bertola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-113</v>
      </c>
      <c r="M621" s="27" t="n">
        <v>1.884956</v>
      </c>
      <c r="N621" s="28" t="n">
        <v>0.530516</v>
      </c>
      <c r="O621" s="28" t="n">
        <v>0.5341</v>
      </c>
      <c r="P621" s="28" t="n">
        <v>0.05</v>
      </c>
      <c r="Q621" s="28" t="n">
        <v>0.003584</v>
      </c>
      <c r="R621" s="26" t="n">
        <v>22</v>
      </c>
      <c r="S621" s="29" t="n">
        <v>1</v>
      </c>
      <c r="T621" s="24" t="inlineStr">
        <is>
          <t>tennis-surface-elo-v1</t>
        </is>
      </c>
      <c r="U621" s="24" t="inlineStr">
        <is>
          <t>settled</t>
        </is>
      </c>
      <c r="V621" s="24" t="inlineStr">
        <is>
          <t>loss</t>
        </is>
      </c>
      <c r="W621" s="26" t="n">
        <v>1</v>
      </c>
      <c r="X621" s="26" t="n">
        <v>0</v>
      </c>
      <c r="Y621" s="25" t="n"/>
      <c r="Z621" s="26" t="n"/>
      <c r="AA621" s="28" t="n"/>
      <c r="AB621" s="28" t="n"/>
      <c r="AC621" s="30" t="n">
        <v>-1</v>
      </c>
      <c r="AD621" s="24" t="inlineStr">
        <is>
          <t>2026-08-26T22:12:42.998171Z</t>
        </is>
      </c>
      <c r="AE621" s="31" t="inlineStr">
        <is>
          <t>Surface-blended Elo on Hard: Harry Wendelken p=0.466 vs Remy Bertola. Executable ask 0.5300 (aec-atp-rember-harwen-2026-08-25).</t>
        </is>
      </c>
      <c r="AF621" s="31" t="inlineStr">
        <is>
          <t>Surface-blended Elo model; singles only, WTA+ATP market coverage, not yet locked-holdout qualified -- promoted by explicit operator directive, not genuine walk-forward validation.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PAPER_CALL_MODEL_UNVALIDATED</t>
        </is>
      </c>
      <c r="AP621" s="24" t="inlineStr">
        <is>
          <t>Harry Wendelken</t>
        </is>
      </c>
      <c r="AQ621" s="24" t="inlineStr">
        <is>
          <t>Harry Wendelken</t>
        </is>
      </c>
      <c r="AR621" s="24" t="inlineStr">
        <is>
          <t>Harry Wendelken</t>
        </is>
      </c>
      <c r="AS621" s="24" t="inlineStr">
        <is>
          <t>Remy Bertola</t>
        </is>
      </c>
      <c r="AT621" s="24" t="inlineStr">
        <is>
          <t>Remy Bertola</t>
        </is>
      </c>
      <c r="AU621" s="24" t="inlineStr">
        <is>
          <t>Remy Bertola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d777da58446bc099047b154203518e2585ef1a678f613f2b430f2589f7bf5cff</t>
        </is>
      </c>
      <c r="BB621" s="24" t="inlineStr">
        <is>
          <t>surface_blended_elo</t>
        </is>
      </c>
      <c r="BC621" s="24" t="inlineStr">
        <is>
          <t>tennis-surface-elo-v1</t>
        </is>
      </c>
      <c r="BD621" s="24" t="inlineStr">
        <is>
          <t>d777da58446bc099047b154203518e2585ef1a678f613f2b430f2589f7bf5cff</t>
        </is>
      </c>
      <c r="BE621" s="24" t="inlineStr">
        <is>
          <t>tennis-surface-elo-v1</t>
        </is>
      </c>
      <c r="BF621" s="24" t="inlineStr">
        <is>
          <t>1</t>
        </is>
      </c>
      <c r="BG621" s="24" t="inlineStr">
        <is>
          <t>d777da58446bc099047b154203518e2585ef1a678f613f2b430f2589f7bf5cff</t>
        </is>
      </c>
      <c r="BH621" s="24" t="inlineStr">
        <is>
          <t>2026-08-25T06:23:08.132978Z</t>
        </is>
      </c>
      <c r="BI621" s="24" t="inlineStr">
        <is>
          <t>["same_event","same_team_same_day","same_league_same_day"]</t>
        </is>
      </c>
      <c r="BJ621" s="25" t="n"/>
      <c r="BK621" s="26" t="n">
        <v>-113</v>
      </c>
      <c r="BL621" s="27" t="n">
        <v>1.884956</v>
      </c>
      <c r="BM621" s="28" t="n">
        <v>0.530516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inlineStr">
        <is>
          <t>f333e00dddcb305df831adf6a89b42b16888569374a63f3bcd2b4ac2072ee384</t>
        </is>
      </c>
      <c r="DE621" s="24" t="inlineStr">
        <is>
          <t>/Users/vincentc9002/model-prediction/data/odds/tennis/2026-08-25/polymarket_snapshots.jsonl</t>
        </is>
      </c>
      <c r="DF621" s="24" t="inlineStr">
        <is>
          <t>515158:2026-08-25T06:23:08.132978Z</t>
        </is>
      </c>
      <c r="DG621" s="24" t="n"/>
      <c r="DH621" s="24" t="n"/>
      <c r="DI621" s="24" t="n"/>
      <c r="DJ621" s="24" t="inlineStr">
        <is>
          <t>0.530516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344c75df711d4911</t>
        </is>
      </c>
      <c r="B622" s="24" t="inlineStr">
        <is>
          <t>2026-08-25T13:31:51.589728Z</t>
        </is>
      </c>
      <c r="C622" s="24" t="inlineStr">
        <is>
          <t>2026-08-26T04:00Z</t>
        </is>
      </c>
      <c r="D622" s="24" t="inlineStr">
        <is>
          <t>189-2026:184760</t>
        </is>
      </c>
      <c r="E622" s="24" t="inlineStr">
        <is>
          <t>TENNIS</t>
        </is>
      </c>
      <c r="F622" s="24" t="inlineStr">
        <is>
          <t>Lukas Neumayer</t>
        </is>
      </c>
      <c r="G622" s="24" t="inlineStr">
        <is>
          <t>Chak Lam Coleman Wong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-317</v>
      </c>
      <c r="M622" s="27" t="n">
        <v>1.315457</v>
      </c>
      <c r="N622" s="28" t="n">
        <v>0.760192</v>
      </c>
      <c r="O622" s="28" t="n">
        <v>0.6523</v>
      </c>
      <c r="P622" s="28" t="n">
        <v>0.05</v>
      </c>
      <c r="Q622" s="28" t="n">
        <v>-0.107892</v>
      </c>
      <c r="R622" s="26" t="n">
        <v>0</v>
      </c>
      <c r="S622" s="29" t="n">
        <v>1</v>
      </c>
      <c r="T622" s="24" t="inlineStr">
        <is>
          <t>tennis-surface-elo-v1</t>
        </is>
      </c>
      <c r="U622" s="24" t="inlineStr">
        <is>
          <t>settled</t>
        </is>
      </c>
      <c r="V622" s="24" t="inlineStr">
        <is>
          <t>win</t>
        </is>
      </c>
      <c r="W622" s="26" t="n">
        <v>0</v>
      </c>
      <c r="X622" s="26" t="n">
        <v>1</v>
      </c>
      <c r="Y622" s="25" t="n"/>
      <c r="Z622" s="26" t="n"/>
      <c r="AA622" s="28" t="n"/>
      <c r="AB622" s="28" t="n"/>
      <c r="AC622" s="30" t="n">
        <v>0.3155</v>
      </c>
      <c r="AD622" s="24" t="inlineStr">
        <is>
          <t>2026-08-26T22:12:45.239453Z</t>
        </is>
      </c>
      <c r="AE622" s="31" t="inlineStr">
        <is>
          <t>Surface-blended Elo on Hard: Lukas Neumayer p=0.348 vs Chak Lam Coleman Wong. Executable ask 0.7600 (aec-atp-colwon-lukneu-2026-08-25).</t>
        </is>
      </c>
      <c r="AF622" s="31" t="inlineStr">
        <is>
          <t>Surface-blended Elo model; singles only, WTA+ATP market coverage, not yet locked-holdout qualified -- promoted by explicit operator directive, not genuine walk-forward validation.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Lukas Neumayer</t>
        </is>
      </c>
      <c r="AQ622" s="24" t="inlineStr">
        <is>
          <t>Lukas Neumayer</t>
        </is>
      </c>
      <c r="AR622" s="24" t="inlineStr">
        <is>
          <t>Lukas Neumayer</t>
        </is>
      </c>
      <c r="AS622" s="24" t="inlineStr">
        <is>
          <t>Chak Lam Coleman Wong</t>
        </is>
      </c>
      <c r="AT622" s="24" t="inlineStr">
        <is>
          <t>Chak Lam Coleman Wong</t>
        </is>
      </c>
      <c r="AU622" s="24" t="inlineStr">
        <is>
          <t>Chak Lam Coleman Wong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d777da58446bc099047b154203518e2585ef1a678f613f2b430f2589f7bf5cff</t>
        </is>
      </c>
      <c r="BB622" s="24" t="inlineStr">
        <is>
          <t>surface_blended_elo</t>
        </is>
      </c>
      <c r="BC622" s="24" t="inlineStr">
        <is>
          <t>tennis-surface-elo-v1</t>
        </is>
      </c>
      <c r="BD622" s="24" t="inlineStr">
        <is>
          <t>d777da58446bc099047b154203518e2585ef1a678f613f2b430f2589f7bf5cff</t>
        </is>
      </c>
      <c r="BE622" s="24" t="inlineStr">
        <is>
          <t>tennis-surface-elo-v1</t>
        </is>
      </c>
      <c r="BF622" s="24" t="inlineStr">
        <is>
          <t>1</t>
        </is>
      </c>
      <c r="BG622" s="24" t="inlineStr">
        <is>
          <t>d777da58446bc099047b154203518e2585ef1a678f613f2b430f2589f7bf5cff</t>
        </is>
      </c>
      <c r="BH622" s="24" t="inlineStr">
        <is>
          <t>2026-08-25T06:23:08.113502Z</t>
        </is>
      </c>
      <c r="BI622" s="24" t="inlineStr">
        <is>
          <t>["same_event","same_team_same_day","same_league_same_day"]</t>
        </is>
      </c>
      <c r="BJ622" s="25" t="n"/>
      <c r="BK622" s="26" t="n">
        <v>-317</v>
      </c>
      <c r="BL622" s="27" t="n">
        <v>1.315457</v>
      </c>
      <c r="BM622" s="28" t="n">
        <v>0.760192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inlineStr">
        <is>
          <t>deac6870ce7297f157362c1379658613e1e36c143485f85159d205d576f1ea0f</t>
        </is>
      </c>
      <c r="DE622" s="24" t="inlineStr">
        <is>
          <t>/Users/vincentc9002/model-prediction/data/odds/tennis/2026-08-25/polymarket_snapshots.jsonl</t>
        </is>
      </c>
      <c r="DF622" s="24" t="inlineStr">
        <is>
          <t>516358:2026-08-25T06:23:08.113502Z</t>
        </is>
      </c>
      <c r="DG622" s="24" t="n"/>
      <c r="DH622" s="24" t="n"/>
      <c r="DI622" s="24" t="n"/>
      <c r="DJ622" s="24" t="inlineStr">
        <is>
          <t>0.760192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3ba1307b73764ce1</t>
        </is>
      </c>
      <c r="B623" s="24" t="inlineStr">
        <is>
          <t>2026-08-25T13:31:51.589728Z</t>
        </is>
      </c>
      <c r="C623" s="24" t="inlineStr">
        <is>
          <t>2026-08-26T04:00Z</t>
        </is>
      </c>
      <c r="D623" s="24" t="inlineStr">
        <is>
          <t>189-2026:184763</t>
        </is>
      </c>
      <c r="E623" s="24" t="inlineStr">
        <is>
          <t>TENNIS</t>
        </is>
      </c>
      <c r="F623" s="24" t="inlineStr">
        <is>
          <t>Mackenzie McDonald</t>
        </is>
      </c>
      <c r="G623" s="24" t="inlineStr">
        <is>
          <t>Thiago Seyboth Wild</t>
        </is>
      </c>
      <c r="H623" s="24" t="inlineStr">
        <is>
          <t>moneyline</t>
        </is>
      </c>
      <c r="I623" s="24" t="inlineStr">
        <is>
          <t>away</t>
        </is>
      </c>
      <c r="J623" s="25" t="n"/>
      <c r="K623" s="24" t="inlineStr">
        <is>
          <t>polymarket_us</t>
        </is>
      </c>
      <c r="L623" s="26" t="n">
        <v>-186</v>
      </c>
      <c r="M623" s="27" t="n">
        <v>1.537634</v>
      </c>
      <c r="N623" s="28" t="n">
        <v>0.65035</v>
      </c>
      <c r="O623" s="28" t="n">
        <v>0.5134</v>
      </c>
      <c r="P623" s="28" t="n">
        <v>0.05</v>
      </c>
      <c r="Q623" s="28" t="n">
        <v>-0.13695</v>
      </c>
      <c r="R623" s="26" t="n">
        <v>0</v>
      </c>
      <c r="S623" s="29" t="n">
        <v>1</v>
      </c>
      <c r="T623" s="24" t="inlineStr">
        <is>
          <t>tennis-surface-elo-v1</t>
        </is>
      </c>
      <c r="U623" s="24" t="inlineStr">
        <is>
          <t>settled</t>
        </is>
      </c>
      <c r="V623" s="24" t="inlineStr">
        <is>
          <t>win</t>
        </is>
      </c>
      <c r="W623" s="26" t="n">
        <v>1</v>
      </c>
      <c r="X623" s="26" t="n">
        <v>0</v>
      </c>
      <c r="Y623" s="25" t="n"/>
      <c r="Z623" s="26" t="n"/>
      <c r="AA623" s="28" t="n"/>
      <c r="AB623" s="28" t="n"/>
      <c r="AC623" s="30" t="n">
        <v>0.5376</v>
      </c>
      <c r="AD623" s="24" t="inlineStr">
        <is>
          <t>2026-08-26T22:12:47.674718Z</t>
        </is>
      </c>
      <c r="AE623" s="31" t="inlineStr">
        <is>
          <t>Surface-blended Elo on Hard: Mackenzie McDonald p=0.513 vs Thiago Seyboth Wild. Executable ask 0.6500 (aec-atp-thiwil-macmcd-2026-08-25).</t>
        </is>
      </c>
      <c r="AF623" s="31" t="inlineStr">
        <is>
          <t>Surface-blended Elo model; singles only, WTA+ATP market coverage, not yet locked-holdout qualified -- promoted by explicit operator directive, not genuine walk-forward validation.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Mackenzie McDonald</t>
        </is>
      </c>
      <c r="AQ623" s="24" t="inlineStr">
        <is>
          <t>Mackenzie McDonald</t>
        </is>
      </c>
      <c r="AR623" s="24" t="inlineStr">
        <is>
          <t>Mackenzie McDonald</t>
        </is>
      </c>
      <c r="AS623" s="24" t="inlineStr">
        <is>
          <t>Thiago Seyboth Wild</t>
        </is>
      </c>
      <c r="AT623" s="24" t="inlineStr">
        <is>
          <t>Thiago Seyboth Wild</t>
        </is>
      </c>
      <c r="AU623" s="24" t="inlineStr">
        <is>
          <t>Thiago Seyboth Wild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d777da58446bc099047b154203518e2585ef1a678f613f2b430f2589f7bf5cff</t>
        </is>
      </c>
      <c r="BB623" s="24" t="inlineStr">
        <is>
          <t>surface_blended_elo</t>
        </is>
      </c>
      <c r="BC623" s="24" t="inlineStr">
        <is>
          <t>tennis-surface-elo-v1</t>
        </is>
      </c>
      <c r="BD623" s="24" t="inlineStr">
        <is>
          <t>d777da58446bc099047b154203518e2585ef1a678f613f2b430f2589f7bf5cff</t>
        </is>
      </c>
      <c r="BE623" s="24" t="inlineStr">
        <is>
          <t>tennis-surface-elo-v1</t>
        </is>
      </c>
      <c r="BF623" s="24" t="inlineStr">
        <is>
          <t>1</t>
        </is>
      </c>
      <c r="BG623" s="24" t="inlineStr">
        <is>
          <t>d777da58446bc099047b154203518e2585ef1a678f613f2b430f2589f7bf5cff</t>
        </is>
      </c>
      <c r="BH623" s="24" t="inlineStr">
        <is>
          <t>2026-08-25T06:23:08.114754Z</t>
        </is>
      </c>
      <c r="BI623" s="24" t="inlineStr">
        <is>
          <t>["same_event","same_team_same_day","same_league_same_day"]</t>
        </is>
      </c>
      <c r="BJ623" s="25" t="n"/>
      <c r="BK623" s="26" t="n">
        <v>-186</v>
      </c>
      <c r="BL623" s="27" t="n">
        <v>1.537634</v>
      </c>
      <c r="BM623" s="28" t="n">
        <v>0.65035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inlineStr">
        <is>
          <t>e8f642b9276bc1c3ee5b8664fccb6042555db8e6d5de68ea714e83da595e17a8</t>
        </is>
      </c>
      <c r="DE623" s="24" t="inlineStr">
        <is>
          <t>/Users/vincentc9002/model-prediction/data/odds/tennis/2026-08-25/polymarket_snapshots.jsonl</t>
        </is>
      </c>
      <c r="DF623" s="24" t="inlineStr">
        <is>
          <t>515922:2026-08-25T06:23:08.114754Z</t>
        </is>
      </c>
      <c r="DG623" s="24" t="n"/>
      <c r="DH623" s="24" t="n"/>
      <c r="DI623" s="24" t="n"/>
      <c r="DJ623" s="24" t="inlineStr">
        <is>
          <t>0.65035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51613939f5524c9e</t>
        </is>
      </c>
      <c r="B624" s="24" t="inlineStr">
        <is>
          <t>2026-08-25T13:31:51.589728Z</t>
        </is>
      </c>
      <c r="C624" s="24" t="inlineStr">
        <is>
          <t>2026-08-26T04:00Z</t>
        </is>
      </c>
      <c r="D624" s="24" t="inlineStr">
        <is>
          <t>189-2026:184764</t>
        </is>
      </c>
      <c r="E624" s="24" t="inlineStr">
        <is>
          <t>TENNIS</t>
        </is>
      </c>
      <c r="F624" s="24" t="inlineStr">
        <is>
          <t>Tom Gentzsch</t>
        </is>
      </c>
      <c r="G624" s="24" t="inlineStr">
        <is>
          <t>Francesco Passaro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117</v>
      </c>
      <c r="M624" s="27" t="n">
        <v>2.17</v>
      </c>
      <c r="N624" s="28" t="n">
        <v>0.460829</v>
      </c>
      <c r="O624" s="28" t="n">
        <v>0.546</v>
      </c>
      <c r="P624" s="28" t="n">
        <v>0.05</v>
      </c>
      <c r="Q624" s="28" t="n">
        <v>0.085171</v>
      </c>
      <c r="R624" s="26" t="n">
        <v>63</v>
      </c>
      <c r="S624" s="29" t="n">
        <v>1.25</v>
      </c>
      <c r="T624" s="24" t="inlineStr">
        <is>
          <t>tennis-surface-elo-v1</t>
        </is>
      </c>
      <c r="U624" s="24" t="inlineStr">
        <is>
          <t>settled</t>
        </is>
      </c>
      <c r="V624" s="24" t="inlineStr">
        <is>
          <t>win</t>
        </is>
      </c>
      <c r="W624" s="26" t="n">
        <v>0</v>
      </c>
      <c r="X624" s="26" t="n">
        <v>1</v>
      </c>
      <c r="Y624" s="25" t="n"/>
      <c r="Z624" s="26" t="n"/>
      <c r="AA624" s="28" t="n"/>
      <c r="AB624" s="28" t="n"/>
      <c r="AC624" s="30" t="n">
        <v>1.4625</v>
      </c>
      <c r="AD624" s="24" t="inlineStr">
        <is>
          <t>2026-08-26T22:12:49.893535Z</t>
        </is>
      </c>
      <c r="AE624" s="31" t="inlineStr">
        <is>
          <t>Surface-blended Elo on Hard: Tom Gentzsch p=0.454 vs Francesco Passaro. Executable ask 0.4600 (aec-atp-frapas-tomgen-2026-08-25).</t>
        </is>
      </c>
      <c r="AF624" s="31" t="inlineStr">
        <is>
          <t>Surface-blended Elo model; singles only, WTA+ATP market coverage, not yet locked-holdout qualified -- promoted by explicit operator directive, not genuine walk-forward validation.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PAPER_CALL_MODEL_UNVALIDATED</t>
        </is>
      </c>
      <c r="AP624" s="24" t="inlineStr">
        <is>
          <t>Tom Gentzsch</t>
        </is>
      </c>
      <c r="AQ624" s="24" t="inlineStr">
        <is>
          <t>Tom Gentzsch</t>
        </is>
      </c>
      <c r="AR624" s="24" t="inlineStr">
        <is>
          <t>Tom Gentzsch</t>
        </is>
      </c>
      <c r="AS624" s="24" t="inlineStr">
        <is>
          <t>Francesco Passaro</t>
        </is>
      </c>
      <c r="AT624" s="24" t="inlineStr">
        <is>
          <t>Francesco Passaro</t>
        </is>
      </c>
      <c r="AU624" s="24" t="inlineStr">
        <is>
          <t>Francesco Passaro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d777da58446bc099047b154203518e2585ef1a678f613f2b430f2589f7bf5cff</t>
        </is>
      </c>
      <c r="BB624" s="24" t="inlineStr">
        <is>
          <t>surface_blended_elo</t>
        </is>
      </c>
      <c r="BC624" s="24" t="inlineStr">
        <is>
          <t>tennis-surface-elo-v1</t>
        </is>
      </c>
      <c r="BD624" s="24" t="inlineStr">
        <is>
          <t>d777da58446bc099047b154203518e2585ef1a678f613f2b430f2589f7bf5cff</t>
        </is>
      </c>
      <c r="BE624" s="24" t="inlineStr">
        <is>
          <t>tennis-surface-elo-v1</t>
        </is>
      </c>
      <c r="BF624" s="24" t="inlineStr">
        <is>
          <t>1</t>
        </is>
      </c>
      <c r="BG624" s="24" t="inlineStr">
        <is>
          <t>d777da58446bc099047b154203518e2585ef1a678f613f2b430f2589f7bf5cff</t>
        </is>
      </c>
      <c r="BH624" s="24" t="inlineStr">
        <is>
          <t>2026-08-25T06:23:08.118359Z</t>
        </is>
      </c>
      <c r="BI624" s="24" t="inlineStr">
        <is>
          <t>["same_event","same_team_same_day","same_league_same_day"]</t>
        </is>
      </c>
      <c r="BJ624" s="25" t="n"/>
      <c r="BK624" s="26" t="n">
        <v>117</v>
      </c>
      <c r="BL624" s="27" t="n">
        <v>2.17</v>
      </c>
      <c r="BM624" s="28" t="n">
        <v>0.460829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inlineStr">
        <is>
          <t>7d1a608fac34c6ce820d3e96e3711bb838d1cf446b473eb3236c1e1cc48098d4</t>
        </is>
      </c>
      <c r="DE624" s="24" t="inlineStr">
        <is>
          <t>/Users/vincentc9002/model-prediction/data/odds/tennis/2026-08-25/polymarket_snapshots.jsonl</t>
        </is>
      </c>
      <c r="DF624" s="24" t="inlineStr">
        <is>
          <t>515921:2026-08-25T06:23:08.118359Z</t>
        </is>
      </c>
      <c r="DG624" s="24" t="n"/>
      <c r="DH624" s="24" t="n"/>
      <c r="DI624" s="24" t="n"/>
      <c r="DJ624" s="24" t="inlineStr">
        <is>
          <t>0.460829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9e24b3d3c3d94c15</t>
        </is>
      </c>
      <c r="B625" s="24" t="inlineStr">
        <is>
          <t>2026-08-25T13:31:51.589728Z</t>
        </is>
      </c>
      <c r="C625" s="24" t="inlineStr">
        <is>
          <t>2026-08-25T18:00Z</t>
        </is>
      </c>
      <c r="D625" s="24" t="inlineStr">
        <is>
          <t>363-2026:182059</t>
        </is>
      </c>
      <c r="E625" s="24" t="inlineStr">
        <is>
          <t>TENNIS</t>
        </is>
      </c>
      <c r="F625" s="24" t="inlineStr">
        <is>
          <t>Quentin Halys</t>
        </is>
      </c>
      <c r="G625" s="24" t="inlineStr">
        <is>
          <t>Benjamin Bonzi</t>
        </is>
      </c>
      <c r="H625" s="24" t="inlineStr">
        <is>
          <t>moneyline</t>
        </is>
      </c>
      <c r="I625" s="24" t="inlineStr">
        <is>
          <t>away</t>
        </is>
      </c>
      <c r="J625" s="25" t="n"/>
      <c r="K625" s="24" t="inlineStr">
        <is>
          <t>polymarket_us</t>
        </is>
      </c>
      <c r="L625" s="26" t="n">
        <v>-163</v>
      </c>
      <c r="M625" s="27" t="n">
        <v>1.613497</v>
      </c>
      <c r="N625" s="28" t="n">
        <v>0.619772</v>
      </c>
      <c r="O625" s="28" t="n">
        <v>0.6105</v>
      </c>
      <c r="P625" s="28" t="n">
        <v>0.05</v>
      </c>
      <c r="Q625" s="28" t="n">
        <v>-0.009272000000000001</v>
      </c>
      <c r="R625" s="26" t="n">
        <v>15</v>
      </c>
      <c r="S625" s="29" t="n">
        <v>1</v>
      </c>
      <c r="T625" s="24" t="inlineStr">
        <is>
          <t>tennis-surface-elo-v1</t>
        </is>
      </c>
      <c r="U625" s="24" t="inlineStr">
        <is>
          <t>settled</t>
        </is>
      </c>
      <c r="V625" s="24" t="inlineStr">
        <is>
          <t>loss</t>
        </is>
      </c>
      <c r="W625" s="26" t="n">
        <v>0</v>
      </c>
      <c r="X625" s="26" t="n">
        <v>1</v>
      </c>
      <c r="Y625" s="25" t="n"/>
      <c r="Z625" s="26" t="n">
        <v>-163</v>
      </c>
      <c r="AA625" s="28" t="n">
        <v>0.62</v>
      </c>
      <c r="AB625" s="28" t="n">
        <v>0.000228</v>
      </c>
      <c r="AC625" s="30" t="n">
        <v>-1</v>
      </c>
      <c r="AD625" s="24" t="inlineStr">
        <is>
          <t>2026-08-26T12:37:47.523811Z</t>
        </is>
      </c>
      <c r="AE625" s="31" t="inlineStr">
        <is>
          <t>Surface-blended Elo on Hard: Quentin Halys p=0.611 vs Benjamin Bonzi. Executable ask 0.6200 (aec-atp-benbon-quehal-2026-08-25).</t>
        </is>
      </c>
      <c r="AF625" s="31" t="inlineStr">
        <is>
          <t>Surface-blended Elo model; singles only, WTA+ATP market coverage, not yet locked-holdout qualified -- promoted by explicit operator directive, not genuine walk-forward validation.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Quentin Halys</t>
        </is>
      </c>
      <c r="AQ625" s="24" t="inlineStr">
        <is>
          <t>Quentin Halys</t>
        </is>
      </c>
      <c r="AR625" s="24" t="inlineStr">
        <is>
          <t>Quentin Halys</t>
        </is>
      </c>
      <c r="AS625" s="24" t="inlineStr">
        <is>
          <t>Benjamin Bonzi</t>
        </is>
      </c>
      <c r="AT625" s="24" t="inlineStr">
        <is>
          <t>Benjamin Bonzi</t>
        </is>
      </c>
      <c r="AU625" s="24" t="inlineStr">
        <is>
          <t>Benjamin Bonzi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d777da58446bc099047b154203518e2585ef1a678f613f2b430f2589f7bf5cff</t>
        </is>
      </c>
      <c r="BB625" s="24" t="inlineStr">
        <is>
          <t>surface_blended_elo</t>
        </is>
      </c>
      <c r="BC625" s="24" t="inlineStr">
        <is>
          <t>tennis-surface-elo-v1</t>
        </is>
      </c>
      <c r="BD625" s="24" t="inlineStr">
        <is>
          <t>d777da58446bc099047b154203518e2585ef1a678f613f2b430f2589f7bf5cff</t>
        </is>
      </c>
      <c r="BE625" s="24" t="inlineStr">
        <is>
          <t>tennis-surface-elo-v1</t>
        </is>
      </c>
      <c r="BF625" s="24" t="inlineStr">
        <is>
          <t>1</t>
        </is>
      </c>
      <c r="BG625" s="24" t="inlineStr">
        <is>
          <t>d777da58446bc099047b154203518e2585ef1a678f613f2b430f2589f7bf5cff</t>
        </is>
      </c>
      <c r="BH625" s="24" t="inlineStr">
        <is>
          <t>2026-08-25T12:32:39.412747Z</t>
        </is>
      </c>
      <c r="BI625" s="24" t="inlineStr">
        <is>
          <t>["same_event","same_team_same_day","same_league_same_day"]</t>
        </is>
      </c>
      <c r="BJ625" s="25" t="n"/>
      <c r="BK625" s="26" t="n">
        <v>-163</v>
      </c>
      <c r="BL625" s="27" t="n">
        <v>1.613497</v>
      </c>
      <c r="BM625" s="28" t="n">
        <v>0.619772</v>
      </c>
      <c r="BN625" s="28" t="n"/>
      <c r="BO625" s="28" t="n"/>
      <c r="BP625" s="25" t="n"/>
      <c r="BQ625" s="27" t="n">
        <v>1.613497</v>
      </c>
      <c r="BR625" s="28" t="n">
        <v>0.62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inlineStr">
        <is>
          <t>8344ae615c4cbaad7d5d192216572367246ec342ac388c5bf9270c99f708345f</t>
        </is>
      </c>
      <c r="DE625" s="24" t="inlineStr">
        <is>
          <t>/Users/vincentc9002/model-prediction/data/odds/tennis/2026-08-25/polymarket_snapshots.jsonl</t>
        </is>
      </c>
      <c r="DF625" s="24" t="inlineStr">
        <is>
          <t>513855:2026-08-25T12:32:39.412747Z</t>
        </is>
      </c>
      <c r="DG625" s="24" t="n"/>
      <c r="DH625" s="24" t="n"/>
      <c r="DI625" s="24" t="n"/>
      <c r="DJ625" s="24" t="inlineStr">
        <is>
          <t>0.619772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f04bdb12ebc34e8f</t>
        </is>
      </c>
      <c r="B626" s="24" t="inlineStr">
        <is>
          <t>2026-08-25T13:31:51.589728Z</t>
        </is>
      </c>
      <c r="C626" s="24" t="inlineStr">
        <is>
          <t>2026-08-25T18:00Z</t>
        </is>
      </c>
      <c r="D626" s="24" t="inlineStr">
        <is>
          <t>363-2026:182054</t>
        </is>
      </c>
      <c r="E626" s="24" t="inlineStr">
        <is>
          <t>TENNIS</t>
        </is>
      </c>
      <c r="F626" s="24" t="inlineStr">
        <is>
          <t>Ignacio Buse</t>
        </is>
      </c>
      <c r="G626" s="24" t="inlineStr">
        <is>
          <t>Adam Walton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polymarket_us</t>
        </is>
      </c>
      <c r="L626" s="26" t="n">
        <v>150</v>
      </c>
      <c r="M626" s="27" t="n">
        <v>2.5</v>
      </c>
      <c r="N626" s="28" t="n">
        <v>0.4</v>
      </c>
      <c r="O626" s="28" t="n">
        <v>0.523</v>
      </c>
      <c r="P626" s="28" t="n">
        <v>0.05</v>
      </c>
      <c r="Q626" s="28" t="n">
        <v>0.123</v>
      </c>
      <c r="R626" s="26" t="n">
        <v>82</v>
      </c>
      <c r="S626" s="29" t="n">
        <v>1.5</v>
      </c>
      <c r="T626" s="24" t="inlineStr">
        <is>
          <t>tennis-surface-elo-v1</t>
        </is>
      </c>
      <c r="U626" s="24" t="inlineStr">
        <is>
          <t>settled</t>
        </is>
      </c>
      <c r="V626" s="24" t="inlineStr">
        <is>
          <t>win</t>
        </is>
      </c>
      <c r="W626" s="26" t="n">
        <v>1</v>
      </c>
      <c r="X626" s="26" t="n">
        <v>0</v>
      </c>
      <c r="Y626" s="25" t="n"/>
      <c r="Z626" s="26" t="n">
        <v>150</v>
      </c>
      <c r="AA626" s="28" t="n">
        <v>0.4</v>
      </c>
      <c r="AB626" s="28" t="n">
        <v>0</v>
      </c>
      <c r="AC626" s="30" t="n">
        <v>2.25</v>
      </c>
      <c r="AD626" s="24" t="inlineStr">
        <is>
          <t>2026-08-26T12:37:49.490792Z</t>
        </is>
      </c>
      <c r="AE626" s="31" t="inlineStr">
        <is>
          <t>Surface-blended Elo on Hard: Ignacio Buse p=0.523 vs Adam Walton. Executable ask 0.4000 (aec-atp-adawal-ignbus-2026-08-25).</t>
        </is>
      </c>
      <c r="AF626" s="31" t="inlineStr">
        <is>
          <t>Surface-blended Elo model; singles only, WTA+ATP market coverage, not yet locked-holdout qualified -- promoted by explicit operator directive, not genuine walk-forward validation.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Ignacio Buse</t>
        </is>
      </c>
      <c r="AQ626" s="24" t="inlineStr">
        <is>
          <t>Ignacio Buse</t>
        </is>
      </c>
      <c r="AR626" s="24" t="inlineStr">
        <is>
          <t>Ignacio Buse</t>
        </is>
      </c>
      <c r="AS626" s="24" t="inlineStr">
        <is>
          <t>Adam Walton</t>
        </is>
      </c>
      <c r="AT626" s="24" t="inlineStr">
        <is>
          <t>Adam Walton</t>
        </is>
      </c>
      <c r="AU626" s="24" t="inlineStr">
        <is>
          <t>Adam Walton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d777da58446bc099047b154203518e2585ef1a678f613f2b430f2589f7bf5cff</t>
        </is>
      </c>
      <c r="BB626" s="24" t="inlineStr">
        <is>
          <t>surface_blended_elo</t>
        </is>
      </c>
      <c r="BC626" s="24" t="inlineStr">
        <is>
          <t>tennis-surface-elo-v1</t>
        </is>
      </c>
      <c r="BD626" s="24" t="inlineStr">
        <is>
          <t>d777da58446bc099047b154203518e2585ef1a678f613f2b430f2589f7bf5cff</t>
        </is>
      </c>
      <c r="BE626" s="24" t="inlineStr">
        <is>
          <t>tennis-surface-elo-v1</t>
        </is>
      </c>
      <c r="BF626" s="24" t="inlineStr">
        <is>
          <t>1</t>
        </is>
      </c>
      <c r="BG626" s="24" t="inlineStr">
        <is>
          <t>d777da58446bc099047b154203518e2585ef1a678f613f2b430f2589f7bf5cff</t>
        </is>
      </c>
      <c r="BH626" s="24" t="inlineStr">
        <is>
          <t>2026-08-25T13:29:46.423535Z</t>
        </is>
      </c>
      <c r="BI626" s="24" t="inlineStr">
        <is>
          <t>["same_event","same_team_same_day","same_league_same_day"]</t>
        </is>
      </c>
      <c r="BJ626" s="25" t="n"/>
      <c r="BK626" s="26" t="n">
        <v>150</v>
      </c>
      <c r="BL626" s="27" t="n">
        <v>2.5</v>
      </c>
      <c r="BM626" s="28" t="n">
        <v>0.4</v>
      </c>
      <c r="BN626" s="28" t="n"/>
      <c r="BO626" s="28" t="n"/>
      <c r="BP626" s="25" t="n"/>
      <c r="BQ626" s="27" t="n">
        <v>2.5</v>
      </c>
      <c r="BR626" s="28" t="n">
        <v>0.4</v>
      </c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inlineStr">
        <is>
          <t>2510eeb0b4ee4e88f0bf1cb51cecc3fac5397e42ecaf02b395d1be0f4db4d012</t>
        </is>
      </c>
      <c r="DE626" s="24" t="inlineStr">
        <is>
          <t>/Users/vincentc9002/model-prediction/data/odds/tennis/2026-08-25/polymarket_snapshots.jsonl</t>
        </is>
      </c>
      <c r="DF626" s="24" t="inlineStr">
        <is>
          <t>514497:2026-08-25T13:29:46.423535Z</t>
        </is>
      </c>
      <c r="DG626" s="24" t="n"/>
      <c r="DH626" s="24" t="n"/>
      <c r="DI626" s="24" t="n"/>
      <c r="DJ626" s="24" t="inlineStr">
        <is>
          <t>0.4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1fdc880bdde04bfd</t>
        </is>
      </c>
      <c r="B627" s="24" t="inlineStr">
        <is>
          <t>2026-08-25T13:31:51.589728Z</t>
        </is>
      </c>
      <c r="C627" s="24" t="inlineStr">
        <is>
          <t>2026-08-25T18:00Z</t>
        </is>
      </c>
      <c r="D627" s="24" t="inlineStr">
        <is>
          <t>363-2026:182057</t>
        </is>
      </c>
      <c r="E627" s="24" t="inlineStr">
        <is>
          <t>TENNIS</t>
        </is>
      </c>
      <c r="F627" s="24" t="inlineStr">
        <is>
          <t>Adolfo Daniel Vallejo</t>
        </is>
      </c>
      <c r="G627" s="24" t="inlineStr">
        <is>
          <t>Botic Van De Zandschulp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-144</v>
      </c>
      <c r="M627" s="27" t="n">
        <v>1.694444</v>
      </c>
      <c r="N627" s="28" t="n">
        <v>0.590164</v>
      </c>
      <c r="O627" s="28" t="n">
        <v>0.5491</v>
      </c>
      <c r="P627" s="28" t="n">
        <v>0.05</v>
      </c>
      <c r="Q627" s="28" t="n">
        <v>-0.041064</v>
      </c>
      <c r="R627" s="26" t="n">
        <v>0</v>
      </c>
      <c r="S627" s="29" t="n">
        <v>1</v>
      </c>
      <c r="T627" s="24" t="inlineStr">
        <is>
          <t>tennis-surface-elo-v1</t>
        </is>
      </c>
      <c r="U627" s="24" t="inlineStr">
        <is>
          <t>settled</t>
        </is>
      </c>
      <c r="V627" s="24" t="inlineStr">
        <is>
          <t>win</t>
        </is>
      </c>
      <c r="W627" s="26" t="n">
        <v>0</v>
      </c>
      <c r="X627" s="26" t="n">
        <v>1</v>
      </c>
      <c r="Y627" s="25" t="n"/>
      <c r="Z627" s="26" t="n">
        <v>-144</v>
      </c>
      <c r="AA627" s="28" t="n">
        <v>0.59</v>
      </c>
      <c r="AB627" s="28" t="n">
        <v>-0.000164</v>
      </c>
      <c r="AC627" s="30" t="n">
        <v>0.6944</v>
      </c>
      <c r="AD627" s="24" t="inlineStr">
        <is>
          <t>2026-08-26T12:37:51.466288Z</t>
        </is>
      </c>
      <c r="AE627" s="31" t="inlineStr">
        <is>
          <t>Surface-blended Elo on Hard: Adolfo Daniel Vallejo p=0.451 vs Botic Van De Zandschulp. Executable ask 0.5900 (aec-atp-botzan-adoval-2026-08-25).</t>
        </is>
      </c>
      <c r="AF627" s="31" t="inlineStr">
        <is>
          <t>Surface-blended Elo model; singles only, WTA+ATP market coverage, not yet locked-holdout qualified -- promoted by explicit operator directive, not genuine walk-forward validation.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Adolfo Daniel Vallejo</t>
        </is>
      </c>
      <c r="AQ627" s="24" t="inlineStr">
        <is>
          <t>Adolfo Daniel Vallejo</t>
        </is>
      </c>
      <c r="AR627" s="24" t="inlineStr">
        <is>
          <t>Adolfo Daniel Vallejo</t>
        </is>
      </c>
      <c r="AS627" s="24" t="inlineStr">
        <is>
          <t>Botic Van De Zandschulp</t>
        </is>
      </c>
      <c r="AT627" s="24" t="inlineStr">
        <is>
          <t>Botic Van De Zandschulp</t>
        </is>
      </c>
      <c r="AU627" s="24" t="inlineStr">
        <is>
          <t>Botic Van De Zandschulp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d777da58446bc099047b154203518e2585ef1a678f613f2b430f2589f7bf5cff</t>
        </is>
      </c>
      <c r="BB627" s="24" t="inlineStr">
        <is>
          <t>surface_blended_elo</t>
        </is>
      </c>
      <c r="BC627" s="24" t="inlineStr">
        <is>
          <t>tennis-surface-elo-v1</t>
        </is>
      </c>
      <c r="BD627" s="24" t="inlineStr">
        <is>
          <t>d777da58446bc099047b154203518e2585ef1a678f613f2b430f2589f7bf5cff</t>
        </is>
      </c>
      <c r="BE627" s="24" t="inlineStr">
        <is>
          <t>tennis-surface-elo-v1</t>
        </is>
      </c>
      <c r="BF627" s="24" t="inlineStr">
        <is>
          <t>1</t>
        </is>
      </c>
      <c r="BG627" s="24" t="inlineStr">
        <is>
          <t>d777da58446bc099047b154203518e2585ef1a678f613f2b430f2589f7bf5cff</t>
        </is>
      </c>
      <c r="BH627" s="24" t="inlineStr">
        <is>
          <t>2026-08-25T13:29:46.149817Z</t>
        </is>
      </c>
      <c r="BI627" s="24" t="inlineStr">
        <is>
          <t>["same_event","same_team_same_day","same_league_same_day"]</t>
        </is>
      </c>
      <c r="BJ627" s="25" t="n"/>
      <c r="BK627" s="26" t="n">
        <v>-144</v>
      </c>
      <c r="BL627" s="27" t="n">
        <v>1.694444</v>
      </c>
      <c r="BM627" s="28" t="n">
        <v>0.590164</v>
      </c>
      <c r="BN627" s="28" t="n"/>
      <c r="BO627" s="28" t="n"/>
      <c r="BP627" s="25" t="n"/>
      <c r="BQ627" s="27" t="n">
        <v>1.694444</v>
      </c>
      <c r="BR627" s="28" t="n">
        <v>0.59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inlineStr">
        <is>
          <t>1435a5f3d26e42d738d10993598ccaab15e90fe624c573a8dfdbf7ec8c3cbf15</t>
        </is>
      </c>
      <c r="DE627" s="24" t="inlineStr">
        <is>
          <t>/Users/vincentc9002/model-prediction/data/odds/tennis/2026-08-25/polymarket_snapshots.jsonl</t>
        </is>
      </c>
      <c r="DF627" s="24" t="inlineStr">
        <is>
          <t>507287:2026-08-25T13:29:46.149817Z</t>
        </is>
      </c>
      <c r="DG627" s="24" t="n"/>
      <c r="DH627" s="24" t="n"/>
      <c r="DI627" s="24" t="n"/>
      <c r="DJ627" s="24" t="inlineStr">
        <is>
          <t>0.590164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b7f909b218f1413b</t>
        </is>
      </c>
      <c r="B628" s="24" t="inlineStr">
        <is>
          <t>2026-08-25T13:31:51.589728Z</t>
        </is>
      </c>
      <c r="C628" s="24" t="inlineStr">
        <is>
          <t>2026-08-25T18:00Z</t>
        </is>
      </c>
      <c r="D628" s="24" t="inlineStr">
        <is>
          <t>363-2026:182062</t>
        </is>
      </c>
      <c r="E628" s="24" t="inlineStr">
        <is>
          <t>TENNIS</t>
        </is>
      </c>
      <c r="F628" s="24" t="inlineStr">
        <is>
          <t>Luciano Darderi</t>
        </is>
      </c>
      <c r="G628" s="24" t="inlineStr">
        <is>
          <t>Mattia Bellucci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-122</v>
      </c>
      <c r="M628" s="27" t="n">
        <v>1.819672</v>
      </c>
      <c r="N628" s="28" t="n">
        <v>0.54955</v>
      </c>
      <c r="O628" s="28" t="n">
        <v>0.6261</v>
      </c>
      <c r="P628" s="28" t="n">
        <v>0.05</v>
      </c>
      <c r="Q628" s="28" t="n">
        <v>0.07655000000000001</v>
      </c>
      <c r="R628" s="26" t="n">
        <v>58</v>
      </c>
      <c r="S628" s="29" t="n">
        <v>1.25</v>
      </c>
      <c r="T628" s="24" t="inlineStr">
        <is>
          <t>tennis-surface-elo-v1</t>
        </is>
      </c>
      <c r="U628" s="24" t="inlineStr">
        <is>
          <t>settled</t>
        </is>
      </c>
      <c r="V628" s="24" t="inlineStr">
        <is>
          <t>win</t>
        </is>
      </c>
      <c r="W628" s="26" t="n">
        <v>1</v>
      </c>
      <c r="X628" s="26" t="n">
        <v>0</v>
      </c>
      <c r="Y628" s="25" t="n"/>
      <c r="Z628" s="26" t="n">
        <v>-122</v>
      </c>
      <c r="AA628" s="28" t="n">
        <v>0.55</v>
      </c>
      <c r="AB628" s="28" t="n">
        <v>0.00045</v>
      </c>
      <c r="AC628" s="30" t="n">
        <v>1.0246</v>
      </c>
      <c r="AD628" s="24" t="inlineStr">
        <is>
          <t>2026-08-26T12:37:53.436753Z</t>
        </is>
      </c>
      <c r="AE628" s="31" t="inlineStr">
        <is>
          <t>Surface-blended Elo on Hard: Luciano Darderi p=0.626 vs Mattia Bellucci. Executable ask 0.5500 (aec-atp-matbel-lucdar-2026-08-24).</t>
        </is>
      </c>
      <c r="AF628" s="31" t="inlineStr">
        <is>
          <t>Surface-blended Elo model; singles only, WTA+ATP market coverage, not yet locked-holdout qualified -- promoted by explicit operator directive, not genuine walk-forward validation.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Luciano Darderi</t>
        </is>
      </c>
      <c r="AQ628" s="24" t="inlineStr">
        <is>
          <t>Luciano Darderi</t>
        </is>
      </c>
      <c r="AR628" s="24" t="inlineStr">
        <is>
          <t>Luciano Darderi</t>
        </is>
      </c>
      <c r="AS628" s="24" t="inlineStr">
        <is>
          <t>Mattia Bellucci</t>
        </is>
      </c>
      <c r="AT628" s="24" t="inlineStr">
        <is>
          <t>Mattia Bellucci</t>
        </is>
      </c>
      <c r="AU628" s="24" t="inlineStr">
        <is>
          <t>Mattia Bellucci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d777da58446bc099047b154203518e2585ef1a678f613f2b430f2589f7bf5cff</t>
        </is>
      </c>
      <c r="BB628" s="24" t="inlineStr">
        <is>
          <t>surface_blended_elo</t>
        </is>
      </c>
      <c r="BC628" s="24" t="inlineStr">
        <is>
          <t>tennis-surface-elo-v1</t>
        </is>
      </c>
      <c r="BD628" s="24" t="inlineStr">
        <is>
          <t>d777da58446bc099047b154203518e2585ef1a678f613f2b430f2589f7bf5cff</t>
        </is>
      </c>
      <c r="BE628" s="24" t="inlineStr">
        <is>
          <t>tennis-surface-elo-v1</t>
        </is>
      </c>
      <c r="BF628" s="24" t="inlineStr">
        <is>
          <t>1</t>
        </is>
      </c>
      <c r="BG628" s="24" t="inlineStr">
        <is>
          <t>d777da58446bc099047b154203518e2585ef1a678f613f2b430f2589f7bf5cff</t>
        </is>
      </c>
      <c r="BH628" s="24" t="inlineStr">
        <is>
          <t>2026-08-25T12:32:39.420086Z</t>
        </is>
      </c>
      <c r="BI628" s="24" t="inlineStr">
        <is>
          <t>["same_event","same_team_same_day","same_league_same_day"]</t>
        </is>
      </c>
      <c r="BJ628" s="25" t="n"/>
      <c r="BK628" s="26" t="n">
        <v>-122</v>
      </c>
      <c r="BL628" s="27" t="n">
        <v>1.819672</v>
      </c>
      <c r="BM628" s="28" t="n">
        <v>0.54955</v>
      </c>
      <c r="BN628" s="28" t="n"/>
      <c r="BO628" s="28" t="n"/>
      <c r="BP628" s="25" t="n"/>
      <c r="BQ628" s="27" t="n">
        <v>1.819672</v>
      </c>
      <c r="BR628" s="28" t="n">
        <v>0.55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inlineStr">
        <is>
          <t>b21d6b0f37e566a6030bd165bcceeecf2ccbb11d5f6574b9f13c029b91b7667e</t>
        </is>
      </c>
      <c r="DE628" s="24" t="inlineStr">
        <is>
          <t>/Users/vincentc9002/model-prediction/data/odds/tennis/2026-08-25/polymarket_snapshots.jsonl</t>
        </is>
      </c>
      <c r="DF628" s="24" t="inlineStr">
        <is>
          <t>506742:2026-08-25T12:32:39.420086Z</t>
        </is>
      </c>
      <c r="DG628" s="24" t="n"/>
      <c r="DH628" s="24" t="n"/>
      <c r="DI628" s="24" t="n"/>
      <c r="DJ628" s="24" t="inlineStr">
        <is>
          <t>0.54955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46006351352e4f73</t>
        </is>
      </c>
      <c r="B629" s="24" t="inlineStr">
        <is>
          <t>2026-08-25T13:31:51.589728Z</t>
        </is>
      </c>
      <c r="C629" s="24" t="inlineStr">
        <is>
          <t>2026-08-25T19:30Z</t>
        </is>
      </c>
      <c r="D629" s="24" t="inlineStr">
        <is>
          <t>363-2026:182052</t>
        </is>
      </c>
      <c r="E629" s="24" t="inlineStr">
        <is>
          <t>TENNIS</t>
        </is>
      </c>
      <c r="F629" s="24" t="inlineStr">
        <is>
          <t>Aleksandar Kovacevic</t>
        </is>
      </c>
      <c r="G629" s="24" t="inlineStr">
        <is>
          <t>Luca Van Assche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-144</v>
      </c>
      <c r="M629" s="27" t="n">
        <v>1.694444</v>
      </c>
      <c r="N629" s="28" t="n">
        <v>0.590164</v>
      </c>
      <c r="O629" s="28" t="n">
        <v>0.5216</v>
      </c>
      <c r="P629" s="28" t="n">
        <v>0.05</v>
      </c>
      <c r="Q629" s="28" t="n">
        <v>-0.068564</v>
      </c>
      <c r="R629" s="26" t="n">
        <v>0</v>
      </c>
      <c r="S629" s="29" t="n">
        <v>1</v>
      </c>
      <c r="T629" s="24" t="inlineStr">
        <is>
          <t>tennis-surface-elo-v1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0</v>
      </c>
      <c r="Y629" s="25" t="n"/>
      <c r="Z629" s="26" t="n">
        <v>-144</v>
      </c>
      <c r="AA629" s="28" t="n">
        <v>0.59</v>
      </c>
      <c r="AB629" s="28" t="n">
        <v>-0.000164</v>
      </c>
      <c r="AC629" s="30" t="n">
        <v>-1</v>
      </c>
      <c r="AD629" s="24" t="inlineStr">
        <is>
          <t>2026-08-26T12:37:55.419089Z</t>
        </is>
      </c>
      <c r="AE629" s="31" t="inlineStr">
        <is>
          <t>Surface-blended Elo on Hard: Aleksandar Kovacevic p=0.478 vs Luca Van Assche. Executable ask 0.5900 (aec-atp-lucass-alekov-2026-08-25).</t>
        </is>
      </c>
      <c r="AF629" s="31" t="inlineStr">
        <is>
          <t>Surface-blended Elo model; singles only, WTA+ATP market coverage, not yet locked-holdout qualified -- promoted by explicit operator directive, not genuine walk-forward validation.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Aleksandar Kovacevic</t>
        </is>
      </c>
      <c r="AQ629" s="24" t="inlineStr">
        <is>
          <t>Aleksandar Kovacevic</t>
        </is>
      </c>
      <c r="AR629" s="24" t="inlineStr">
        <is>
          <t>Aleksandar Kovacevic</t>
        </is>
      </c>
      <c r="AS629" s="24" t="inlineStr">
        <is>
          <t>Luca Van Assche</t>
        </is>
      </c>
      <c r="AT629" s="24" t="inlineStr">
        <is>
          <t>Luca Van Assche</t>
        </is>
      </c>
      <c r="AU629" s="24" t="inlineStr">
        <is>
          <t>Luca Van Assche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d777da58446bc099047b154203518e2585ef1a678f613f2b430f2589f7bf5cff</t>
        </is>
      </c>
      <c r="BB629" s="24" t="inlineStr">
        <is>
          <t>surface_blended_elo</t>
        </is>
      </c>
      <c r="BC629" s="24" t="inlineStr">
        <is>
          <t>tennis-surface-elo-v1</t>
        </is>
      </c>
      <c r="BD629" s="24" t="inlineStr">
        <is>
          <t>d777da58446bc099047b154203518e2585ef1a678f613f2b430f2589f7bf5cff</t>
        </is>
      </c>
      <c r="BE629" s="24" t="inlineStr">
        <is>
          <t>tennis-surface-elo-v1</t>
        </is>
      </c>
      <c r="BF629" s="24" t="inlineStr">
        <is>
          <t>1</t>
        </is>
      </c>
      <c r="BG629" s="24" t="inlineStr">
        <is>
          <t>d777da58446bc099047b154203518e2585ef1a678f613f2b430f2589f7bf5cff</t>
        </is>
      </c>
      <c r="BH629" s="24" t="inlineStr">
        <is>
          <t>2026-08-25T13:29:52.332103Z</t>
        </is>
      </c>
      <c r="BI629" s="24" t="inlineStr">
        <is>
          <t>["same_event","same_team_same_day","same_league_same_day"]</t>
        </is>
      </c>
      <c r="BJ629" s="25" t="n"/>
      <c r="BK629" s="26" t="n">
        <v>-144</v>
      </c>
      <c r="BL629" s="27" t="n">
        <v>1.694444</v>
      </c>
      <c r="BM629" s="28" t="n">
        <v>0.590164</v>
      </c>
      <c r="BN629" s="28" t="n"/>
      <c r="BO629" s="28" t="n"/>
      <c r="BP629" s="25" t="n"/>
      <c r="BQ629" s="27" t="n">
        <v>1.694444</v>
      </c>
      <c r="BR629" s="28" t="n">
        <v>0.59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inlineStr">
        <is>
          <t>33d2571fa9a642ae2b4f333737998904bef205eda221513b5ab4bfe365dd1ad6</t>
        </is>
      </c>
      <c r="DE629" s="24" t="inlineStr">
        <is>
          <t>/Users/vincentc9002/model-prediction/data/odds/tennis/2026-08-25/polymarket_snapshots.jsonl</t>
        </is>
      </c>
      <c r="DF629" s="24" t="inlineStr">
        <is>
          <t>516436:2026-08-25T13:29:52.332103Z</t>
        </is>
      </c>
      <c r="DG629" s="24" t="n"/>
      <c r="DH629" s="24" t="n"/>
      <c r="DI629" s="24" t="n"/>
      <c r="DJ629" s="24" t="inlineStr">
        <is>
          <t>0.590164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7b15fe9315ff4dd3</t>
        </is>
      </c>
      <c r="B630" s="24" t="inlineStr">
        <is>
          <t>2026-08-25T13:31:51.589728Z</t>
        </is>
      </c>
      <c r="C630" s="24" t="inlineStr">
        <is>
          <t>2026-08-25T19:30Z</t>
        </is>
      </c>
      <c r="D630" s="24" t="inlineStr">
        <is>
          <t>363-2026:182058</t>
        </is>
      </c>
      <c r="E630" s="24" t="inlineStr">
        <is>
          <t>TENNIS</t>
        </is>
      </c>
      <c r="F630" s="24" t="inlineStr">
        <is>
          <t>Rinky Hijikata</t>
        </is>
      </c>
      <c r="G630" s="24" t="inlineStr">
        <is>
          <t>Raphael Collignon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113</v>
      </c>
      <c r="M630" s="27" t="n">
        <v>2.13</v>
      </c>
      <c r="N630" s="28" t="n">
        <v>0.469484</v>
      </c>
      <c r="O630" s="28" t="n">
        <v>0.6328</v>
      </c>
      <c r="P630" s="28" t="n">
        <v>0.05</v>
      </c>
      <c r="Q630" s="28" t="n">
        <v>0.163316</v>
      </c>
      <c r="R630" s="26" t="n">
        <v>100</v>
      </c>
      <c r="S630" s="29" t="n">
        <v>1.75</v>
      </c>
      <c r="T630" s="24" t="inlineStr">
        <is>
          <t>tennis-surface-elo-v1</t>
        </is>
      </c>
      <c r="U630" s="24" t="inlineStr">
        <is>
          <t>settled</t>
        </is>
      </c>
      <c r="V630" s="24" t="inlineStr">
        <is>
          <t>win</t>
        </is>
      </c>
      <c r="W630" s="26" t="n">
        <v>1</v>
      </c>
      <c r="X630" s="26" t="n">
        <v>0</v>
      </c>
      <c r="Y630" s="25" t="n"/>
      <c r="Z630" s="26" t="n">
        <v>113</v>
      </c>
      <c r="AA630" s="28" t="n">
        <v>0.47</v>
      </c>
      <c r="AB630" s="28" t="n">
        <v>0.000516</v>
      </c>
      <c r="AC630" s="30" t="n">
        <v>1.9775</v>
      </c>
      <c r="AD630" s="24" t="inlineStr">
        <is>
          <t>2026-08-26T12:37:57.399845Z</t>
        </is>
      </c>
      <c r="AE630" s="31" t="inlineStr">
        <is>
          <t>Surface-blended Elo on Hard: Rinky Hijikata p=0.633 vs Raphael Collignon. Executable ask 0.4700 (aec-atp-rapcol-rinhij-2026-08-25).</t>
        </is>
      </c>
      <c r="AF630" s="31" t="inlineStr">
        <is>
          <t>Surface-blended Elo model; singles only, WTA+ATP market coverage, not yet locked-holdout qualified -- promoted by explicit operator directive, not genuine walk-forward validation.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Rinky Hijikata</t>
        </is>
      </c>
      <c r="AQ630" s="24" t="inlineStr">
        <is>
          <t>Rinky Hijikata</t>
        </is>
      </c>
      <c r="AR630" s="24" t="inlineStr">
        <is>
          <t>Rinky Hijikata</t>
        </is>
      </c>
      <c r="AS630" s="24" t="inlineStr">
        <is>
          <t>Raphael Collignon</t>
        </is>
      </c>
      <c r="AT630" s="24" t="inlineStr">
        <is>
          <t>Raphael Collignon</t>
        </is>
      </c>
      <c r="AU630" s="24" t="inlineStr">
        <is>
          <t>Raphael Collignon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d777da58446bc099047b154203518e2585ef1a678f613f2b430f2589f7bf5cff</t>
        </is>
      </c>
      <c r="BB630" s="24" t="inlineStr">
        <is>
          <t>surface_blended_elo</t>
        </is>
      </c>
      <c r="BC630" s="24" t="inlineStr">
        <is>
          <t>tennis-surface-elo-v1</t>
        </is>
      </c>
      <c r="BD630" s="24" t="inlineStr">
        <is>
          <t>d777da58446bc099047b154203518e2585ef1a678f613f2b430f2589f7bf5cff</t>
        </is>
      </c>
      <c r="BE630" s="24" t="inlineStr">
        <is>
          <t>tennis-surface-elo-v1</t>
        </is>
      </c>
      <c r="BF630" s="24" t="inlineStr">
        <is>
          <t>1</t>
        </is>
      </c>
      <c r="BG630" s="24" t="inlineStr">
        <is>
          <t>d777da58446bc099047b154203518e2585ef1a678f613f2b430f2589f7bf5cff</t>
        </is>
      </c>
      <c r="BH630" s="24" t="inlineStr">
        <is>
          <t>2026-08-25T13:29:52.663762Z</t>
        </is>
      </c>
      <c r="BI630" s="24" t="inlineStr">
        <is>
          <t>["same_event","same_team_same_day","same_league_same_day"]</t>
        </is>
      </c>
      <c r="BJ630" s="25" t="n"/>
      <c r="BK630" s="26" t="n">
        <v>113</v>
      </c>
      <c r="BL630" s="27" t="n">
        <v>2.13</v>
      </c>
      <c r="BM630" s="28" t="n">
        <v>0.469484</v>
      </c>
      <c r="BN630" s="28" t="n"/>
      <c r="BO630" s="28" t="n"/>
      <c r="BP630" s="25" t="n"/>
      <c r="BQ630" s="27" t="n">
        <v>2.13</v>
      </c>
      <c r="BR630" s="28" t="n">
        <v>0.47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inlineStr">
        <is>
          <t>481284de9c54f9c03430ffbc73d10e8e2bf2fe9fecd6911a068d192125b14701</t>
        </is>
      </c>
      <c r="DE630" s="24" t="inlineStr">
        <is>
          <t>/Users/vincentc9002/model-prediction/data/odds/tennis/2026-08-25/polymarket_snapshots.jsonl</t>
        </is>
      </c>
      <c r="DF630" s="24" t="inlineStr">
        <is>
          <t>508207:2026-08-25T13:29:52.663762Z</t>
        </is>
      </c>
      <c r="DG630" s="24" t="n"/>
      <c r="DH630" s="24" t="n"/>
      <c r="DI630" s="24" t="n"/>
      <c r="DJ630" s="24" t="inlineStr">
        <is>
          <t>0.469484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ee099718c9154c68</t>
        </is>
      </c>
      <c r="B631" s="24" t="inlineStr">
        <is>
          <t>2026-08-25T13:31:51.589728Z</t>
        </is>
      </c>
      <c r="C631" s="24" t="inlineStr">
        <is>
          <t>2026-08-25T19:30Z</t>
        </is>
      </c>
      <c r="D631" s="24" t="inlineStr">
        <is>
          <t>363-2026:182049</t>
        </is>
      </c>
      <c r="E631" s="24" t="inlineStr">
        <is>
          <t>TENNIS</t>
        </is>
      </c>
      <c r="F631" s="24" t="inlineStr">
        <is>
          <t>Dhakshineswar Suresh</t>
        </is>
      </c>
      <c r="G631" s="24" t="inlineStr">
        <is>
          <t>Juan Manuel Cerundolo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-245</v>
      </c>
      <c r="M631" s="27" t="n">
        <v>1.408163</v>
      </c>
      <c r="N631" s="28" t="n">
        <v>0.710145</v>
      </c>
      <c r="O631" s="28" t="n">
        <v>0.5209</v>
      </c>
      <c r="P631" s="28" t="n">
        <v>0.05</v>
      </c>
      <c r="Q631" s="28" t="n">
        <v>-0.189245</v>
      </c>
      <c r="R631" s="26" t="n">
        <v>0</v>
      </c>
      <c r="S631" s="29" t="n">
        <v>1</v>
      </c>
      <c r="T631" s="24" t="inlineStr">
        <is>
          <t>tennis-surface-elo-v1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-245</v>
      </c>
      <c r="AA631" s="28" t="n">
        <v>0.71</v>
      </c>
      <c r="AB631" s="28" t="n">
        <v>-0.000145</v>
      </c>
      <c r="AC631" s="30" t="n">
        <v>0.4082</v>
      </c>
      <c r="AD631" s="24" t="inlineStr">
        <is>
          <t>2026-08-26T12:37:59.366045Z</t>
        </is>
      </c>
      <c r="AE631" s="31" t="inlineStr">
        <is>
          <t>Surface-blended Elo on Hard: Dhakshineswar Suresh p=0.479 vs Juan Manuel Cerundolo. Executable ask 0.7100 (aec-atp-juacer-dhasur-2026-08-25).</t>
        </is>
      </c>
      <c r="AF631" s="31" t="inlineStr">
        <is>
          <t>Surface-blended Elo model; singles only, WTA+ATP market coverage, not yet locked-holdout qualified -- promoted by explicit operator directive, not genuine walk-forward validation.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PAPER_CALL_MODEL_UNVALIDATED</t>
        </is>
      </c>
      <c r="AP631" s="24" t="inlineStr">
        <is>
          <t>Dhakshineswar Suresh</t>
        </is>
      </c>
      <c r="AQ631" s="24" t="inlineStr">
        <is>
          <t>Dhakshineswar Suresh</t>
        </is>
      </c>
      <c r="AR631" s="24" t="inlineStr">
        <is>
          <t>Dhakshineswar Suresh</t>
        </is>
      </c>
      <c r="AS631" s="24" t="inlineStr">
        <is>
          <t>Juan Manuel Cerundolo</t>
        </is>
      </c>
      <c r="AT631" s="24" t="inlineStr">
        <is>
          <t>Juan Manuel Cerundolo</t>
        </is>
      </c>
      <c r="AU631" s="24" t="inlineStr">
        <is>
          <t>Juan Manuel Cerundolo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d777da58446bc099047b154203518e2585ef1a678f613f2b430f2589f7bf5cff</t>
        </is>
      </c>
      <c r="BB631" s="24" t="inlineStr">
        <is>
          <t>surface_blended_elo</t>
        </is>
      </c>
      <c r="BC631" s="24" t="inlineStr">
        <is>
          <t>tennis-surface-elo-v1</t>
        </is>
      </c>
      <c r="BD631" s="24" t="inlineStr">
        <is>
          <t>d777da58446bc099047b154203518e2585ef1a678f613f2b430f2589f7bf5cff</t>
        </is>
      </c>
      <c r="BE631" s="24" t="inlineStr">
        <is>
          <t>tennis-surface-elo-v1</t>
        </is>
      </c>
      <c r="BF631" s="24" t="inlineStr">
        <is>
          <t>1</t>
        </is>
      </c>
      <c r="BG631" s="24" t="inlineStr">
        <is>
          <t>d777da58446bc099047b154203518e2585ef1a678f613f2b430f2589f7bf5cff</t>
        </is>
      </c>
      <c r="BH631" s="24" t="inlineStr">
        <is>
          <t>2026-08-25T13:29:52.771616Z</t>
        </is>
      </c>
      <c r="BI631" s="24" t="inlineStr">
        <is>
          <t>["same_event","same_team_same_day","same_league_same_day"]</t>
        </is>
      </c>
      <c r="BJ631" s="25" t="n"/>
      <c r="BK631" s="26" t="n">
        <v>-245</v>
      </c>
      <c r="BL631" s="27" t="n">
        <v>1.408163</v>
      </c>
      <c r="BM631" s="28" t="n">
        <v>0.710145</v>
      </c>
      <c r="BN631" s="28" t="n"/>
      <c r="BO631" s="28" t="n"/>
      <c r="BP631" s="25" t="n"/>
      <c r="BQ631" s="27" t="n">
        <v>1.408163</v>
      </c>
      <c r="BR631" s="28" t="n">
        <v>0.71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inlineStr">
        <is>
          <t>daee0c9de55542bcd6c915f13868312c28147379e502ac645db10a1ef78dd51e</t>
        </is>
      </c>
      <c r="DE631" s="24" t="inlineStr">
        <is>
          <t>/Users/vincentc9002/model-prediction/data/odds/tennis/2026-08-25/polymarket_snapshots.jsonl</t>
        </is>
      </c>
      <c r="DF631" s="24" t="inlineStr">
        <is>
          <t>513447:2026-08-25T13:29:52.771616Z</t>
        </is>
      </c>
      <c r="DG631" s="24" t="n"/>
      <c r="DH631" s="24" t="n"/>
      <c r="DI631" s="24" t="n"/>
      <c r="DJ631" s="24" t="inlineStr">
        <is>
          <t>0.710145</t>
        </is>
      </c>
      <c r="DK631" s="24" t="n"/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913adbb5e6a84f02</t>
        </is>
      </c>
      <c r="B632" s="24" t="inlineStr">
        <is>
          <t>2026-08-25T13:31:51.589728Z</t>
        </is>
      </c>
      <c r="C632" s="24" t="inlineStr">
        <is>
          <t>2026-08-25T20:00Z</t>
        </is>
      </c>
      <c r="D632" s="24" t="inlineStr">
        <is>
          <t>363-2026:182042</t>
        </is>
      </c>
      <c r="E632" s="24" t="inlineStr">
        <is>
          <t>TENNIS</t>
        </is>
      </c>
      <c r="F632" s="24" t="inlineStr">
        <is>
          <t>Cruz Hewitt</t>
        </is>
      </c>
      <c r="G632" s="24" t="inlineStr">
        <is>
          <t>Arthur Fery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-488</v>
      </c>
      <c r="M632" s="27" t="n">
        <v>1.204918</v>
      </c>
      <c r="N632" s="28" t="n">
        <v>0.829932</v>
      </c>
      <c r="O632" s="28" t="n">
        <v>0.6318</v>
      </c>
      <c r="P632" s="28" t="n">
        <v>0.05</v>
      </c>
      <c r="Q632" s="28" t="n">
        <v>-0.198132</v>
      </c>
      <c r="R632" s="26" t="n">
        <v>0</v>
      </c>
      <c r="S632" s="29" t="n">
        <v>1</v>
      </c>
      <c r="T632" s="24" t="inlineStr">
        <is>
          <t>tennis-surface-elo-v1</t>
        </is>
      </c>
      <c r="U632" s="24" t="inlineStr">
        <is>
          <t>settled</t>
        </is>
      </c>
      <c r="V632" s="24" t="inlineStr">
        <is>
          <t>win</t>
        </is>
      </c>
      <c r="W632" s="26" t="n">
        <v>0</v>
      </c>
      <c r="X632" s="26" t="n">
        <v>1</v>
      </c>
      <c r="Y632" s="25" t="n"/>
      <c r="Z632" s="26" t="n">
        <v>-488</v>
      </c>
      <c r="AA632" s="28" t="n">
        <v>0.83</v>
      </c>
      <c r="AB632" s="28" t="n">
        <v>6.8e-05</v>
      </c>
      <c r="AC632" s="30" t="n">
        <v>0.2049</v>
      </c>
      <c r="AD632" s="24" t="inlineStr">
        <is>
          <t>2026-08-26T12:38:01.435475Z</t>
        </is>
      </c>
      <c r="AE632" s="31" t="inlineStr">
        <is>
          <t>Surface-blended Elo on Hard: Cruz Hewitt p=0.368 vs Arthur Fery. Executable ask 0.8300 (aec-atp-artfer-cruhew-2026-08-25).</t>
        </is>
      </c>
      <c r="AF632" s="31" t="inlineStr">
        <is>
          <t>Surface-blended Elo model; singles only, WTA+ATP market coverage, not yet locked-holdout qualified -- promoted by explicit operator directive, not genuine walk-forward validation.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PAPER_CALL_MODEL_UNVALIDATED</t>
        </is>
      </c>
      <c r="AP632" s="24" t="inlineStr">
        <is>
          <t>Cruz Hewitt</t>
        </is>
      </c>
      <c r="AQ632" s="24" t="inlineStr">
        <is>
          <t>Cruz Hewitt</t>
        </is>
      </c>
      <c r="AR632" s="24" t="inlineStr">
        <is>
          <t>Cruz Hewitt</t>
        </is>
      </c>
      <c r="AS632" s="24" t="inlineStr">
        <is>
          <t>Arthur Fery</t>
        </is>
      </c>
      <c r="AT632" s="24" t="inlineStr">
        <is>
          <t>Arthur Fery</t>
        </is>
      </c>
      <c r="AU632" s="24" t="inlineStr">
        <is>
          <t>Arthur Fery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d777da58446bc099047b154203518e2585ef1a678f613f2b430f2589f7bf5cff</t>
        </is>
      </c>
      <c r="BB632" s="24" t="inlineStr">
        <is>
          <t>surface_blended_elo</t>
        </is>
      </c>
      <c r="BC632" s="24" t="inlineStr">
        <is>
          <t>tennis-surface-elo-v1</t>
        </is>
      </c>
      <c r="BD632" s="24" t="inlineStr">
        <is>
          <t>d777da58446bc099047b154203518e2585ef1a678f613f2b430f2589f7bf5cff</t>
        </is>
      </c>
      <c r="BE632" s="24" t="inlineStr">
        <is>
          <t>tennis-surface-elo-v1</t>
        </is>
      </c>
      <c r="BF632" s="24" t="inlineStr">
        <is>
          <t>1</t>
        </is>
      </c>
      <c r="BG632" s="24" t="inlineStr">
        <is>
          <t>d777da58446bc099047b154203518e2585ef1a678f613f2b430f2589f7bf5cff</t>
        </is>
      </c>
      <c r="BH632" s="24" t="inlineStr">
        <is>
          <t>2026-08-25T13:29:53.388598Z</t>
        </is>
      </c>
      <c r="BI632" s="24" t="inlineStr">
        <is>
          <t>["same_event","same_team_same_day","same_league_same_day"]</t>
        </is>
      </c>
      <c r="BJ632" s="25" t="n"/>
      <c r="BK632" s="26" t="n">
        <v>-488</v>
      </c>
      <c r="BL632" s="27" t="n">
        <v>1.204918</v>
      </c>
      <c r="BM632" s="28" t="n">
        <v>0.829932</v>
      </c>
      <c r="BN632" s="28" t="n"/>
      <c r="BO632" s="28" t="n"/>
      <c r="BP632" s="25" t="n"/>
      <c r="BQ632" s="27" t="n">
        <v>1.204918</v>
      </c>
      <c r="BR632" s="28" t="n">
        <v>0.83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inlineStr">
        <is>
          <t>7f76c149014eaf480ccc147357d235e0dd9ac0bfec20236c6de7e055e2418062</t>
        </is>
      </c>
      <c r="DE632" s="24" t="inlineStr">
        <is>
          <t>/Users/vincentc9002/model-prediction/data/odds/tennis/2026-08-25/polymarket_snapshots.jsonl</t>
        </is>
      </c>
      <c r="DF632" s="24" t="inlineStr">
        <is>
          <t>514503:2026-08-25T13:29:53.388598Z</t>
        </is>
      </c>
      <c r="DG632" s="24" t="n"/>
      <c r="DH632" s="24" t="n"/>
      <c r="DI632" s="24" t="n"/>
      <c r="DJ632" s="24" t="inlineStr">
        <is>
          <t>0.829932</t>
        </is>
      </c>
      <c r="DK632" s="24" t="n"/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5578b2e018c14790</t>
        </is>
      </c>
      <c r="B633" s="24" t="inlineStr">
        <is>
          <t>2026-08-25T13:31:51.589728Z</t>
        </is>
      </c>
      <c r="C633" s="24" t="inlineStr">
        <is>
          <t>2026-08-25T21:00Z</t>
        </is>
      </c>
      <c r="D633" s="24" t="inlineStr">
        <is>
          <t>363-2026:182050</t>
        </is>
      </c>
      <c r="E633" s="24" t="inlineStr">
        <is>
          <t>TENNIS</t>
        </is>
      </c>
      <c r="F633" s="24" t="inlineStr">
        <is>
          <t>Tomas Machac</t>
        </is>
      </c>
      <c r="G633" s="24" t="inlineStr">
        <is>
          <t>Mees Rottgering</t>
        </is>
      </c>
      <c r="H633" s="24" t="inlineStr">
        <is>
          <t>moneyline</t>
        </is>
      </c>
      <c r="I633" s="24" t="inlineStr">
        <is>
          <t>away</t>
        </is>
      </c>
      <c r="J633" s="25" t="n"/>
      <c r="K633" s="24" t="inlineStr">
        <is>
          <t>polymarket_us</t>
        </is>
      </c>
      <c r="L633" s="26" t="n">
        <v>-223</v>
      </c>
      <c r="M633" s="27" t="n">
        <v>1.44843</v>
      </c>
      <c r="N633" s="28" t="n">
        <v>0.690402</v>
      </c>
      <c r="O633" s="28" t="n">
        <v>0.6288</v>
      </c>
      <c r="P633" s="28" t="n">
        <v>0.05</v>
      </c>
      <c r="Q633" s="28" t="n">
        <v>-0.061602</v>
      </c>
      <c r="R633" s="26" t="n">
        <v>0</v>
      </c>
      <c r="S633" s="29" t="n">
        <v>1</v>
      </c>
      <c r="T633" s="24" t="inlineStr">
        <is>
          <t>tennis-surface-elo-v1</t>
        </is>
      </c>
      <c r="U633" s="24" t="inlineStr">
        <is>
          <t>settled</t>
        </is>
      </c>
      <c r="V633" s="24" t="inlineStr">
        <is>
          <t>loss</t>
        </is>
      </c>
      <c r="W633" s="26" t="n">
        <v>0</v>
      </c>
      <c r="X633" s="26" t="n">
        <v>1</v>
      </c>
      <c r="Y633" s="25" t="n"/>
      <c r="Z633" s="26" t="n">
        <v>-223</v>
      </c>
      <c r="AA633" s="28" t="n">
        <v>0.6899999999999999</v>
      </c>
      <c r="AB633" s="28" t="n">
        <v>-0.000402</v>
      </c>
      <c r="AC633" s="30" t="n">
        <v>-1</v>
      </c>
      <c r="AD633" s="24" t="inlineStr">
        <is>
          <t>2026-08-26T12:38:03.413255Z</t>
        </is>
      </c>
      <c r="AE633" s="31" t="inlineStr">
        <is>
          <t>Surface-blended Elo on Hard: Tomas Machac p=0.629 vs Mees Rottgering. Executable ask 0.6900 (aec-atp-meerot-tommac-2026-08-25).</t>
        </is>
      </c>
      <c r="AF633" s="31" t="inlineStr">
        <is>
          <t>Surface-blended Elo model; singles only, WTA+ATP market coverage, not yet locked-holdout qualified -- promoted by explicit operator directive, not genuine walk-forward validation.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PAPER_CALL_LOW_EDGE</t>
        </is>
      </c>
      <c r="AP633" s="24" t="inlineStr">
        <is>
          <t>Tomas Machac</t>
        </is>
      </c>
      <c r="AQ633" s="24" t="inlineStr">
        <is>
          <t>Tomas Machac</t>
        </is>
      </c>
      <c r="AR633" s="24" t="inlineStr">
        <is>
          <t>Tomas Machac</t>
        </is>
      </c>
      <c r="AS633" s="24" t="inlineStr">
        <is>
          <t>Mees Rottgering</t>
        </is>
      </c>
      <c r="AT633" s="24" t="inlineStr">
        <is>
          <t>Mees Rottgering</t>
        </is>
      </c>
      <c r="AU633" s="24" t="inlineStr">
        <is>
          <t>Mees Rottgering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d777da58446bc099047b154203518e2585ef1a678f613f2b430f2589f7bf5cff</t>
        </is>
      </c>
      <c r="BB633" s="24" t="inlineStr">
        <is>
          <t>surface_blended_elo</t>
        </is>
      </c>
      <c r="BC633" s="24" t="inlineStr">
        <is>
          <t>tennis-surface-elo-v1</t>
        </is>
      </c>
      <c r="BD633" s="24" t="inlineStr">
        <is>
          <t>d777da58446bc099047b154203518e2585ef1a678f613f2b430f2589f7bf5cff</t>
        </is>
      </c>
      <c r="BE633" s="24" t="inlineStr">
        <is>
          <t>tennis-surface-elo-v1</t>
        </is>
      </c>
      <c r="BF633" s="24" t="inlineStr">
        <is>
          <t>1</t>
        </is>
      </c>
      <c r="BG633" s="24" t="inlineStr">
        <is>
          <t>d777da58446bc099047b154203518e2585ef1a678f613f2b430f2589f7bf5cff</t>
        </is>
      </c>
      <c r="BH633" s="24" t="inlineStr">
        <is>
          <t>2026-08-25T13:29:53.820666Z</t>
        </is>
      </c>
      <c r="BI633" s="24" t="inlineStr">
        <is>
          <t>["same_event","same_team_same_day","same_league_same_day"]</t>
        </is>
      </c>
      <c r="BJ633" s="25" t="n"/>
      <c r="BK633" s="26" t="n">
        <v>-223</v>
      </c>
      <c r="BL633" s="27" t="n">
        <v>1.44843</v>
      </c>
      <c r="BM633" s="28" t="n">
        <v>0.690402</v>
      </c>
      <c r="BN633" s="28" t="n"/>
      <c r="BO633" s="28" t="n"/>
      <c r="BP633" s="25" t="n"/>
      <c r="BQ633" s="27" t="n">
        <v>1.44843</v>
      </c>
      <c r="BR633" s="28" t="n">
        <v>0.6899999999999999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inlineStr">
        <is>
          <t>b3d9ee01a96acd4c2d0df473126fb7cbe3959c210bc7890fa28b74474c404ce2</t>
        </is>
      </c>
      <c r="DE633" s="24" t="inlineStr">
        <is>
          <t>/Users/vincentc9002/model-prediction/data/odds/tennis/2026-08-25/polymarket_snapshots.jsonl</t>
        </is>
      </c>
      <c r="DF633" s="24" t="inlineStr">
        <is>
          <t>515893:2026-08-25T13:29:53.820666Z</t>
        </is>
      </c>
      <c r="DG633" s="24" t="n"/>
      <c r="DH633" s="24" t="n"/>
      <c r="DI633" s="24" t="n"/>
      <c r="DJ633" s="24" t="inlineStr">
        <is>
          <t>0.690402</t>
        </is>
      </c>
      <c r="DK633" s="24" t="n"/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b3e40bd5757c4c5d</t>
        </is>
      </c>
      <c r="B634" s="24" t="inlineStr">
        <is>
          <t>2026-08-25T13:31:51.589728Z</t>
        </is>
      </c>
      <c r="C634" s="24" t="inlineStr">
        <is>
          <t>2026-08-25T21:00Z</t>
        </is>
      </c>
      <c r="D634" s="24" t="inlineStr">
        <is>
          <t>363-2026:182055</t>
        </is>
      </c>
      <c r="E634" s="24" t="inlineStr">
        <is>
          <t>TENNIS</t>
        </is>
      </c>
      <c r="F634" s="24" t="inlineStr">
        <is>
          <t>Sebastian Baez</t>
        </is>
      </c>
      <c r="G634" s="24" t="inlineStr">
        <is>
          <t>Hugo Grenier</t>
        </is>
      </c>
      <c r="H634" s="24" t="inlineStr">
        <is>
          <t>moneyline</t>
        </is>
      </c>
      <c r="I634" s="24" t="inlineStr">
        <is>
          <t>away</t>
        </is>
      </c>
      <c r="J634" s="25" t="n"/>
      <c r="K634" s="24" t="inlineStr">
        <is>
          <t>polymarket_us</t>
        </is>
      </c>
      <c r="L634" s="26" t="n">
        <v>-400</v>
      </c>
      <c r="M634" s="27" t="n">
        <v>1.25</v>
      </c>
      <c r="N634" s="28" t="n">
        <v>0.8</v>
      </c>
      <c r="O634" s="28" t="n">
        <v>0.5618</v>
      </c>
      <c r="P634" s="28" t="n">
        <v>0.05</v>
      </c>
      <c r="Q634" s="28" t="n">
        <v>-0.2382</v>
      </c>
      <c r="R634" s="26" t="n">
        <v>0</v>
      </c>
      <c r="S634" s="29" t="n">
        <v>1</v>
      </c>
      <c r="T634" s="24" t="inlineStr">
        <is>
          <t>tennis-surface-elo-v1</t>
        </is>
      </c>
      <c r="U634" s="24" t="inlineStr">
        <is>
          <t>settled</t>
        </is>
      </c>
      <c r="V634" s="24" t="inlineStr">
        <is>
          <t>win</t>
        </is>
      </c>
      <c r="W634" s="26" t="n">
        <v>1</v>
      </c>
      <c r="X634" s="26" t="n">
        <v>0</v>
      </c>
      <c r="Y634" s="25" t="n"/>
      <c r="Z634" s="26" t="n">
        <v>-400</v>
      </c>
      <c r="AA634" s="28" t="n">
        <v>0.8</v>
      </c>
      <c r="AB634" s="28" t="n">
        <v>0</v>
      </c>
      <c r="AC634" s="30" t="n">
        <v>0.25</v>
      </c>
      <c r="AD634" s="24" t="inlineStr">
        <is>
          <t>2026-08-26T12:38:05.380519Z</t>
        </is>
      </c>
      <c r="AE634" s="31" t="inlineStr">
        <is>
          <t>Surface-blended Elo on Hard: Sebastian Baez p=0.562 vs Hugo Grenier. Executable ask 0.8000 (aec-atp-huggre-sebbae-2026-08-25).</t>
        </is>
      </c>
      <c r="AF634" s="31" t="inlineStr">
        <is>
          <t>Surface-blended Elo model; singles only, WTA+ATP market coverage, not yet locked-holdout qualified -- promoted by explicit operator directive, not genuine walk-forward validation.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PAPER_CALL_LOW_EDGE</t>
        </is>
      </c>
      <c r="AP634" s="24" t="inlineStr">
        <is>
          <t>Sebastian Baez</t>
        </is>
      </c>
      <c r="AQ634" s="24" t="inlineStr">
        <is>
          <t>Sebastian Baez</t>
        </is>
      </c>
      <c r="AR634" s="24" t="inlineStr">
        <is>
          <t>Sebastian Baez</t>
        </is>
      </c>
      <c r="AS634" s="24" t="inlineStr">
        <is>
          <t>Hugo Grenier</t>
        </is>
      </c>
      <c r="AT634" s="24" t="inlineStr">
        <is>
          <t>Hugo Grenier</t>
        </is>
      </c>
      <c r="AU634" s="24" t="inlineStr">
        <is>
          <t>Hugo Grenier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d777da58446bc099047b154203518e2585ef1a678f613f2b430f2589f7bf5cff</t>
        </is>
      </c>
      <c r="BB634" s="24" t="inlineStr">
        <is>
          <t>surface_blended_elo</t>
        </is>
      </c>
      <c r="BC634" s="24" t="inlineStr">
        <is>
          <t>tennis-surface-elo-v1</t>
        </is>
      </c>
      <c r="BD634" s="24" t="inlineStr">
        <is>
          <t>d777da58446bc099047b154203518e2585ef1a678f613f2b430f2589f7bf5cff</t>
        </is>
      </c>
      <c r="BE634" s="24" t="inlineStr">
        <is>
          <t>tennis-surface-elo-v1</t>
        </is>
      </c>
      <c r="BF634" s="24" t="inlineStr">
        <is>
          <t>1</t>
        </is>
      </c>
      <c r="BG634" s="24" t="inlineStr">
        <is>
          <t>d777da58446bc099047b154203518e2585ef1a678f613f2b430f2589f7bf5cff</t>
        </is>
      </c>
      <c r="BH634" s="24" t="inlineStr">
        <is>
          <t>2026-08-25T13:29:53.749321Z</t>
        </is>
      </c>
      <c r="BI634" s="24" t="inlineStr">
        <is>
          <t>["same_event","same_team_same_day","same_league_same_day"]</t>
        </is>
      </c>
      <c r="BJ634" s="25" t="n"/>
      <c r="BK634" s="26" t="n">
        <v>-400</v>
      </c>
      <c r="BL634" s="27" t="n">
        <v>1.25</v>
      </c>
      <c r="BM634" s="28" t="n">
        <v>0.8</v>
      </c>
      <c r="BN634" s="28" t="n"/>
      <c r="BO634" s="28" t="n"/>
      <c r="BP634" s="25" t="n"/>
      <c r="BQ634" s="27" t="n">
        <v>1.25</v>
      </c>
      <c r="BR634" s="28" t="n">
        <v>0.8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inlineStr">
        <is>
          <t>27a5c94c69b2a52d476f4d7fad132ccf231a589719317156594b7f87117cd018</t>
        </is>
      </c>
      <c r="DE634" s="24" t="inlineStr">
        <is>
          <t>/Users/vincentc9002/model-prediction/data/odds/tennis/2026-08-25/polymarket_snapshots.jsonl</t>
        </is>
      </c>
      <c r="DF634" s="24" t="inlineStr">
        <is>
          <t>516405:2026-08-25T13:29:53.749321Z</t>
        </is>
      </c>
      <c r="DG634" s="24" t="n"/>
      <c r="DH634" s="24" t="n"/>
      <c r="DI634" s="24" t="n"/>
      <c r="DJ634" s="24" t="inlineStr">
        <is>
          <t>0.8</t>
        </is>
      </c>
      <c r="DK634" s="24" t="n"/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c0b440e679f341e0</t>
        </is>
      </c>
      <c r="B635" s="24" t="inlineStr">
        <is>
          <t>2026-08-25T13:31:51.589728Z</t>
        </is>
      </c>
      <c r="C635" s="24" t="inlineStr">
        <is>
          <t>2026-08-25T21:00Z</t>
        </is>
      </c>
      <c r="D635" s="24" t="inlineStr">
        <is>
          <t>363-2026:182040</t>
        </is>
      </c>
      <c r="E635" s="24" t="inlineStr">
        <is>
          <t>TENNIS</t>
        </is>
      </c>
      <c r="F635" s="24" t="inlineStr">
        <is>
          <t>Mariano Navone</t>
        </is>
      </c>
      <c r="G635" s="24" t="inlineStr">
        <is>
          <t>James Duckworth</t>
        </is>
      </c>
      <c r="H635" s="24" t="inlineStr">
        <is>
          <t>moneyline</t>
        </is>
      </c>
      <c r="I635" s="24" t="inlineStr">
        <is>
          <t>away</t>
        </is>
      </c>
      <c r="J635" s="25" t="n"/>
      <c r="K635" s="24" t="inlineStr">
        <is>
          <t>polymarket_us</t>
        </is>
      </c>
      <c r="L635" s="26" t="n">
        <v>-144</v>
      </c>
      <c r="M635" s="27" t="n">
        <v>1.694444</v>
      </c>
      <c r="N635" s="28" t="n">
        <v>0.590164</v>
      </c>
      <c r="O635" s="28" t="n">
        <v>0.6075</v>
      </c>
      <c r="P635" s="28" t="n">
        <v>0.05</v>
      </c>
      <c r="Q635" s="28" t="n">
        <v>0.017336</v>
      </c>
      <c r="R635" s="26" t="n">
        <v>29</v>
      </c>
      <c r="S635" s="29" t="n">
        <v>1</v>
      </c>
      <c r="T635" s="24" t="inlineStr">
        <is>
          <t>tennis-surface-elo-v1</t>
        </is>
      </c>
      <c r="U635" s="24" t="inlineStr">
        <is>
          <t>settled</t>
        </is>
      </c>
      <c r="V635" s="24" t="inlineStr">
        <is>
          <t>loss</t>
        </is>
      </c>
      <c r="W635" s="26" t="n">
        <v>0</v>
      </c>
      <c r="X635" s="26" t="n">
        <v>1</v>
      </c>
      <c r="Y635" s="25" t="n"/>
      <c r="Z635" s="26" t="n">
        <v>-144</v>
      </c>
      <c r="AA635" s="28" t="n">
        <v>0.59</v>
      </c>
      <c r="AB635" s="28" t="n">
        <v>-0.000164</v>
      </c>
      <c r="AC635" s="30" t="n">
        <v>-1</v>
      </c>
      <c r="AD635" s="24" t="inlineStr">
        <is>
          <t>2026-08-26T12:38:07.346726Z</t>
        </is>
      </c>
      <c r="AE635" s="31" t="inlineStr">
        <is>
          <t>Surface-blended Elo on Hard: Mariano Navone p=0.608 vs James Duckworth. Executable ask 0.5900 (aec-atp-jamduc-marnav-2026-08-25).</t>
        </is>
      </c>
      <c r="AF635" s="31" t="inlineStr">
        <is>
          <t>Surface-blended Elo model; singles only, WTA+ATP market coverage, not yet locked-holdout qualified -- promoted by explicit operator directive, not genuine walk-forward validation.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Mariano Navone</t>
        </is>
      </c>
      <c r="AQ635" s="24" t="inlineStr">
        <is>
          <t>Mariano Navone</t>
        </is>
      </c>
      <c r="AR635" s="24" t="inlineStr">
        <is>
          <t>Mariano Navone</t>
        </is>
      </c>
      <c r="AS635" s="24" t="inlineStr">
        <is>
          <t>James Duckworth</t>
        </is>
      </c>
      <c r="AT635" s="24" t="inlineStr">
        <is>
          <t>James Duckworth</t>
        </is>
      </c>
      <c r="AU635" s="24" t="inlineStr">
        <is>
          <t>James Duckworth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d777da58446bc099047b154203518e2585ef1a678f613f2b430f2589f7bf5cff</t>
        </is>
      </c>
      <c r="BB635" s="24" t="inlineStr">
        <is>
          <t>surface_blended_elo</t>
        </is>
      </c>
      <c r="BC635" s="24" t="inlineStr">
        <is>
          <t>tennis-surface-elo-v1</t>
        </is>
      </c>
      <c r="BD635" s="24" t="inlineStr">
        <is>
          <t>d777da58446bc099047b154203518e2585ef1a678f613f2b430f2589f7bf5cff</t>
        </is>
      </c>
      <c r="BE635" s="24" t="inlineStr">
        <is>
          <t>tennis-surface-elo-v1</t>
        </is>
      </c>
      <c r="BF635" s="24" t="inlineStr">
        <is>
          <t>1</t>
        </is>
      </c>
      <c r="BG635" s="24" t="inlineStr">
        <is>
          <t>d777da58446bc099047b154203518e2585ef1a678f613f2b430f2589f7bf5cff</t>
        </is>
      </c>
      <c r="BH635" s="24" t="inlineStr">
        <is>
          <t>2026-08-25T13:29:53.810683Z</t>
        </is>
      </c>
      <c r="BI635" s="24" t="inlineStr">
        <is>
          <t>["same_event","same_team_same_day","same_league_same_day"]</t>
        </is>
      </c>
      <c r="BJ635" s="25" t="n"/>
      <c r="BK635" s="26" t="n">
        <v>-144</v>
      </c>
      <c r="BL635" s="27" t="n">
        <v>1.694444</v>
      </c>
      <c r="BM635" s="28" t="n">
        <v>0.590164</v>
      </c>
      <c r="BN635" s="28" t="n"/>
      <c r="BO635" s="28" t="n"/>
      <c r="BP635" s="25" t="n"/>
      <c r="BQ635" s="27" t="n">
        <v>1.694444</v>
      </c>
      <c r="BR635" s="28" t="n">
        <v>0.59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inlineStr">
        <is>
          <t>18de6ecff2e7ebd799dc1b2e553c0212c0375e1773627217f311c06dc70c15ef</t>
        </is>
      </c>
      <c r="DE635" s="24" t="inlineStr">
        <is>
          <t>/Users/vincentc9002/model-prediction/data/odds/tennis/2026-08-25/polymarket_snapshots.jsonl</t>
        </is>
      </c>
      <c r="DF635" s="24" t="inlineStr">
        <is>
          <t>513448:2026-08-25T13:29:53.810683Z</t>
        </is>
      </c>
      <c r="DG635" s="24" t="n"/>
      <c r="DH635" s="24" t="n"/>
      <c r="DI635" s="24" t="n"/>
      <c r="DJ635" s="24" t="inlineStr">
        <is>
          <t>0.590164</t>
        </is>
      </c>
      <c r="DK635" s="24" t="n"/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dcbff1b89e324981</t>
        </is>
      </c>
      <c r="B636" s="24" t="inlineStr">
        <is>
          <t>2026-08-25T13:31:51.589728Z</t>
        </is>
      </c>
      <c r="C636" s="24" t="inlineStr">
        <is>
          <t>2026-08-25T22:30Z</t>
        </is>
      </c>
      <c r="D636" s="24" t="inlineStr">
        <is>
          <t>363-2026:182036</t>
        </is>
      </c>
      <c r="E636" s="24" t="inlineStr">
        <is>
          <t>TENNIS</t>
        </is>
      </c>
      <c r="F636" s="24" t="inlineStr">
        <is>
          <t>Martin Damm</t>
        </is>
      </c>
      <c r="G636" s="24" t="inlineStr">
        <is>
          <t>Daniil Medvedev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-335</v>
      </c>
      <c r="M636" s="27" t="n">
        <v>1.298507</v>
      </c>
      <c r="N636" s="28" t="n">
        <v>0.770115</v>
      </c>
      <c r="O636" s="28" t="n">
        <v>0.7411</v>
      </c>
      <c r="P636" s="28" t="n">
        <v>0.05</v>
      </c>
      <c r="Q636" s="28" t="n">
        <v>-0.029015</v>
      </c>
      <c r="R636" s="26" t="n">
        <v>5</v>
      </c>
      <c r="S636" s="29" t="n">
        <v>1</v>
      </c>
      <c r="T636" s="24" t="inlineStr">
        <is>
          <t>tennis-surface-elo-v1</t>
        </is>
      </c>
      <c r="U636" s="24" t="inlineStr">
        <is>
          <t>settled</t>
        </is>
      </c>
      <c r="V636" s="24" t="inlineStr">
        <is>
          <t>loss</t>
        </is>
      </c>
      <c r="W636" s="26" t="n">
        <v>1</v>
      </c>
      <c r="X636" s="26" t="n">
        <v>0</v>
      </c>
      <c r="Y636" s="25" t="n"/>
      <c r="Z636" s="26" t="n">
        <v>-335</v>
      </c>
      <c r="AA636" s="28" t="n">
        <v>0.77</v>
      </c>
      <c r="AB636" s="28" t="n">
        <v>-0.000115</v>
      </c>
      <c r="AC636" s="30" t="n">
        <v>-1</v>
      </c>
      <c r="AD636" s="24" t="inlineStr">
        <is>
          <t>2026-08-26T12:38:09.320091Z</t>
        </is>
      </c>
      <c r="AE636" s="31" t="inlineStr">
        <is>
          <t>Surface-blended Elo on Hard: Martin Damm p=0.259 vs Daniil Medvedev. Executable ask 0.7700 (aec-atp-danmed-mardam-2026-08-25).</t>
        </is>
      </c>
      <c r="AF636" s="31" t="inlineStr">
        <is>
          <t>Surface-blended Elo model; singles only, WTA+ATP market coverage, not yet locked-holdout qualified -- promoted by explicit operator directive, not genuine walk-forward validation.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Martin Damm</t>
        </is>
      </c>
      <c r="AQ636" s="24" t="inlineStr">
        <is>
          <t>Martin Damm</t>
        </is>
      </c>
      <c r="AR636" s="24" t="inlineStr">
        <is>
          <t>Martin Damm</t>
        </is>
      </c>
      <c r="AS636" s="24" t="inlineStr">
        <is>
          <t>Daniil Medvedev</t>
        </is>
      </c>
      <c r="AT636" s="24" t="inlineStr">
        <is>
          <t>Daniil Medvedev</t>
        </is>
      </c>
      <c r="AU636" s="24" t="inlineStr">
        <is>
          <t>Daniil Medvedev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d777da58446bc099047b154203518e2585ef1a678f613f2b430f2589f7bf5cff</t>
        </is>
      </c>
      <c r="BB636" s="24" t="inlineStr">
        <is>
          <t>surface_blended_elo</t>
        </is>
      </c>
      <c r="BC636" s="24" t="inlineStr">
        <is>
          <t>tennis-surface-elo-v1</t>
        </is>
      </c>
      <c r="BD636" s="24" t="inlineStr">
        <is>
          <t>d777da58446bc099047b154203518e2585ef1a678f613f2b430f2589f7bf5cff</t>
        </is>
      </c>
      <c r="BE636" s="24" t="inlineStr">
        <is>
          <t>tennis-surface-elo-v1</t>
        </is>
      </c>
      <c r="BF636" s="24" t="inlineStr">
        <is>
          <t>1</t>
        </is>
      </c>
      <c r="BG636" s="24" t="inlineStr">
        <is>
          <t>d777da58446bc099047b154203518e2585ef1a678f613f2b430f2589f7bf5cff</t>
        </is>
      </c>
      <c r="BH636" s="24" t="inlineStr">
        <is>
          <t>2026-08-25T13:29:54.168715Z</t>
        </is>
      </c>
      <c r="BI636" s="24" t="inlineStr">
        <is>
          <t>["same_event","same_team_same_day","same_league_same_day"]</t>
        </is>
      </c>
      <c r="BJ636" s="25" t="n"/>
      <c r="BK636" s="26" t="n">
        <v>-335</v>
      </c>
      <c r="BL636" s="27" t="n">
        <v>1.298507</v>
      </c>
      <c r="BM636" s="28" t="n">
        <v>0.770115</v>
      </c>
      <c r="BN636" s="28" t="n"/>
      <c r="BO636" s="28" t="n"/>
      <c r="BP636" s="25" t="n"/>
      <c r="BQ636" s="27" t="n">
        <v>1.298507</v>
      </c>
      <c r="BR636" s="28" t="n">
        <v>0.77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inlineStr">
        <is>
          <t>9137378ed929597bae0f2ad13bb6f5fbb89603276ac794ff25ab068cbc27368e</t>
        </is>
      </c>
      <c r="DE636" s="24" t="inlineStr">
        <is>
          <t>/Users/vincentc9002/model-prediction/data/odds/tennis/2026-08-25/polymarket_snapshots.jsonl</t>
        </is>
      </c>
      <c r="DF636" s="24" t="inlineStr">
        <is>
          <t>514500:2026-08-25T13:29:54.168715Z</t>
        </is>
      </c>
      <c r="DG636" s="24" t="n"/>
      <c r="DH636" s="24" t="n"/>
      <c r="DI636" s="24" t="n"/>
      <c r="DJ636" s="24" t="inlineStr">
        <is>
          <t>0.770115</t>
        </is>
      </c>
      <c r="DK636" s="24" t="n"/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e3d7a06f08e9445a</t>
        </is>
      </c>
      <c r="B637" s="24" t="inlineStr">
        <is>
          <t>2026-08-25T13:31:51.589728Z</t>
        </is>
      </c>
      <c r="C637" s="24" t="inlineStr">
        <is>
          <t>2026-08-25T22:30Z</t>
        </is>
      </c>
      <c r="D637" s="24" t="inlineStr">
        <is>
          <t>363-2026:182046</t>
        </is>
      </c>
      <c r="E637" s="24" t="inlineStr">
        <is>
          <t>TENNIS</t>
        </is>
      </c>
      <c r="F637" s="24" t="inlineStr">
        <is>
          <t>Lorenzo Sonego</t>
        </is>
      </c>
      <c r="G637" s="24" t="inlineStr">
        <is>
          <t>Adrian Mannarino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-150</v>
      </c>
      <c r="M637" s="27" t="n">
        <v>1.666667</v>
      </c>
      <c r="N637" s="28" t="n">
        <v>0.6</v>
      </c>
      <c r="O637" s="28" t="n">
        <v>0.5558999999999999</v>
      </c>
      <c r="P637" s="28" t="n">
        <v>0.05</v>
      </c>
      <c r="Q637" s="28" t="n">
        <v>-0.0441</v>
      </c>
      <c r="R637" s="26" t="n">
        <v>0</v>
      </c>
      <c r="S637" s="29" t="n">
        <v>1</v>
      </c>
      <c r="T637" s="24" t="inlineStr">
        <is>
          <t>tennis-surface-elo-v1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-150</v>
      </c>
      <c r="AA637" s="28" t="n">
        <v>0.6</v>
      </c>
      <c r="AB637" s="28" t="n">
        <v>0</v>
      </c>
      <c r="AC637" s="30" t="n">
        <v>0.6667</v>
      </c>
      <c r="AD637" s="24" t="inlineStr">
        <is>
          <t>2026-08-26T12:38:11.294088Z</t>
        </is>
      </c>
      <c r="AE637" s="31" t="inlineStr">
        <is>
          <t>Surface-blended Elo on Hard: Lorenzo Sonego p=0.556 vs Adrian Mannarino. Executable ask 0.6000 (aec-atp-adrman-lorson-2026-08-25).</t>
        </is>
      </c>
      <c r="AF637" s="31" t="inlineStr">
        <is>
          <t>Surface-blended Elo model; singles only, WTA+ATP market coverage, not yet locked-holdout qualified -- promoted by explicit operator directive, not genuine walk-forward validation.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Lorenzo Sonego</t>
        </is>
      </c>
      <c r="AQ637" s="24" t="inlineStr">
        <is>
          <t>Lorenzo Sonego</t>
        </is>
      </c>
      <c r="AR637" s="24" t="inlineStr">
        <is>
          <t>Lorenzo Sonego</t>
        </is>
      </c>
      <c r="AS637" s="24" t="inlineStr">
        <is>
          <t>Adrian Mannarino</t>
        </is>
      </c>
      <c r="AT637" s="24" t="inlineStr">
        <is>
          <t>Adrian Mannarino</t>
        </is>
      </c>
      <c r="AU637" s="24" t="inlineStr">
        <is>
          <t>Adrian Mannarino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d777da58446bc099047b154203518e2585ef1a678f613f2b430f2589f7bf5cff</t>
        </is>
      </c>
      <c r="BB637" s="24" t="inlineStr">
        <is>
          <t>surface_blended_elo</t>
        </is>
      </c>
      <c r="BC637" s="24" t="inlineStr">
        <is>
          <t>tennis-surface-elo-v1</t>
        </is>
      </c>
      <c r="BD637" s="24" t="inlineStr">
        <is>
          <t>d777da58446bc099047b154203518e2585ef1a678f613f2b430f2589f7bf5cff</t>
        </is>
      </c>
      <c r="BE637" s="24" t="inlineStr">
        <is>
          <t>tennis-surface-elo-v1</t>
        </is>
      </c>
      <c r="BF637" s="24" t="inlineStr">
        <is>
          <t>1</t>
        </is>
      </c>
      <c r="BG637" s="24" t="inlineStr">
        <is>
          <t>d777da58446bc099047b154203518e2585ef1a678f613f2b430f2589f7bf5cff</t>
        </is>
      </c>
      <c r="BH637" s="24" t="inlineStr">
        <is>
          <t>2026-08-25T13:29:54.533749Z</t>
        </is>
      </c>
      <c r="BI637" s="24" t="inlineStr">
        <is>
          <t>["same_event","same_team_same_day","same_league_same_day"]</t>
        </is>
      </c>
      <c r="BJ637" s="25" t="n"/>
      <c r="BK637" s="26" t="n">
        <v>-150</v>
      </c>
      <c r="BL637" s="27" t="n">
        <v>1.666667</v>
      </c>
      <c r="BM637" s="28" t="n">
        <v>0.6</v>
      </c>
      <c r="BN637" s="28" t="n"/>
      <c r="BO637" s="28" t="n"/>
      <c r="BP637" s="25" t="n"/>
      <c r="BQ637" s="27" t="n">
        <v>1.666667</v>
      </c>
      <c r="BR637" s="28" t="n">
        <v>0.6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inlineStr">
        <is>
          <t>251a1a72546efaba66bc0c369d465b35b88c8c864859e13009e4be4b022b7063</t>
        </is>
      </c>
      <c r="DE637" s="24" t="inlineStr">
        <is>
          <t>/Users/vincentc9002/model-prediction/data/odds/tennis/2026-08-25/polymarket_snapshots.jsonl</t>
        </is>
      </c>
      <c r="DF637" s="24" t="inlineStr">
        <is>
          <t>514504:2026-08-25T13:29:54.533749Z</t>
        </is>
      </c>
      <c r="DG637" s="24" t="n"/>
      <c r="DH637" s="24" t="n"/>
      <c r="DI637" s="24" t="n"/>
      <c r="DJ637" s="24" t="inlineStr">
        <is>
          <t>0.6</t>
        </is>
      </c>
      <c r="DK637" s="24" t="n"/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b2dbb425657b43ba</t>
        </is>
      </c>
      <c r="B638" s="24" t="inlineStr">
        <is>
          <t>2026-08-25T13:31:51.589728Z</t>
        </is>
      </c>
      <c r="C638" s="24" t="inlineStr">
        <is>
          <t>2026-08-26T00:00Z</t>
        </is>
      </c>
      <c r="D638" s="24" t="inlineStr">
        <is>
          <t>363-2026:182044</t>
        </is>
      </c>
      <c r="E638" s="24" t="inlineStr">
        <is>
          <t>TENNIS</t>
        </is>
      </c>
      <c r="F638" s="24" t="inlineStr">
        <is>
          <t>Fabian Marozsan</t>
        </is>
      </c>
      <c r="G638" s="24" t="inlineStr">
        <is>
          <t>Miomir Kecmanovic</t>
        </is>
      </c>
      <c r="H638" s="24" t="inlineStr">
        <is>
          <t>moneyline</t>
        </is>
      </c>
      <c r="I638" s="24" t="inlineStr">
        <is>
          <t>away</t>
        </is>
      </c>
      <c r="J638" s="25" t="n"/>
      <c r="K638" s="24" t="inlineStr">
        <is>
          <t>polymarket_us</t>
        </is>
      </c>
      <c r="L638" s="26" t="n">
        <v>138</v>
      </c>
      <c r="M638" s="27" t="n">
        <v>2.38</v>
      </c>
      <c r="N638" s="28" t="n">
        <v>0.420168</v>
      </c>
      <c r="O638" s="28" t="n">
        <v>0.5184</v>
      </c>
      <c r="P638" s="28" t="n">
        <v>0.05</v>
      </c>
      <c r="Q638" s="28" t="n">
        <v>0.098232</v>
      </c>
      <c r="R638" s="26" t="n">
        <v>69</v>
      </c>
      <c r="S638" s="29" t="n">
        <v>1.25</v>
      </c>
      <c r="T638" s="24" t="inlineStr">
        <is>
          <t>tennis-surface-elo-v1</t>
        </is>
      </c>
      <c r="U638" s="24" t="inlineStr">
        <is>
          <t>settled</t>
        </is>
      </c>
      <c r="V638" s="24" t="inlineStr">
        <is>
          <t>win</t>
        </is>
      </c>
      <c r="W638" s="26" t="n">
        <v>1</v>
      </c>
      <c r="X638" s="26" t="n">
        <v>0</v>
      </c>
      <c r="Y638" s="25" t="n"/>
      <c r="Z638" s="26" t="n">
        <v>138</v>
      </c>
      <c r="AA638" s="28" t="n">
        <v>0.42</v>
      </c>
      <c r="AB638" s="28" t="n">
        <v>-0.000168</v>
      </c>
      <c r="AC638" s="30" t="n">
        <v>1.725</v>
      </c>
      <c r="AD638" s="24" t="inlineStr">
        <is>
          <t>2026-08-26T12:38:13.273976Z</t>
        </is>
      </c>
      <c r="AE638" s="31" t="inlineStr">
        <is>
          <t>Surface-blended Elo on Hard: Fabian Marozsan p=0.518 vs Miomir Kecmanovic. Executable ask 0.4200 (aec-atp-miokec-fabmar-2026-08-25).</t>
        </is>
      </c>
      <c r="AF638" s="31" t="inlineStr">
        <is>
          <t>Surface-blended Elo model; singles only, WTA+ATP market coverage, not yet locked-holdout qualified -- promoted by explicit operator directive, not genuine walk-forward validation.</t>
        </is>
      </c>
      <c r="AG638" s="24" t="inlineStr">
        <is>
          <t>not_applicable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Fabian Marozsan</t>
        </is>
      </c>
      <c r="AQ638" s="24" t="inlineStr">
        <is>
          <t>Fabian Marozsan</t>
        </is>
      </c>
      <c r="AR638" s="24" t="inlineStr">
        <is>
          <t>Fabian Marozsan</t>
        </is>
      </c>
      <c r="AS638" s="24" t="inlineStr">
        <is>
          <t>Miomir Kecmanovic</t>
        </is>
      </c>
      <c r="AT638" s="24" t="inlineStr">
        <is>
          <t>Miomir Kecmanovic</t>
        </is>
      </c>
      <c r="AU638" s="24" t="inlineStr">
        <is>
          <t>Miomir Kecmanovic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d777da58446bc099047b154203518e2585ef1a678f613f2b430f2589f7bf5cff</t>
        </is>
      </c>
      <c r="BB638" s="24" t="inlineStr">
        <is>
          <t>surface_blended_elo</t>
        </is>
      </c>
      <c r="BC638" s="24" t="inlineStr">
        <is>
          <t>tennis-surface-elo-v1</t>
        </is>
      </c>
      <c r="BD638" s="24" t="inlineStr">
        <is>
          <t>d777da58446bc099047b154203518e2585ef1a678f613f2b430f2589f7bf5cff</t>
        </is>
      </c>
      <c r="BE638" s="24" t="inlineStr">
        <is>
          <t>tennis-surface-elo-v1</t>
        </is>
      </c>
      <c r="BF638" s="24" t="inlineStr">
        <is>
          <t>1</t>
        </is>
      </c>
      <c r="BG638" s="24" t="inlineStr">
        <is>
          <t>d777da58446bc099047b154203518e2585ef1a678f613f2b430f2589f7bf5cff</t>
        </is>
      </c>
      <c r="BH638" s="24" t="inlineStr">
        <is>
          <t>2026-08-25T13:29:54.575619Z</t>
        </is>
      </c>
      <c r="BI638" s="24" t="inlineStr">
        <is>
          <t>["same_event","same_team_same_day","same_league_same_day"]</t>
        </is>
      </c>
      <c r="BJ638" s="25" t="n"/>
      <c r="BK638" s="26" t="n">
        <v>138</v>
      </c>
      <c r="BL638" s="27" t="n">
        <v>2.38</v>
      </c>
      <c r="BM638" s="28" t="n">
        <v>0.420168</v>
      </c>
      <c r="BN638" s="28" t="n"/>
      <c r="BO638" s="28" t="n"/>
      <c r="BP638" s="25" t="n"/>
      <c r="BQ638" s="27" t="n">
        <v>2.38</v>
      </c>
      <c r="BR638" s="28" t="n">
        <v>0.42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inlineStr">
        <is>
          <t>5e7789d02a58264b8c1a348da24b7243f236cdb9a4ddb9c271b65f190b4300b7</t>
        </is>
      </c>
      <c r="DE638" s="24" t="inlineStr">
        <is>
          <t>/Users/vincentc9002/model-prediction/data/odds/tennis/2026-08-25/polymarket_snapshots.jsonl</t>
        </is>
      </c>
      <c r="DF638" s="24" t="inlineStr">
        <is>
          <t>506082:2026-08-25T13:29:54.575619Z</t>
        </is>
      </c>
      <c r="DG638" s="24" t="n"/>
      <c r="DH638" s="24" t="n"/>
      <c r="DI638" s="24" t="n"/>
      <c r="DJ638" s="24" t="inlineStr">
        <is>
          <t>0.420168</t>
        </is>
      </c>
      <c r="DK638" s="24" t="n"/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62d28e0b0c044e9a</t>
        </is>
      </c>
      <c r="B639" s="24" t="inlineStr">
        <is>
          <t>2026-08-26T12:43:29.834856Z</t>
        </is>
      </c>
      <c r="C639" s="24" t="inlineStr">
        <is>
          <t>2026-08-26T15:00Z</t>
        </is>
      </c>
      <c r="D639" s="24" t="inlineStr">
        <is>
          <t>1075-2026:182127</t>
        </is>
      </c>
      <c r="E639" s="24" t="inlineStr">
        <is>
          <t>TENNIS</t>
        </is>
      </c>
      <c r="F639" s="24" t="inlineStr">
        <is>
          <t>Mananchaya Sawangkaew</t>
        </is>
      </c>
      <c r="G639" s="24" t="inlineStr">
        <is>
          <t>Lizette Cabrera</t>
        </is>
      </c>
      <c r="H639" s="24" t="inlineStr">
        <is>
          <t>moneyline</t>
        </is>
      </c>
      <c r="I639" s="24" t="inlineStr">
        <is>
          <t>away</t>
        </is>
      </c>
      <c r="J639" s="25" t="n"/>
      <c r="K639" s="24" t="inlineStr">
        <is>
          <t>polymarket_us</t>
        </is>
      </c>
      <c r="L639" s="26" t="n">
        <v>-525</v>
      </c>
      <c r="M639" s="27" t="n">
        <v>1.190476</v>
      </c>
      <c r="N639" s="28" t="n">
        <v>0.84</v>
      </c>
      <c r="O639" s="28" t="n">
        <v>0.6465</v>
      </c>
      <c r="P639" s="28" t="n">
        <v>0.05</v>
      </c>
      <c r="Q639" s="28" t="n">
        <v>-0.1935</v>
      </c>
      <c r="R639" s="26" t="n">
        <v>0</v>
      </c>
      <c r="S639" s="29" t="n">
        <v>1</v>
      </c>
      <c r="T639" s="24" t="inlineStr">
        <is>
          <t>tennis-surface-elo-v1</t>
        </is>
      </c>
      <c r="U639" s="24" t="inlineStr">
        <is>
          <t>settled</t>
        </is>
      </c>
      <c r="V639" s="24" t="inlineStr">
        <is>
          <t>win</t>
        </is>
      </c>
      <c r="W639" s="26" t="n">
        <v>1</v>
      </c>
      <c r="X639" s="26" t="n">
        <v>0</v>
      </c>
      <c r="Y639" s="25" t="n"/>
      <c r="Z639" s="26" t="n">
        <v>-525</v>
      </c>
      <c r="AA639" s="28" t="n">
        <v>0.84</v>
      </c>
      <c r="AB639" s="28" t="n">
        <v>0</v>
      </c>
      <c r="AC639" s="30" t="n">
        <v>0.1905</v>
      </c>
      <c r="AD639" s="24" t="inlineStr">
        <is>
          <t>2026-08-26T22:12:52.170479Z</t>
        </is>
      </c>
      <c r="AE639" s="31" t="inlineStr">
        <is>
          <t>Surface-blended Elo on Hard: Mananchaya Sawangkaew p=0.647 vs Lizette Cabrera. Executable ask 0.8400 (aec-wta-lizcab-mansaw-2026-08-26).</t>
        </is>
      </c>
      <c r="AF639" s="31" t="inlineStr">
        <is>
          <t>Surface-blended Elo model; singles only, WTA+ATP market coverage, not yet locked-holdout qualified -- promoted by explicit operator directive, not genuine walk-forward validation.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Mananchaya Sawangkaew</t>
        </is>
      </c>
      <c r="AQ639" s="24" t="inlineStr">
        <is>
          <t>Mananchaya Sawangkaew</t>
        </is>
      </c>
      <c r="AR639" s="24" t="inlineStr">
        <is>
          <t>Mananchaya Sawangkaew</t>
        </is>
      </c>
      <c r="AS639" s="24" t="inlineStr">
        <is>
          <t>Lizette Cabrera</t>
        </is>
      </c>
      <c r="AT639" s="24" t="inlineStr">
        <is>
          <t>Lizette Cabrera</t>
        </is>
      </c>
      <c r="AU639" s="24" t="inlineStr">
        <is>
          <t>Lizette Cabrera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d777da58446bc099047b154203518e2585ef1a678f613f2b430f2589f7bf5cff</t>
        </is>
      </c>
      <c r="BB639" s="24" t="inlineStr">
        <is>
          <t>surface_blended_elo</t>
        </is>
      </c>
      <c r="BC639" s="24" t="inlineStr">
        <is>
          <t>tennis-surface-elo-v1</t>
        </is>
      </c>
      <c r="BD639" s="24" t="inlineStr">
        <is>
          <t>d777da58446bc099047b154203518e2585ef1a678f613f2b430f2589f7bf5cff</t>
        </is>
      </c>
      <c r="BE639" s="24" t="inlineStr">
        <is>
          <t>tennis-surface-elo-v1</t>
        </is>
      </c>
      <c r="BF639" s="24" t="inlineStr">
        <is>
          <t>1</t>
        </is>
      </c>
      <c r="BG639" s="24" t="inlineStr">
        <is>
          <t>d777da58446bc099047b154203518e2585ef1a678f613f2b430f2589f7bf5cff</t>
        </is>
      </c>
      <c r="BH639" s="24" t="inlineStr">
        <is>
          <t>2026-08-26T12:42:15.047677Z</t>
        </is>
      </c>
      <c r="BI639" s="24" t="inlineStr">
        <is>
          <t>["same_event","same_team_same_day","same_league_same_day"]</t>
        </is>
      </c>
      <c r="BJ639" s="25" t="n"/>
      <c r="BK639" s="26" t="n">
        <v>-525</v>
      </c>
      <c r="BL639" s="27" t="n">
        <v>1.190476</v>
      </c>
      <c r="BM639" s="28" t="n">
        <v>0.84</v>
      </c>
      <c r="BN639" s="28" t="n"/>
      <c r="BO639" s="28" t="n"/>
      <c r="BP639" s="25" t="n"/>
      <c r="BQ639" s="27" t="n">
        <v>1.190476</v>
      </c>
      <c r="BR639" s="28" t="n">
        <v>0.84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inlineStr">
        <is>
          <t>f10c8aa0f4dfba0135321f6a1c58d3ef9d644e9cd21af6ee8066ae96d10c4936</t>
        </is>
      </c>
      <c r="DE639" s="24" t="inlineStr">
        <is>
          <t>/Users/vincentc9002/model-prediction/data/odds/tennis/2026-08-26/polymarket_snapshots.jsonl</t>
        </is>
      </c>
      <c r="DF639" s="24" t="inlineStr">
        <is>
          <t>516402:2026-08-26T12:42:15.047677Z</t>
        </is>
      </c>
      <c r="DG639" s="24" t="n"/>
      <c r="DH639" s="24" t="n"/>
      <c r="DI639" s="24" t="n"/>
      <c r="DJ639" s="24" t="inlineStr">
        <is>
          <t>0.84</t>
        </is>
      </c>
      <c r="DK639" s="24" t="n"/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24ec986828214631</t>
        </is>
      </c>
      <c r="B640" s="24" t="inlineStr">
        <is>
          <t>2026-08-26T12:43:29.834856Z</t>
        </is>
      </c>
      <c r="C640" s="24" t="inlineStr">
        <is>
          <t>2026-08-26T16:30Z</t>
        </is>
      </c>
      <c r="D640" s="24" t="inlineStr">
        <is>
          <t>1075-2026:182137</t>
        </is>
      </c>
      <c r="E640" s="24" t="inlineStr">
        <is>
          <t>TENNIS</t>
        </is>
      </c>
      <c r="F640" s="24" t="inlineStr">
        <is>
          <t>Tereza Valentova</t>
        </is>
      </c>
      <c r="G640" s="24" t="inlineStr">
        <is>
          <t>Tian Fangran</t>
        </is>
      </c>
      <c r="H640" s="24" t="inlineStr">
        <is>
          <t>moneyline</t>
        </is>
      </c>
      <c r="I640" s="24" t="inlineStr">
        <is>
          <t>away</t>
        </is>
      </c>
      <c r="J640" s="25" t="n"/>
      <c r="K640" s="24" t="inlineStr">
        <is>
          <t>polymarket_us</t>
        </is>
      </c>
      <c r="L640" s="26" t="n">
        <v>-614</v>
      </c>
      <c r="M640" s="27" t="n">
        <v>1.162866</v>
      </c>
      <c r="N640" s="28" t="n">
        <v>0.859944</v>
      </c>
      <c r="O640" s="28" t="n">
        <v>0.7179</v>
      </c>
      <c r="P640" s="28" t="n">
        <v>0.05</v>
      </c>
      <c r="Q640" s="28" t="n">
        <v>-0.142044</v>
      </c>
      <c r="R640" s="26" t="n">
        <v>0</v>
      </c>
      <c r="S640" s="29" t="n">
        <v>1</v>
      </c>
      <c r="T640" s="24" t="inlineStr">
        <is>
          <t>tennis-surface-elo-v1</t>
        </is>
      </c>
      <c r="U640" s="24" t="inlineStr">
        <is>
          <t>settled</t>
        </is>
      </c>
      <c r="V640" s="24" t="inlineStr">
        <is>
          <t>win</t>
        </is>
      </c>
      <c r="W640" s="26" t="n">
        <v>1</v>
      </c>
      <c r="X640" s="26" t="n">
        <v>0</v>
      </c>
      <c r="Y640" s="25" t="n"/>
      <c r="Z640" s="26" t="n">
        <v>-614</v>
      </c>
      <c r="AA640" s="28" t="n">
        <v>0.86</v>
      </c>
      <c r="AB640" s="28" t="n">
        <v>5.6e-05</v>
      </c>
      <c r="AC640" s="30" t="n">
        <v>0.1629</v>
      </c>
      <c r="AD640" s="24" t="inlineStr">
        <is>
          <t>2026-08-26T22:12:54.384364Z</t>
        </is>
      </c>
      <c r="AE640" s="31" t="inlineStr">
        <is>
          <t>Surface-blended Elo on Hard: Tereza Valentova p=0.718 vs Tian Fangran. Executable ask 0.8600 (aec-wta-fantia-terval-2026-08-26).</t>
        </is>
      </c>
      <c r="AF640" s="31" t="inlineStr">
        <is>
          <t>Surface-blended Elo model; singles only, WTA+ATP market coverage, not yet locked-holdout qualified -- promoted by explicit operator directive, not genuine walk-forward validation.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Tereza Valentova</t>
        </is>
      </c>
      <c r="AQ640" s="24" t="inlineStr">
        <is>
          <t>Tereza Valentova</t>
        </is>
      </c>
      <c r="AR640" s="24" t="inlineStr">
        <is>
          <t>Tereza Valentova</t>
        </is>
      </c>
      <c r="AS640" s="24" t="inlineStr">
        <is>
          <t>Tian Fangran</t>
        </is>
      </c>
      <c r="AT640" s="24" t="inlineStr">
        <is>
          <t>Tian Fangran</t>
        </is>
      </c>
      <c r="AU640" s="24" t="inlineStr">
        <is>
          <t>Tian Fangran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d777da58446bc099047b154203518e2585ef1a678f613f2b430f2589f7bf5cff</t>
        </is>
      </c>
      <c r="BB640" s="24" t="inlineStr">
        <is>
          <t>surface_blended_elo</t>
        </is>
      </c>
      <c r="BC640" s="24" t="inlineStr">
        <is>
          <t>tennis-surface-elo-v1</t>
        </is>
      </c>
      <c r="BD640" s="24" t="inlineStr">
        <is>
          <t>d777da58446bc099047b154203518e2585ef1a678f613f2b430f2589f7bf5cff</t>
        </is>
      </c>
      <c r="BE640" s="24" t="inlineStr">
        <is>
          <t>tennis-surface-elo-v1</t>
        </is>
      </c>
      <c r="BF640" s="24" t="inlineStr">
        <is>
          <t>1</t>
        </is>
      </c>
      <c r="BG640" s="24" t="inlineStr">
        <is>
          <t>d777da58446bc099047b154203518e2585ef1a678f613f2b430f2589f7bf5cff</t>
        </is>
      </c>
      <c r="BH640" s="24" t="inlineStr">
        <is>
          <t>2026-08-26T12:42:15.411636Z</t>
        </is>
      </c>
      <c r="BI640" s="24" t="inlineStr">
        <is>
          <t>["same_event","same_team_same_day","same_league_same_day"]</t>
        </is>
      </c>
      <c r="BJ640" s="25" t="n"/>
      <c r="BK640" s="26" t="n">
        <v>-614</v>
      </c>
      <c r="BL640" s="27" t="n">
        <v>1.162866</v>
      </c>
      <c r="BM640" s="28" t="n">
        <v>0.859944</v>
      </c>
      <c r="BN640" s="28" t="n"/>
      <c r="BO640" s="28" t="n"/>
      <c r="BP640" s="25" t="n"/>
      <c r="BQ640" s="27" t="n">
        <v>1.162866</v>
      </c>
      <c r="BR640" s="28" t="n">
        <v>0.86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False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inlineStr">
        <is>
          <t>74f57f73a79fdd710b0e50c0e51f7af3ecb4f792cbdedd1c0b0fe63abed5e54f</t>
        </is>
      </c>
      <c r="DE640" s="24" t="inlineStr">
        <is>
          <t>/Users/vincentc9002/model-prediction/data/odds/tennis/2026-08-26/polymarket_snapshots.jsonl</t>
        </is>
      </c>
      <c r="DF640" s="24" t="inlineStr">
        <is>
          <t>514494:2026-08-26T12:42:15.411636Z</t>
        </is>
      </c>
      <c r="DG640" s="24" t="n"/>
      <c r="DH640" s="24" t="n"/>
      <c r="DI640" s="24" t="n"/>
      <c r="DJ640" s="24" t="inlineStr">
        <is>
          <t>0.859944</t>
        </is>
      </c>
      <c r="DK640" s="24" t="n"/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4f0198974eff4aab</t>
        </is>
      </c>
      <c r="B641" s="24" t="inlineStr">
        <is>
          <t>2026-08-26T12:43:29.834856Z</t>
        </is>
      </c>
      <c r="C641" s="24" t="inlineStr">
        <is>
          <t>2026-08-26T15:00Z</t>
        </is>
      </c>
      <c r="D641" s="24" t="inlineStr">
        <is>
          <t>189-2026:184754</t>
        </is>
      </c>
      <c r="E641" s="24" t="inlineStr">
        <is>
          <t>TENNIS</t>
        </is>
      </c>
      <c r="F641" s="24" t="inlineStr">
        <is>
          <t>Polina Iatcenko</t>
        </is>
      </c>
      <c r="G641" s="24" t="inlineStr">
        <is>
          <t>Lucia Bronzetti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polymarket_us</t>
        </is>
      </c>
      <c r="L641" s="26" t="n">
        <v>-104</v>
      </c>
      <c r="M641" s="27" t="n">
        <v>1.961538</v>
      </c>
      <c r="N641" s="28" t="n">
        <v>0.509804</v>
      </c>
      <c r="O641" s="28" t="n">
        <v>0.6362</v>
      </c>
      <c r="P641" s="28" t="n">
        <v>0.05</v>
      </c>
      <c r="Q641" s="28" t="n">
        <v>0.126396</v>
      </c>
      <c r="R641" s="26" t="n">
        <v>83</v>
      </c>
      <c r="S641" s="29" t="n">
        <v>1.5</v>
      </c>
      <c r="T641" s="24" t="inlineStr">
        <is>
          <t>tennis-surface-elo-v1</t>
        </is>
      </c>
      <c r="U641" s="24" t="inlineStr">
        <is>
          <t>settled</t>
        </is>
      </c>
      <c r="V641" s="24" t="inlineStr">
        <is>
          <t>loss</t>
        </is>
      </c>
      <c r="W641" s="26" t="n">
        <v>1</v>
      </c>
      <c r="X641" s="26" t="n">
        <v>0</v>
      </c>
      <c r="Y641" s="25" t="n"/>
      <c r="Z641" s="26" t="n">
        <v>-104</v>
      </c>
      <c r="AA641" s="28" t="n">
        <v>0.51</v>
      </c>
      <c r="AB641" s="28" t="n">
        <v>0.000196</v>
      </c>
      <c r="AC641" s="30" t="n">
        <v>-1.5</v>
      </c>
      <c r="AD641" s="24" t="inlineStr">
        <is>
          <t>2026-08-26T22:12:56.587219Z</t>
        </is>
      </c>
      <c r="AE641" s="31" t="inlineStr">
        <is>
          <t>Surface-blended Elo on Hard: Polina Iatcenko p=0.364 vs Lucia Bronzetti. Executable ask 0.5100 (aec-wta-lucbro-poliat-2026-08-25).</t>
        </is>
      </c>
      <c r="AF641" s="31" t="inlineStr">
        <is>
          <t>Surface-blended Elo model; singles only, WTA+ATP market coverage, not yet locked-holdout qualified -- promoted by explicit operator directive, not genuine walk-forward validation.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Polina Iatcenko</t>
        </is>
      </c>
      <c r="AQ641" s="24" t="inlineStr">
        <is>
          <t>Polina Iatcenko</t>
        </is>
      </c>
      <c r="AR641" s="24" t="inlineStr">
        <is>
          <t>Polina Iatcenko</t>
        </is>
      </c>
      <c r="AS641" s="24" t="inlineStr">
        <is>
          <t>Lucia Bronzetti</t>
        </is>
      </c>
      <c r="AT641" s="24" t="inlineStr">
        <is>
          <t>Lucia Bronzetti</t>
        </is>
      </c>
      <c r="AU641" s="24" t="inlineStr">
        <is>
          <t>Lucia Bronzetti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d777da58446bc099047b154203518e2585ef1a678f613f2b430f2589f7bf5cff</t>
        </is>
      </c>
      <c r="BB641" s="24" t="inlineStr">
        <is>
          <t>surface_blended_elo</t>
        </is>
      </c>
      <c r="BC641" s="24" t="inlineStr">
        <is>
          <t>tennis-surface-elo-v1</t>
        </is>
      </c>
      <c r="BD641" s="24" t="inlineStr">
        <is>
          <t>d777da58446bc099047b154203518e2585ef1a678f613f2b430f2589f7bf5cff</t>
        </is>
      </c>
      <c r="BE641" s="24" t="inlineStr">
        <is>
          <t>tennis-surface-elo-v1</t>
        </is>
      </c>
      <c r="BF641" s="24" t="inlineStr">
        <is>
          <t>1</t>
        </is>
      </c>
      <c r="BG641" s="24" t="inlineStr">
        <is>
          <t>d777da58446bc099047b154203518e2585ef1a678f613f2b430f2589f7bf5cff</t>
        </is>
      </c>
      <c r="BH641" s="24" t="inlineStr">
        <is>
          <t>2026-08-26T12:42:15.204513Z</t>
        </is>
      </c>
      <c r="BI641" s="24" t="inlineStr">
        <is>
          <t>["same_event","same_team_same_day","same_league_same_day"]</t>
        </is>
      </c>
      <c r="BJ641" s="25" t="n"/>
      <c r="BK641" s="26" t="n">
        <v>-104</v>
      </c>
      <c r="BL641" s="27" t="n">
        <v>1.961538</v>
      </c>
      <c r="BM641" s="28" t="n">
        <v>0.509804</v>
      </c>
      <c r="BN641" s="28" t="n"/>
      <c r="BO641" s="28" t="n"/>
      <c r="BP641" s="25" t="n"/>
      <c r="BQ641" s="27" t="n">
        <v>1.961538</v>
      </c>
      <c r="BR641" s="28" t="n">
        <v>0.51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inlineStr">
        <is>
          <t>b46e0646eeed710939339fb212cc3aee04af4daa2f6aec0e14e298fe2704a368</t>
        </is>
      </c>
      <c r="DE641" s="24" t="inlineStr">
        <is>
          <t>/Users/vincentc9002/model-prediction/data/odds/tennis/2026-08-26/polymarket_snapshots.jsonl</t>
        </is>
      </c>
      <c r="DF641" s="24" t="inlineStr">
        <is>
          <t>513864:2026-08-26T12:42:15.204513Z</t>
        </is>
      </c>
      <c r="DG641" s="24" t="n"/>
      <c r="DH641" s="24" t="n"/>
      <c r="DI641" s="24" t="n"/>
      <c r="DJ641" s="24" t="inlineStr">
        <is>
          <t>0.509804</t>
        </is>
      </c>
      <c r="DK641" s="24" t="n"/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e42a5d6888d440f9</t>
        </is>
      </c>
      <c r="B642" s="24" t="inlineStr">
        <is>
          <t>2026-08-26T12:43:29.834856Z</t>
        </is>
      </c>
      <c r="C642" s="24" t="inlineStr">
        <is>
          <t>2026-08-26T15:00Z</t>
        </is>
      </c>
      <c r="D642" s="24" t="inlineStr">
        <is>
          <t>189-2026:184757</t>
        </is>
      </c>
      <c r="E642" s="24" t="inlineStr">
        <is>
          <t>TENNIS</t>
        </is>
      </c>
      <c r="F642" s="24" t="inlineStr">
        <is>
          <t>Rebecca Marino</t>
        </is>
      </c>
      <c r="G642" s="24" t="inlineStr">
        <is>
          <t>Elena Pridankina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-127</v>
      </c>
      <c r="M642" s="27" t="n">
        <v>1.787402</v>
      </c>
      <c r="N642" s="28" t="n">
        <v>0.5594710000000001</v>
      </c>
      <c r="O642" s="28" t="n">
        <v>0.578</v>
      </c>
      <c r="P642" s="28" t="n">
        <v>0.05</v>
      </c>
      <c r="Q642" s="28" t="n">
        <v>0.018529</v>
      </c>
      <c r="R642" s="26" t="n">
        <v>29</v>
      </c>
      <c r="S642" s="29" t="n">
        <v>1</v>
      </c>
      <c r="T642" s="24" t="inlineStr">
        <is>
          <t>tennis-surface-elo-v1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1</v>
      </c>
      <c r="Y642" s="25" t="n"/>
      <c r="Z642" s="26" t="n">
        <v>-127</v>
      </c>
      <c r="AA642" s="28" t="n">
        <v>0.5600000000000001</v>
      </c>
      <c r="AB642" s="28" t="n">
        <v>0.000529</v>
      </c>
      <c r="AC642" s="30" t="n">
        <v>0.7874</v>
      </c>
      <c r="AD642" s="24" t="inlineStr">
        <is>
          <t>2026-08-26T16:28:50.408049Z</t>
        </is>
      </c>
      <c r="AE642" s="31" t="inlineStr">
        <is>
          <t>Surface-blended Elo on Hard: Rebecca Marino p=0.422 vs Elena Pridankina. Executable ask 0.5600 (aec-wta-elepri-rebmar-2026-08-25).</t>
        </is>
      </c>
      <c r="AF642" s="31" t="inlineStr">
        <is>
          <t>Surface-blended Elo model; singles only, WTA+ATP market coverage, not yet locked-holdout qualified -- promoted by explicit operator directive, not genuine walk-forward validation.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Rebecca Marino</t>
        </is>
      </c>
      <c r="AQ642" s="24" t="inlineStr">
        <is>
          <t>Rebecca Marino</t>
        </is>
      </c>
      <c r="AR642" s="24" t="inlineStr">
        <is>
          <t>Rebecca Marino</t>
        </is>
      </c>
      <c r="AS642" s="24" t="inlineStr">
        <is>
          <t>Elena Pridankina</t>
        </is>
      </c>
      <c r="AT642" s="24" t="inlineStr">
        <is>
          <t>Elena Pridankina</t>
        </is>
      </c>
      <c r="AU642" s="24" t="inlineStr">
        <is>
          <t>Elena Pridankina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d777da58446bc099047b154203518e2585ef1a678f613f2b430f2589f7bf5cff</t>
        </is>
      </c>
      <c r="BB642" s="24" t="inlineStr">
        <is>
          <t>surface_blended_elo</t>
        </is>
      </c>
      <c r="BC642" s="24" t="inlineStr">
        <is>
          <t>tennis-surface-elo-v1</t>
        </is>
      </c>
      <c r="BD642" s="24" t="inlineStr">
        <is>
          <t>d777da58446bc099047b154203518e2585ef1a678f613f2b430f2589f7bf5cff</t>
        </is>
      </c>
      <c r="BE642" s="24" t="inlineStr">
        <is>
          <t>tennis-surface-elo-v1</t>
        </is>
      </c>
      <c r="BF642" s="24" t="inlineStr">
        <is>
          <t>1</t>
        </is>
      </c>
      <c r="BG642" s="24" t="inlineStr">
        <is>
          <t>d777da58446bc099047b154203518e2585ef1a678f613f2b430f2589f7bf5cff</t>
        </is>
      </c>
      <c r="BH642" s="24" t="inlineStr">
        <is>
          <t>2026-08-26T12:42:15.062017Z</t>
        </is>
      </c>
      <c r="BI642" s="24" t="inlineStr">
        <is>
          <t>["same_event","same_team_same_day","same_league_same_day"]</t>
        </is>
      </c>
      <c r="BJ642" s="25" t="n"/>
      <c r="BK642" s="26" t="n">
        <v>-127</v>
      </c>
      <c r="BL642" s="27" t="n">
        <v>1.787402</v>
      </c>
      <c r="BM642" s="28" t="n">
        <v>0.5594710000000001</v>
      </c>
      <c r="BN642" s="28" t="n"/>
      <c r="BO642" s="28" t="n"/>
      <c r="BP642" s="25" t="n"/>
      <c r="BQ642" s="27" t="n">
        <v>1.787402</v>
      </c>
      <c r="BR642" s="28" t="n">
        <v>0.5600000000000001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inlineStr">
        <is>
          <t>6d295d5528c3eea301a8215acfc299e927fb3a6c62a79c8d608f14c085974a3a</t>
        </is>
      </c>
      <c r="DE642" s="24" t="inlineStr">
        <is>
          <t>/Users/vincentc9002/model-prediction/data/odds/tennis/2026-08-26/polymarket_snapshots.jsonl</t>
        </is>
      </c>
      <c r="DF642" s="24" t="inlineStr">
        <is>
          <t>512481:2026-08-26T12:42:15.062017Z</t>
        </is>
      </c>
      <c r="DG642" s="24" t="n"/>
      <c r="DH642" s="24" t="n"/>
      <c r="DI642" s="24" t="n"/>
      <c r="DJ642" s="24" t="inlineStr">
        <is>
          <t>0.559471</t>
        </is>
      </c>
      <c r="DK642" s="24" t="n"/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54433430f7f4489e</t>
        </is>
      </c>
      <c r="B643" s="24" t="inlineStr">
        <is>
          <t>2026-08-26T12:43:29.834856Z</t>
        </is>
      </c>
      <c r="C643" s="24" t="inlineStr">
        <is>
          <t>2026-08-26T15:00Z</t>
        </is>
      </c>
      <c r="D643" s="24" t="inlineStr">
        <is>
          <t>189-2026:184787</t>
        </is>
      </c>
      <c r="E643" s="24" t="inlineStr">
        <is>
          <t>TENNIS</t>
        </is>
      </c>
      <c r="F643" s="24" t="inlineStr">
        <is>
          <t>Jeline Vandromme</t>
        </is>
      </c>
      <c r="G643" s="24" t="inlineStr">
        <is>
          <t>Robin Montgomery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-117</v>
      </c>
      <c r="M643" s="27" t="n">
        <v>1.854701</v>
      </c>
      <c r="N643" s="28" t="n">
        <v>0.539171</v>
      </c>
      <c r="O643" s="28" t="n">
        <v>0.6247</v>
      </c>
      <c r="P643" s="28" t="n">
        <v>0.05</v>
      </c>
      <c r="Q643" s="28" t="n">
        <v>0.08552899999999999</v>
      </c>
      <c r="R643" s="26" t="n">
        <v>63</v>
      </c>
      <c r="S643" s="29" t="n">
        <v>1.25</v>
      </c>
      <c r="T643" s="24" t="inlineStr">
        <is>
          <t>tennis-surface-elo-v1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1</v>
      </c>
      <c r="Y643" s="25" t="n"/>
      <c r="Z643" s="26" t="n">
        <v>-117</v>
      </c>
      <c r="AA643" s="28" t="n">
        <v>0.54</v>
      </c>
      <c r="AB643" s="28" t="n">
        <v>0.000829</v>
      </c>
      <c r="AC643" s="30" t="n">
        <v>1.0684</v>
      </c>
      <c r="AD643" s="24" t="inlineStr">
        <is>
          <t>2026-08-26T22:12:58.841412Z</t>
        </is>
      </c>
      <c r="AE643" s="31" t="inlineStr">
        <is>
          <t>Surface-blended Elo on Hard: Jeline Vandromme p=0.375 vs Robin Montgomery. Executable ask 0.5400 (aec-wta-robmon-jelvan-2026-08-26).</t>
        </is>
      </c>
      <c r="AF643" s="31" t="inlineStr">
        <is>
          <t>Surface-blended Elo model; singles only, WTA+ATP market coverage, not yet locked-holdout qualified -- promoted by explicit operator directive, not genuine walk-forward validation.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model_qualified</t>
        </is>
      </c>
      <c r="AL643" s="26" t="n">
        <v>4</v>
      </c>
      <c r="AM643" s="24" t="inlineStr">
        <is>
          <t>QUALIFIED_SHADOW_CALL</t>
        </is>
      </c>
      <c r="AN643" s="24" t="inlineStr">
        <is>
          <t>CALL</t>
        </is>
      </c>
      <c r="AO643" s="24" t="inlineStr">
        <is>
          <t>QUALIFIED</t>
        </is>
      </c>
      <c r="AP643" s="24" t="inlineStr">
        <is>
          <t>Jeline Vandromme</t>
        </is>
      </c>
      <c r="AQ643" s="24" t="inlineStr">
        <is>
          <t>Jeline Vandromme</t>
        </is>
      </c>
      <c r="AR643" s="24" t="inlineStr">
        <is>
          <t>Jeline Vandromme</t>
        </is>
      </c>
      <c r="AS643" s="24" t="inlineStr">
        <is>
          <t>Robin Montgomery</t>
        </is>
      </c>
      <c r="AT643" s="24" t="inlineStr">
        <is>
          <t>Robin Montgomery</t>
        </is>
      </c>
      <c r="AU643" s="24" t="inlineStr">
        <is>
          <t>Robin Montgomery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d777da58446bc099047b154203518e2585ef1a678f613f2b430f2589f7bf5cff</t>
        </is>
      </c>
      <c r="BB643" s="24" t="inlineStr">
        <is>
          <t>surface_blended_elo</t>
        </is>
      </c>
      <c r="BC643" s="24" t="inlineStr">
        <is>
          <t>tennis-surface-elo-v1</t>
        </is>
      </c>
      <c r="BD643" s="24" t="inlineStr">
        <is>
          <t>d777da58446bc099047b154203518e2585ef1a678f613f2b430f2589f7bf5cff</t>
        </is>
      </c>
      <c r="BE643" s="24" t="inlineStr">
        <is>
          <t>tennis-surface-elo-v1</t>
        </is>
      </c>
      <c r="BF643" s="24" t="inlineStr">
        <is>
          <t>1</t>
        </is>
      </c>
      <c r="BG643" s="24" t="inlineStr">
        <is>
          <t>d777da58446bc099047b154203518e2585ef1a678f613f2b430f2589f7bf5cff</t>
        </is>
      </c>
      <c r="BH643" s="24" t="inlineStr">
        <is>
          <t>2026-08-26T12:42:15.122942Z</t>
        </is>
      </c>
      <c r="BI643" s="24" t="inlineStr">
        <is>
          <t>["same_event","same_team_same_day","same_league_same_day"]</t>
        </is>
      </c>
      <c r="BJ643" s="25" t="n"/>
      <c r="BK643" s="26" t="n">
        <v>-117</v>
      </c>
      <c r="BL643" s="27" t="n">
        <v>1.854701</v>
      </c>
      <c r="BM643" s="28" t="n">
        <v>0.539171</v>
      </c>
      <c r="BN643" s="28" t="n"/>
      <c r="BO643" s="28" t="n"/>
      <c r="BP643" s="25" t="n"/>
      <c r="BQ643" s="27" t="n">
        <v>1.854701</v>
      </c>
      <c r="BR643" s="28" t="n">
        <v>0.54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inlineStr">
        <is>
          <t>c2bb698ba9defb3a152bb1ed40e48ba8ac8d2b8c1128274af62d45ff38a55f08</t>
        </is>
      </c>
      <c r="DE643" s="24" t="inlineStr">
        <is>
          <t>/Users/vincentc9002/model-prediction/data/odds/tennis/2026-08-26/polymarket_snapshots.jsonl</t>
        </is>
      </c>
      <c r="DF643" s="24" t="inlineStr">
        <is>
          <t>514496:2026-08-26T12:42:15.122942Z</t>
        </is>
      </c>
      <c r="DG643" s="24" t="n"/>
      <c r="DH643" s="24" t="n"/>
      <c r="DI643" s="24" t="n"/>
      <c r="DJ643" s="24" t="inlineStr">
        <is>
          <t>0.539171</t>
        </is>
      </c>
      <c r="DK643" s="24" t="n"/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ec79776ff7d94d61</t>
        </is>
      </c>
      <c r="B644" s="24" t="inlineStr">
        <is>
          <t>2026-08-26T12:43:29.834856Z</t>
        </is>
      </c>
      <c r="C644" s="24" t="inlineStr">
        <is>
          <t>2026-08-26T15:00Z</t>
        </is>
      </c>
      <c r="D644" s="24" t="inlineStr">
        <is>
          <t>189-2026:184790</t>
        </is>
      </c>
      <c r="E644" s="24" t="inlineStr">
        <is>
          <t>TENNIS</t>
        </is>
      </c>
      <c r="F644" s="24" t="inlineStr">
        <is>
          <t>Clara Burel</t>
        </is>
      </c>
      <c r="G644" s="24" t="inlineStr">
        <is>
          <t>Zheng Qinwen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polymarket_us</t>
        </is>
      </c>
      <c r="L644" s="26" t="n">
        <v>-426</v>
      </c>
      <c r="M644" s="27" t="n">
        <v>1.234742</v>
      </c>
      <c r="N644" s="28" t="n">
        <v>0.809886</v>
      </c>
      <c r="O644" s="28" t="n">
        <v>0.7134</v>
      </c>
      <c r="P644" s="28" t="n">
        <v>0.05</v>
      </c>
      <c r="Q644" s="28" t="n">
        <v>-0.096486</v>
      </c>
      <c r="R644" s="26" t="n">
        <v>0</v>
      </c>
      <c r="S644" s="29" t="n">
        <v>1</v>
      </c>
      <c r="T644" s="24" t="inlineStr">
        <is>
          <t>tennis-surface-elo-v1</t>
        </is>
      </c>
      <c r="U644" s="24" t="inlineStr">
        <is>
          <t>settled</t>
        </is>
      </c>
      <c r="V644" s="24" t="inlineStr">
        <is>
          <t>win</t>
        </is>
      </c>
      <c r="W644" s="26" t="n">
        <v>0</v>
      </c>
      <c r="X644" s="26" t="n">
        <v>1</v>
      </c>
      <c r="Y644" s="25" t="n"/>
      <c r="Z644" s="26" t="n"/>
      <c r="AA644" s="28" t="n"/>
      <c r="AB644" s="28" t="n"/>
      <c r="AC644" s="30" t="n">
        <v>0.2347</v>
      </c>
      <c r="AD644" s="24" t="inlineStr">
        <is>
          <t>2026-08-26T22:13:01.161549Z</t>
        </is>
      </c>
      <c r="AE644" s="31" t="inlineStr">
        <is>
          <t>Surface-blended Elo on Hard: Clara Burel p=0.287 vs Zheng Qinwen. Executable ask 0.8100 (aec-wta-qinzhe-clabur-2026-08-25).</t>
        </is>
      </c>
      <c r="AF644" s="31" t="inlineStr">
        <is>
          <t>Surface-blended Elo model; singles only, WTA+ATP market coverage, not yet locked-holdout qualified -- promoted by explicit operator directive, not genuine walk-forward validation.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Clara Burel</t>
        </is>
      </c>
      <c r="AQ644" s="24" t="inlineStr">
        <is>
          <t>Clara Burel</t>
        </is>
      </c>
      <c r="AR644" s="24" t="inlineStr">
        <is>
          <t>Clara Burel</t>
        </is>
      </c>
      <c r="AS644" s="24" t="inlineStr">
        <is>
          <t>Zheng Qinwen</t>
        </is>
      </c>
      <c r="AT644" s="24" t="inlineStr">
        <is>
          <t>Zheng Qinwen</t>
        </is>
      </c>
      <c r="AU644" s="24" t="inlineStr">
        <is>
          <t>Zheng Qinwen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d777da58446bc099047b154203518e2585ef1a678f613f2b430f2589f7bf5cff</t>
        </is>
      </c>
      <c r="BB644" s="24" t="inlineStr">
        <is>
          <t>surface_blended_elo</t>
        </is>
      </c>
      <c r="BC644" s="24" t="inlineStr">
        <is>
          <t>tennis-surface-elo-v1</t>
        </is>
      </c>
      <c r="BD644" s="24" t="inlineStr">
        <is>
          <t>d777da58446bc099047b154203518e2585ef1a678f613f2b430f2589f7bf5cff</t>
        </is>
      </c>
      <c r="BE644" s="24" t="inlineStr">
        <is>
          <t>tennis-surface-elo-v1</t>
        </is>
      </c>
      <c r="BF644" s="24" t="inlineStr">
        <is>
          <t>1</t>
        </is>
      </c>
      <c r="BG644" s="24" t="inlineStr">
        <is>
          <t>d777da58446bc099047b154203518e2585ef1a678f613f2b430f2589f7bf5cff</t>
        </is>
      </c>
      <c r="BH644" s="24" t="inlineStr">
        <is>
          <t>2026-08-26T12:42:14.963620Z</t>
        </is>
      </c>
      <c r="BI644" s="24" t="inlineStr">
        <is>
          <t>["same_event","same_team_same_day","same_league_same_day"]</t>
        </is>
      </c>
      <c r="BJ644" s="25" t="n"/>
      <c r="BK644" s="26" t="n">
        <v>-426</v>
      </c>
      <c r="BL644" s="27" t="n">
        <v>1.234742</v>
      </c>
      <c r="BM644" s="28" t="n">
        <v>0.809886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inlineStr">
        <is>
          <t>d59e9c409ca408c0a6ee97858322f1c143baf749e5164d96e413622e6f474d35</t>
        </is>
      </c>
      <c r="DE644" s="24" t="inlineStr">
        <is>
          <t>/Users/vincentc9002/model-prediction/data/odds/tennis/2026-08-26/polymarket_snapshots.jsonl</t>
        </is>
      </c>
      <c r="DF644" s="24" t="inlineStr">
        <is>
          <t>512482:2026-08-26T12:42:14.963620Z</t>
        </is>
      </c>
      <c r="DG644" s="24" t="n"/>
      <c r="DH644" s="24" t="n"/>
      <c r="DI644" s="24" t="n"/>
      <c r="DJ644" s="24" t="inlineStr">
        <is>
          <t>0.809886</t>
        </is>
      </c>
      <c r="DK644" s="24" t="n"/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7dc81c7df4d145f3</t>
        </is>
      </c>
      <c r="B645" s="24" t="inlineStr">
        <is>
          <t>2026-08-26T12:43:29.834856Z</t>
        </is>
      </c>
      <c r="C645" s="24" t="inlineStr">
        <is>
          <t>2026-08-26T15:00Z</t>
        </is>
      </c>
      <c r="D645" s="24" t="inlineStr">
        <is>
          <t>189-2026:184792</t>
        </is>
      </c>
      <c r="E645" s="24" t="inlineStr">
        <is>
          <t>TENNIS</t>
        </is>
      </c>
      <c r="F645" s="24" t="inlineStr">
        <is>
          <t>Mariam Bolkvadze</t>
        </is>
      </c>
      <c r="G645" s="24" t="inlineStr">
        <is>
          <t>Alevtina Ibragimova</t>
        </is>
      </c>
      <c r="H645" s="24" t="inlineStr">
        <is>
          <t>moneyline</t>
        </is>
      </c>
      <c r="I645" s="24" t="inlineStr">
        <is>
          <t>home</t>
        </is>
      </c>
      <c r="J645" s="25" t="n"/>
      <c r="K645" s="24" t="inlineStr">
        <is>
          <t>polymarket_us</t>
        </is>
      </c>
      <c r="L645" s="26" t="n">
        <v>-144</v>
      </c>
      <c r="M645" s="27" t="n">
        <v>1.694444</v>
      </c>
      <c r="N645" s="28" t="n">
        <v>0.590164</v>
      </c>
      <c r="O645" s="28" t="n">
        <v>0.5518</v>
      </c>
      <c r="P645" s="28" t="n">
        <v>0.05</v>
      </c>
      <c r="Q645" s="28" t="n">
        <v>-0.038364</v>
      </c>
      <c r="R645" s="26" t="n">
        <v>1</v>
      </c>
      <c r="S645" s="29" t="n">
        <v>1</v>
      </c>
      <c r="T645" s="24" t="inlineStr">
        <is>
          <t>tennis-surface-elo-v1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0</v>
      </c>
      <c r="Y645" s="25" t="n"/>
      <c r="Z645" s="26" t="n">
        <v>-144</v>
      </c>
      <c r="AA645" s="28" t="n">
        <v>0.59</v>
      </c>
      <c r="AB645" s="28" t="n">
        <v>-0.000164</v>
      </c>
      <c r="AC645" s="30" t="n">
        <v>-1</v>
      </c>
      <c r="AD645" s="24" t="inlineStr">
        <is>
          <t>2026-08-26T22:13:03.407488Z</t>
        </is>
      </c>
      <c r="AE645" s="31" t="inlineStr">
        <is>
          <t>Surface-blended Elo on Hard: Mariam Bolkvadze p=0.448 vs Alevtina Ibragimova. Executable ask 0.5900 (aec-wta-aleibr-marbol-2026-08-25).</t>
        </is>
      </c>
      <c r="AF645" s="31" t="inlineStr">
        <is>
          <t>Surface-blended Elo model; singles only, WTA+ATP market coverage, not yet locked-holdout qualified -- promoted by explicit operator directive, not genuine walk-forward validation.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Mariam Bolkvadze</t>
        </is>
      </c>
      <c r="AQ645" s="24" t="inlineStr">
        <is>
          <t>Mariam Bolkvadze</t>
        </is>
      </c>
      <c r="AR645" s="24" t="inlineStr">
        <is>
          <t>Mariam Bolkvadze</t>
        </is>
      </c>
      <c r="AS645" s="24" t="inlineStr">
        <is>
          <t>Alevtina Ibragimova</t>
        </is>
      </c>
      <c r="AT645" s="24" t="inlineStr">
        <is>
          <t>Alevtina Ibragimova</t>
        </is>
      </c>
      <c r="AU645" s="24" t="inlineStr">
        <is>
          <t>Alevtina Ibragimova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d777da58446bc099047b154203518e2585ef1a678f613f2b430f2589f7bf5cff</t>
        </is>
      </c>
      <c r="BB645" s="24" t="inlineStr">
        <is>
          <t>surface_blended_elo</t>
        </is>
      </c>
      <c r="BC645" s="24" t="inlineStr">
        <is>
          <t>tennis-surface-elo-v1</t>
        </is>
      </c>
      <c r="BD645" s="24" t="inlineStr">
        <is>
          <t>d777da58446bc099047b154203518e2585ef1a678f613f2b430f2589f7bf5cff</t>
        </is>
      </c>
      <c r="BE645" s="24" t="inlineStr">
        <is>
          <t>tennis-surface-elo-v1</t>
        </is>
      </c>
      <c r="BF645" s="24" t="inlineStr">
        <is>
          <t>1</t>
        </is>
      </c>
      <c r="BG645" s="24" t="inlineStr">
        <is>
          <t>d777da58446bc099047b154203518e2585ef1a678f613f2b430f2589f7bf5cff</t>
        </is>
      </c>
      <c r="BH645" s="24" t="inlineStr">
        <is>
          <t>2026-08-26T12:42:15.091766Z</t>
        </is>
      </c>
      <c r="BI645" s="24" t="inlineStr">
        <is>
          <t>["same_event","same_team_same_day","same_league_same_day"]</t>
        </is>
      </c>
      <c r="BJ645" s="25" t="n"/>
      <c r="BK645" s="26" t="n">
        <v>-144</v>
      </c>
      <c r="BL645" s="27" t="n">
        <v>1.694444</v>
      </c>
      <c r="BM645" s="28" t="n">
        <v>0.590164</v>
      </c>
      <c r="BN645" s="28" t="n"/>
      <c r="BO645" s="28" t="n"/>
      <c r="BP645" s="25" t="n"/>
      <c r="BQ645" s="27" t="n">
        <v>1.694444</v>
      </c>
      <c r="BR645" s="28" t="n">
        <v>0.59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inlineStr">
        <is>
          <t>f1d3aea05e5e4d2e8db1a6e7174b713a3d99a340ae4610e2e9a93671a8d8187b</t>
        </is>
      </c>
      <c r="DE645" s="24" t="inlineStr">
        <is>
          <t>/Users/vincentc9002/model-prediction/data/odds/tennis/2026-08-26/polymarket_snapshots.jsonl</t>
        </is>
      </c>
      <c r="DF645" s="24" t="inlineStr">
        <is>
          <t>512500:2026-08-26T12:42:15.091766Z</t>
        </is>
      </c>
      <c r="DG645" s="24" t="n"/>
      <c r="DH645" s="24" t="n"/>
      <c r="DI645" s="24" t="n"/>
      <c r="DJ645" s="24" t="inlineStr">
        <is>
          <t>0.590164</t>
        </is>
      </c>
      <c r="DK645" s="24" t="n"/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9c2e87cfb89446b1</t>
        </is>
      </c>
      <c r="B646" s="24" t="inlineStr">
        <is>
          <t>2026-08-26T12:43:29.834856Z</t>
        </is>
      </c>
      <c r="C646" s="24" t="inlineStr">
        <is>
          <t>2026-08-26T15:00Z</t>
        </is>
      </c>
      <c r="D646" s="24" t="inlineStr">
        <is>
          <t>189-2026:184793</t>
        </is>
      </c>
      <c r="E646" s="24" t="inlineStr">
        <is>
          <t>TENNIS</t>
        </is>
      </c>
      <c r="F646" s="24" t="inlineStr">
        <is>
          <t>Linda Klimovicova</t>
        </is>
      </c>
      <c r="G646" s="24" t="inlineStr">
        <is>
          <t>Anouk Koevermans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-150</v>
      </c>
      <c r="M646" s="27" t="n">
        <v>1.666667</v>
      </c>
      <c r="N646" s="28" t="n">
        <v>0.6</v>
      </c>
      <c r="O646" s="28" t="n">
        <v>0.5674</v>
      </c>
      <c r="P646" s="28" t="n">
        <v>0.05</v>
      </c>
      <c r="Q646" s="28" t="n">
        <v>-0.0326</v>
      </c>
      <c r="R646" s="26" t="n">
        <v>4</v>
      </c>
      <c r="S646" s="29" t="n">
        <v>1</v>
      </c>
      <c r="T646" s="24" t="inlineStr">
        <is>
          <t>tennis-surface-elo-v1</t>
        </is>
      </c>
      <c r="U646" s="24" t="inlineStr">
        <is>
          <t>settled</t>
        </is>
      </c>
      <c r="V646" s="24" t="inlineStr">
        <is>
          <t>loss</t>
        </is>
      </c>
      <c r="W646" s="26" t="n">
        <v>0</v>
      </c>
      <c r="X646" s="26" t="n">
        <v>1</v>
      </c>
      <c r="Y646" s="25" t="n"/>
      <c r="Z646" s="26" t="n">
        <v>-150</v>
      </c>
      <c r="AA646" s="28" t="n">
        <v>0.6</v>
      </c>
      <c r="AB646" s="28" t="n">
        <v>0</v>
      </c>
      <c r="AC646" s="30" t="n">
        <v>-1</v>
      </c>
      <c r="AD646" s="24" t="inlineStr">
        <is>
          <t>2026-08-26T22:13:05.652777Z</t>
        </is>
      </c>
      <c r="AE646" s="31" t="inlineStr">
        <is>
          <t>Surface-blended Elo on Hard: Linda Klimovicova p=0.567 vs Anouk Koevermans. Executable ask 0.6000 (aec-wta-anokoe-linkli-2026-08-25).</t>
        </is>
      </c>
      <c r="AF646" s="31" t="inlineStr">
        <is>
          <t>Surface-blended Elo model; singles only, WTA+ATP market coverage, not yet locked-holdout qualified -- promoted by explicit operator directive, not genuine walk-forward validation.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PAPER_CALL_LOW_EDGE</t>
        </is>
      </c>
      <c r="AP646" s="24" t="inlineStr">
        <is>
          <t>Linda Klimovicova</t>
        </is>
      </c>
      <c r="AQ646" s="24" t="inlineStr">
        <is>
          <t>Linda Klimovicova</t>
        </is>
      </c>
      <c r="AR646" s="24" t="inlineStr">
        <is>
          <t>Linda Klimovicova</t>
        </is>
      </c>
      <c r="AS646" s="24" t="inlineStr">
        <is>
          <t>Anouk Koevermans</t>
        </is>
      </c>
      <c r="AT646" s="24" t="inlineStr">
        <is>
          <t>Anouk Koevermans</t>
        </is>
      </c>
      <c r="AU646" s="24" t="inlineStr">
        <is>
          <t>Anouk Koevermans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d777da58446bc099047b154203518e2585ef1a678f613f2b430f2589f7bf5cff</t>
        </is>
      </c>
      <c r="BB646" s="24" t="inlineStr">
        <is>
          <t>surface_blended_elo</t>
        </is>
      </c>
      <c r="BC646" s="24" t="inlineStr">
        <is>
          <t>tennis-surface-elo-v1</t>
        </is>
      </c>
      <c r="BD646" s="24" t="inlineStr">
        <is>
          <t>d777da58446bc099047b154203518e2585ef1a678f613f2b430f2589f7bf5cff</t>
        </is>
      </c>
      <c r="BE646" s="24" t="inlineStr">
        <is>
          <t>tennis-surface-elo-v1</t>
        </is>
      </c>
      <c r="BF646" s="24" t="inlineStr">
        <is>
          <t>1</t>
        </is>
      </c>
      <c r="BG646" s="24" t="inlineStr">
        <is>
          <t>d777da58446bc099047b154203518e2585ef1a678f613f2b430f2589f7bf5cff</t>
        </is>
      </c>
      <c r="BH646" s="24" t="inlineStr">
        <is>
          <t>2026-08-26T12:42:15.200406Z</t>
        </is>
      </c>
      <c r="BI646" s="24" t="inlineStr">
        <is>
          <t>["same_event","same_team_same_day","same_league_same_day"]</t>
        </is>
      </c>
      <c r="BJ646" s="25" t="n"/>
      <c r="BK646" s="26" t="n">
        <v>-150</v>
      </c>
      <c r="BL646" s="27" t="n">
        <v>1.666667</v>
      </c>
      <c r="BM646" s="28" t="n">
        <v>0.6</v>
      </c>
      <c r="BN646" s="28" t="n"/>
      <c r="BO646" s="28" t="n"/>
      <c r="BP646" s="25" t="n"/>
      <c r="BQ646" s="27" t="n">
        <v>1.666667</v>
      </c>
      <c r="BR646" s="28" t="n">
        <v>0.6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inlineStr">
        <is>
          <t>ea60fe164b643689f3d2a0313dc877da600a52bc0dc57107031fd97bac7b8fb6</t>
        </is>
      </c>
      <c r="DE646" s="24" t="inlineStr">
        <is>
          <t>/Users/vincentc9002/model-prediction/data/odds/tennis/2026-08-26/polymarket_snapshots.jsonl</t>
        </is>
      </c>
      <c r="DF646" s="24" t="inlineStr">
        <is>
          <t>513606:2026-08-26T12:42:15.200406Z</t>
        </is>
      </c>
      <c r="DG646" s="24" t="n"/>
      <c r="DH646" s="24" t="n"/>
      <c r="DI646" s="24" t="n"/>
      <c r="DJ646" s="24" t="inlineStr">
        <is>
          <t>0.6</t>
        </is>
      </c>
      <c r="DK646" s="24" t="n"/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b6796963759746cb</t>
        </is>
      </c>
      <c r="B647" s="24" t="inlineStr">
        <is>
          <t>2026-08-26T12:43:29.834856Z</t>
        </is>
      </c>
      <c r="C647" s="24" t="inlineStr">
        <is>
          <t>2026-08-26T15:00Z</t>
        </is>
      </c>
      <c r="D647" s="24" t="inlineStr">
        <is>
          <t>189-2026:184796</t>
        </is>
      </c>
      <c r="E647" s="24" t="inlineStr">
        <is>
          <t>TENNIS</t>
        </is>
      </c>
      <c r="F647" s="24" t="inlineStr">
        <is>
          <t>Andrea Lazaro Garcia</t>
        </is>
      </c>
      <c r="G647" s="24" t="inlineStr">
        <is>
          <t>Mai Hontama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113</v>
      </c>
      <c r="M647" s="27" t="n">
        <v>2.13</v>
      </c>
      <c r="N647" s="28" t="n">
        <v>0.469484</v>
      </c>
      <c r="O647" s="28" t="n">
        <v>0.5610000000000001</v>
      </c>
      <c r="P647" s="28" t="n">
        <v>0.05</v>
      </c>
      <c r="Q647" s="28" t="n">
        <v>0.091516</v>
      </c>
      <c r="R647" s="26" t="n">
        <v>66</v>
      </c>
      <c r="S647" s="29" t="n">
        <v>1.25</v>
      </c>
      <c r="T647" s="24" t="inlineStr">
        <is>
          <t>tennis-surface-elo-v1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113</v>
      </c>
      <c r="AA647" s="28" t="n">
        <v>0.47</v>
      </c>
      <c r="AB647" s="28" t="n">
        <v>0.000516</v>
      </c>
      <c r="AC647" s="30" t="n">
        <v>1.4125</v>
      </c>
      <c r="AD647" s="24" t="inlineStr">
        <is>
          <t>2026-08-26T22:13:07.943698Z</t>
        </is>
      </c>
      <c r="AE647" s="31" t="inlineStr">
        <is>
          <t>Surface-blended Elo on Hard: Andrea Lazaro Garcia p=0.561 vs Mai Hontama. Executable ask 0.4700 (aec-wta-maihon-andgar-2026-08-25).</t>
        </is>
      </c>
      <c r="AF647" s="31" t="inlineStr">
        <is>
          <t>Surface-blended Elo model; singles only, WTA+ATP market coverage, not yet locked-holdout qualified -- promoted by explicit operator directive, not genuine walk-forward validation.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Andrea Lazaro Garcia</t>
        </is>
      </c>
      <c r="AQ647" s="24" t="inlineStr">
        <is>
          <t>Andrea Lazaro Garcia</t>
        </is>
      </c>
      <c r="AR647" s="24" t="inlineStr">
        <is>
          <t>Andrea Lazaro Garcia</t>
        </is>
      </c>
      <c r="AS647" s="24" t="inlineStr">
        <is>
          <t>Mai Hontama</t>
        </is>
      </c>
      <c r="AT647" s="24" t="inlineStr">
        <is>
          <t>Mai Hontama</t>
        </is>
      </c>
      <c r="AU647" s="24" t="inlineStr">
        <is>
          <t>Mai Hontama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d777da58446bc099047b154203518e2585ef1a678f613f2b430f2589f7bf5cff</t>
        </is>
      </c>
      <c r="BB647" s="24" t="inlineStr">
        <is>
          <t>surface_blended_elo</t>
        </is>
      </c>
      <c r="BC647" s="24" t="inlineStr">
        <is>
          <t>tennis-surface-elo-v1</t>
        </is>
      </c>
      <c r="BD647" s="24" t="inlineStr">
        <is>
          <t>d777da58446bc099047b154203518e2585ef1a678f613f2b430f2589f7bf5cff</t>
        </is>
      </c>
      <c r="BE647" s="24" t="inlineStr">
        <is>
          <t>tennis-surface-elo-v1</t>
        </is>
      </c>
      <c r="BF647" s="24" t="inlineStr">
        <is>
          <t>1</t>
        </is>
      </c>
      <c r="BG647" s="24" t="inlineStr">
        <is>
          <t>d777da58446bc099047b154203518e2585ef1a678f613f2b430f2589f7bf5cff</t>
        </is>
      </c>
      <c r="BH647" s="24" t="inlineStr">
        <is>
          <t>2026-08-26T12:42:14.983155Z</t>
        </is>
      </c>
      <c r="BI647" s="24" t="inlineStr">
        <is>
          <t>["same_event","same_team_same_day","same_league_same_day"]</t>
        </is>
      </c>
      <c r="BJ647" s="25" t="n"/>
      <c r="BK647" s="26" t="n">
        <v>113</v>
      </c>
      <c r="BL647" s="27" t="n">
        <v>2.13</v>
      </c>
      <c r="BM647" s="28" t="n">
        <v>0.469484</v>
      </c>
      <c r="BN647" s="28" t="n"/>
      <c r="BO647" s="28" t="n"/>
      <c r="BP647" s="25" t="n"/>
      <c r="BQ647" s="27" t="n">
        <v>2.13</v>
      </c>
      <c r="BR647" s="28" t="n">
        <v>0.47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inlineStr">
        <is>
          <t>73d724f5f1d84f76b17cec10ef6951e94c750da6f86a2e28cbbcf588c4a549f2</t>
        </is>
      </c>
      <c r="DE647" s="24" t="inlineStr">
        <is>
          <t>/Users/vincentc9002/model-prediction/data/odds/tennis/2026-08-26/polymarket_snapshots.jsonl</t>
        </is>
      </c>
      <c r="DF647" s="24" t="inlineStr">
        <is>
          <t>513153:2026-08-26T12:42:14.983155Z</t>
        </is>
      </c>
      <c r="DG647" s="24" t="n"/>
      <c r="DH647" s="24" t="n"/>
      <c r="DI647" s="24" t="n"/>
      <c r="DJ647" s="24" t="inlineStr">
        <is>
          <t>0.469484</t>
        </is>
      </c>
      <c r="DK647" s="24" t="n"/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7b039041b00e42ca</t>
        </is>
      </c>
      <c r="B648" s="24" t="inlineStr">
        <is>
          <t>2026-08-26T12:43:29.834856Z</t>
        </is>
      </c>
      <c r="C648" s="24" t="inlineStr">
        <is>
          <t>2026-08-26T16:30Z</t>
        </is>
      </c>
      <c r="D648" s="24" t="inlineStr">
        <is>
          <t>189-2026:184799</t>
        </is>
      </c>
      <c r="E648" s="24" t="inlineStr">
        <is>
          <t>TENNIS</t>
        </is>
      </c>
      <c r="F648" s="24" t="inlineStr">
        <is>
          <t>Iryna Shymanovich</t>
        </is>
      </c>
      <c r="G648" s="24" t="inlineStr">
        <is>
          <t>Julieta Pareja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-233</v>
      </c>
      <c r="M648" s="27" t="n">
        <v>1.429185</v>
      </c>
      <c r="N648" s="28" t="n">
        <v>0.6997</v>
      </c>
      <c r="O648" s="28" t="n">
        <v>0.5266</v>
      </c>
      <c r="P648" s="28" t="n">
        <v>0.05</v>
      </c>
      <c r="Q648" s="28" t="n">
        <v>-0.1731</v>
      </c>
      <c r="R648" s="26" t="n">
        <v>0</v>
      </c>
      <c r="S648" s="29" t="n">
        <v>1</v>
      </c>
      <c r="T648" s="24" t="inlineStr">
        <is>
          <t>tennis-surface-elo-v1</t>
        </is>
      </c>
      <c r="U648" s="24" t="inlineStr">
        <is>
          <t>settled</t>
        </is>
      </c>
      <c r="V648" s="24" t="inlineStr">
        <is>
          <t>win</t>
        </is>
      </c>
      <c r="W648" s="26" t="n">
        <v>0</v>
      </c>
      <c r="X648" s="26" t="n">
        <v>1</v>
      </c>
      <c r="Y648" s="25" t="n"/>
      <c r="Z648" s="26" t="n">
        <v>-233</v>
      </c>
      <c r="AA648" s="28" t="n">
        <v>0.7</v>
      </c>
      <c r="AB648" s="28" t="n">
        <v>0.0003</v>
      </c>
      <c r="AC648" s="30" t="n">
        <v>0.4292</v>
      </c>
      <c r="AD648" s="24" t="inlineStr">
        <is>
          <t>2026-08-26T22:13:10.234422Z</t>
        </is>
      </c>
      <c r="AE648" s="31" t="inlineStr">
        <is>
          <t>Surface-blended Elo on Hard: Iryna Shymanovich p=0.473 vs Julieta Pareja. Executable ask 0.7000 (aec-wta-julpar-iryshy-2026-08-25).</t>
        </is>
      </c>
      <c r="AF648" s="31" t="inlineStr">
        <is>
          <t>Surface-blended Elo model; singles only, WTA+ATP market coverage, not yet locked-holdout qualified -- promoted by explicit operator directive, not genuine walk-forward validation.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Iryna Shymanovich</t>
        </is>
      </c>
      <c r="AQ648" s="24" t="inlineStr">
        <is>
          <t>Iryna Shymanovich</t>
        </is>
      </c>
      <c r="AR648" s="24" t="inlineStr">
        <is>
          <t>Iryna Shymanovich</t>
        </is>
      </c>
      <c r="AS648" s="24" t="inlineStr">
        <is>
          <t>Julieta Pareja</t>
        </is>
      </c>
      <c r="AT648" s="24" t="inlineStr">
        <is>
          <t>Julieta Pareja</t>
        </is>
      </c>
      <c r="AU648" s="24" t="inlineStr">
        <is>
          <t>Julieta Pareja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d777da58446bc099047b154203518e2585ef1a678f613f2b430f2589f7bf5cff</t>
        </is>
      </c>
      <c r="BB648" s="24" t="inlineStr">
        <is>
          <t>surface_blended_elo</t>
        </is>
      </c>
      <c r="BC648" s="24" t="inlineStr">
        <is>
          <t>tennis-surface-elo-v1</t>
        </is>
      </c>
      <c r="BD648" s="24" t="inlineStr">
        <is>
          <t>d777da58446bc099047b154203518e2585ef1a678f613f2b430f2589f7bf5cff</t>
        </is>
      </c>
      <c r="BE648" s="24" t="inlineStr">
        <is>
          <t>tennis-surface-elo-v1</t>
        </is>
      </c>
      <c r="BF648" s="24" t="inlineStr">
        <is>
          <t>1</t>
        </is>
      </c>
      <c r="BG648" s="24" t="inlineStr">
        <is>
          <t>d777da58446bc099047b154203518e2585ef1a678f613f2b430f2589f7bf5cff</t>
        </is>
      </c>
      <c r="BH648" s="24" t="inlineStr">
        <is>
          <t>2026-08-26T12:42:15.297372Z</t>
        </is>
      </c>
      <c r="BI648" s="24" t="inlineStr">
        <is>
          <t>["same_event","same_team_same_day","same_league_same_day"]</t>
        </is>
      </c>
      <c r="BJ648" s="25" t="n"/>
      <c r="BK648" s="26" t="n">
        <v>-233</v>
      </c>
      <c r="BL648" s="27" t="n">
        <v>1.429185</v>
      </c>
      <c r="BM648" s="28" t="n">
        <v>0.6997</v>
      </c>
      <c r="BN648" s="28" t="n"/>
      <c r="BO648" s="28" t="n"/>
      <c r="BP648" s="25" t="n"/>
      <c r="BQ648" s="27" t="n">
        <v>1.429185</v>
      </c>
      <c r="BR648" s="28" t="n">
        <v>0.7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inlineStr">
        <is>
          <t>c99710aaf455b9babf7f491b87698752ed7ef584329c742cbd6499d264fa0b67</t>
        </is>
      </c>
      <c r="DE648" s="24" t="inlineStr">
        <is>
          <t>/Users/vincentc9002/model-prediction/data/odds/tennis/2026-08-26/polymarket_snapshots.jsonl</t>
        </is>
      </c>
      <c r="DF648" s="24" t="inlineStr">
        <is>
          <t>512847:2026-08-26T12:42:15.297372Z</t>
        </is>
      </c>
      <c r="DG648" s="24" t="n"/>
      <c r="DH648" s="24" t="n"/>
      <c r="DI648" s="24" t="n"/>
      <c r="DJ648" s="24" t="inlineStr">
        <is>
          <t>0.6997</t>
        </is>
      </c>
      <c r="DK648" s="24" t="n"/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f4b91186a04941f7</t>
        </is>
      </c>
      <c r="B649" s="24" t="inlineStr">
        <is>
          <t>2026-08-26T12:43:29.834856Z</t>
        </is>
      </c>
      <c r="C649" s="24" t="inlineStr">
        <is>
          <t>2026-08-26T16:30Z</t>
        </is>
      </c>
      <c r="D649" s="24" t="inlineStr">
        <is>
          <t>189-2026:184800</t>
        </is>
      </c>
      <c r="E649" s="24" t="inlineStr">
        <is>
          <t>TENNIS</t>
        </is>
      </c>
      <c r="F649" s="24" t="inlineStr">
        <is>
          <t>Mia Ristic</t>
        </is>
      </c>
      <c r="G649" s="24" t="inlineStr">
        <is>
          <t>Francisca Jorge</t>
        </is>
      </c>
      <c r="H649" s="24" t="inlineStr">
        <is>
          <t>moneyline</t>
        </is>
      </c>
      <c r="I649" s="24" t="inlineStr">
        <is>
          <t>away</t>
        </is>
      </c>
      <c r="J649" s="25" t="n"/>
      <c r="K649" s="24" t="inlineStr">
        <is>
          <t>polymarket_us</t>
        </is>
      </c>
      <c r="L649" s="26" t="n">
        <v>100</v>
      </c>
      <c r="M649" s="27" t="n">
        <v>2</v>
      </c>
      <c r="N649" s="28" t="n">
        <v>0.5</v>
      </c>
      <c r="O649" s="28" t="n">
        <v>0.5978</v>
      </c>
      <c r="P649" s="28" t="n">
        <v>0.05</v>
      </c>
      <c r="Q649" s="28" t="n">
        <v>0.0978</v>
      </c>
      <c r="R649" s="26" t="n">
        <v>69</v>
      </c>
      <c r="S649" s="29" t="n">
        <v>1.25</v>
      </c>
      <c r="T649" s="24" t="inlineStr">
        <is>
          <t>tennis-surface-elo-v1</t>
        </is>
      </c>
      <c r="U649" s="24" t="inlineStr">
        <is>
          <t>settled</t>
        </is>
      </c>
      <c r="V649" s="24" t="inlineStr">
        <is>
          <t>win</t>
        </is>
      </c>
      <c r="W649" s="26" t="n">
        <v>1</v>
      </c>
      <c r="X649" s="26" t="n">
        <v>0</v>
      </c>
      <c r="Y649" s="25" t="n"/>
      <c r="Z649" s="26" t="n">
        <v>100</v>
      </c>
      <c r="AA649" s="28" t="n">
        <v>0.5</v>
      </c>
      <c r="AB649" s="28" t="n">
        <v>0</v>
      </c>
      <c r="AC649" s="30" t="n">
        <v>1.25</v>
      </c>
      <c r="AD649" s="24" t="inlineStr">
        <is>
          <t>2026-08-26T22:13:12.507956Z</t>
        </is>
      </c>
      <c r="AE649" s="31" t="inlineStr">
        <is>
          <t>Surface-blended Elo on Hard: Mia Ristic p=0.598 vs Francisca Jorge. Executable ask 0.5000 (aec-wta-frajor-miaris-2026-08-26).</t>
        </is>
      </c>
      <c r="AF649" s="31" t="inlineStr">
        <is>
          <t>Surface-blended Elo model; singles only, WTA+ATP market coverage, not yet locked-holdout qualified -- promoted by explicit operator directive, not genuine walk-forward validation.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Mia Ristic</t>
        </is>
      </c>
      <c r="AQ649" s="24" t="inlineStr">
        <is>
          <t>Mia Ristic</t>
        </is>
      </c>
      <c r="AR649" s="24" t="inlineStr">
        <is>
          <t>Mia Ristic</t>
        </is>
      </c>
      <c r="AS649" s="24" t="inlineStr">
        <is>
          <t>Francisca Jorge</t>
        </is>
      </c>
      <c r="AT649" s="24" t="inlineStr">
        <is>
          <t>Francisca Jorge</t>
        </is>
      </c>
      <c r="AU649" s="24" t="inlineStr">
        <is>
          <t>Francisca Jorge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d777da58446bc099047b154203518e2585ef1a678f613f2b430f2589f7bf5cff</t>
        </is>
      </c>
      <c r="BB649" s="24" t="inlineStr">
        <is>
          <t>surface_blended_elo</t>
        </is>
      </c>
      <c r="BC649" s="24" t="inlineStr">
        <is>
          <t>tennis-surface-elo-v1</t>
        </is>
      </c>
      <c r="BD649" s="24" t="inlineStr">
        <is>
          <t>d777da58446bc099047b154203518e2585ef1a678f613f2b430f2589f7bf5cff</t>
        </is>
      </c>
      <c r="BE649" s="24" t="inlineStr">
        <is>
          <t>tennis-surface-elo-v1</t>
        </is>
      </c>
      <c r="BF649" s="24" t="inlineStr">
        <is>
          <t>1</t>
        </is>
      </c>
      <c r="BG649" s="24" t="inlineStr">
        <is>
          <t>d777da58446bc099047b154203518e2585ef1a678f613f2b430f2589f7bf5cff</t>
        </is>
      </c>
      <c r="BH649" s="24" t="inlineStr">
        <is>
          <t>2026-08-26T12:42:15.254623Z</t>
        </is>
      </c>
      <c r="BI649" s="24" t="inlineStr">
        <is>
          <t>["same_event","same_team_same_day","same_league_same_day"]</t>
        </is>
      </c>
      <c r="BJ649" s="25" t="n"/>
      <c r="BK649" s="26" t="n">
        <v>100</v>
      </c>
      <c r="BL649" s="27" t="n">
        <v>2</v>
      </c>
      <c r="BM649" s="28" t="n">
        <v>0.5</v>
      </c>
      <c r="BN649" s="28" t="n"/>
      <c r="BO649" s="28" t="n"/>
      <c r="BP649" s="25" t="n"/>
      <c r="BQ649" s="27" t="n">
        <v>2</v>
      </c>
      <c r="BR649" s="28" t="n">
        <v>0.5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inlineStr">
        <is>
          <t>c4599af2fdf462022b6b57d729b955455c9e01d49e93df016f8b22be4585fa79</t>
        </is>
      </c>
      <c r="DE649" s="24" t="inlineStr">
        <is>
          <t>/Users/vincentc9002/model-prediction/data/odds/tennis/2026-08-26/polymarket_snapshots.jsonl</t>
        </is>
      </c>
      <c r="DF649" s="24" t="inlineStr">
        <is>
          <t>514495:2026-08-26T12:42:15.254623Z</t>
        </is>
      </c>
      <c r="DG649" s="24" t="n"/>
      <c r="DH649" s="24" t="n"/>
      <c r="DI649" s="24" t="n"/>
      <c r="DJ649" s="24" t="inlineStr">
        <is>
          <t>0.5</t>
        </is>
      </c>
      <c r="DK649" s="24" t="n"/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e80cceeae6e74ce4</t>
        </is>
      </c>
      <c r="B650" s="24" t="inlineStr">
        <is>
          <t>2026-08-26T12:43:29.834856Z</t>
        </is>
      </c>
      <c r="C650" s="24" t="inlineStr">
        <is>
          <t>2026-08-26T16:30Z</t>
        </is>
      </c>
      <c r="D650" s="24" t="inlineStr">
        <is>
          <t>189-2026:184801</t>
        </is>
      </c>
      <c r="E650" s="24" t="inlineStr">
        <is>
          <t>TENNIS</t>
        </is>
      </c>
      <c r="F650" s="24" t="inlineStr">
        <is>
          <t>Lucrezia Stefanini</t>
        </is>
      </c>
      <c r="G650" s="24" t="inlineStr">
        <is>
          <t>Madison Brengle</t>
        </is>
      </c>
      <c r="H650" s="24" t="inlineStr">
        <is>
          <t>moneyline</t>
        </is>
      </c>
      <c r="I650" s="24" t="inlineStr">
        <is>
          <t>away</t>
        </is>
      </c>
      <c r="J650" s="25" t="n"/>
      <c r="K650" s="24" t="inlineStr">
        <is>
          <t>polymarket_us</t>
        </is>
      </c>
      <c r="L650" s="26" t="n">
        <v>-270</v>
      </c>
      <c r="M650" s="27" t="n">
        <v>1.37037</v>
      </c>
      <c r="N650" s="28" t="n">
        <v>0.72973</v>
      </c>
      <c r="O650" s="28" t="n">
        <v>0.6632</v>
      </c>
      <c r="P650" s="28" t="n">
        <v>0.05</v>
      </c>
      <c r="Q650" s="28" t="n">
        <v>-0.06653000000000001</v>
      </c>
      <c r="R650" s="26" t="n">
        <v>0</v>
      </c>
      <c r="S650" s="29" t="n">
        <v>1</v>
      </c>
      <c r="T650" s="24" t="inlineStr">
        <is>
          <t>tennis-surface-elo-v1</t>
        </is>
      </c>
      <c r="U650" s="24" t="inlineStr">
        <is>
          <t>settled</t>
        </is>
      </c>
      <c r="V650" s="24" t="inlineStr">
        <is>
          <t>win</t>
        </is>
      </c>
      <c r="W650" s="26" t="n">
        <v>1</v>
      </c>
      <c r="X650" s="26" t="n">
        <v>0</v>
      </c>
      <c r="Y650" s="25" t="n"/>
      <c r="Z650" s="26" t="n">
        <v>-270</v>
      </c>
      <c r="AA650" s="28" t="n">
        <v>0.73</v>
      </c>
      <c r="AB650" s="28" t="n">
        <v>0.00027</v>
      </c>
      <c r="AC650" s="30" t="n">
        <v>0.3704</v>
      </c>
      <c r="AD650" s="24" t="inlineStr">
        <is>
          <t>2026-08-26T22:13:14.778245Z</t>
        </is>
      </c>
      <c r="AE650" s="31" t="inlineStr">
        <is>
          <t>Surface-blended Elo on Hard: Lucrezia Stefanini p=0.663 vs Madison Brengle. Executable ask 0.7300 (aec-wta-madbre-lucste-2026-08-25).</t>
        </is>
      </c>
      <c r="AF650" s="31" t="inlineStr">
        <is>
          <t>Surface-blended Elo model; singles only, WTA+ATP market coverage, not yet locked-holdout qualified -- promoted by explicit operator directive, not genuine walk-forward validation.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Lucrezia Stefanini</t>
        </is>
      </c>
      <c r="AQ650" s="24" t="inlineStr">
        <is>
          <t>Lucrezia Stefanini</t>
        </is>
      </c>
      <c r="AR650" s="24" t="inlineStr">
        <is>
          <t>Lucrezia Stefanini</t>
        </is>
      </c>
      <c r="AS650" s="24" t="inlineStr">
        <is>
          <t>Madison Brengle</t>
        </is>
      </c>
      <c r="AT650" s="24" t="inlineStr">
        <is>
          <t>Madison Brengle</t>
        </is>
      </c>
      <c r="AU650" s="24" t="inlineStr">
        <is>
          <t>Madison Brengle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d777da58446bc099047b154203518e2585ef1a678f613f2b430f2589f7bf5cff</t>
        </is>
      </c>
      <c r="BB650" s="24" t="inlineStr">
        <is>
          <t>surface_blended_elo</t>
        </is>
      </c>
      <c r="BC650" s="24" t="inlineStr">
        <is>
          <t>tennis-surface-elo-v1</t>
        </is>
      </c>
      <c r="BD650" s="24" t="inlineStr">
        <is>
          <t>d777da58446bc099047b154203518e2585ef1a678f613f2b430f2589f7bf5cff</t>
        </is>
      </c>
      <c r="BE650" s="24" t="inlineStr">
        <is>
          <t>tennis-surface-elo-v1</t>
        </is>
      </c>
      <c r="BF650" s="24" t="inlineStr">
        <is>
          <t>1</t>
        </is>
      </c>
      <c r="BG650" s="24" t="inlineStr">
        <is>
          <t>d777da58446bc099047b154203518e2585ef1a678f613f2b430f2589f7bf5cff</t>
        </is>
      </c>
      <c r="BH650" s="24" t="inlineStr">
        <is>
          <t>2026-08-26T12:42:15.367642Z</t>
        </is>
      </c>
      <c r="BI650" s="24" t="inlineStr">
        <is>
          <t>["same_event","same_team_same_day","same_league_same_day"]</t>
        </is>
      </c>
      <c r="BJ650" s="25" t="n"/>
      <c r="BK650" s="26" t="n">
        <v>-270</v>
      </c>
      <c r="BL650" s="27" t="n">
        <v>1.37037</v>
      </c>
      <c r="BM650" s="28" t="n">
        <v>0.72973</v>
      </c>
      <c r="BN650" s="28" t="n"/>
      <c r="BO650" s="28" t="n"/>
      <c r="BP650" s="25" t="n"/>
      <c r="BQ650" s="27" t="n">
        <v>1.37037</v>
      </c>
      <c r="BR650" s="28" t="n">
        <v>0.73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inlineStr">
        <is>
          <t>64c0c25c9bd3f9ec86060fa66291ea32b833b38e3755403c3a714be60f238e9e</t>
        </is>
      </c>
      <c r="DE650" s="24" t="inlineStr">
        <is>
          <t>/Users/vincentc9002/model-prediction/data/odds/tennis/2026-08-26/polymarket_snapshots.jsonl</t>
        </is>
      </c>
      <c r="DF650" s="24" t="inlineStr">
        <is>
          <t>513016:2026-08-26T12:42:15.367642Z</t>
        </is>
      </c>
      <c r="DG650" s="24" t="n"/>
      <c r="DH650" s="24" t="n"/>
      <c r="DI650" s="24" t="n"/>
      <c r="DJ650" s="24" t="inlineStr">
        <is>
          <t>0.72973</t>
        </is>
      </c>
      <c r="DK650" s="24" t="n"/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a1cc6740755e468b</t>
        </is>
      </c>
      <c r="B651" s="24" t="inlineStr">
        <is>
          <t>2026-08-26T12:43:29.834856Z</t>
        </is>
      </c>
      <c r="C651" s="24" t="inlineStr">
        <is>
          <t>2026-08-26T16:30Z</t>
        </is>
      </c>
      <c r="D651" s="24" t="inlineStr">
        <is>
          <t>189-2026:184804</t>
        </is>
      </c>
      <c r="E651" s="24" t="inlineStr">
        <is>
          <t>TENNIS</t>
        </is>
      </c>
      <c r="F651" s="24" t="inlineStr">
        <is>
          <t>Gabriela Knutson</t>
        </is>
      </c>
      <c r="G651" s="24" t="inlineStr">
        <is>
          <t>Dominika Salkova</t>
        </is>
      </c>
      <c r="H651" s="24" t="inlineStr">
        <is>
          <t>moneyline</t>
        </is>
      </c>
      <c r="I651" s="24" t="inlineStr">
        <is>
          <t>home</t>
        </is>
      </c>
      <c r="J651" s="25" t="n"/>
      <c r="K651" s="24" t="inlineStr">
        <is>
          <t>polymarket_us</t>
        </is>
      </c>
      <c r="L651" s="26" t="n">
        <v>-127</v>
      </c>
      <c r="M651" s="27" t="n">
        <v>1.787402</v>
      </c>
      <c r="N651" s="28" t="n">
        <v>0.5594710000000001</v>
      </c>
      <c r="O651" s="28" t="n">
        <v>0.5345</v>
      </c>
      <c r="P651" s="28" t="n">
        <v>0.05</v>
      </c>
      <c r="Q651" s="28" t="n">
        <v>-0.024971</v>
      </c>
      <c r="R651" s="26" t="n">
        <v>8</v>
      </c>
      <c r="S651" s="29" t="n">
        <v>1</v>
      </c>
      <c r="T651" s="24" t="inlineStr">
        <is>
          <t>tennis-surface-elo-v1</t>
        </is>
      </c>
      <c r="U651" s="24" t="inlineStr">
        <is>
          <t>settled</t>
        </is>
      </c>
      <c r="V651" s="24" t="inlineStr">
        <is>
          <t>loss</t>
        </is>
      </c>
      <c r="W651" s="26" t="n">
        <v>1</v>
      </c>
      <c r="X651" s="26" t="n">
        <v>0</v>
      </c>
      <c r="Y651" s="25" t="n"/>
      <c r="Z651" s="26" t="n">
        <v>-127</v>
      </c>
      <c r="AA651" s="28" t="n">
        <v>0.5600000000000001</v>
      </c>
      <c r="AB651" s="28" t="n">
        <v>0.000529</v>
      </c>
      <c r="AC651" s="30" t="n">
        <v>-1</v>
      </c>
      <c r="AD651" s="24" t="inlineStr">
        <is>
          <t>2026-08-26T22:13:17.036712Z</t>
        </is>
      </c>
      <c r="AE651" s="31" t="inlineStr">
        <is>
          <t>Surface-blended Elo on Hard: Gabriela Knutson p=0.466 vs Dominika Salkova. Executable ask 0.5600 (aec-wta-domsal-gabknu-2026-08-26).</t>
        </is>
      </c>
      <c r="AF651" s="31" t="inlineStr">
        <is>
          <t>Surface-blended Elo model; singles only, WTA+ATP market coverage, not yet locked-holdout qualified -- promoted by explicit operator directive, not genuine walk-forward validation.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Gabriela Knutson</t>
        </is>
      </c>
      <c r="AQ651" s="24" t="inlineStr">
        <is>
          <t>Gabriela Knutson</t>
        </is>
      </c>
      <c r="AR651" s="24" t="inlineStr">
        <is>
          <t>Gabriela Knutson</t>
        </is>
      </c>
      <c r="AS651" s="24" t="inlineStr">
        <is>
          <t>Dominika Salkova</t>
        </is>
      </c>
      <c r="AT651" s="24" t="inlineStr">
        <is>
          <t>Dominika Salkova</t>
        </is>
      </c>
      <c r="AU651" s="24" t="inlineStr">
        <is>
          <t>Dominika Salkova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d777da58446bc099047b154203518e2585ef1a678f613f2b430f2589f7bf5cff</t>
        </is>
      </c>
      <c r="BB651" s="24" t="inlineStr">
        <is>
          <t>surface_blended_elo</t>
        </is>
      </c>
      <c r="BC651" s="24" t="inlineStr">
        <is>
          <t>tennis-surface-elo-v1</t>
        </is>
      </c>
      <c r="BD651" s="24" t="inlineStr">
        <is>
          <t>d777da58446bc099047b154203518e2585ef1a678f613f2b430f2589f7bf5cff</t>
        </is>
      </c>
      <c r="BE651" s="24" t="inlineStr">
        <is>
          <t>tennis-surface-elo-v1</t>
        </is>
      </c>
      <c r="BF651" s="24" t="inlineStr">
        <is>
          <t>1</t>
        </is>
      </c>
      <c r="BG651" s="24" t="inlineStr">
        <is>
          <t>d777da58446bc099047b154203518e2585ef1a678f613f2b430f2589f7bf5cff</t>
        </is>
      </c>
      <c r="BH651" s="24" t="inlineStr">
        <is>
          <t>2026-08-26T12:42:15.041980Z</t>
        </is>
      </c>
      <c r="BI651" s="24" t="inlineStr">
        <is>
          <t>["same_event","same_team_same_day","same_league_same_day"]</t>
        </is>
      </c>
      <c r="BJ651" s="25" t="n"/>
      <c r="BK651" s="26" t="n">
        <v>-127</v>
      </c>
      <c r="BL651" s="27" t="n">
        <v>1.787402</v>
      </c>
      <c r="BM651" s="28" t="n">
        <v>0.5594710000000001</v>
      </c>
      <c r="BN651" s="28" t="n"/>
      <c r="BO651" s="28" t="n"/>
      <c r="BP651" s="25" t="n"/>
      <c r="BQ651" s="27" t="n">
        <v>1.787402</v>
      </c>
      <c r="BR651" s="28" t="n">
        <v>0.5600000000000001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inlineStr">
        <is>
          <t>e3cf6a94e6bb1295d672388c94f9b530a50bf8dc50b0510de301c7566f4eeb6a</t>
        </is>
      </c>
      <c r="DE651" s="24" t="inlineStr">
        <is>
          <t>/Users/vincentc9002/model-prediction/data/odds/tennis/2026-08-26/polymarket_snapshots.jsonl</t>
        </is>
      </c>
      <c r="DF651" s="24" t="inlineStr">
        <is>
          <t>516362:2026-08-26T12:42:15.041980Z</t>
        </is>
      </c>
      <c r="DG651" s="24" t="n"/>
      <c r="DH651" s="24" t="n"/>
      <c r="DI651" s="24" t="n"/>
      <c r="DJ651" s="24" t="inlineStr">
        <is>
          <t>0.559471</t>
        </is>
      </c>
      <c r="DK651" s="24" t="n"/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70db767649214865</t>
        </is>
      </c>
      <c r="B652" s="24" t="inlineStr">
        <is>
          <t>2026-08-26T12:43:29.834856Z</t>
        </is>
      </c>
      <c r="C652" s="24" t="inlineStr">
        <is>
          <t>2026-08-26T15:00Z</t>
        </is>
      </c>
      <c r="D652" s="24" t="inlineStr">
        <is>
          <t>189-2026:184663</t>
        </is>
      </c>
      <c r="E652" s="24" t="inlineStr">
        <is>
          <t>TENNIS</t>
        </is>
      </c>
      <c r="F652" s="24" t="inlineStr">
        <is>
          <t>Luka Pavlovic</t>
        </is>
      </c>
      <c r="G652" s="24" t="inlineStr">
        <is>
          <t>Jacob Fearnley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-355</v>
      </c>
      <c r="M652" s="27" t="n">
        <v>1.28169</v>
      </c>
      <c r="N652" s="28" t="n">
        <v>0.78022</v>
      </c>
      <c r="O652" s="28" t="n">
        <v>0.5031</v>
      </c>
      <c r="P652" s="28" t="n">
        <v>0.05</v>
      </c>
      <c r="Q652" s="28" t="n">
        <v>-0.27712</v>
      </c>
      <c r="R652" s="26" t="n">
        <v>0</v>
      </c>
      <c r="S652" s="29" t="n">
        <v>1</v>
      </c>
      <c r="T652" s="24" t="inlineStr">
        <is>
          <t>tennis-surface-elo-v1</t>
        </is>
      </c>
      <c r="U652" s="24" t="inlineStr">
        <is>
          <t>settled</t>
        </is>
      </c>
      <c r="V652" s="24" t="inlineStr">
        <is>
          <t>win</t>
        </is>
      </c>
      <c r="W652" s="26" t="n">
        <v>0</v>
      </c>
      <c r="X652" s="26" t="n">
        <v>1</v>
      </c>
      <c r="Y652" s="25" t="n"/>
      <c r="Z652" s="26" t="n">
        <v>-355</v>
      </c>
      <c r="AA652" s="28" t="n">
        <v>0.78</v>
      </c>
      <c r="AB652" s="28" t="n">
        <v>-0.00022</v>
      </c>
      <c r="AC652" s="30" t="n">
        <v>0.2817</v>
      </c>
      <c r="AD652" s="24" t="inlineStr">
        <is>
          <t>2026-08-26T22:13:19.292993Z</t>
        </is>
      </c>
      <c r="AE652" s="31" t="inlineStr">
        <is>
          <t>Surface-blended Elo on Hard: Luka Pavlovic p=0.497 vs Jacob Fearnley. Executable ask 0.7800 (aec-atp-jacfea-lukpav-2026-08-25).</t>
        </is>
      </c>
      <c r="AF652" s="31" t="inlineStr">
        <is>
          <t>Surface-blended Elo model; singles only, WTA+ATP market coverage, not yet locked-holdout qualified -- promoted by explicit operator directive, not genuine walk-forward validation.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PAPER_CALL_LOW_EDGE</t>
        </is>
      </c>
      <c r="AP652" s="24" t="inlineStr">
        <is>
          <t>Luka Pavlovic</t>
        </is>
      </c>
      <c r="AQ652" s="24" t="inlineStr">
        <is>
          <t>Luka Pavlovic</t>
        </is>
      </c>
      <c r="AR652" s="24" t="inlineStr">
        <is>
          <t>Luka Pavlovic</t>
        </is>
      </c>
      <c r="AS652" s="24" t="inlineStr">
        <is>
          <t>Jacob Fearnley</t>
        </is>
      </c>
      <c r="AT652" s="24" t="inlineStr">
        <is>
          <t>Jacob Fearnley</t>
        </is>
      </c>
      <c r="AU652" s="24" t="inlineStr">
        <is>
          <t>Jacob Fearnley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d777da58446bc099047b154203518e2585ef1a678f613f2b430f2589f7bf5cff</t>
        </is>
      </c>
      <c r="BB652" s="24" t="inlineStr">
        <is>
          <t>surface_blended_elo</t>
        </is>
      </c>
      <c r="BC652" s="24" t="inlineStr">
        <is>
          <t>tennis-surface-elo-v1</t>
        </is>
      </c>
      <c r="BD652" s="24" t="inlineStr">
        <is>
          <t>d777da58446bc099047b154203518e2585ef1a678f613f2b430f2589f7bf5cff</t>
        </is>
      </c>
      <c r="BE652" s="24" t="inlineStr">
        <is>
          <t>tennis-surface-elo-v1</t>
        </is>
      </c>
      <c r="BF652" s="24" t="inlineStr">
        <is>
          <t>1</t>
        </is>
      </c>
      <c r="BG652" s="24" t="inlineStr">
        <is>
          <t>d777da58446bc099047b154203518e2585ef1a678f613f2b430f2589f7bf5cff</t>
        </is>
      </c>
      <c r="BH652" s="24" t="inlineStr">
        <is>
          <t>2026-08-26T12:42:15.592459Z</t>
        </is>
      </c>
      <c r="BI652" s="24" t="inlineStr">
        <is>
          <t>["same_event","same_team_same_day","same_league_same_day"]</t>
        </is>
      </c>
      <c r="BJ652" s="25" t="n"/>
      <c r="BK652" s="26" t="n">
        <v>-355</v>
      </c>
      <c r="BL652" s="27" t="n">
        <v>1.28169</v>
      </c>
      <c r="BM652" s="28" t="n">
        <v>0.78022</v>
      </c>
      <c r="BN652" s="28" t="n"/>
      <c r="BO652" s="28" t="n"/>
      <c r="BP652" s="25" t="n"/>
      <c r="BQ652" s="27" t="n">
        <v>1.28169</v>
      </c>
      <c r="BR652" s="28" t="n">
        <v>0.78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inlineStr">
        <is>
          <t>fd755ef2e4f4b255c10235736bfd970b6f8a57e90b01872f5563d39c3ca87f49</t>
        </is>
      </c>
      <c r="DE652" s="24" t="inlineStr">
        <is>
          <t>/Users/vincentc9002/model-prediction/data/odds/tennis/2026-08-26/polymarket_snapshots.jsonl</t>
        </is>
      </c>
      <c r="DF652" s="24" t="inlineStr">
        <is>
          <t>513050:2026-08-26T12:42:15.592459Z</t>
        </is>
      </c>
      <c r="DG652" s="24" t="n"/>
      <c r="DH652" s="24" t="n"/>
      <c r="DI652" s="24" t="n"/>
      <c r="DJ652" s="24" t="inlineStr">
        <is>
          <t>0.78022</t>
        </is>
      </c>
      <c r="DK652" s="24" t="n"/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20920ec018454ac9</t>
        </is>
      </c>
      <c r="B653" s="24" t="inlineStr">
        <is>
          <t>2026-08-26T12:43:29.834856Z</t>
        </is>
      </c>
      <c r="C653" s="24" t="inlineStr">
        <is>
          <t>2026-08-26T15:00Z</t>
        </is>
      </c>
      <c r="D653" s="24" t="inlineStr">
        <is>
          <t>189-2026:184664</t>
        </is>
      </c>
      <c r="E653" s="24" t="inlineStr">
        <is>
          <t>TENNIS</t>
        </is>
      </c>
      <c r="F653" s="24" t="inlineStr">
        <is>
          <t>Jordan Lee</t>
        </is>
      </c>
      <c r="G653" s="24" t="inlineStr">
        <is>
          <t>Daniel Rincon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polymarket_us</t>
        </is>
      </c>
      <c r="L653" s="26" t="n">
        <v>178</v>
      </c>
      <c r="M653" s="27" t="n">
        <v>2.78</v>
      </c>
      <c r="N653" s="28" t="n">
        <v>0.359712</v>
      </c>
      <c r="O653" s="28" t="n">
        <v>0.5414</v>
      </c>
      <c r="P653" s="28" t="n">
        <v>0.05</v>
      </c>
      <c r="Q653" s="28" t="n">
        <v>0.181688</v>
      </c>
      <c r="R653" s="26" t="n">
        <v>100</v>
      </c>
      <c r="S653" s="29" t="n">
        <v>2</v>
      </c>
      <c r="T653" s="24" t="inlineStr">
        <is>
          <t>tennis-surface-elo-v1</t>
        </is>
      </c>
      <c r="U653" s="24" t="inlineStr">
        <is>
          <t>settled</t>
        </is>
      </c>
      <c r="V653" s="24" t="inlineStr">
        <is>
          <t>loss</t>
        </is>
      </c>
      <c r="W653" s="26" t="n">
        <v>0</v>
      </c>
      <c r="X653" s="26" t="n">
        <v>1</v>
      </c>
      <c r="Y653" s="25" t="n"/>
      <c r="Z653" s="26" t="n">
        <v>178</v>
      </c>
      <c r="AA653" s="28" t="n">
        <v>0.36</v>
      </c>
      <c r="AB653" s="28" t="n">
        <v>0.000288</v>
      </c>
      <c r="AC653" s="30" t="n">
        <v>-2</v>
      </c>
      <c r="AD653" s="24" t="inlineStr">
        <is>
          <t>2026-08-26T22:13:21.526325Z</t>
        </is>
      </c>
      <c r="AE653" s="31" t="inlineStr">
        <is>
          <t>Surface-blended Elo on Hard: Jordan Lee p=0.541 vs Daniel Rincon. Executable ask 0.3600 (aec-atp-danrin-jorlee-2026-08-26).</t>
        </is>
      </c>
      <c r="AF653" s="31" t="inlineStr">
        <is>
          <t>Surface-blended Elo model; singles only, WTA+ATP market coverage, not yet locked-holdout qualified -- promoted by explicit operator directive, not genuine walk-forward validation.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PAPER_CALL_MODEL_UNVALIDATED</t>
        </is>
      </c>
      <c r="AP653" s="24" t="inlineStr">
        <is>
          <t>Jordan Lee</t>
        </is>
      </c>
      <c r="AQ653" s="24" t="inlineStr">
        <is>
          <t>Jordan Lee</t>
        </is>
      </c>
      <c r="AR653" s="24" t="inlineStr">
        <is>
          <t>Jordan Lee</t>
        </is>
      </c>
      <c r="AS653" s="24" t="inlineStr">
        <is>
          <t>Daniel Rincon</t>
        </is>
      </c>
      <c r="AT653" s="24" t="inlineStr">
        <is>
          <t>Daniel Rincon</t>
        </is>
      </c>
      <c r="AU653" s="24" t="inlineStr">
        <is>
          <t>Daniel Rincon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d777da58446bc099047b154203518e2585ef1a678f613f2b430f2589f7bf5cff</t>
        </is>
      </c>
      <c r="BB653" s="24" t="inlineStr">
        <is>
          <t>surface_blended_elo</t>
        </is>
      </c>
      <c r="BC653" s="24" t="inlineStr">
        <is>
          <t>tennis-surface-elo-v1</t>
        </is>
      </c>
      <c r="BD653" s="24" t="inlineStr">
        <is>
          <t>d777da58446bc099047b154203518e2585ef1a678f613f2b430f2589f7bf5cff</t>
        </is>
      </c>
      <c r="BE653" s="24" t="inlineStr">
        <is>
          <t>tennis-surface-elo-v1</t>
        </is>
      </c>
      <c r="BF653" s="24" t="inlineStr">
        <is>
          <t>1</t>
        </is>
      </c>
      <c r="BG653" s="24" t="inlineStr">
        <is>
          <t>d777da58446bc099047b154203518e2585ef1a678f613f2b430f2589f7bf5cff</t>
        </is>
      </c>
      <c r="BH653" s="24" t="inlineStr">
        <is>
          <t>2026-08-26T12:42:16.542835Z</t>
        </is>
      </c>
      <c r="BI653" s="24" t="inlineStr">
        <is>
          <t>["same_event","same_team_same_day","same_league_same_day"]</t>
        </is>
      </c>
      <c r="BJ653" s="25" t="n"/>
      <c r="BK653" s="26" t="n">
        <v>178</v>
      </c>
      <c r="BL653" s="27" t="n">
        <v>2.78</v>
      </c>
      <c r="BM653" s="28" t="n">
        <v>0.359712</v>
      </c>
      <c r="BN653" s="28" t="n"/>
      <c r="BO653" s="28" t="n"/>
      <c r="BP653" s="25" t="n"/>
      <c r="BQ653" s="27" t="n">
        <v>2.78</v>
      </c>
      <c r="BR653" s="28" t="n">
        <v>0.36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inlineStr">
        <is>
          <t>77aefde60e2b613f9f25cd1304a39814a9b7328d383dfa12a0efb31625930ee0</t>
        </is>
      </c>
      <c r="DE653" s="24" t="inlineStr">
        <is>
          <t>/Users/vincentc9002/model-prediction/data/odds/tennis/2026-08-26/polymarket_snapshots.jsonl</t>
        </is>
      </c>
      <c r="DF653" s="24" t="inlineStr">
        <is>
          <t>513054:2026-08-26T12:42:16.542835Z</t>
        </is>
      </c>
      <c r="DG653" s="24" t="n"/>
      <c r="DH653" s="24" t="n"/>
      <c r="DI653" s="24" t="n"/>
      <c r="DJ653" s="24" t="inlineStr">
        <is>
          <t>0.359712</t>
        </is>
      </c>
      <c r="DK653" s="24" t="n"/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e5fff55b1e054ee8</t>
        </is>
      </c>
      <c r="B654" s="24" t="inlineStr">
        <is>
          <t>2026-08-26T12:43:29.834856Z</t>
        </is>
      </c>
      <c r="C654" s="24" t="inlineStr">
        <is>
          <t>2026-08-26T15:00Z</t>
        </is>
      </c>
      <c r="D654" s="24" t="inlineStr">
        <is>
          <t>189-2026:184671</t>
        </is>
      </c>
      <c r="E654" s="24" t="inlineStr">
        <is>
          <t>TENNIS</t>
        </is>
      </c>
      <c r="F654" s="24" t="inlineStr">
        <is>
          <t>Joel Josef Schwaerzler</t>
        </is>
      </c>
      <c r="G654" s="24" t="inlineStr">
        <is>
          <t>Andrea Guerrieri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133</v>
      </c>
      <c r="M654" s="27" t="n">
        <v>2.33</v>
      </c>
      <c r="N654" s="28" t="n">
        <v>0.429185</v>
      </c>
      <c r="O654" s="28" t="n">
        <v>0.5952</v>
      </c>
      <c r="P654" s="28" t="n">
        <v>0.05</v>
      </c>
      <c r="Q654" s="28" t="n">
        <v>0.166015</v>
      </c>
      <c r="R654" s="26" t="n">
        <v>100</v>
      </c>
      <c r="S654" s="29" t="n">
        <v>1.75</v>
      </c>
      <c r="T654" s="24" t="inlineStr">
        <is>
          <t>tennis-surface-elo-v1</t>
        </is>
      </c>
      <c r="U654" s="24" t="inlineStr">
        <is>
          <t>settled</t>
        </is>
      </c>
      <c r="V654" s="24" t="inlineStr">
        <is>
          <t>win</t>
        </is>
      </c>
      <c r="W654" s="26" t="n">
        <v>0</v>
      </c>
      <c r="X654" s="26" t="n">
        <v>1</v>
      </c>
      <c r="Y654" s="25" t="n"/>
      <c r="Z654" s="26" t="n">
        <v>133</v>
      </c>
      <c r="AA654" s="28" t="n">
        <v>0.43</v>
      </c>
      <c r="AB654" s="28" t="n">
        <v>0.000815</v>
      </c>
      <c r="AC654" s="30" t="n">
        <v>2.3275</v>
      </c>
      <c r="AD654" s="24" t="inlineStr">
        <is>
          <t>2026-08-26T22:13:23.837410Z</t>
        </is>
      </c>
      <c r="AE654" s="31" t="inlineStr">
        <is>
          <t>Surface-blended Elo on Hard: Joel Josef Schwaerzler p=0.405 vs Andrea Guerrieri. Executable ask 0.4300 (aec-atp-andgue-joesch-2026-08-26).</t>
        </is>
      </c>
      <c r="AF654" s="31" t="inlineStr">
        <is>
          <t>Surface-blended Elo model; singles only, WTA+ATP market coverage, not yet locked-holdout qualified -- promoted by explicit operator directive, not genuine walk-forward validation.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PAPER_CALL_MODEL_UNVALIDATED</t>
        </is>
      </c>
      <c r="AP654" s="24" t="inlineStr">
        <is>
          <t>Joel Josef Schwaerzler</t>
        </is>
      </c>
      <c r="AQ654" s="24" t="inlineStr">
        <is>
          <t>Joel Josef Schwaerzler</t>
        </is>
      </c>
      <c r="AR654" s="24" t="inlineStr">
        <is>
          <t>Joel Josef Schwaerzler</t>
        </is>
      </c>
      <c r="AS654" s="24" t="inlineStr">
        <is>
          <t>Andrea Guerrieri</t>
        </is>
      </c>
      <c r="AT654" s="24" t="inlineStr">
        <is>
          <t>Andrea Guerrieri</t>
        </is>
      </c>
      <c r="AU654" s="24" t="inlineStr">
        <is>
          <t>Andrea Guerrieri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d777da58446bc099047b154203518e2585ef1a678f613f2b430f2589f7bf5cff</t>
        </is>
      </c>
      <c r="BB654" s="24" t="inlineStr">
        <is>
          <t>surface_blended_elo</t>
        </is>
      </c>
      <c r="BC654" s="24" t="inlineStr">
        <is>
          <t>tennis-surface-elo-v1</t>
        </is>
      </c>
      <c r="BD654" s="24" t="inlineStr">
        <is>
          <t>d777da58446bc099047b154203518e2585ef1a678f613f2b430f2589f7bf5cff</t>
        </is>
      </c>
      <c r="BE654" s="24" t="inlineStr">
        <is>
          <t>tennis-surface-elo-v1</t>
        </is>
      </c>
      <c r="BF654" s="24" t="inlineStr">
        <is>
          <t>1</t>
        </is>
      </c>
      <c r="BG654" s="24" t="inlineStr">
        <is>
          <t>d777da58446bc099047b154203518e2585ef1a678f613f2b430f2589f7bf5cff</t>
        </is>
      </c>
      <c r="BH654" s="24" t="inlineStr">
        <is>
          <t>2026-08-26T12:42:16.085956Z</t>
        </is>
      </c>
      <c r="BI654" s="24" t="inlineStr">
        <is>
          <t>["same_event","same_team_same_day","same_league_same_day"]</t>
        </is>
      </c>
      <c r="BJ654" s="25" t="n"/>
      <c r="BK654" s="26" t="n">
        <v>133</v>
      </c>
      <c r="BL654" s="27" t="n">
        <v>2.33</v>
      </c>
      <c r="BM654" s="28" t="n">
        <v>0.429185</v>
      </c>
      <c r="BN654" s="28" t="n"/>
      <c r="BO654" s="28" t="n"/>
      <c r="BP654" s="25" t="n"/>
      <c r="BQ654" s="27" t="n">
        <v>2.33</v>
      </c>
      <c r="BR654" s="28" t="n">
        <v>0.43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inlineStr">
        <is>
          <t>92f6db70356a29085eb24048d8e7613b2c127158106ffacebd9c67436466546e</t>
        </is>
      </c>
      <c r="DE654" s="24" t="inlineStr">
        <is>
          <t>/Users/vincentc9002/model-prediction/data/odds/tennis/2026-08-26/polymarket_snapshots.jsonl</t>
        </is>
      </c>
      <c r="DF654" s="24" t="inlineStr">
        <is>
          <t>514512:2026-08-26T12:42:16.085956Z</t>
        </is>
      </c>
      <c r="DG654" s="24" t="n"/>
      <c r="DH654" s="24" t="n"/>
      <c r="DI654" s="24" t="n"/>
      <c r="DJ654" s="24" t="inlineStr">
        <is>
          <t>0.429185</t>
        </is>
      </c>
      <c r="DK654" s="24" t="n"/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78c7a1dcb43e4df4</t>
        </is>
      </c>
      <c r="B655" s="24" t="inlineStr">
        <is>
          <t>2026-08-26T12:43:29.834856Z</t>
        </is>
      </c>
      <c r="C655" s="24" t="inlineStr">
        <is>
          <t>2026-08-26T15:00Z</t>
        </is>
      </c>
      <c r="D655" s="24" t="inlineStr">
        <is>
          <t>189-2026:184681</t>
        </is>
      </c>
      <c r="E655" s="24" t="inlineStr">
        <is>
          <t>TENNIS</t>
        </is>
      </c>
      <c r="F655" s="24" t="inlineStr">
        <is>
          <t>Aziz Dougaz</t>
        </is>
      </c>
      <c r="G655" s="24" t="inlineStr">
        <is>
          <t>Kyrian Jacquet</t>
        </is>
      </c>
      <c r="H655" s="24" t="inlineStr">
        <is>
          <t>moneyline</t>
        </is>
      </c>
      <c r="I655" s="24" t="inlineStr">
        <is>
          <t>home</t>
        </is>
      </c>
      <c r="J655" s="25" t="n"/>
      <c r="K655" s="24" t="inlineStr">
        <is>
          <t>polymarket_us</t>
        </is>
      </c>
      <c r="L655" s="26" t="n">
        <v>-270</v>
      </c>
      <c r="M655" s="27" t="n">
        <v>1.37037</v>
      </c>
      <c r="N655" s="28" t="n">
        <v>0.72973</v>
      </c>
      <c r="O655" s="28" t="n">
        <v>0.6314</v>
      </c>
      <c r="P655" s="28" t="n">
        <v>0.05</v>
      </c>
      <c r="Q655" s="28" t="n">
        <v>-0.09833</v>
      </c>
      <c r="R655" s="26" t="n">
        <v>0</v>
      </c>
      <c r="S655" s="29" t="n">
        <v>1</v>
      </c>
      <c r="T655" s="24" t="inlineStr">
        <is>
          <t>tennis-surface-elo-v1</t>
        </is>
      </c>
      <c r="U655" s="24" t="inlineStr">
        <is>
          <t>settled</t>
        </is>
      </c>
      <c r="V655" s="24" t="inlineStr">
        <is>
          <t>loss</t>
        </is>
      </c>
      <c r="W655" s="26" t="n">
        <v>1</v>
      </c>
      <c r="X655" s="26" t="n">
        <v>0</v>
      </c>
      <c r="Y655" s="25" t="n"/>
      <c r="Z655" s="26" t="n">
        <v>-270</v>
      </c>
      <c r="AA655" s="28" t="n">
        <v>0.73</v>
      </c>
      <c r="AB655" s="28" t="n">
        <v>0.00027</v>
      </c>
      <c r="AC655" s="30" t="n">
        <v>-1</v>
      </c>
      <c r="AD655" s="24" t="inlineStr">
        <is>
          <t>2026-08-26T22:13:26.212269Z</t>
        </is>
      </c>
      <c r="AE655" s="31" t="inlineStr">
        <is>
          <t>Surface-blended Elo on Hard: Aziz Dougaz p=0.369 vs Kyrian Jacquet. Executable ask 0.7300 (aec-atp-kyrjac-azidou-2026-08-25).</t>
        </is>
      </c>
      <c r="AF655" s="31" t="inlineStr">
        <is>
          <t>Surface-blended Elo model; singles only, WTA+ATP market coverage, not yet locked-holdout qualified -- promoted by explicit operator directive, not genuine walk-forward validation.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Aziz Dougaz</t>
        </is>
      </c>
      <c r="AQ655" s="24" t="inlineStr">
        <is>
          <t>Aziz Dougaz</t>
        </is>
      </c>
      <c r="AR655" s="24" t="inlineStr">
        <is>
          <t>Aziz Dougaz</t>
        </is>
      </c>
      <c r="AS655" s="24" t="inlineStr">
        <is>
          <t>Kyrian Jacquet</t>
        </is>
      </c>
      <c r="AT655" s="24" t="inlineStr">
        <is>
          <t>Kyrian Jacquet</t>
        </is>
      </c>
      <c r="AU655" s="24" t="inlineStr">
        <is>
          <t>Kyrian Jacquet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d777da58446bc099047b154203518e2585ef1a678f613f2b430f2589f7bf5cff</t>
        </is>
      </c>
      <c r="BB655" s="24" t="inlineStr">
        <is>
          <t>surface_blended_elo</t>
        </is>
      </c>
      <c r="BC655" s="24" t="inlineStr">
        <is>
          <t>tennis-surface-elo-v1</t>
        </is>
      </c>
      <c r="BD655" s="24" t="inlineStr">
        <is>
          <t>d777da58446bc099047b154203518e2585ef1a678f613f2b430f2589f7bf5cff</t>
        </is>
      </c>
      <c r="BE655" s="24" t="inlineStr">
        <is>
          <t>tennis-surface-elo-v1</t>
        </is>
      </c>
      <c r="BF655" s="24" t="inlineStr">
        <is>
          <t>1</t>
        </is>
      </c>
      <c r="BG655" s="24" t="inlineStr">
        <is>
          <t>d777da58446bc099047b154203518e2585ef1a678f613f2b430f2589f7bf5cff</t>
        </is>
      </c>
      <c r="BH655" s="24" t="inlineStr">
        <is>
          <t>2026-08-26T12:42:16.460567Z</t>
        </is>
      </c>
      <c r="BI655" s="24" t="inlineStr">
        <is>
          <t>["same_event","same_team_same_day","same_league_same_day"]</t>
        </is>
      </c>
      <c r="BJ655" s="25" t="n"/>
      <c r="BK655" s="26" t="n">
        <v>-270</v>
      </c>
      <c r="BL655" s="27" t="n">
        <v>1.37037</v>
      </c>
      <c r="BM655" s="28" t="n">
        <v>0.72973</v>
      </c>
      <c r="BN655" s="28" t="n"/>
      <c r="BO655" s="28" t="n"/>
      <c r="BP655" s="25" t="n"/>
      <c r="BQ655" s="27" t="n">
        <v>1.37037</v>
      </c>
      <c r="BR655" s="28" t="n">
        <v>0.73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inlineStr">
        <is>
          <t>962ac4167f411ca6e165f3fc0343a3b473a0fa670ccd5d2f4ae8a21a40790208</t>
        </is>
      </c>
      <c r="DE655" s="24" t="inlineStr">
        <is>
          <t>/Users/vincentc9002/model-prediction/data/odds/tennis/2026-08-26/polymarket_snapshots.jsonl</t>
        </is>
      </c>
      <c r="DF655" s="24" t="inlineStr">
        <is>
          <t>513777:2026-08-26T12:42:16.460567Z</t>
        </is>
      </c>
      <c r="DG655" s="24" t="n"/>
      <c r="DH655" s="24" t="n"/>
      <c r="DI655" s="24" t="n"/>
      <c r="DJ655" s="24" t="inlineStr">
        <is>
          <t>0.72973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dc9948bdb8f949a9</t>
        </is>
      </c>
      <c r="B656" s="24" t="inlineStr">
        <is>
          <t>2026-08-26T12:43:29.834856Z</t>
        </is>
      </c>
      <c r="C656" s="24" t="inlineStr">
        <is>
          <t>2026-08-26T15:00Z</t>
        </is>
      </c>
      <c r="D656" s="24" t="inlineStr">
        <is>
          <t>189-2026:184777</t>
        </is>
      </c>
      <c r="E656" s="24" t="inlineStr">
        <is>
          <t>TENNIS</t>
        </is>
      </c>
      <c r="F656" s="24" t="inlineStr">
        <is>
          <t>Jurij Rodionov</t>
        </is>
      </c>
      <c r="G656" s="24" t="inlineStr">
        <is>
          <t>Frederico Ferreira Silva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polymarket_us</t>
        </is>
      </c>
      <c r="L656" s="26" t="n">
        <v>-186</v>
      </c>
      <c r="M656" s="27" t="n">
        <v>1.537634</v>
      </c>
      <c r="N656" s="28" t="n">
        <v>0.65035</v>
      </c>
      <c r="O656" s="28" t="n">
        <v>0.5786</v>
      </c>
      <c r="P656" s="28" t="n">
        <v>0.05</v>
      </c>
      <c r="Q656" s="28" t="n">
        <v>-0.07174999999999999</v>
      </c>
      <c r="R656" s="26" t="n">
        <v>0</v>
      </c>
      <c r="S656" s="29" t="n">
        <v>1</v>
      </c>
      <c r="T656" s="24" t="inlineStr">
        <is>
          <t>tennis-surface-elo-v1</t>
        </is>
      </c>
      <c r="U656" s="24" t="inlineStr">
        <is>
          <t>settled</t>
        </is>
      </c>
      <c r="V656" s="24" t="inlineStr">
        <is>
          <t>win</t>
        </is>
      </c>
      <c r="W656" s="26" t="n">
        <v>1</v>
      </c>
      <c r="X656" s="26" t="n">
        <v>0</v>
      </c>
      <c r="Y656" s="25" t="n"/>
      <c r="Z656" s="26" t="n">
        <v>-186</v>
      </c>
      <c r="AA656" s="28" t="n">
        <v>0.65</v>
      </c>
      <c r="AB656" s="28" t="n">
        <v>-0.00035</v>
      </c>
      <c r="AC656" s="30" t="n">
        <v>0.5376</v>
      </c>
      <c r="AD656" s="24" t="inlineStr">
        <is>
          <t>2026-08-26T22:13:28.468931Z</t>
        </is>
      </c>
      <c r="AE656" s="31" t="inlineStr">
        <is>
          <t>Surface-blended Elo on Hard: Jurij Rodionov p=0.579 vs Frederico Ferreira Silva. Executable ask 0.6500 (aec-atp-fresil-jurrod-2026-08-25).</t>
        </is>
      </c>
      <c r="AF656" s="31" t="inlineStr">
        <is>
          <t>Surface-blended Elo model; singles only, WTA+ATP market coverage, not yet locked-holdout qualified -- promoted by explicit operator directive, not genuine walk-forward validation.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Jurij Rodionov</t>
        </is>
      </c>
      <c r="AQ656" s="24" t="inlineStr">
        <is>
          <t>Jurij Rodionov</t>
        </is>
      </c>
      <c r="AR656" s="24" t="inlineStr">
        <is>
          <t>Jurij Rodionov</t>
        </is>
      </c>
      <c r="AS656" s="24" t="inlineStr">
        <is>
          <t>Frederico Ferreira Silva</t>
        </is>
      </c>
      <c r="AT656" s="24" t="inlineStr">
        <is>
          <t>Frederico Ferreira Silva</t>
        </is>
      </c>
      <c r="AU656" s="24" t="inlineStr">
        <is>
          <t>Frederico Ferreira Silva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d777da58446bc099047b154203518e2585ef1a678f613f2b430f2589f7bf5cff</t>
        </is>
      </c>
      <c r="BB656" s="24" t="inlineStr">
        <is>
          <t>surface_blended_elo</t>
        </is>
      </c>
      <c r="BC656" s="24" t="inlineStr">
        <is>
          <t>tennis-surface-elo-v1</t>
        </is>
      </c>
      <c r="BD656" s="24" t="inlineStr">
        <is>
          <t>d777da58446bc099047b154203518e2585ef1a678f613f2b430f2589f7bf5cff</t>
        </is>
      </c>
      <c r="BE656" s="24" t="inlineStr">
        <is>
          <t>tennis-surface-elo-v1</t>
        </is>
      </c>
      <c r="BF656" s="24" t="inlineStr">
        <is>
          <t>1</t>
        </is>
      </c>
      <c r="BG656" s="24" t="inlineStr">
        <is>
          <t>d777da58446bc099047b154203518e2585ef1a678f613f2b430f2589f7bf5cff</t>
        </is>
      </c>
      <c r="BH656" s="24" t="inlineStr">
        <is>
          <t>2026-08-26T12:42:17.055567Z</t>
        </is>
      </c>
      <c r="BI656" s="24" t="inlineStr">
        <is>
          <t>["same_event","same_team_same_day","same_league_same_day"]</t>
        </is>
      </c>
      <c r="BJ656" s="25" t="n"/>
      <c r="BK656" s="26" t="n">
        <v>-186</v>
      </c>
      <c r="BL656" s="27" t="n">
        <v>1.537634</v>
      </c>
      <c r="BM656" s="28" t="n">
        <v>0.65035</v>
      </c>
      <c r="BN656" s="28" t="n"/>
      <c r="BO656" s="28" t="n"/>
      <c r="BP656" s="25" t="n"/>
      <c r="BQ656" s="27" t="n">
        <v>1.537634</v>
      </c>
      <c r="BR656" s="28" t="n">
        <v>0.65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inlineStr">
        <is>
          <t>07b78263578e8528a70abd5d64456294df0fcf094e714a59c45c168f0c819916</t>
        </is>
      </c>
      <c r="DE656" s="24" t="inlineStr">
        <is>
          <t>/Users/vincentc9002/model-prediction/data/odds/tennis/2026-08-26/polymarket_snapshots.jsonl</t>
        </is>
      </c>
      <c r="DF656" s="24" t="inlineStr">
        <is>
          <t>512493:2026-08-26T12:42:17.055567Z</t>
        </is>
      </c>
      <c r="DG656" s="24" t="n"/>
      <c r="DH656" s="24" t="n"/>
      <c r="DI656" s="24" t="n"/>
      <c r="DJ656" s="24" t="inlineStr">
        <is>
          <t>0.65035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0177e38811a84f38</t>
        </is>
      </c>
      <c r="B657" s="24" t="inlineStr">
        <is>
          <t>2026-08-26T12:43:29.834856Z</t>
        </is>
      </c>
      <c r="C657" s="24" t="inlineStr">
        <is>
          <t>2026-08-26T16:30Z</t>
        </is>
      </c>
      <c r="D657" s="24" t="inlineStr">
        <is>
          <t>189-2026:184662</t>
        </is>
      </c>
      <c r="E657" s="24" t="inlineStr">
        <is>
          <t>TENNIS</t>
        </is>
      </c>
      <c r="F657" s="24" t="inlineStr">
        <is>
          <t>Dusan Lajovic</t>
        </is>
      </c>
      <c r="G657" s="24" t="inlineStr">
        <is>
          <t>David Jorda Sanchis</t>
        </is>
      </c>
      <c r="H657" s="24" t="inlineStr">
        <is>
          <t>moneyline</t>
        </is>
      </c>
      <c r="I657" s="24" t="inlineStr">
        <is>
          <t>away</t>
        </is>
      </c>
      <c r="J657" s="25" t="n"/>
      <c r="K657" s="24" t="inlineStr">
        <is>
          <t>polymarket_us</t>
        </is>
      </c>
      <c r="L657" s="26" t="n">
        <v>-355</v>
      </c>
      <c r="M657" s="27" t="n">
        <v>1.28169</v>
      </c>
      <c r="N657" s="28" t="n">
        <v>0.78022</v>
      </c>
      <c r="O657" s="28" t="n">
        <v>0.5524</v>
      </c>
      <c r="P657" s="28" t="n">
        <v>0.05</v>
      </c>
      <c r="Q657" s="28" t="n">
        <v>-0.22782</v>
      </c>
      <c r="R657" s="26" t="n">
        <v>0</v>
      </c>
      <c r="S657" s="29" t="n">
        <v>1</v>
      </c>
      <c r="T657" s="24" t="inlineStr">
        <is>
          <t>tennis-surface-elo-v1</t>
        </is>
      </c>
      <c r="U657" s="24" t="inlineStr">
        <is>
          <t>settled</t>
        </is>
      </c>
      <c r="V657" s="24" t="inlineStr">
        <is>
          <t>win</t>
        </is>
      </c>
      <c r="W657" s="26" t="n">
        <v>1</v>
      </c>
      <c r="X657" s="26" t="n">
        <v>0</v>
      </c>
      <c r="Y657" s="25" t="n"/>
      <c r="Z657" s="26" t="n">
        <v>-355</v>
      </c>
      <c r="AA657" s="28" t="n">
        <v>0.78</v>
      </c>
      <c r="AB657" s="28" t="n">
        <v>-0.00022</v>
      </c>
      <c r="AC657" s="30" t="n">
        <v>0.2817</v>
      </c>
      <c r="AD657" s="24" t="inlineStr">
        <is>
          <t>2026-08-26T22:13:30.705079Z</t>
        </is>
      </c>
      <c r="AE657" s="31" t="inlineStr">
        <is>
          <t>Surface-blended Elo on Hard: Dusan Lajovic p=0.552 vs David Jorda Sanchis. Executable ask 0.7800 (aec-atp-davsan-duslaj-2026-08-26).</t>
        </is>
      </c>
      <c r="AF657" s="31" t="inlineStr">
        <is>
          <t>Surface-blended Elo model; singles only, WTA+ATP market coverage, not yet locked-holdout qualified -- promoted by explicit operator directive, not genuine walk-forward validation.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Dusan Lajovic</t>
        </is>
      </c>
      <c r="AQ657" s="24" t="inlineStr">
        <is>
          <t>Dusan Lajovic</t>
        </is>
      </c>
      <c r="AR657" s="24" t="inlineStr">
        <is>
          <t>Dusan Lajovic</t>
        </is>
      </c>
      <c r="AS657" s="24" t="inlineStr">
        <is>
          <t>David Jorda Sanchis</t>
        </is>
      </c>
      <c r="AT657" s="24" t="inlineStr">
        <is>
          <t>David Jorda Sanchis</t>
        </is>
      </c>
      <c r="AU657" s="24" t="inlineStr">
        <is>
          <t>David Jorda Sanchis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d777da58446bc099047b154203518e2585ef1a678f613f2b430f2589f7bf5cff</t>
        </is>
      </c>
      <c r="BB657" s="24" t="inlineStr">
        <is>
          <t>surface_blended_elo</t>
        </is>
      </c>
      <c r="BC657" s="24" t="inlineStr">
        <is>
          <t>tennis-surface-elo-v1</t>
        </is>
      </c>
      <c r="BD657" s="24" t="inlineStr">
        <is>
          <t>d777da58446bc099047b154203518e2585ef1a678f613f2b430f2589f7bf5cff</t>
        </is>
      </c>
      <c r="BE657" s="24" t="inlineStr">
        <is>
          <t>tennis-surface-elo-v1</t>
        </is>
      </c>
      <c r="BF657" s="24" t="inlineStr">
        <is>
          <t>1</t>
        </is>
      </c>
      <c r="BG657" s="24" t="inlineStr">
        <is>
          <t>d777da58446bc099047b154203518e2585ef1a678f613f2b430f2589f7bf5cff</t>
        </is>
      </c>
      <c r="BH657" s="24" t="inlineStr">
        <is>
          <t>2026-08-26T12:42:17.330547Z</t>
        </is>
      </c>
      <c r="BI657" s="24" t="inlineStr">
        <is>
          <t>["same_event","same_team_same_day","same_league_same_day"]</t>
        </is>
      </c>
      <c r="BJ657" s="25" t="n"/>
      <c r="BK657" s="26" t="n">
        <v>-355</v>
      </c>
      <c r="BL657" s="27" t="n">
        <v>1.28169</v>
      </c>
      <c r="BM657" s="28" t="n">
        <v>0.78022</v>
      </c>
      <c r="BN657" s="28" t="n"/>
      <c r="BO657" s="28" t="n"/>
      <c r="BP657" s="25" t="n"/>
      <c r="BQ657" s="27" t="n">
        <v>1.28169</v>
      </c>
      <c r="BR657" s="28" t="n">
        <v>0.78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inlineStr">
        <is>
          <t>a85a26765fb6851468526cd363f28af2cb447d22e4d01ee13006e97689eb6583</t>
        </is>
      </c>
      <c r="DE657" s="24" t="inlineStr">
        <is>
          <t>/Users/vincentc9002/model-prediction/data/odds/tennis/2026-08-26/polymarket_snapshots.jsonl</t>
        </is>
      </c>
      <c r="DF657" s="24" t="inlineStr">
        <is>
          <t>520603:2026-08-26T12:42:17.330547Z</t>
        </is>
      </c>
      <c r="DG657" s="24" t="n"/>
      <c r="DH657" s="24" t="n"/>
      <c r="DI657" s="24" t="n"/>
      <c r="DJ657" s="24" t="inlineStr">
        <is>
          <t>0.78022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63ce199c5b3d43ba</t>
        </is>
      </c>
      <c r="B658" s="24" t="inlineStr">
        <is>
          <t>2026-08-26T12:43:29.834856Z</t>
        </is>
      </c>
      <c r="C658" s="24" t="inlineStr">
        <is>
          <t>2026-08-26T16:30Z</t>
        </is>
      </c>
      <c r="D658" s="24" t="inlineStr">
        <is>
          <t>189-2026:184669</t>
        </is>
      </c>
      <c r="E658" s="24" t="inlineStr">
        <is>
          <t>TENNIS</t>
        </is>
      </c>
      <c r="F658" s="24" t="inlineStr">
        <is>
          <t>Grigor Dimitrov</t>
        </is>
      </c>
      <c r="G658" s="24" t="inlineStr">
        <is>
          <t>Timofey Skatov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-525</v>
      </c>
      <c r="M658" s="27" t="n">
        <v>1.190476</v>
      </c>
      <c r="N658" s="28" t="n">
        <v>0.84</v>
      </c>
      <c r="O658" s="28" t="n">
        <v>0.6001</v>
      </c>
      <c r="P658" s="28" t="n">
        <v>0.05</v>
      </c>
      <c r="Q658" s="28" t="n">
        <v>-0.2399</v>
      </c>
      <c r="R658" s="26" t="n">
        <v>0</v>
      </c>
      <c r="S658" s="29" t="n">
        <v>1</v>
      </c>
      <c r="T658" s="24" t="inlineStr">
        <is>
          <t>tennis-surface-elo-v1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-525</v>
      </c>
      <c r="AA658" s="28" t="n">
        <v>0.84</v>
      </c>
      <c r="AB658" s="28" t="n">
        <v>0</v>
      </c>
      <c r="AC658" s="30" t="n">
        <v>0.1905</v>
      </c>
      <c r="AD658" s="24" t="inlineStr">
        <is>
          <t>2026-08-26T22:13:32.886194Z</t>
        </is>
      </c>
      <c r="AE658" s="31" t="inlineStr">
        <is>
          <t>Surface-blended Elo on Hard: Grigor Dimitrov p=0.600 vs Timofey Skatov. Executable ask 0.8400 (aec-atp-timska-gridim-2026-08-26).</t>
        </is>
      </c>
      <c r="AF658" s="31" t="inlineStr">
        <is>
          <t>Surface-blended Elo model; singles only, WTA+ATP market coverage, not yet locked-holdout qualified -- promoted by explicit operator directive, not genuine walk-forward validation.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Grigor Dimitrov</t>
        </is>
      </c>
      <c r="AQ658" s="24" t="inlineStr">
        <is>
          <t>Grigor Dimitrov</t>
        </is>
      </c>
      <c r="AR658" s="24" t="inlineStr">
        <is>
          <t>Grigor Dimitrov</t>
        </is>
      </c>
      <c r="AS658" s="24" t="inlineStr">
        <is>
          <t>Timofey Skatov</t>
        </is>
      </c>
      <c r="AT658" s="24" t="inlineStr">
        <is>
          <t>Timofey Skatov</t>
        </is>
      </c>
      <c r="AU658" s="24" t="inlineStr">
        <is>
          <t>Timofey Skatov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d777da58446bc099047b154203518e2585ef1a678f613f2b430f2589f7bf5cff</t>
        </is>
      </c>
      <c r="BB658" s="24" t="inlineStr">
        <is>
          <t>surface_blended_elo</t>
        </is>
      </c>
      <c r="BC658" s="24" t="inlineStr">
        <is>
          <t>tennis-surface-elo-v1</t>
        </is>
      </c>
      <c r="BD658" s="24" t="inlineStr">
        <is>
          <t>d777da58446bc099047b154203518e2585ef1a678f613f2b430f2589f7bf5cff</t>
        </is>
      </c>
      <c r="BE658" s="24" t="inlineStr">
        <is>
          <t>tennis-surface-elo-v1</t>
        </is>
      </c>
      <c r="BF658" s="24" t="inlineStr">
        <is>
          <t>1</t>
        </is>
      </c>
      <c r="BG658" s="24" t="inlineStr">
        <is>
          <t>d777da58446bc099047b154203518e2585ef1a678f613f2b430f2589f7bf5cff</t>
        </is>
      </c>
      <c r="BH658" s="24" t="inlineStr">
        <is>
          <t>2026-08-26T12:42:17.550416Z</t>
        </is>
      </c>
      <c r="BI658" s="24" t="inlineStr">
        <is>
          <t>["same_event","same_team_same_day","same_league_same_day"]</t>
        </is>
      </c>
      <c r="BJ658" s="25" t="n"/>
      <c r="BK658" s="26" t="n">
        <v>-525</v>
      </c>
      <c r="BL658" s="27" t="n">
        <v>1.190476</v>
      </c>
      <c r="BM658" s="28" t="n">
        <v>0.84</v>
      </c>
      <c r="BN658" s="28" t="n"/>
      <c r="BO658" s="28" t="n"/>
      <c r="BP658" s="25" t="n"/>
      <c r="BQ658" s="27" t="n">
        <v>1.190476</v>
      </c>
      <c r="BR658" s="28" t="n">
        <v>0.84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inlineStr">
        <is>
          <t>68a3c9cb2c94327e8a99c510ff4c0c572dc68c708270ffd46631f47bd9df6d90</t>
        </is>
      </c>
      <c r="DE658" s="24" t="inlineStr">
        <is>
          <t>/Users/vincentc9002/model-prediction/data/odds/tennis/2026-08-26/polymarket_snapshots.jsonl</t>
        </is>
      </c>
      <c r="DF658" s="24" t="inlineStr">
        <is>
          <t>520866:2026-08-26T12:42:17.550416Z</t>
        </is>
      </c>
      <c r="DG658" s="24" t="n"/>
      <c r="DH658" s="24" t="n"/>
      <c r="DI658" s="24" t="n"/>
      <c r="DJ658" s="24" t="inlineStr">
        <is>
          <t>0.84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909256a378da4564</t>
        </is>
      </c>
      <c r="B659" s="24" t="inlineStr">
        <is>
          <t>2026-08-26T12:43:29.834856Z</t>
        </is>
      </c>
      <c r="C659" s="24" t="inlineStr">
        <is>
          <t>2026-08-26T16:30Z</t>
        </is>
      </c>
      <c r="D659" s="24" t="inlineStr">
        <is>
          <t>189-2026:184673</t>
        </is>
      </c>
      <c r="E659" s="24" t="inlineStr">
        <is>
          <t>TENNIS</t>
        </is>
      </c>
      <c r="F659" s="24" t="inlineStr">
        <is>
          <t>Jack Pinnington Jones</t>
        </is>
      </c>
      <c r="G659" s="24" t="inlineStr">
        <is>
          <t>Otto Virtanen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-156</v>
      </c>
      <c r="M659" s="27" t="n">
        <v>1.641026</v>
      </c>
      <c r="N659" s="28" t="n">
        <v>0.609375</v>
      </c>
      <c r="O659" s="28" t="n">
        <v>0.5112</v>
      </c>
      <c r="P659" s="28" t="n">
        <v>0.05</v>
      </c>
      <c r="Q659" s="28" t="n">
        <v>-0.098175</v>
      </c>
      <c r="R659" s="26" t="n">
        <v>0</v>
      </c>
      <c r="S659" s="29" t="n">
        <v>1</v>
      </c>
      <c r="T659" s="24" t="inlineStr">
        <is>
          <t>tennis-surface-elo-v1</t>
        </is>
      </c>
      <c r="U659" s="24" t="inlineStr">
        <is>
          <t>settled</t>
        </is>
      </c>
      <c r="V659" s="24" t="inlineStr">
        <is>
          <t>win</t>
        </is>
      </c>
      <c r="W659" s="26" t="n">
        <v>0</v>
      </c>
      <c r="X659" s="26" t="n">
        <v>1</v>
      </c>
      <c r="Y659" s="25" t="n"/>
      <c r="Z659" s="26" t="n">
        <v>-156</v>
      </c>
      <c r="AA659" s="28" t="n">
        <v>0.61</v>
      </c>
      <c r="AB659" s="28" t="n">
        <v>0.000625</v>
      </c>
      <c r="AC659" s="30" t="n">
        <v>0.641</v>
      </c>
      <c r="AD659" s="24" t="inlineStr">
        <is>
          <t>2026-08-26T22:13:35.151415Z</t>
        </is>
      </c>
      <c r="AE659" s="31" t="inlineStr">
        <is>
          <t>Surface-blended Elo on Hard: Jack Pinnington Jones p=0.489 vs Otto Virtanen. Executable ask 0.6100 (aec-atp-ottvir-jacjon-2026-08-26).</t>
        </is>
      </c>
      <c r="AF659" s="31" t="inlineStr">
        <is>
          <t>Surface-blended Elo model; singles only, WTA+ATP market coverage, not yet locked-holdout qualified -- promoted by explicit operator directive, not genuine walk-forward validation.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Jack Pinnington Jones</t>
        </is>
      </c>
      <c r="AQ659" s="24" t="inlineStr">
        <is>
          <t>Jack Pinnington Jones</t>
        </is>
      </c>
      <c r="AR659" s="24" t="inlineStr">
        <is>
          <t>Jack Pinnington Jones</t>
        </is>
      </c>
      <c r="AS659" s="24" t="inlineStr">
        <is>
          <t>Otto Virtanen</t>
        </is>
      </c>
      <c r="AT659" s="24" t="inlineStr">
        <is>
          <t>Otto Virtanen</t>
        </is>
      </c>
      <c r="AU659" s="24" t="inlineStr">
        <is>
          <t>Otto Virtanen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d777da58446bc099047b154203518e2585ef1a678f613f2b430f2589f7bf5cff</t>
        </is>
      </c>
      <c r="BB659" s="24" t="inlineStr">
        <is>
          <t>surface_blended_elo</t>
        </is>
      </c>
      <c r="BC659" s="24" t="inlineStr">
        <is>
          <t>tennis-surface-elo-v1</t>
        </is>
      </c>
      <c r="BD659" s="24" t="inlineStr">
        <is>
          <t>d777da58446bc099047b154203518e2585ef1a678f613f2b430f2589f7bf5cff</t>
        </is>
      </c>
      <c r="BE659" s="24" t="inlineStr">
        <is>
          <t>tennis-surface-elo-v1</t>
        </is>
      </c>
      <c r="BF659" s="24" t="inlineStr">
        <is>
          <t>1</t>
        </is>
      </c>
      <c r="BG659" s="24" t="inlineStr">
        <is>
          <t>d777da58446bc099047b154203518e2585ef1a678f613f2b430f2589f7bf5cff</t>
        </is>
      </c>
      <c r="BH659" s="24" t="inlineStr">
        <is>
          <t>2026-08-26T12:42:16.973954Z</t>
        </is>
      </c>
      <c r="BI659" s="24" t="inlineStr">
        <is>
          <t>["same_event","same_team_same_day","same_league_same_day"]</t>
        </is>
      </c>
      <c r="BJ659" s="25" t="n"/>
      <c r="BK659" s="26" t="n">
        <v>-156</v>
      </c>
      <c r="BL659" s="27" t="n">
        <v>1.641026</v>
      </c>
      <c r="BM659" s="28" t="n">
        <v>0.609375</v>
      </c>
      <c r="BN659" s="28" t="n"/>
      <c r="BO659" s="28" t="n"/>
      <c r="BP659" s="25" t="n"/>
      <c r="BQ659" s="27" t="n">
        <v>1.641026</v>
      </c>
      <c r="BR659" s="28" t="n">
        <v>0.61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inlineStr">
        <is>
          <t>73ca03436fcdbe336506a9d7adbfa0be62f44653e8c18810864c844b2f6a1127</t>
        </is>
      </c>
      <c r="DE659" s="24" t="inlineStr">
        <is>
          <t>/Users/vincentc9002/model-prediction/data/odds/tennis/2026-08-26/polymarket_snapshots.jsonl</t>
        </is>
      </c>
      <c r="DF659" s="24" t="inlineStr">
        <is>
          <t>516518:2026-08-26T12:42:16.973954Z</t>
        </is>
      </c>
      <c r="DG659" s="24" t="n"/>
      <c r="DH659" s="24" t="n"/>
      <c r="DI659" s="24" t="n"/>
      <c r="DJ659" s="24" t="inlineStr">
        <is>
          <t>0.609375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d5c62bf609ce40c1</t>
        </is>
      </c>
      <c r="B660" s="24" t="inlineStr">
        <is>
          <t>2026-08-26T12:43:29.834856Z</t>
        </is>
      </c>
      <c r="C660" s="24" t="inlineStr">
        <is>
          <t>2026-08-26T16:30Z</t>
        </is>
      </c>
      <c r="D660" s="24" t="inlineStr">
        <is>
          <t>189-2026:184674</t>
        </is>
      </c>
      <c r="E660" s="24" t="inlineStr">
        <is>
          <t>TENNIS</t>
        </is>
      </c>
      <c r="F660" s="24" t="inlineStr">
        <is>
          <t>Cristian Garin</t>
        </is>
      </c>
      <c r="G660" s="24" t="inlineStr">
        <is>
          <t>Elias Ymer</t>
        </is>
      </c>
      <c r="H660" s="24" t="inlineStr">
        <is>
          <t>moneyline</t>
        </is>
      </c>
      <c r="I660" s="24" t="inlineStr">
        <is>
          <t>home</t>
        </is>
      </c>
      <c r="J660" s="25" t="n"/>
      <c r="K660" s="24" t="inlineStr">
        <is>
          <t>polymarket_us</t>
        </is>
      </c>
      <c r="L660" s="26" t="n">
        <v>133</v>
      </c>
      <c r="M660" s="27" t="n">
        <v>2.33</v>
      </c>
      <c r="N660" s="28" t="n">
        <v>0.429185</v>
      </c>
      <c r="O660" s="28" t="n">
        <v>0.5708</v>
      </c>
      <c r="P660" s="28" t="n">
        <v>0.05</v>
      </c>
      <c r="Q660" s="28" t="n">
        <v>0.141615</v>
      </c>
      <c r="R660" s="26" t="n">
        <v>91</v>
      </c>
      <c r="S660" s="29" t="n">
        <v>1.5</v>
      </c>
      <c r="T660" s="24" t="inlineStr">
        <is>
          <t>tennis-surface-elo-v1</t>
        </is>
      </c>
      <c r="U660" s="24" t="inlineStr">
        <is>
          <t>settled</t>
        </is>
      </c>
      <c r="V660" s="24" t="inlineStr">
        <is>
          <t>loss</t>
        </is>
      </c>
      <c r="W660" s="26" t="n">
        <v>1</v>
      </c>
      <c r="X660" s="26" t="n">
        <v>0</v>
      </c>
      <c r="Y660" s="25" t="n"/>
      <c r="Z660" s="26" t="n">
        <v>133</v>
      </c>
      <c r="AA660" s="28" t="n">
        <v>0.43</v>
      </c>
      <c r="AB660" s="28" t="n">
        <v>0.000815</v>
      </c>
      <c r="AC660" s="30" t="n">
        <v>-1.5</v>
      </c>
      <c r="AD660" s="24" t="inlineStr">
        <is>
          <t>2026-08-26T22:13:37.376577Z</t>
        </is>
      </c>
      <c r="AE660" s="31" t="inlineStr">
        <is>
          <t>Surface-blended Elo on Hard: Cristian Garin p=0.429 vs Elias Ymer. Executable ask 0.4300 (aec-atp-eliyme-crigar-2026-08-26).</t>
        </is>
      </c>
      <c r="AF660" s="31" t="inlineStr">
        <is>
          <t>Surface-blended Elo model; singles only, WTA+ATP market coverage, not yet locked-holdout qualified -- promoted by explicit operator directive, not genuine walk-forward validation.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model_qualified</t>
        </is>
      </c>
      <c r="AL660" s="26" t="n">
        <v>4</v>
      </c>
      <c r="AM660" s="24" t="inlineStr">
        <is>
          <t>QUALIFIED_SHADOW_CALL</t>
        </is>
      </c>
      <c r="AN660" s="24" t="inlineStr">
        <is>
          <t>CALL</t>
        </is>
      </c>
      <c r="AO660" s="24" t="inlineStr">
        <is>
          <t>QUALIFIED</t>
        </is>
      </c>
      <c r="AP660" s="24" t="inlineStr">
        <is>
          <t>Cristian Garin</t>
        </is>
      </c>
      <c r="AQ660" s="24" t="inlineStr">
        <is>
          <t>Cristian Garin</t>
        </is>
      </c>
      <c r="AR660" s="24" t="inlineStr">
        <is>
          <t>Cristian Garin</t>
        </is>
      </c>
      <c r="AS660" s="24" t="inlineStr">
        <is>
          <t>Elias Ymer</t>
        </is>
      </c>
      <c r="AT660" s="24" t="inlineStr">
        <is>
          <t>Elias Ymer</t>
        </is>
      </c>
      <c r="AU660" s="24" t="inlineStr">
        <is>
          <t>Elias Ymer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d777da58446bc099047b154203518e2585ef1a678f613f2b430f2589f7bf5cff</t>
        </is>
      </c>
      <c r="BB660" s="24" t="inlineStr">
        <is>
          <t>surface_blended_elo</t>
        </is>
      </c>
      <c r="BC660" s="24" t="inlineStr">
        <is>
          <t>tennis-surface-elo-v1</t>
        </is>
      </c>
      <c r="BD660" s="24" t="inlineStr">
        <is>
          <t>d777da58446bc099047b154203518e2585ef1a678f613f2b430f2589f7bf5cff</t>
        </is>
      </c>
      <c r="BE660" s="24" t="inlineStr">
        <is>
          <t>tennis-surface-elo-v1</t>
        </is>
      </c>
      <c r="BF660" s="24" t="inlineStr">
        <is>
          <t>1</t>
        </is>
      </c>
      <c r="BG660" s="24" t="inlineStr">
        <is>
          <t>d777da58446bc099047b154203518e2585ef1a678f613f2b430f2589f7bf5cff</t>
        </is>
      </c>
      <c r="BH660" s="24" t="inlineStr">
        <is>
          <t>2026-08-26T12:42:17.236395Z</t>
        </is>
      </c>
      <c r="BI660" s="24" t="inlineStr">
        <is>
          <t>["same_event","same_team_same_day","same_league_same_day"]</t>
        </is>
      </c>
      <c r="BJ660" s="25" t="n"/>
      <c r="BK660" s="26" t="n">
        <v>133</v>
      </c>
      <c r="BL660" s="27" t="n">
        <v>2.33</v>
      </c>
      <c r="BM660" s="28" t="n">
        <v>0.429185</v>
      </c>
      <c r="BN660" s="28" t="n"/>
      <c r="BO660" s="28" t="n"/>
      <c r="BP660" s="25" t="n"/>
      <c r="BQ660" s="27" t="n">
        <v>2.33</v>
      </c>
      <c r="BR660" s="28" t="n">
        <v>0.43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inlineStr">
        <is>
          <t>b498315054a8ce34dbc704fd8f3803c5d24d8f714d735765c608e25de82d1ffd</t>
        </is>
      </c>
      <c r="DE660" s="24" t="inlineStr">
        <is>
          <t>/Users/vincentc9002/model-prediction/data/odds/tennis/2026-08-26/polymarket_snapshots.jsonl</t>
        </is>
      </c>
      <c r="DF660" s="24" t="inlineStr">
        <is>
          <t>514511:2026-08-26T12:42:17.236395Z</t>
        </is>
      </c>
      <c r="DG660" s="24" t="n"/>
      <c r="DH660" s="24" t="n"/>
      <c r="DI660" s="24" t="n"/>
      <c r="DJ660" s="24" t="inlineStr">
        <is>
          <t>0.429185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c96be0d768b942c4</t>
        </is>
      </c>
      <c r="B661" s="24" t="inlineStr">
        <is>
          <t>2026-08-26T12:43:29.834856Z</t>
        </is>
      </c>
      <c r="C661" s="24" t="inlineStr">
        <is>
          <t>2026-08-26T16:30Z</t>
        </is>
      </c>
      <c r="D661" s="24" t="inlineStr">
        <is>
          <t>189-2026:184774</t>
        </is>
      </c>
      <c r="E661" s="24" t="inlineStr">
        <is>
          <t>TENNIS</t>
        </is>
      </c>
      <c r="F661" s="24" t="inlineStr">
        <is>
          <t>Marco Cecchinato</t>
        </is>
      </c>
      <c r="G661" s="24" t="inlineStr">
        <is>
          <t>Vilius Gaubas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-213</v>
      </c>
      <c r="M661" s="27" t="n">
        <v>1.469484</v>
      </c>
      <c r="N661" s="28" t="n">
        <v>0.680511</v>
      </c>
      <c r="O661" s="28" t="n">
        <v>0.5768</v>
      </c>
      <c r="P661" s="28" t="n">
        <v>0.05</v>
      </c>
      <c r="Q661" s="28" t="n">
        <v>-0.103711</v>
      </c>
      <c r="R661" s="26" t="n">
        <v>0</v>
      </c>
      <c r="S661" s="29" t="n">
        <v>1</v>
      </c>
      <c r="T661" s="24" t="inlineStr">
        <is>
          <t>tennis-surface-elo-v1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-213</v>
      </c>
      <c r="AA661" s="28" t="n">
        <v>0.68</v>
      </c>
      <c r="AB661" s="28" t="n">
        <v>-0.000511</v>
      </c>
      <c r="AC661" s="30" t="n">
        <v>0.4695</v>
      </c>
      <c r="AD661" s="24" t="inlineStr">
        <is>
          <t>2026-08-26T22:13:39.545279Z</t>
        </is>
      </c>
      <c r="AE661" s="31" t="inlineStr">
        <is>
          <t>Surface-blended Elo on Hard: Marco Cecchinato p=0.423 vs Vilius Gaubas. Executable ask 0.6800 (aec-atp-vilgau-marcec-2026-08-25).</t>
        </is>
      </c>
      <c r="AF661" s="31" t="inlineStr">
        <is>
          <t>Surface-blended Elo model; singles only, WTA+ATP market coverage, not yet locked-holdout qualified -- promoted by explicit operator directive, not genuine walk-forward validation.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Marco Cecchinato</t>
        </is>
      </c>
      <c r="AQ661" s="24" t="inlineStr">
        <is>
          <t>Marco Cecchinato</t>
        </is>
      </c>
      <c r="AR661" s="24" t="inlineStr">
        <is>
          <t>Marco Cecchinato</t>
        </is>
      </c>
      <c r="AS661" s="24" t="inlineStr">
        <is>
          <t>Vilius Gaubas</t>
        </is>
      </c>
      <c r="AT661" s="24" t="inlineStr">
        <is>
          <t>Vilius Gaubas</t>
        </is>
      </c>
      <c r="AU661" s="24" t="inlineStr">
        <is>
          <t>Vilius Gaubas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d777da58446bc099047b154203518e2585ef1a678f613f2b430f2589f7bf5cff</t>
        </is>
      </c>
      <c r="BB661" s="24" t="inlineStr">
        <is>
          <t>surface_blended_elo</t>
        </is>
      </c>
      <c r="BC661" s="24" t="inlineStr">
        <is>
          <t>tennis-surface-elo-v1</t>
        </is>
      </c>
      <c r="BD661" s="24" t="inlineStr">
        <is>
          <t>d777da58446bc099047b154203518e2585ef1a678f613f2b430f2589f7bf5cff</t>
        </is>
      </c>
      <c r="BE661" s="24" t="inlineStr">
        <is>
          <t>tennis-surface-elo-v1</t>
        </is>
      </c>
      <c r="BF661" s="24" t="inlineStr">
        <is>
          <t>1</t>
        </is>
      </c>
      <c r="BG661" s="24" t="inlineStr">
        <is>
          <t>d777da58446bc099047b154203518e2585ef1a678f613f2b430f2589f7bf5cff</t>
        </is>
      </c>
      <c r="BH661" s="24" t="inlineStr">
        <is>
          <t>2026-08-26T12:42:15.848926Z</t>
        </is>
      </c>
      <c r="BI661" s="24" t="inlineStr">
        <is>
          <t>["same_event","same_team_same_day","same_league_same_day"]</t>
        </is>
      </c>
      <c r="BJ661" s="25" t="n"/>
      <c r="BK661" s="26" t="n">
        <v>-213</v>
      </c>
      <c r="BL661" s="27" t="n">
        <v>1.469484</v>
      </c>
      <c r="BM661" s="28" t="n">
        <v>0.680511</v>
      </c>
      <c r="BN661" s="28" t="n"/>
      <c r="BO661" s="28" t="n"/>
      <c r="BP661" s="25" t="n"/>
      <c r="BQ661" s="27" t="n">
        <v>1.469484</v>
      </c>
      <c r="BR661" s="28" t="n">
        <v>0.68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inlineStr">
        <is>
          <t>39671355adf2aeb0c605f46545c5b7a523601f0ef0a4c6da7e69e388d577d0d4</t>
        </is>
      </c>
      <c r="DE661" s="24" t="inlineStr">
        <is>
          <t>/Users/vincentc9002/model-prediction/data/odds/tennis/2026-08-26/polymarket_snapshots.jsonl</t>
        </is>
      </c>
      <c r="DF661" s="24" t="inlineStr">
        <is>
          <t>513427:2026-08-26T12:42:15.848926Z</t>
        </is>
      </c>
      <c r="DG661" s="24" t="n"/>
      <c r="DH661" s="24" t="n"/>
      <c r="DI661" s="24" t="n"/>
      <c r="DJ661" s="24" t="inlineStr">
        <is>
          <t>0.680511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180a84ddac03416c</t>
        </is>
      </c>
      <c r="B662" s="24" t="inlineStr">
        <is>
          <t>2026-08-26T12:43:29.834856Z</t>
        </is>
      </c>
      <c r="C662" s="24" t="inlineStr">
        <is>
          <t>2026-08-26T16:30Z</t>
        </is>
      </c>
      <c r="D662" s="24" t="inlineStr">
        <is>
          <t>189-2026:184776</t>
        </is>
      </c>
      <c r="E662" s="24" t="inlineStr">
        <is>
          <t>TENNIS</t>
        </is>
      </c>
      <c r="F662" s="24" t="inlineStr">
        <is>
          <t>Billy Harris</t>
        </is>
      </c>
      <c r="G662" s="24" t="inlineStr">
        <is>
          <t>Toby Samuel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-400</v>
      </c>
      <c r="M662" s="27" t="n">
        <v>1.25</v>
      </c>
      <c r="N662" s="28" t="n">
        <v>0.8</v>
      </c>
      <c r="O662" s="28" t="n">
        <v>0.7138</v>
      </c>
      <c r="P662" s="28" t="n">
        <v>0.05</v>
      </c>
      <c r="Q662" s="28" t="n">
        <v>-0.0862</v>
      </c>
      <c r="R662" s="26" t="n">
        <v>0</v>
      </c>
      <c r="S662" s="29" t="n">
        <v>1</v>
      </c>
      <c r="T662" s="24" t="inlineStr">
        <is>
          <t>tennis-surface-elo-v1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1</v>
      </c>
      <c r="Y662" s="25" t="n"/>
      <c r="Z662" s="26" t="n">
        <v>-400</v>
      </c>
      <c r="AA662" s="28" t="n">
        <v>0.8</v>
      </c>
      <c r="AB662" s="28" t="n">
        <v>0</v>
      </c>
      <c r="AC662" s="30" t="n">
        <v>0.25</v>
      </c>
      <c r="AD662" s="24" t="inlineStr">
        <is>
          <t>2026-08-26T22:13:41.713098Z</t>
        </is>
      </c>
      <c r="AE662" s="31" t="inlineStr">
        <is>
          <t>Surface-blended Elo on Hard: Billy Harris p=0.286 vs Toby Samuel. Executable ask 0.8000 (aec-atp-tobsam-bilhar-2026-08-26).</t>
        </is>
      </c>
      <c r="AF662" s="31" t="inlineStr">
        <is>
          <t>Surface-blended Elo model; singles only, WTA+ATP market coverage, not yet locked-holdout qualified -- promoted by explicit operator directive, not genuine walk-forward validation.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Billy Harris</t>
        </is>
      </c>
      <c r="AQ662" s="24" t="inlineStr">
        <is>
          <t>Billy Harris</t>
        </is>
      </c>
      <c r="AR662" s="24" t="inlineStr">
        <is>
          <t>Billy Harris</t>
        </is>
      </c>
      <c r="AS662" s="24" t="inlineStr">
        <is>
          <t>Toby Samuel</t>
        </is>
      </c>
      <c r="AT662" s="24" t="inlineStr">
        <is>
          <t>Toby Samuel</t>
        </is>
      </c>
      <c r="AU662" s="24" t="inlineStr">
        <is>
          <t>Toby Samuel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d777da58446bc099047b154203518e2585ef1a678f613f2b430f2589f7bf5cff</t>
        </is>
      </c>
      <c r="BB662" s="24" t="inlineStr">
        <is>
          <t>surface_blended_elo</t>
        </is>
      </c>
      <c r="BC662" s="24" t="inlineStr">
        <is>
          <t>tennis-surface-elo-v1</t>
        </is>
      </c>
      <c r="BD662" s="24" t="inlineStr">
        <is>
          <t>d777da58446bc099047b154203518e2585ef1a678f613f2b430f2589f7bf5cff</t>
        </is>
      </c>
      <c r="BE662" s="24" t="inlineStr">
        <is>
          <t>tennis-surface-elo-v1</t>
        </is>
      </c>
      <c r="BF662" s="24" t="inlineStr">
        <is>
          <t>1</t>
        </is>
      </c>
      <c r="BG662" s="24" t="inlineStr">
        <is>
          <t>d777da58446bc099047b154203518e2585ef1a678f613f2b430f2589f7bf5cff</t>
        </is>
      </c>
      <c r="BH662" s="24" t="inlineStr">
        <is>
          <t>2026-08-26T12:42:16.134243Z</t>
        </is>
      </c>
      <c r="BI662" s="24" t="inlineStr">
        <is>
          <t>["same_event","same_team_same_day","same_league_same_day"]</t>
        </is>
      </c>
      <c r="BJ662" s="25" t="n"/>
      <c r="BK662" s="26" t="n">
        <v>-400</v>
      </c>
      <c r="BL662" s="27" t="n">
        <v>1.25</v>
      </c>
      <c r="BM662" s="28" t="n">
        <v>0.8</v>
      </c>
      <c r="BN662" s="28" t="n"/>
      <c r="BO662" s="28" t="n"/>
      <c r="BP662" s="25" t="n"/>
      <c r="BQ662" s="27" t="n">
        <v>1.25</v>
      </c>
      <c r="BR662" s="28" t="n">
        <v>0.8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inlineStr">
        <is>
          <t>fc77fd55e0a5012f5afd0f696a00df0dac2ad482072da5ebb96fa48aaebfe46f</t>
        </is>
      </c>
      <c r="DE662" s="24" t="inlineStr">
        <is>
          <t>/Users/vincentc9002/model-prediction/data/odds/tennis/2026-08-26/polymarket_snapshots.jsonl</t>
        </is>
      </c>
      <c r="DF662" s="24" t="inlineStr">
        <is>
          <t>514513:2026-08-26T12:42:16.134243Z</t>
        </is>
      </c>
      <c r="DG662" s="24" t="n"/>
      <c r="DH662" s="24" t="n"/>
      <c r="DI662" s="24" t="n"/>
      <c r="DJ662" s="24" t="inlineStr">
        <is>
          <t>0.8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209d639d9d70409a</t>
        </is>
      </c>
      <c r="B663" s="24" t="inlineStr">
        <is>
          <t>2026-08-26T16:35:15.923799Z</t>
        </is>
      </c>
      <c r="C663" s="24" t="inlineStr">
        <is>
          <t>2026-08-26T21:00Z</t>
        </is>
      </c>
      <c r="D663" s="24" t="inlineStr">
        <is>
          <t>341-2026:182497</t>
        </is>
      </c>
      <c r="E663" s="24" t="inlineStr">
        <is>
          <t>TENNIS</t>
        </is>
      </c>
      <c r="F663" s="24" t="inlineStr">
        <is>
          <t>Ann Li</t>
        </is>
      </c>
      <c r="G663" s="24" t="inlineStr">
        <is>
          <t>Maria Timofeeva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-186</v>
      </c>
      <c r="M663" s="27" t="n">
        <v>1.537634</v>
      </c>
      <c r="N663" s="28" t="n">
        <v>0.65035</v>
      </c>
      <c r="O663" s="28" t="n">
        <v>0.522</v>
      </c>
      <c r="P663" s="28" t="n">
        <v>0.05</v>
      </c>
      <c r="Q663" s="28" t="n">
        <v>-0.12835</v>
      </c>
      <c r="R663" s="26" t="n">
        <v>0</v>
      </c>
      <c r="S663" s="29" t="n">
        <v>1</v>
      </c>
      <c r="T663" s="24" t="inlineStr">
        <is>
          <t>tennis-surface-elo-v1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-186</v>
      </c>
      <c r="AA663" s="28" t="n">
        <v>0.65</v>
      </c>
      <c r="AB663" s="28" t="n">
        <v>-0.00035</v>
      </c>
      <c r="AC663" s="30" t="n">
        <v>0.5376</v>
      </c>
      <c r="AD663" s="24" t="inlineStr">
        <is>
          <t>2026-08-26T22:14:09.339537Z</t>
        </is>
      </c>
      <c r="AE663" s="31" t="inlineStr">
        <is>
          <t>Surface-blended Elo on Hard: Ann Li p=0.522 vs Maria Timofeeva. Executable ask 0.6500 (aec-wta-martim-annli-2026-08-26).</t>
        </is>
      </c>
      <c r="AF663" s="31" t="inlineStr">
        <is>
          <t>Surface-blended Elo model; singles only, WTA+ATP market coverage, not yet locked-holdout qualified -- promoted by explicit operator directive, not genuine walk-forward validation.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Ann Li</t>
        </is>
      </c>
      <c r="AQ663" s="24" t="inlineStr">
        <is>
          <t>Ann Li</t>
        </is>
      </c>
      <c r="AR663" s="24" t="inlineStr">
        <is>
          <t>Ann Li</t>
        </is>
      </c>
      <c r="AS663" s="24" t="inlineStr">
        <is>
          <t>Maria Timofeeva</t>
        </is>
      </c>
      <c r="AT663" s="24" t="inlineStr">
        <is>
          <t>Maria Timofeeva</t>
        </is>
      </c>
      <c r="AU663" s="24" t="inlineStr">
        <is>
          <t>Maria Timofeeva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d777da58446bc099047b154203518e2585ef1a678f613f2b430f2589f7bf5cff</t>
        </is>
      </c>
      <c r="BB663" s="24" t="inlineStr">
        <is>
          <t>surface_blended_elo</t>
        </is>
      </c>
      <c r="BC663" s="24" t="inlineStr">
        <is>
          <t>tennis-surface-elo-v1</t>
        </is>
      </c>
      <c r="BD663" s="24" t="inlineStr">
        <is>
          <t>d777da58446bc099047b154203518e2585ef1a678f613f2b430f2589f7bf5cff</t>
        </is>
      </c>
      <c r="BE663" s="24" t="inlineStr">
        <is>
          <t>tennis-surface-elo-v1</t>
        </is>
      </c>
      <c r="BF663" s="24" t="inlineStr">
        <is>
          <t>1</t>
        </is>
      </c>
      <c r="BG663" s="24" t="inlineStr">
        <is>
          <t>d777da58446bc099047b154203518e2585ef1a678f613f2b430f2589f7bf5cff</t>
        </is>
      </c>
      <c r="BH663" s="24" t="inlineStr">
        <is>
          <t>2026-08-26T12:42:15.265252Z</t>
        </is>
      </c>
      <c r="BI663" s="24" t="inlineStr">
        <is>
          <t>["same_event","same_team_same_day","same_league_same_day"]</t>
        </is>
      </c>
      <c r="BJ663" s="25" t="n"/>
      <c r="BK663" s="26" t="n">
        <v>-186</v>
      </c>
      <c r="BL663" s="27" t="n">
        <v>1.537634</v>
      </c>
      <c r="BM663" s="28" t="n">
        <v>0.65035</v>
      </c>
      <c r="BN663" s="28" t="n"/>
      <c r="BO663" s="28" t="n"/>
      <c r="BP663" s="25" t="n"/>
      <c r="BQ663" s="27" t="n">
        <v>1.537634</v>
      </c>
      <c r="BR663" s="28" t="n">
        <v>0.65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inlineStr">
        <is>
          <t>fc0aeeaf6de5059fe8d83494b1f656ab104493a2cacdf8c3ff25d648b863521e</t>
        </is>
      </c>
      <c r="DE663" s="24" t="inlineStr">
        <is>
          <t>/Users/vincentc9002/model-prediction/data/odds/tennis/2026-08-26/polymarket_snapshots.jsonl</t>
        </is>
      </c>
      <c r="DF663" s="24" t="inlineStr">
        <is>
          <t>523855:2026-08-26T12:42:15.265252Z</t>
        </is>
      </c>
      <c r="DG663" s="24" t="n"/>
      <c r="DH663" s="24" t="n"/>
      <c r="DI663" s="24" t="n"/>
      <c r="DJ663" s="24" t="inlineStr">
        <is>
          <t>0.65035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8ea0078c9fe04015</t>
        </is>
      </c>
      <c r="B664" s="24" t="inlineStr">
        <is>
          <t>2026-08-26T16:35:15.923799Z</t>
        </is>
      </c>
      <c r="C664" s="24" t="inlineStr">
        <is>
          <t>2026-08-26T21:30Z</t>
        </is>
      </c>
      <c r="D664" s="24" t="inlineStr">
        <is>
          <t>341-2026:182502</t>
        </is>
      </c>
      <c r="E664" s="24" t="inlineStr">
        <is>
          <t>TENNIS</t>
        </is>
      </c>
      <c r="F664" s="24" t="inlineStr">
        <is>
          <t>Darja Vidmanova</t>
        </is>
      </c>
      <c r="G664" s="24" t="inlineStr">
        <is>
          <t>Cristina Bucsa</t>
        </is>
      </c>
      <c r="H664" s="24" t="inlineStr">
        <is>
          <t>moneyline</t>
        </is>
      </c>
      <c r="I664" s="24" t="inlineStr">
        <is>
          <t>away</t>
        </is>
      </c>
      <c r="J664" s="25" t="n"/>
      <c r="K664" s="24" t="inlineStr">
        <is>
          <t>polymarket_us</t>
        </is>
      </c>
      <c r="L664" s="26" t="n">
        <v>-127</v>
      </c>
      <c r="M664" s="27" t="n">
        <v>1.787402</v>
      </c>
      <c r="N664" s="28" t="n">
        <v>0.5594710000000001</v>
      </c>
      <c r="O664" s="28" t="n">
        <v>0.5121</v>
      </c>
      <c r="P664" s="28" t="n">
        <v>0.05</v>
      </c>
      <c r="Q664" s="28" t="n">
        <v>-0.047371</v>
      </c>
      <c r="R664" s="26" t="n">
        <v>0</v>
      </c>
      <c r="S664" s="29" t="n">
        <v>1</v>
      </c>
      <c r="T664" s="24" t="inlineStr">
        <is>
          <t>tennis-surface-elo-v1</t>
        </is>
      </c>
      <c r="U664" s="24" t="inlineStr">
        <is>
          <t>settled</t>
        </is>
      </c>
      <c r="V664" s="24" t="inlineStr">
        <is>
          <t>win</t>
        </is>
      </c>
      <c r="W664" s="26" t="n">
        <v>1</v>
      </c>
      <c r="X664" s="26" t="n">
        <v>0</v>
      </c>
      <c r="Y664" s="25" t="n"/>
      <c r="Z664" s="26" t="n">
        <v>-127</v>
      </c>
      <c r="AA664" s="28" t="n">
        <v>0.5600000000000001</v>
      </c>
      <c r="AB664" s="28" t="n">
        <v>0.000529</v>
      </c>
      <c r="AC664" s="30" t="n">
        <v>0.7874</v>
      </c>
      <c r="AD664" s="24" t="inlineStr">
        <is>
          <t>2026-08-27T00:41:17.660476Z</t>
        </is>
      </c>
      <c r="AE664" s="31" t="inlineStr">
        <is>
          <t>Surface-blended Elo on Hard: Darja Vidmanova p=0.512 vs Cristina Bucsa. Executable ask 0.5600 (aec-wta-cribuc-darvid-2026-08-26).</t>
        </is>
      </c>
      <c r="AF664" s="31" t="inlineStr">
        <is>
          <t>Surface-blended Elo model; singles only, WTA+ATP market coverage, not yet locked-holdout qualified -- promoted by explicit operator directive, not genuine walk-forward validation.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Darja Vidmanova</t>
        </is>
      </c>
      <c r="AQ664" s="24" t="inlineStr">
        <is>
          <t>Darja Vidmanova</t>
        </is>
      </c>
      <c r="AR664" s="24" t="inlineStr">
        <is>
          <t>Darja Vidmanova</t>
        </is>
      </c>
      <c r="AS664" s="24" t="inlineStr">
        <is>
          <t>Cristina Bucsa</t>
        </is>
      </c>
      <c r="AT664" s="24" t="inlineStr">
        <is>
          <t>Cristina Bucsa</t>
        </is>
      </c>
      <c r="AU664" s="24" t="inlineStr">
        <is>
          <t>Cristina Bucsa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d777da58446bc099047b154203518e2585ef1a678f613f2b430f2589f7bf5cff</t>
        </is>
      </c>
      <c r="BB664" s="24" t="inlineStr">
        <is>
          <t>surface_blended_elo</t>
        </is>
      </c>
      <c r="BC664" s="24" t="inlineStr">
        <is>
          <t>tennis-surface-elo-v1</t>
        </is>
      </c>
      <c r="BD664" s="24" t="inlineStr">
        <is>
          <t>d777da58446bc099047b154203518e2585ef1a678f613f2b430f2589f7bf5cff</t>
        </is>
      </c>
      <c r="BE664" s="24" t="inlineStr">
        <is>
          <t>tennis-surface-elo-v1</t>
        </is>
      </c>
      <c r="BF664" s="24" t="inlineStr">
        <is>
          <t>1</t>
        </is>
      </c>
      <c r="BG664" s="24" t="inlineStr">
        <is>
          <t>d777da58446bc099047b154203518e2585ef1a678f613f2b430f2589f7bf5cff</t>
        </is>
      </c>
      <c r="BH664" s="24" t="inlineStr">
        <is>
          <t>2026-08-26T12:42:15.282278Z</t>
        </is>
      </c>
      <c r="BI664" s="24" t="inlineStr">
        <is>
          <t>["same_event","same_team_same_day","same_league_same_day"]</t>
        </is>
      </c>
      <c r="BJ664" s="25" t="n"/>
      <c r="BK664" s="26" t="n">
        <v>-127</v>
      </c>
      <c r="BL664" s="27" t="n">
        <v>1.787402</v>
      </c>
      <c r="BM664" s="28" t="n">
        <v>0.5594710000000001</v>
      </c>
      <c r="BN664" s="28" t="n"/>
      <c r="BO664" s="28" t="n"/>
      <c r="BP664" s="25" t="n"/>
      <c r="BQ664" s="27" t="n">
        <v>1.787402</v>
      </c>
      <c r="BR664" s="28" t="n">
        <v>0.5600000000000001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inlineStr">
        <is>
          <t>aae1b94c79493dc8721e37616c7fbcd493abdd6d60e46d1d8875ba80f2ccbbfa</t>
        </is>
      </c>
      <c r="DE664" s="24" t="inlineStr">
        <is>
          <t>/Users/vincentc9002/model-prediction/data/odds/tennis/2026-08-26/polymarket_snapshots.jsonl</t>
        </is>
      </c>
      <c r="DF664" s="24" t="inlineStr">
        <is>
          <t>523999:2026-08-26T12:42:15.282278Z</t>
        </is>
      </c>
      <c r="DG664" s="24" t="n"/>
      <c r="DH664" s="24" t="n"/>
      <c r="DI664" s="24" t="n"/>
      <c r="DJ664" s="24" t="inlineStr">
        <is>
          <t>0.559471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0ccdd94712e041df</t>
        </is>
      </c>
      <c r="B665" s="24" t="inlineStr">
        <is>
          <t>2026-08-26T16:35:15.923799Z</t>
        </is>
      </c>
      <c r="C665" s="24" t="inlineStr">
        <is>
          <t>2026-08-26T22:00Z</t>
        </is>
      </c>
      <c r="D665" s="24" t="inlineStr">
        <is>
          <t>1075-2026:182140</t>
        </is>
      </c>
      <c r="E665" s="24" t="inlineStr">
        <is>
          <t>TENNIS</t>
        </is>
      </c>
      <c r="F665" s="24" t="inlineStr">
        <is>
          <t>Capucine Jauffret</t>
        </is>
      </c>
      <c r="G665" s="24" t="inlineStr">
        <is>
          <t>Oksana Selekhmeteva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polymarket_us</t>
        </is>
      </c>
      <c r="L665" s="26" t="n">
        <v>-1150</v>
      </c>
      <c r="M665" s="27" t="n">
        <v>1.086957</v>
      </c>
      <c r="N665" s="28" t="n">
        <v>0.92</v>
      </c>
      <c r="O665" s="28" t="n">
        <v>0.5978</v>
      </c>
      <c r="P665" s="28" t="n">
        <v>0.05</v>
      </c>
      <c r="Q665" s="28" t="n">
        <v>-0.3222</v>
      </c>
      <c r="R665" s="26" t="n">
        <v>0</v>
      </c>
      <c r="S665" s="29" t="n">
        <v>1</v>
      </c>
      <c r="T665" s="24" t="inlineStr">
        <is>
          <t>tennis-surface-elo-v1</t>
        </is>
      </c>
      <c r="U665" s="24" t="inlineStr">
        <is>
          <t>settled</t>
        </is>
      </c>
      <c r="V665" s="24" t="inlineStr">
        <is>
          <t>win</t>
        </is>
      </c>
      <c r="W665" s="26" t="n">
        <v>0</v>
      </c>
      <c r="X665" s="26" t="n">
        <v>1</v>
      </c>
      <c r="Y665" s="25" t="n"/>
      <c r="Z665" s="26" t="n">
        <v>-1150</v>
      </c>
      <c r="AA665" s="28" t="n">
        <v>0.92</v>
      </c>
      <c r="AB665" s="28" t="n">
        <v>0</v>
      </c>
      <c r="AC665" s="30" t="n">
        <v>0.08699999999999999</v>
      </c>
      <c r="AD665" s="24" t="inlineStr">
        <is>
          <t>2026-08-27T03:39:52.112697Z</t>
        </is>
      </c>
      <c r="AE665" s="31" t="inlineStr">
        <is>
          <t>Surface-blended Elo on Hard: Capucine Jauffret p=0.402 vs Oksana Selekhmeteva. Executable ask 0.9200 (aec-wta-okssel-capjau-2026-08-25).</t>
        </is>
      </c>
      <c r="AF665" s="31" t="inlineStr">
        <is>
          <t>Surface-blended Elo model; singles only, WTA+ATP market coverage, not yet locked-holdout qualified -- promoted by explicit operator directive, not genuine walk-forward validation.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PAPER_CALL_MODEL_UNVALIDATED</t>
        </is>
      </c>
      <c r="AP665" s="24" t="inlineStr">
        <is>
          <t>Capucine Jauffret</t>
        </is>
      </c>
      <c r="AQ665" s="24" t="inlineStr">
        <is>
          <t>Capucine Jauffret</t>
        </is>
      </c>
      <c r="AR665" s="24" t="inlineStr">
        <is>
          <t>Capucine Jauffret</t>
        </is>
      </c>
      <c r="AS665" s="24" t="inlineStr">
        <is>
          <t>Oksana Selekhmeteva</t>
        </is>
      </c>
      <c r="AT665" s="24" t="inlineStr">
        <is>
          <t>Oksana Selekhmeteva</t>
        </is>
      </c>
      <c r="AU665" s="24" t="inlineStr">
        <is>
          <t>Oksana Selekhmeteva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d777da58446bc099047b154203518e2585ef1a678f613f2b430f2589f7bf5cff</t>
        </is>
      </c>
      <c r="BB665" s="24" t="inlineStr">
        <is>
          <t>surface_blended_elo</t>
        </is>
      </c>
      <c r="BC665" s="24" t="inlineStr">
        <is>
          <t>tennis-surface-elo-v1</t>
        </is>
      </c>
      <c r="BD665" s="24" t="inlineStr">
        <is>
          <t>d777da58446bc099047b154203518e2585ef1a678f613f2b430f2589f7bf5cff</t>
        </is>
      </c>
      <c r="BE665" s="24" t="inlineStr">
        <is>
          <t>tennis-surface-elo-v1</t>
        </is>
      </c>
      <c r="BF665" s="24" t="inlineStr">
        <is>
          <t>1</t>
        </is>
      </c>
      <c r="BG665" s="24" t="inlineStr">
        <is>
          <t>d777da58446bc099047b154203518e2585ef1a678f613f2b430f2589f7bf5cff</t>
        </is>
      </c>
      <c r="BH665" s="24" t="inlineStr">
        <is>
          <t>2026-08-26T16:31:17.716832Z</t>
        </is>
      </c>
      <c r="BI665" s="24" t="inlineStr">
        <is>
          <t>["same_event","same_team_same_day","same_league_same_day"]</t>
        </is>
      </c>
      <c r="BJ665" s="25" t="n"/>
      <c r="BK665" s="26" t="n">
        <v>-1150</v>
      </c>
      <c r="BL665" s="27" t="n">
        <v>1.086957</v>
      </c>
      <c r="BM665" s="28" t="n">
        <v>0.92</v>
      </c>
      <c r="BN665" s="28" t="n"/>
      <c r="BO665" s="28" t="n"/>
      <c r="BP665" s="25" t="n"/>
      <c r="BQ665" s="27" t="n">
        <v>1.086957</v>
      </c>
      <c r="BR665" s="28" t="n">
        <v>0.92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inlineStr">
        <is>
          <t>6728dcabb1024fbfe1a788106b7c1596fcf481bc128d8caf621506a03566bb3e</t>
        </is>
      </c>
      <c r="DE665" s="24" t="inlineStr">
        <is>
          <t>/Users/vincentc9002/model-prediction/data/odds/tennis/2026-08-26/polymarket_snapshots.jsonl</t>
        </is>
      </c>
      <c r="DF665" s="24" t="inlineStr">
        <is>
          <t>513152:2026-08-26T16:31:17.716832Z</t>
        </is>
      </c>
      <c r="DG665" s="24" t="n"/>
      <c r="DH665" s="24" t="n"/>
      <c r="DI665" s="24" t="n"/>
      <c r="DJ665" s="24" t="inlineStr">
        <is>
          <t>0.92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8ace6e69b9444c81</t>
        </is>
      </c>
      <c r="B666" s="24" t="inlineStr">
        <is>
          <t>2026-08-26T16:35:15.923799Z</t>
        </is>
      </c>
      <c r="C666" s="24" t="inlineStr">
        <is>
          <t>2026-08-26T18:00Z</t>
        </is>
      </c>
      <c r="D666" s="24" t="inlineStr">
        <is>
          <t>189-2026:184755</t>
        </is>
      </c>
      <c r="E666" s="24" t="inlineStr">
        <is>
          <t>TENNIS</t>
        </is>
      </c>
      <c r="F666" s="24" t="inlineStr">
        <is>
          <t>Viktoria Hruncakova</t>
        </is>
      </c>
      <c r="G666" s="24" t="inlineStr">
        <is>
          <t>Susan Bandecchi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-170</v>
      </c>
      <c r="M666" s="27" t="n">
        <v>1.588235</v>
      </c>
      <c r="N666" s="28" t="n">
        <v>0.62963</v>
      </c>
      <c r="O666" s="28" t="n">
        <v>0.5569</v>
      </c>
      <c r="P666" s="28" t="n">
        <v>0.05</v>
      </c>
      <c r="Q666" s="28" t="n">
        <v>-0.07273</v>
      </c>
      <c r="R666" s="26" t="n">
        <v>0</v>
      </c>
      <c r="S666" s="29" t="n">
        <v>1</v>
      </c>
      <c r="T666" s="24" t="inlineStr">
        <is>
          <t>tennis-surface-elo-v1</t>
        </is>
      </c>
      <c r="U666" s="24" t="inlineStr">
        <is>
          <t>settled</t>
        </is>
      </c>
      <c r="V666" s="24" t="inlineStr">
        <is>
          <t>win</t>
        </is>
      </c>
      <c r="W666" s="26" t="n">
        <v>0</v>
      </c>
      <c r="X666" s="26" t="n">
        <v>1</v>
      </c>
      <c r="Y666" s="25" t="n"/>
      <c r="Z666" s="26" t="n">
        <v>-178</v>
      </c>
      <c r="AA666" s="28" t="n">
        <v>0.64</v>
      </c>
      <c r="AB666" s="28" t="n">
        <v>0.01037</v>
      </c>
      <c r="AC666" s="30" t="n">
        <v>0.5881999999999999</v>
      </c>
      <c r="AD666" s="24" t="inlineStr">
        <is>
          <t>2026-08-26T22:14:11.484710Z</t>
        </is>
      </c>
      <c r="AE666" s="31" t="inlineStr">
        <is>
          <t>Surface-blended Elo on Hard: Viktoria Hruncakova p=0.443 vs Susan Bandecchi. Executable ask 0.6300 (aec-wta-susban-vikhru-2026-08-26).</t>
        </is>
      </c>
      <c r="AF666" s="31" t="inlineStr">
        <is>
          <t>Surface-blended Elo model; singles only, WTA+ATP market coverage, not yet locked-holdout qualified -- promoted by explicit operator directive, not genuine walk-forward validation.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Viktoria Hruncakova</t>
        </is>
      </c>
      <c r="AQ666" s="24" t="inlineStr">
        <is>
          <t>Viktoria Hruncakova</t>
        </is>
      </c>
      <c r="AR666" s="24" t="inlineStr">
        <is>
          <t>Viktoria Hruncakova</t>
        </is>
      </c>
      <c r="AS666" s="24" t="inlineStr">
        <is>
          <t>Susan Bandecchi</t>
        </is>
      </c>
      <c r="AT666" s="24" t="inlineStr">
        <is>
          <t>Susan Bandecchi</t>
        </is>
      </c>
      <c r="AU666" s="24" t="inlineStr">
        <is>
          <t>Susan Bandecchi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d777da58446bc099047b154203518e2585ef1a678f613f2b430f2589f7bf5cff</t>
        </is>
      </c>
      <c r="BB666" s="24" t="inlineStr">
        <is>
          <t>surface_blended_elo</t>
        </is>
      </c>
      <c r="BC666" s="24" t="inlineStr">
        <is>
          <t>tennis-surface-elo-v1</t>
        </is>
      </c>
      <c r="BD666" s="24" t="inlineStr">
        <is>
          <t>d777da58446bc099047b154203518e2585ef1a678f613f2b430f2589f7bf5cff</t>
        </is>
      </c>
      <c r="BE666" s="24" t="inlineStr">
        <is>
          <t>tennis-surface-elo-v1</t>
        </is>
      </c>
      <c r="BF666" s="24" t="inlineStr">
        <is>
          <t>1</t>
        </is>
      </c>
      <c r="BG666" s="24" t="inlineStr">
        <is>
          <t>d777da58446bc099047b154203518e2585ef1a678f613f2b430f2589f7bf5cff</t>
        </is>
      </c>
      <c r="BH666" s="24" t="inlineStr">
        <is>
          <t>2026-08-26T12:42:15.245544Z</t>
        </is>
      </c>
      <c r="BI666" s="24" t="inlineStr">
        <is>
          <t>["same_event","same_team_same_day","same_league_same_day"]</t>
        </is>
      </c>
      <c r="BJ666" s="25" t="n"/>
      <c r="BK666" s="26" t="n">
        <v>-170</v>
      </c>
      <c r="BL666" s="27" t="n">
        <v>1.588235</v>
      </c>
      <c r="BM666" s="28" t="n">
        <v>0.62963</v>
      </c>
      <c r="BN666" s="28" t="n"/>
      <c r="BO666" s="28" t="n"/>
      <c r="BP666" s="25" t="n"/>
      <c r="BQ666" s="27" t="n">
        <v>1.561798</v>
      </c>
      <c r="BR666" s="28" t="n">
        <v>0.64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inlineStr">
        <is>
          <t>7cdb294e0b08ca99f9bb83ef53070979c799f3f5c6c70db41877e3c04be51a74</t>
        </is>
      </c>
      <c r="DE666" s="24" t="inlineStr">
        <is>
          <t>/Users/vincentc9002/model-prediction/data/odds/tennis/2026-08-26/polymarket_snapshots.jsonl</t>
        </is>
      </c>
      <c r="DF666" s="24" t="inlineStr">
        <is>
          <t>521264:2026-08-26T12:42:15.245544Z</t>
        </is>
      </c>
      <c r="DG666" s="24" t="n"/>
      <c r="DH666" s="24" t="n"/>
      <c r="DI666" s="24" t="n"/>
      <c r="DJ666" s="24" t="inlineStr">
        <is>
          <t>0.62963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af82663765cb4ff8</t>
        </is>
      </c>
      <c r="B667" s="24" t="inlineStr">
        <is>
          <t>2026-08-26T16:35:15.923799Z</t>
        </is>
      </c>
      <c r="C667" s="24" t="inlineStr">
        <is>
          <t>2026-08-26T18:00Z</t>
        </is>
      </c>
      <c r="D667" s="24" t="inlineStr">
        <is>
          <t>189-2026:184778</t>
        </is>
      </c>
      <c r="E667" s="24" t="inlineStr">
        <is>
          <t>TENNIS</t>
        </is>
      </c>
      <c r="F667" s="24" t="inlineStr">
        <is>
          <t>Anna Siskova</t>
        </is>
      </c>
      <c r="G667" s="24" t="inlineStr">
        <is>
          <t>Nao Hibino</t>
        </is>
      </c>
      <c r="H667" s="24" t="inlineStr">
        <is>
          <t>moneyline</t>
        </is>
      </c>
      <c r="I667" s="24" t="inlineStr">
        <is>
          <t>away</t>
        </is>
      </c>
      <c r="J667" s="25" t="n"/>
      <c r="K667" s="24" t="inlineStr">
        <is>
          <t>polymarket_us</t>
        </is>
      </c>
      <c r="L667" s="26" t="n">
        <v>-127</v>
      </c>
      <c r="M667" s="27" t="n">
        <v>1.787402</v>
      </c>
      <c r="N667" s="28" t="n">
        <v>0.5594710000000001</v>
      </c>
      <c r="O667" s="28" t="n">
        <v>0.5708</v>
      </c>
      <c r="P667" s="28" t="n">
        <v>0.05</v>
      </c>
      <c r="Q667" s="28" t="n">
        <v>0.011329</v>
      </c>
      <c r="R667" s="26" t="n">
        <v>26</v>
      </c>
      <c r="S667" s="29" t="n">
        <v>1</v>
      </c>
      <c r="T667" s="24" t="inlineStr">
        <is>
          <t>tennis-surface-elo-v1</t>
        </is>
      </c>
      <c r="U667" s="24" t="inlineStr">
        <is>
          <t>settled</t>
        </is>
      </c>
      <c r="V667" s="24" t="inlineStr">
        <is>
          <t>loss</t>
        </is>
      </c>
      <c r="W667" s="26" t="n">
        <v>0</v>
      </c>
      <c r="X667" s="26" t="n">
        <v>1</v>
      </c>
      <c r="Y667" s="25" t="n"/>
      <c r="Z667" s="26" t="n">
        <v>-144</v>
      </c>
      <c r="AA667" s="28" t="n">
        <v>0.59</v>
      </c>
      <c r="AB667" s="28" t="n">
        <v>0.030529</v>
      </c>
      <c r="AC667" s="30" t="n">
        <v>-1</v>
      </c>
      <c r="AD667" s="24" t="inlineStr">
        <is>
          <t>2026-08-26T22:14:13.639270Z</t>
        </is>
      </c>
      <c r="AE667" s="31" t="inlineStr">
        <is>
          <t>Surface-blended Elo on Hard: Anna Siskova p=0.571 vs Nao Hibino. Executable ask 0.5600 (aec-wta-naohib-annsis-2026-08-26).</t>
        </is>
      </c>
      <c r="AF667" s="31" t="inlineStr">
        <is>
          <t>Surface-blended Elo model; singles only, WTA+ATP market coverage, not yet locked-holdout qualified -- promoted by explicit operator directive, not genuine walk-forward validation.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Anna Siskova</t>
        </is>
      </c>
      <c r="AQ667" s="24" t="inlineStr">
        <is>
          <t>Anna Siskova</t>
        </is>
      </c>
      <c r="AR667" s="24" t="inlineStr">
        <is>
          <t>Anna Siskova</t>
        </is>
      </c>
      <c r="AS667" s="24" t="inlineStr">
        <is>
          <t>Nao Hibino</t>
        </is>
      </c>
      <c r="AT667" s="24" t="inlineStr">
        <is>
          <t>Nao Hibino</t>
        </is>
      </c>
      <c r="AU667" s="24" t="inlineStr">
        <is>
          <t>Nao Hibino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d777da58446bc099047b154203518e2585ef1a678f613f2b430f2589f7bf5cff</t>
        </is>
      </c>
      <c r="BB667" s="24" t="inlineStr">
        <is>
          <t>surface_blended_elo</t>
        </is>
      </c>
      <c r="BC667" s="24" t="inlineStr">
        <is>
          <t>tennis-surface-elo-v1</t>
        </is>
      </c>
      <c r="BD667" s="24" t="inlineStr">
        <is>
          <t>d777da58446bc099047b154203518e2585ef1a678f613f2b430f2589f7bf5cff</t>
        </is>
      </c>
      <c r="BE667" s="24" t="inlineStr">
        <is>
          <t>tennis-surface-elo-v1</t>
        </is>
      </c>
      <c r="BF667" s="24" t="inlineStr">
        <is>
          <t>1</t>
        </is>
      </c>
      <c r="BG667" s="24" t="inlineStr">
        <is>
          <t>d777da58446bc099047b154203518e2585ef1a678f613f2b430f2589f7bf5cff</t>
        </is>
      </c>
      <c r="BH667" s="24" t="inlineStr">
        <is>
          <t>2026-08-26T12:42:15.140083Z</t>
        </is>
      </c>
      <c r="BI667" s="24" t="inlineStr">
        <is>
          <t>["same_event","same_team_same_day","same_league_same_day"]</t>
        </is>
      </c>
      <c r="BJ667" s="25" t="n"/>
      <c r="BK667" s="26" t="n">
        <v>-127</v>
      </c>
      <c r="BL667" s="27" t="n">
        <v>1.787402</v>
      </c>
      <c r="BM667" s="28" t="n">
        <v>0.5594710000000001</v>
      </c>
      <c r="BN667" s="28" t="n"/>
      <c r="BO667" s="28" t="n"/>
      <c r="BP667" s="25" t="n"/>
      <c r="BQ667" s="27" t="n">
        <v>1.694444</v>
      </c>
      <c r="BR667" s="28" t="n">
        <v>0.59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inlineStr">
        <is>
          <t>cd6a2b2ce9a76f496715e0a27054388065aa5b6bd0b23e53165c6c8ed97a9332</t>
        </is>
      </c>
      <c r="DE667" s="24" t="inlineStr">
        <is>
          <t>/Users/vincentc9002/model-prediction/data/odds/tennis/2026-08-26/polymarket_snapshots.jsonl</t>
        </is>
      </c>
      <c r="DF667" s="24" t="inlineStr">
        <is>
          <t>521706:2026-08-26T12:42:15.140083Z</t>
        </is>
      </c>
      <c r="DG667" s="24" t="n"/>
      <c r="DH667" s="24" t="n"/>
      <c r="DI667" s="24" t="n"/>
      <c r="DJ667" s="24" t="inlineStr">
        <is>
          <t>0.559471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c1ff6cdbedc347d0</t>
        </is>
      </c>
      <c r="B668" s="24" t="inlineStr">
        <is>
          <t>2026-08-26T16:35:15.923799Z</t>
        </is>
      </c>
      <c r="C668" s="24" t="inlineStr">
        <is>
          <t>2026-08-26T18:00Z</t>
        </is>
      </c>
      <c r="D668" s="24" t="inlineStr">
        <is>
          <t>189-2026:184782</t>
        </is>
      </c>
      <c r="E668" s="24" t="inlineStr">
        <is>
          <t>TENNIS</t>
        </is>
      </c>
      <c r="F668" s="24" t="inlineStr">
        <is>
          <t>Harriet Dart</t>
        </is>
      </c>
      <c r="G668" s="24" t="inlineStr">
        <is>
          <t>Kristina Penickova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-400</v>
      </c>
      <c r="M668" s="27" t="n">
        <v>1.25</v>
      </c>
      <c r="N668" s="28" t="n">
        <v>0.8</v>
      </c>
      <c r="O668" s="28" t="n">
        <v>0.5464</v>
      </c>
      <c r="P668" s="28" t="n">
        <v>0.05</v>
      </c>
      <c r="Q668" s="28" t="n">
        <v>-0.2536</v>
      </c>
      <c r="R668" s="26" t="n">
        <v>0</v>
      </c>
      <c r="S668" s="29" t="n">
        <v>1</v>
      </c>
      <c r="T668" s="24" t="inlineStr">
        <is>
          <t>tennis-surface-elo-v1</t>
        </is>
      </c>
      <c r="U668" s="24" t="inlineStr">
        <is>
          <t>settled</t>
        </is>
      </c>
      <c r="V668" s="24" t="inlineStr">
        <is>
          <t>win</t>
        </is>
      </c>
      <c r="W668" s="26" t="n">
        <v>1</v>
      </c>
      <c r="X668" s="26" t="n">
        <v>0</v>
      </c>
      <c r="Y668" s="25" t="n"/>
      <c r="Z668" s="26" t="n">
        <v>-426</v>
      </c>
      <c r="AA668" s="28" t="n">
        <v>0.8100000000000001</v>
      </c>
      <c r="AB668" s="28" t="n">
        <v>0.01</v>
      </c>
      <c r="AC668" s="30" t="n">
        <v>0.25</v>
      </c>
      <c r="AD668" s="24" t="inlineStr">
        <is>
          <t>2026-08-26T22:14:16.359041Z</t>
        </is>
      </c>
      <c r="AE668" s="31" t="inlineStr">
        <is>
          <t>Surface-blended Elo on Hard: Harriet Dart p=0.546 vs Kristina Penickova. Executable ask 0.8000 (aec-wta-kripen-hardar-2026-08-26).</t>
        </is>
      </c>
      <c r="AF668" s="31" t="inlineStr">
        <is>
          <t>Surface-blended Elo model; singles only, WTA+ATP market coverage, not yet locked-holdout qualified -- promoted by explicit operator directive, not genuine walk-forward validation.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PAPER_CALL_MODEL_UNVALIDATED</t>
        </is>
      </c>
      <c r="AP668" s="24" t="inlineStr">
        <is>
          <t>Harriet Dart</t>
        </is>
      </c>
      <c r="AQ668" s="24" t="inlineStr">
        <is>
          <t>Harriet Dart</t>
        </is>
      </c>
      <c r="AR668" s="24" t="inlineStr">
        <is>
          <t>Harriet Dart</t>
        </is>
      </c>
      <c r="AS668" s="24" t="inlineStr">
        <is>
          <t>Kristina Penickova</t>
        </is>
      </c>
      <c r="AT668" s="24" t="inlineStr">
        <is>
          <t>Kristina Penickova</t>
        </is>
      </c>
      <c r="AU668" s="24" t="inlineStr">
        <is>
          <t>Kristina Penickova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d777da58446bc099047b154203518e2585ef1a678f613f2b430f2589f7bf5cff</t>
        </is>
      </c>
      <c r="BB668" s="24" t="inlineStr">
        <is>
          <t>surface_blended_elo</t>
        </is>
      </c>
      <c r="BC668" s="24" t="inlineStr">
        <is>
          <t>tennis-surface-elo-v1</t>
        </is>
      </c>
      <c r="BD668" s="24" t="inlineStr">
        <is>
          <t>d777da58446bc099047b154203518e2585ef1a678f613f2b430f2589f7bf5cff</t>
        </is>
      </c>
      <c r="BE668" s="24" t="inlineStr">
        <is>
          <t>tennis-surface-elo-v1</t>
        </is>
      </c>
      <c r="BF668" s="24" t="inlineStr">
        <is>
          <t>1</t>
        </is>
      </c>
      <c r="BG668" s="24" t="inlineStr">
        <is>
          <t>d777da58446bc099047b154203518e2585ef1a678f613f2b430f2589f7bf5cff</t>
        </is>
      </c>
      <c r="BH668" s="24" t="inlineStr">
        <is>
          <t>2026-08-26T12:42:15.153130Z</t>
        </is>
      </c>
      <c r="BI668" s="24" t="inlineStr">
        <is>
          <t>["same_event","same_team_same_day","same_league_same_day"]</t>
        </is>
      </c>
      <c r="BJ668" s="25" t="n"/>
      <c r="BK668" s="26" t="n">
        <v>-400</v>
      </c>
      <c r="BL668" s="27" t="n">
        <v>1.25</v>
      </c>
      <c r="BM668" s="28" t="n">
        <v>0.8</v>
      </c>
      <c r="BN668" s="28" t="n"/>
      <c r="BO668" s="28" t="n"/>
      <c r="BP668" s="25" t="n"/>
      <c r="BQ668" s="27" t="n">
        <v>1.234742</v>
      </c>
      <c r="BR668" s="28" t="n">
        <v>0.8100000000000001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inlineStr">
        <is>
          <t>d6c06d8a20b271295b64571df6d819d85cc3ea248b2cf70782720e939157c0fe</t>
        </is>
      </c>
      <c r="DE668" s="24" t="inlineStr">
        <is>
          <t>/Users/vincentc9002/model-prediction/data/odds/tennis/2026-08-26/polymarket_snapshots.jsonl</t>
        </is>
      </c>
      <c r="DF668" s="24" t="inlineStr">
        <is>
          <t>520702:2026-08-26T12:42:15.153130Z</t>
        </is>
      </c>
      <c r="DG668" s="24" t="n"/>
      <c r="DH668" s="24" t="n"/>
      <c r="DI668" s="24" t="n"/>
      <c r="DJ668" s="24" t="inlineStr">
        <is>
          <t>0.8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0afc437e54214b04</t>
        </is>
      </c>
      <c r="B669" s="24" t="inlineStr">
        <is>
          <t>2026-08-26T16:35:15.923799Z</t>
        </is>
      </c>
      <c r="C669" s="24" t="inlineStr">
        <is>
          <t>2026-08-26T18:00Z</t>
        </is>
      </c>
      <c r="D669" s="24" t="inlineStr">
        <is>
          <t>189-2026:184785</t>
        </is>
      </c>
      <c r="E669" s="24" t="inlineStr">
        <is>
          <t>TENNIS</t>
        </is>
      </c>
      <c r="F669" s="24" t="inlineStr">
        <is>
          <t>Suzan Lamens</t>
        </is>
      </c>
      <c r="G669" s="24" t="inlineStr">
        <is>
          <t>Arantxa Rus</t>
        </is>
      </c>
      <c r="H669" s="24" t="inlineStr">
        <is>
          <t>moneyline</t>
        </is>
      </c>
      <c r="I669" s="24" t="inlineStr">
        <is>
          <t>away</t>
        </is>
      </c>
      <c r="J669" s="25" t="n"/>
      <c r="K669" s="24" t="inlineStr">
        <is>
          <t>polymarket_us</t>
        </is>
      </c>
      <c r="L669" s="26" t="n">
        <v>-186</v>
      </c>
      <c r="M669" s="27" t="n">
        <v>1.537634</v>
      </c>
      <c r="N669" s="28" t="n">
        <v>0.65035</v>
      </c>
      <c r="O669" s="28" t="n">
        <v>0.5863</v>
      </c>
      <c r="P669" s="28" t="n">
        <v>0.05</v>
      </c>
      <c r="Q669" s="28" t="n">
        <v>-0.06405</v>
      </c>
      <c r="R669" s="26" t="n">
        <v>0</v>
      </c>
      <c r="S669" s="29" t="n">
        <v>1</v>
      </c>
      <c r="T669" s="24" t="inlineStr">
        <is>
          <t>tennis-surface-elo-v1</t>
        </is>
      </c>
      <c r="U669" s="24" t="inlineStr">
        <is>
          <t>settled</t>
        </is>
      </c>
      <c r="V669" s="24" t="inlineStr">
        <is>
          <t>loss</t>
        </is>
      </c>
      <c r="W669" s="26" t="n">
        <v>0</v>
      </c>
      <c r="X669" s="26" t="n">
        <v>1</v>
      </c>
      <c r="Y669" s="25" t="n"/>
      <c r="Z669" s="26" t="n">
        <v>-194</v>
      </c>
      <c r="AA669" s="28" t="n">
        <v>0.66</v>
      </c>
      <c r="AB669" s="28" t="n">
        <v>0.009650000000000001</v>
      </c>
      <c r="AC669" s="30" t="n">
        <v>-1</v>
      </c>
      <c r="AD669" s="24" t="inlineStr">
        <is>
          <t>2026-08-26T22:14:18.504561Z</t>
        </is>
      </c>
      <c r="AE669" s="31" t="inlineStr">
        <is>
          <t>Surface-blended Elo on Hard: Suzan Lamens p=0.586 vs Arantxa Rus. Executable ask 0.6500 (aec-wta-ararus-suzlam-2026-08-26).</t>
        </is>
      </c>
      <c r="AF669" s="31" t="inlineStr">
        <is>
          <t>Surface-blended Elo model; singles only, WTA+ATP market coverage, not yet locked-holdout qualified -- promoted by explicit operator directive, not genuine walk-forward validation.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Suzan Lamens</t>
        </is>
      </c>
      <c r="AQ669" s="24" t="inlineStr">
        <is>
          <t>Suzan Lamens</t>
        </is>
      </c>
      <c r="AR669" s="24" t="inlineStr">
        <is>
          <t>Suzan Lamens</t>
        </is>
      </c>
      <c r="AS669" s="24" t="inlineStr">
        <is>
          <t>Arantxa Rus</t>
        </is>
      </c>
      <c r="AT669" s="24" t="inlineStr">
        <is>
          <t>Arantxa Rus</t>
        </is>
      </c>
      <c r="AU669" s="24" t="inlineStr">
        <is>
          <t>Arantxa Rus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d777da58446bc099047b154203518e2585ef1a678f613f2b430f2589f7bf5cff</t>
        </is>
      </c>
      <c r="BB669" s="24" t="inlineStr">
        <is>
          <t>surface_blended_elo</t>
        </is>
      </c>
      <c r="BC669" s="24" t="inlineStr">
        <is>
          <t>tennis-surface-elo-v1</t>
        </is>
      </c>
      <c r="BD669" s="24" t="inlineStr">
        <is>
          <t>d777da58446bc099047b154203518e2585ef1a678f613f2b430f2589f7bf5cff</t>
        </is>
      </c>
      <c r="BE669" s="24" t="inlineStr">
        <is>
          <t>tennis-surface-elo-v1</t>
        </is>
      </c>
      <c r="BF669" s="24" t="inlineStr">
        <is>
          <t>1</t>
        </is>
      </c>
      <c r="BG669" s="24" t="inlineStr">
        <is>
          <t>d777da58446bc099047b154203518e2585ef1a678f613f2b430f2589f7bf5cff</t>
        </is>
      </c>
      <c r="BH669" s="24" t="inlineStr">
        <is>
          <t>2026-08-26T12:42:15.113898Z</t>
        </is>
      </c>
      <c r="BI669" s="24" t="inlineStr">
        <is>
          <t>["same_event","same_team_same_day","same_league_same_day"]</t>
        </is>
      </c>
      <c r="BJ669" s="25" t="n"/>
      <c r="BK669" s="26" t="n">
        <v>-186</v>
      </c>
      <c r="BL669" s="27" t="n">
        <v>1.537634</v>
      </c>
      <c r="BM669" s="28" t="n">
        <v>0.65035</v>
      </c>
      <c r="BN669" s="28" t="n"/>
      <c r="BO669" s="28" t="n"/>
      <c r="BP669" s="25" t="n"/>
      <c r="BQ669" s="27" t="n">
        <v>1.515464</v>
      </c>
      <c r="BR669" s="28" t="n">
        <v>0.66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inlineStr">
        <is>
          <t>3f8b84525b99b928c074f69a11ac7e42236f034cbf0699816e13679fe33ee23c</t>
        </is>
      </c>
      <c r="DE669" s="24" t="inlineStr">
        <is>
          <t>/Users/vincentc9002/model-prediction/data/odds/tennis/2026-08-26/polymarket_snapshots.jsonl</t>
        </is>
      </c>
      <c r="DF669" s="24" t="inlineStr">
        <is>
          <t>521707:2026-08-26T12:42:15.113898Z</t>
        </is>
      </c>
      <c r="DG669" s="24" t="n"/>
      <c r="DH669" s="24" t="n"/>
      <c r="DI669" s="24" t="n"/>
      <c r="DJ669" s="24" t="inlineStr">
        <is>
          <t>0.65035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b95629d793da455c</t>
        </is>
      </c>
      <c r="B670" s="24" t="inlineStr">
        <is>
          <t>2026-08-26T16:35:15.923799Z</t>
        </is>
      </c>
      <c r="C670" s="24" t="inlineStr">
        <is>
          <t>2026-08-26T18:00Z</t>
        </is>
      </c>
      <c r="D670" s="24" t="inlineStr">
        <is>
          <t>189-2026:184788</t>
        </is>
      </c>
      <c r="E670" s="24" t="inlineStr">
        <is>
          <t>TENNIS</t>
        </is>
      </c>
      <c r="F670" s="24" t="inlineStr">
        <is>
          <t>Lucie Havlickova</t>
        </is>
      </c>
      <c r="G670" s="24" t="inlineStr">
        <is>
          <t>Moyuka Uchijima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-203</v>
      </c>
      <c r="M670" s="27" t="n">
        <v>1.492611</v>
      </c>
      <c r="N670" s="28" t="n">
        <v>0.669967</v>
      </c>
      <c r="O670" s="28" t="n">
        <v>0.6602</v>
      </c>
      <c r="P670" s="28" t="n">
        <v>0.05</v>
      </c>
      <c r="Q670" s="28" t="n">
        <v>-0.009767</v>
      </c>
      <c r="R670" s="26" t="n">
        <v>15</v>
      </c>
      <c r="S670" s="29" t="n">
        <v>1</v>
      </c>
      <c r="T670" s="24" t="inlineStr">
        <is>
          <t>tennis-surface-elo-v1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-178</v>
      </c>
      <c r="AA670" s="28" t="n">
        <v>0.64</v>
      </c>
      <c r="AB670" s="28" t="n">
        <v>-0.029967</v>
      </c>
      <c r="AC670" s="30" t="n">
        <v>-1</v>
      </c>
      <c r="AD670" s="24" t="inlineStr">
        <is>
          <t>2026-08-26T22:14:20.663709Z</t>
        </is>
      </c>
      <c r="AE670" s="31" t="inlineStr">
        <is>
          <t>Surface-blended Elo on Hard: Lucie Havlickova p=0.340 vs Moyuka Uchijima. Executable ask 0.6700 (aec-wta-moyuch-luchav-2026-08-26).</t>
        </is>
      </c>
      <c r="AF670" s="31" t="inlineStr">
        <is>
          <t>Surface-blended Elo model; singles only, WTA+ATP market coverage, not yet locked-holdout qualified -- promoted by explicit operator directive, not genuine walk-forward validation.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Lucie Havlickova</t>
        </is>
      </c>
      <c r="AQ670" s="24" t="inlineStr">
        <is>
          <t>Lucie Havlickova</t>
        </is>
      </c>
      <c r="AR670" s="24" t="inlineStr">
        <is>
          <t>Lucie Havlickova</t>
        </is>
      </c>
      <c r="AS670" s="24" t="inlineStr">
        <is>
          <t>Moyuka Uchijima</t>
        </is>
      </c>
      <c r="AT670" s="24" t="inlineStr">
        <is>
          <t>Moyuka Uchijima</t>
        </is>
      </c>
      <c r="AU670" s="24" t="inlineStr">
        <is>
          <t>Moyuka Uchijima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d777da58446bc099047b154203518e2585ef1a678f613f2b430f2589f7bf5cff</t>
        </is>
      </c>
      <c r="BB670" s="24" t="inlineStr">
        <is>
          <t>surface_blended_elo</t>
        </is>
      </c>
      <c r="BC670" s="24" t="inlineStr">
        <is>
          <t>tennis-surface-elo-v1</t>
        </is>
      </c>
      <c r="BD670" s="24" t="inlineStr">
        <is>
          <t>d777da58446bc099047b154203518e2585ef1a678f613f2b430f2589f7bf5cff</t>
        </is>
      </c>
      <c r="BE670" s="24" t="inlineStr">
        <is>
          <t>tennis-surface-elo-v1</t>
        </is>
      </c>
      <c r="BF670" s="24" t="inlineStr">
        <is>
          <t>1</t>
        </is>
      </c>
      <c r="BG670" s="24" t="inlineStr">
        <is>
          <t>d777da58446bc099047b154203518e2585ef1a678f613f2b430f2589f7bf5cff</t>
        </is>
      </c>
      <c r="BH670" s="24" t="inlineStr">
        <is>
          <t>2026-08-26T12:42:15.141131Z</t>
        </is>
      </c>
      <c r="BI670" s="24" t="inlineStr">
        <is>
          <t>["same_event","same_team_same_day","same_league_same_day"]</t>
        </is>
      </c>
      <c r="BJ670" s="25" t="n"/>
      <c r="BK670" s="26" t="n">
        <v>-203</v>
      </c>
      <c r="BL670" s="27" t="n">
        <v>1.492611</v>
      </c>
      <c r="BM670" s="28" t="n">
        <v>0.669967</v>
      </c>
      <c r="BN670" s="28" t="n"/>
      <c r="BO670" s="28" t="n"/>
      <c r="BP670" s="25" t="n"/>
      <c r="BQ670" s="27" t="n">
        <v>1.561798</v>
      </c>
      <c r="BR670" s="28" t="n">
        <v>0.64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False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inlineStr">
        <is>
          <t>7b002b735118ec16a6072ccffa4c4c87282e2f6972120f0208e8f08c3f883e30</t>
        </is>
      </c>
      <c r="DE670" s="24" t="inlineStr">
        <is>
          <t>/Users/vincentc9002/model-prediction/data/odds/tennis/2026-08-26/polymarket_snapshots.jsonl</t>
        </is>
      </c>
      <c r="DF670" s="24" t="inlineStr">
        <is>
          <t>520448:2026-08-26T12:42:15.141131Z</t>
        </is>
      </c>
      <c r="DG670" s="24" t="n"/>
      <c r="DH670" s="24" t="n"/>
      <c r="DI670" s="24" t="n"/>
      <c r="DJ670" s="24" t="inlineStr">
        <is>
          <t>0.669967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5f7aa9dbac914cc0</t>
        </is>
      </c>
      <c r="B671" s="24" t="inlineStr">
        <is>
          <t>2026-08-26T16:35:15.923799Z</t>
        </is>
      </c>
      <c r="C671" s="24" t="inlineStr">
        <is>
          <t>2026-08-26T18:00Z</t>
        </is>
      </c>
      <c r="D671" s="24" t="inlineStr">
        <is>
          <t>189-2026:184803</t>
        </is>
      </c>
      <c r="E671" s="24" t="inlineStr">
        <is>
          <t>TENNIS</t>
        </is>
      </c>
      <c r="F671" s="24" t="inlineStr">
        <is>
          <t>Veronika Podrez</t>
        </is>
      </c>
      <c r="G671" s="24" t="inlineStr">
        <is>
          <t>Bianca Andreescu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257</v>
      </c>
      <c r="M671" s="27" t="n">
        <v>3.57</v>
      </c>
      <c r="N671" s="28" t="n">
        <v>0.280112</v>
      </c>
      <c r="O671" s="28" t="n">
        <v>0.6007</v>
      </c>
      <c r="P671" s="28" t="n">
        <v>0.05</v>
      </c>
      <c r="Q671" s="28" t="n">
        <v>0.320588</v>
      </c>
      <c r="R671" s="26" t="n">
        <v>100</v>
      </c>
      <c r="S671" s="29" t="n">
        <v>2</v>
      </c>
      <c r="T671" s="24" t="inlineStr">
        <is>
          <t>tennis-surface-elo-v1</t>
        </is>
      </c>
      <c r="U671" s="24" t="inlineStr">
        <is>
          <t>settled</t>
        </is>
      </c>
      <c r="V671" s="24" t="inlineStr">
        <is>
          <t>loss</t>
        </is>
      </c>
      <c r="W671" s="26" t="n">
        <v>0</v>
      </c>
      <c r="X671" s="26" t="n">
        <v>1</v>
      </c>
      <c r="Y671" s="25" t="n"/>
      <c r="Z671" s="26" t="n">
        <v>270</v>
      </c>
      <c r="AA671" s="28" t="n">
        <v>0.27</v>
      </c>
      <c r="AB671" s="28" t="n">
        <v>-0.010112</v>
      </c>
      <c r="AC671" s="30" t="n">
        <v>-2</v>
      </c>
      <c r="AD671" s="24" t="inlineStr">
        <is>
          <t>2026-08-26T22:14:22.860660Z</t>
        </is>
      </c>
      <c r="AE671" s="31" t="inlineStr">
        <is>
          <t>Surface-blended Elo on Hard: Veronika Podrez p=0.601 vs Bianca Andreescu. Executable ask 0.2800 (aec-wta-biaand-verpod-2026-08-26).</t>
        </is>
      </c>
      <c r="AF671" s="31" t="inlineStr">
        <is>
          <t>Surface-blended Elo model; singles only, WTA+ATP market coverage, not yet locked-holdout qualified -- promoted by explicit operator directive, not genuine walk-forward validation.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model_qualified</t>
        </is>
      </c>
      <c r="AL671" s="26" t="n">
        <v>4</v>
      </c>
      <c r="AM671" s="24" t="inlineStr">
        <is>
          <t>QUALIFIED_SHADOW_CALL</t>
        </is>
      </c>
      <c r="AN671" s="24" t="inlineStr">
        <is>
          <t>CALL</t>
        </is>
      </c>
      <c r="AO671" s="24" t="inlineStr">
        <is>
          <t>QUALIFIED</t>
        </is>
      </c>
      <c r="AP671" s="24" t="inlineStr">
        <is>
          <t>Veronika Podrez</t>
        </is>
      </c>
      <c r="AQ671" s="24" t="inlineStr">
        <is>
          <t>Veronika Podrez</t>
        </is>
      </c>
      <c r="AR671" s="24" t="inlineStr">
        <is>
          <t>Veronika Podrez</t>
        </is>
      </c>
      <c r="AS671" s="24" t="inlineStr">
        <is>
          <t>Bianca Andreescu</t>
        </is>
      </c>
      <c r="AT671" s="24" t="inlineStr">
        <is>
          <t>Bianca Andreescu</t>
        </is>
      </c>
      <c r="AU671" s="24" t="inlineStr">
        <is>
          <t>Bianca Andreescu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d777da58446bc099047b154203518e2585ef1a678f613f2b430f2589f7bf5cff</t>
        </is>
      </c>
      <c r="BB671" s="24" t="inlineStr">
        <is>
          <t>surface_blended_elo</t>
        </is>
      </c>
      <c r="BC671" s="24" t="inlineStr">
        <is>
          <t>tennis-surface-elo-v1</t>
        </is>
      </c>
      <c r="BD671" s="24" t="inlineStr">
        <is>
          <t>d777da58446bc099047b154203518e2585ef1a678f613f2b430f2589f7bf5cff</t>
        </is>
      </c>
      <c r="BE671" s="24" t="inlineStr">
        <is>
          <t>tennis-surface-elo-v1</t>
        </is>
      </c>
      <c r="BF671" s="24" t="inlineStr">
        <is>
          <t>1</t>
        </is>
      </c>
      <c r="BG671" s="24" t="inlineStr">
        <is>
          <t>d777da58446bc099047b154203518e2585ef1a678f613f2b430f2589f7bf5cff</t>
        </is>
      </c>
      <c r="BH671" s="24" t="inlineStr">
        <is>
          <t>2026-08-26T12:42:15.122092Z</t>
        </is>
      </c>
      <c r="BI671" s="24" t="inlineStr">
        <is>
          <t>["same_event","same_team_same_day","same_league_same_day"]</t>
        </is>
      </c>
      <c r="BJ671" s="25" t="n"/>
      <c r="BK671" s="26" t="n">
        <v>257</v>
      </c>
      <c r="BL671" s="27" t="n">
        <v>3.57</v>
      </c>
      <c r="BM671" s="28" t="n">
        <v>0.280112</v>
      </c>
      <c r="BN671" s="28" t="n"/>
      <c r="BO671" s="28" t="n"/>
      <c r="BP671" s="25" t="n"/>
      <c r="BQ671" s="27" t="n">
        <v>3.7</v>
      </c>
      <c r="BR671" s="28" t="n">
        <v>0.27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inlineStr">
        <is>
          <t>aef84082d05318917f324c3bf91f03971c6e1c570b3ee4131be6e57c0f33848c</t>
        </is>
      </c>
      <c r="DE671" s="24" t="inlineStr">
        <is>
          <t>/Users/vincentc9002/model-prediction/data/odds/tennis/2026-08-26/polymarket_snapshots.jsonl</t>
        </is>
      </c>
      <c r="DF671" s="24" t="inlineStr">
        <is>
          <t>516519:2026-08-26T12:42:15.122092Z</t>
        </is>
      </c>
      <c r="DG671" s="24" t="n"/>
      <c r="DH671" s="24" t="n"/>
      <c r="DI671" s="24" t="n"/>
      <c r="DJ671" s="24" t="inlineStr">
        <is>
          <t>0.280112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a9d286a077564966</t>
        </is>
      </c>
      <c r="B672" s="24" t="inlineStr">
        <is>
          <t>2026-08-26T16:35:15.923799Z</t>
        </is>
      </c>
      <c r="C672" s="24" t="inlineStr">
        <is>
          <t>2026-08-26T19:30Z</t>
        </is>
      </c>
      <c r="D672" s="24" t="inlineStr">
        <is>
          <t>189-2026:184758</t>
        </is>
      </c>
      <c r="E672" s="24" t="inlineStr">
        <is>
          <t>TENNIS</t>
        </is>
      </c>
      <c r="F672" s="24" t="inlineStr">
        <is>
          <t>Mary Stoiana</t>
        </is>
      </c>
      <c r="G672" s="24" t="inlineStr">
        <is>
          <t>Katie Swan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-203</v>
      </c>
      <c r="M672" s="27" t="n">
        <v>1.492611</v>
      </c>
      <c r="N672" s="28" t="n">
        <v>0.669967</v>
      </c>
      <c r="O672" s="28" t="n">
        <v>0.5789</v>
      </c>
      <c r="P672" s="28" t="n">
        <v>0.05</v>
      </c>
      <c r="Q672" s="28" t="n">
        <v>-0.091067</v>
      </c>
      <c r="R672" s="26" t="n">
        <v>0</v>
      </c>
      <c r="S672" s="29" t="n">
        <v>1</v>
      </c>
      <c r="T672" s="24" t="inlineStr">
        <is>
          <t>tennis-surface-elo-v1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0</v>
      </c>
      <c r="Y672" s="25" t="n"/>
      <c r="Z672" s="26" t="n">
        <v>-194</v>
      </c>
      <c r="AA672" s="28" t="n">
        <v>0.66</v>
      </c>
      <c r="AB672" s="28" t="n">
        <v>-0.009967</v>
      </c>
      <c r="AC672" s="30" t="n">
        <v>0.4926</v>
      </c>
      <c r="AD672" s="24" t="inlineStr">
        <is>
          <t>2026-08-27T00:41:19.952845Z</t>
        </is>
      </c>
      <c r="AE672" s="31" t="inlineStr">
        <is>
          <t>Surface-blended Elo on Hard: Mary Stoiana p=0.579 vs Katie Swan. Executable ask 0.6700 (aec-wta-katswa-marsto-2026-08-26).</t>
        </is>
      </c>
      <c r="AF672" s="31" t="inlineStr">
        <is>
          <t>Surface-blended Elo model; singles only, WTA+ATP market coverage, not yet locked-holdout qualified -- promoted by explicit operator directive, not genuine walk-forward validation.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Mary Stoiana</t>
        </is>
      </c>
      <c r="AQ672" s="24" t="inlineStr">
        <is>
          <t>Mary Stoiana</t>
        </is>
      </c>
      <c r="AR672" s="24" t="inlineStr">
        <is>
          <t>Mary Stoiana</t>
        </is>
      </c>
      <c r="AS672" s="24" t="inlineStr">
        <is>
          <t>Katie Swan</t>
        </is>
      </c>
      <c r="AT672" s="24" t="inlineStr">
        <is>
          <t>Katie Swan</t>
        </is>
      </c>
      <c r="AU672" s="24" t="inlineStr">
        <is>
          <t>Katie Swan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d777da58446bc099047b154203518e2585ef1a678f613f2b430f2589f7bf5cff</t>
        </is>
      </c>
      <c r="BB672" s="24" t="inlineStr">
        <is>
          <t>surface_blended_elo</t>
        </is>
      </c>
      <c r="BC672" s="24" t="inlineStr">
        <is>
          <t>tennis-surface-elo-v1</t>
        </is>
      </c>
      <c r="BD672" s="24" t="inlineStr">
        <is>
          <t>d777da58446bc099047b154203518e2585ef1a678f613f2b430f2589f7bf5cff</t>
        </is>
      </c>
      <c r="BE672" s="24" t="inlineStr">
        <is>
          <t>tennis-surface-elo-v1</t>
        </is>
      </c>
      <c r="BF672" s="24" t="inlineStr">
        <is>
          <t>1</t>
        </is>
      </c>
      <c r="BG672" s="24" t="inlineStr">
        <is>
          <t>d777da58446bc099047b154203518e2585ef1a678f613f2b430f2589f7bf5cff</t>
        </is>
      </c>
      <c r="BH672" s="24" t="inlineStr">
        <is>
          <t>2026-08-26T12:42:15.144197Z</t>
        </is>
      </c>
      <c r="BI672" s="24" t="inlineStr">
        <is>
          <t>["same_event","same_team_same_day","same_league_same_day"]</t>
        </is>
      </c>
      <c r="BJ672" s="25" t="n"/>
      <c r="BK672" s="26" t="n">
        <v>-203</v>
      </c>
      <c r="BL672" s="27" t="n">
        <v>1.492611</v>
      </c>
      <c r="BM672" s="28" t="n">
        <v>0.669967</v>
      </c>
      <c r="BN672" s="28" t="n"/>
      <c r="BO672" s="28" t="n"/>
      <c r="BP672" s="25" t="n"/>
      <c r="BQ672" s="27" t="n">
        <v>1.515464</v>
      </c>
      <c r="BR672" s="28" t="n">
        <v>0.66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inlineStr">
        <is>
          <t>3df6c63534e429cfb11f422ec50771585a64ca77100aca72b4a83d44d97206cb</t>
        </is>
      </c>
      <c r="DE672" s="24" t="inlineStr">
        <is>
          <t>/Users/vincentc9002/model-prediction/data/odds/tennis/2026-08-26/polymarket_snapshots.jsonl</t>
        </is>
      </c>
      <c r="DF672" s="24" t="inlineStr">
        <is>
          <t>523854:2026-08-26T12:42:15.144197Z</t>
        </is>
      </c>
      <c r="DG672" s="24" t="n"/>
      <c r="DH672" s="24" t="n"/>
      <c r="DI672" s="24" t="n"/>
      <c r="DJ672" s="24" t="inlineStr">
        <is>
          <t>0.669967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0b75c33d05b547eb</t>
        </is>
      </c>
      <c r="B673" s="24" t="inlineStr">
        <is>
          <t>2026-08-26T16:35:15.923799Z</t>
        </is>
      </c>
      <c r="C673" s="24" t="inlineStr">
        <is>
          <t>2026-08-26T19:30Z</t>
        </is>
      </c>
      <c r="D673" s="24" t="inlineStr">
        <is>
          <t>189-2026:184779</t>
        </is>
      </c>
      <c r="E673" s="24" t="inlineStr">
        <is>
          <t>TENNIS</t>
        </is>
      </c>
      <c r="F673" s="24" t="inlineStr">
        <is>
          <t>Mona Barthel</t>
        </is>
      </c>
      <c r="G673" s="24" t="inlineStr">
        <is>
          <t>Francesca Jones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-203</v>
      </c>
      <c r="M673" s="27" t="n">
        <v>1.492611</v>
      </c>
      <c r="N673" s="28" t="n">
        <v>0.669967</v>
      </c>
      <c r="O673" s="28" t="n">
        <v>0.6733</v>
      </c>
      <c r="P673" s="28" t="n">
        <v>0.05</v>
      </c>
      <c r="Q673" s="28" t="n">
        <v>0.003333</v>
      </c>
      <c r="R673" s="26" t="n">
        <v>22</v>
      </c>
      <c r="S673" s="29" t="n">
        <v>1</v>
      </c>
      <c r="T673" s="24" t="inlineStr">
        <is>
          <t>tennis-surface-elo-v1</t>
        </is>
      </c>
      <c r="U673" s="24" t="inlineStr">
        <is>
          <t>settled</t>
        </is>
      </c>
      <c r="V673" s="24" t="inlineStr">
        <is>
          <t>win</t>
        </is>
      </c>
      <c r="W673" s="26" t="n">
        <v>0</v>
      </c>
      <c r="X673" s="26" t="n">
        <v>1</v>
      </c>
      <c r="Y673" s="25" t="n"/>
      <c r="Z673" s="26" t="n">
        <v>-203</v>
      </c>
      <c r="AA673" s="28" t="n">
        <v>0.67</v>
      </c>
      <c r="AB673" s="28" t="n">
        <v>3.3e-05</v>
      </c>
      <c r="AC673" s="30" t="n">
        <v>0.4926</v>
      </c>
      <c r="AD673" s="24" t="inlineStr">
        <is>
          <t>2026-08-27T00:41:22.195387Z</t>
        </is>
      </c>
      <c r="AE673" s="31" t="inlineStr">
        <is>
          <t>Surface-blended Elo on Hard: Mona Barthel p=0.327 vs Francesca Jones. Executable ask 0.6700 (aec-wta-frajon-monbar-2026-08-26).</t>
        </is>
      </c>
      <c r="AF673" s="31" t="inlineStr">
        <is>
          <t>Surface-blended Elo model; singles only, WTA+ATP market coverage, not yet locked-holdout qualified -- promoted by explicit operator directive, not genuine walk-forward validation.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Mona Barthel</t>
        </is>
      </c>
      <c r="AQ673" s="24" t="inlineStr">
        <is>
          <t>Mona Barthel</t>
        </is>
      </c>
      <c r="AR673" s="24" t="inlineStr">
        <is>
          <t>Mona Barthel</t>
        </is>
      </c>
      <c r="AS673" s="24" t="inlineStr">
        <is>
          <t>Francesca Jones</t>
        </is>
      </c>
      <c r="AT673" s="24" t="inlineStr">
        <is>
          <t>Francesca Jones</t>
        </is>
      </c>
      <c r="AU673" s="24" t="inlineStr">
        <is>
          <t>Francesca Jones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d777da58446bc099047b154203518e2585ef1a678f613f2b430f2589f7bf5cff</t>
        </is>
      </c>
      <c r="BB673" s="24" t="inlineStr">
        <is>
          <t>surface_blended_elo</t>
        </is>
      </c>
      <c r="BC673" s="24" t="inlineStr">
        <is>
          <t>tennis-surface-elo-v1</t>
        </is>
      </c>
      <c r="BD673" s="24" t="inlineStr">
        <is>
          <t>d777da58446bc099047b154203518e2585ef1a678f613f2b430f2589f7bf5cff</t>
        </is>
      </c>
      <c r="BE673" s="24" t="inlineStr">
        <is>
          <t>tennis-surface-elo-v1</t>
        </is>
      </c>
      <c r="BF673" s="24" t="inlineStr">
        <is>
          <t>1</t>
        </is>
      </c>
      <c r="BG673" s="24" t="inlineStr">
        <is>
          <t>d777da58446bc099047b154203518e2585ef1a678f613f2b430f2589f7bf5cff</t>
        </is>
      </c>
      <c r="BH673" s="24" t="inlineStr">
        <is>
          <t>2026-08-26T16:31:17.723582Z</t>
        </is>
      </c>
      <c r="BI673" s="24" t="inlineStr">
        <is>
          <t>["same_event","same_team_same_day","same_league_same_day"]</t>
        </is>
      </c>
      <c r="BJ673" s="25" t="n"/>
      <c r="BK673" s="26" t="n">
        <v>-203</v>
      </c>
      <c r="BL673" s="27" t="n">
        <v>1.492611</v>
      </c>
      <c r="BM673" s="28" t="n">
        <v>0.669967</v>
      </c>
      <c r="BN673" s="28" t="n"/>
      <c r="BO673" s="28" t="n"/>
      <c r="BP673" s="25" t="n"/>
      <c r="BQ673" s="27" t="n">
        <v>1.492611</v>
      </c>
      <c r="BR673" s="28" t="n">
        <v>0.67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inlineStr">
        <is>
          <t>a53920bcce02e6fff0dd513f111aea5192931de17ebc1add53f327cf152b4ef8</t>
        </is>
      </c>
      <c r="DE673" s="24" t="inlineStr">
        <is>
          <t>/Users/vincentc9002/model-prediction/data/odds/tennis/2026-08-26/polymarket_snapshots.jsonl</t>
        </is>
      </c>
      <c r="DF673" s="24" t="inlineStr">
        <is>
          <t>523313:2026-08-26T16:31:17.723582Z</t>
        </is>
      </c>
      <c r="DG673" s="24" t="n"/>
      <c r="DH673" s="24" t="n"/>
      <c r="DI673" s="24" t="n"/>
      <c r="DJ673" s="24" t="inlineStr">
        <is>
          <t>0.669967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853df147edb3449a</t>
        </is>
      </c>
      <c r="B674" s="24" t="inlineStr">
        <is>
          <t>2026-08-26T16:35:15.923799Z</t>
        </is>
      </c>
      <c r="C674" s="24" t="inlineStr">
        <is>
          <t>2026-08-26T19:30Z</t>
        </is>
      </c>
      <c r="D674" s="24" t="inlineStr">
        <is>
          <t>189-2026:184780</t>
        </is>
      </c>
      <c r="E674" s="24" t="inlineStr">
        <is>
          <t>TENNIS</t>
        </is>
      </c>
      <c r="F674" s="24" t="inlineStr">
        <is>
          <t>Joanna Garland</t>
        </is>
      </c>
      <c r="G674" s="24" t="inlineStr">
        <is>
          <t>Priscilla Hon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polymarket_us</t>
        </is>
      </c>
      <c r="L674" s="26" t="n">
        <v>-127</v>
      </c>
      <c r="M674" s="27" t="n">
        <v>1.787402</v>
      </c>
      <c r="N674" s="28" t="n">
        <v>0.5594710000000001</v>
      </c>
      <c r="O674" s="28" t="n">
        <v>0.5718</v>
      </c>
      <c r="P674" s="28" t="n">
        <v>0.05</v>
      </c>
      <c r="Q674" s="28" t="n">
        <v>0.012329</v>
      </c>
      <c r="R674" s="26" t="n">
        <v>26</v>
      </c>
      <c r="S674" s="29" t="n">
        <v>1</v>
      </c>
      <c r="T674" s="24" t="inlineStr">
        <is>
          <t>tennis-surface-elo-v1</t>
        </is>
      </c>
      <c r="U674" s="24" t="inlineStr">
        <is>
          <t>settled</t>
        </is>
      </c>
      <c r="V674" s="24" t="inlineStr">
        <is>
          <t>win</t>
        </is>
      </c>
      <c r="W674" s="26" t="n">
        <v>1</v>
      </c>
      <c r="X674" s="26" t="n">
        <v>0</v>
      </c>
      <c r="Y674" s="25" t="n"/>
      <c r="Z674" s="26" t="n">
        <v>-127</v>
      </c>
      <c r="AA674" s="28" t="n">
        <v>0.5600000000000001</v>
      </c>
      <c r="AB674" s="28" t="n">
        <v>0.000529</v>
      </c>
      <c r="AC674" s="30" t="n">
        <v>0.7874</v>
      </c>
      <c r="AD674" s="24" t="inlineStr">
        <is>
          <t>2026-08-27T00:41:24.442529Z</t>
        </is>
      </c>
      <c r="AE674" s="31" t="inlineStr">
        <is>
          <t>Surface-blended Elo on Hard: Joanna Garland p=0.572 vs Priscilla Hon. Executable ask 0.5600 (aec-wta-prihon-joagar-2026-08-26).</t>
        </is>
      </c>
      <c r="AF674" s="31" t="inlineStr">
        <is>
          <t>Surface-blended Elo model; singles only, WTA+ATP market coverage, not yet locked-holdout qualified -- promoted by explicit operator directive, not genuine walk-forward validation.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Joanna Garland</t>
        </is>
      </c>
      <c r="AQ674" s="24" t="inlineStr">
        <is>
          <t>Joanna Garland</t>
        </is>
      </c>
      <c r="AR674" s="24" t="inlineStr">
        <is>
          <t>Joanna Garland</t>
        </is>
      </c>
      <c r="AS674" s="24" t="inlineStr">
        <is>
          <t>Priscilla Hon</t>
        </is>
      </c>
      <c r="AT674" s="24" t="inlineStr">
        <is>
          <t>Priscilla Hon</t>
        </is>
      </c>
      <c r="AU674" s="24" t="inlineStr">
        <is>
          <t>Priscilla Hon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d777da58446bc099047b154203518e2585ef1a678f613f2b430f2589f7bf5cff</t>
        </is>
      </c>
      <c r="BB674" s="24" t="inlineStr">
        <is>
          <t>surface_blended_elo</t>
        </is>
      </c>
      <c r="BC674" s="24" t="inlineStr">
        <is>
          <t>tennis-surface-elo-v1</t>
        </is>
      </c>
      <c r="BD674" s="24" t="inlineStr">
        <is>
          <t>d777da58446bc099047b154203518e2585ef1a678f613f2b430f2589f7bf5cff</t>
        </is>
      </c>
      <c r="BE674" s="24" t="inlineStr">
        <is>
          <t>tennis-surface-elo-v1</t>
        </is>
      </c>
      <c r="BF674" s="24" t="inlineStr">
        <is>
          <t>1</t>
        </is>
      </c>
      <c r="BG674" s="24" t="inlineStr">
        <is>
          <t>d777da58446bc099047b154203518e2585ef1a678f613f2b430f2589f7bf5cff</t>
        </is>
      </c>
      <c r="BH674" s="24" t="inlineStr">
        <is>
          <t>2026-08-26T12:42:15.263350Z</t>
        </is>
      </c>
      <c r="BI674" s="24" t="inlineStr">
        <is>
          <t>["same_event","same_team_same_day","same_league_same_day"]</t>
        </is>
      </c>
      <c r="BJ674" s="25" t="n"/>
      <c r="BK674" s="26" t="n">
        <v>-127</v>
      </c>
      <c r="BL674" s="27" t="n">
        <v>1.787402</v>
      </c>
      <c r="BM674" s="28" t="n">
        <v>0.5594710000000001</v>
      </c>
      <c r="BN674" s="28" t="n"/>
      <c r="BO674" s="28" t="n"/>
      <c r="BP674" s="25" t="n"/>
      <c r="BQ674" s="27" t="n">
        <v>1.787402</v>
      </c>
      <c r="BR674" s="28" t="n">
        <v>0.5600000000000001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inlineStr">
        <is>
          <t>d67143f4918cec5e4b0e9e5ad4382ca18df58459d417fed4fdc3630889d2353e</t>
        </is>
      </c>
      <c r="DE674" s="24" t="inlineStr">
        <is>
          <t>/Users/vincentc9002/model-prediction/data/odds/tennis/2026-08-26/polymarket_snapshots.jsonl</t>
        </is>
      </c>
      <c r="DF674" s="24" t="inlineStr">
        <is>
          <t>523544:2026-08-26T12:42:15.263350Z</t>
        </is>
      </c>
      <c r="DG674" s="24" t="n"/>
      <c r="DH674" s="24" t="n"/>
      <c r="DI674" s="24" t="n"/>
      <c r="DJ674" s="24" t="inlineStr">
        <is>
          <t>0.559471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3a5d6acef0974a6b</t>
        </is>
      </c>
      <c r="B675" s="24" t="inlineStr">
        <is>
          <t>2026-08-26T16:35:15.923799Z</t>
        </is>
      </c>
      <c r="C675" s="24" t="inlineStr">
        <is>
          <t>2026-08-26T19:30Z</t>
        </is>
      </c>
      <c r="D675" s="24" t="inlineStr">
        <is>
          <t>189-2026:184789</t>
        </is>
      </c>
      <c r="E675" s="24" t="inlineStr">
        <is>
          <t>TENNIS</t>
        </is>
      </c>
      <c r="F675" s="24" t="inlineStr">
        <is>
          <t>Julia Avdeeva</t>
        </is>
      </c>
      <c r="G675" s="24" t="inlineStr">
        <is>
          <t>Yuan Yue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-270</v>
      </c>
      <c r="M675" s="27" t="n">
        <v>1.37037</v>
      </c>
      <c r="N675" s="28" t="n">
        <v>0.72973</v>
      </c>
      <c r="O675" s="28" t="n">
        <v>0.6394</v>
      </c>
      <c r="P675" s="28" t="n">
        <v>0.05</v>
      </c>
      <c r="Q675" s="28" t="n">
        <v>-0.09032999999999999</v>
      </c>
      <c r="R675" s="26" t="n">
        <v>0</v>
      </c>
      <c r="S675" s="29" t="n">
        <v>1</v>
      </c>
      <c r="T675" s="24" t="inlineStr">
        <is>
          <t>tennis-surface-elo-v1</t>
        </is>
      </c>
      <c r="U675" s="24" t="inlineStr">
        <is>
          <t>settled</t>
        </is>
      </c>
      <c r="V675" s="24" t="inlineStr">
        <is>
          <t>win</t>
        </is>
      </c>
      <c r="W675" s="26" t="n">
        <v>0</v>
      </c>
      <c r="X675" s="26" t="n">
        <v>1</v>
      </c>
      <c r="Y675" s="25" t="n"/>
      <c r="Z675" s="26" t="n"/>
      <c r="AA675" s="28" t="n"/>
      <c r="AB675" s="28" t="n"/>
      <c r="AC675" s="30" t="n">
        <v>0.3704</v>
      </c>
      <c r="AD675" s="24" t="inlineStr">
        <is>
          <t>2026-08-26T22:14:25.014387Z</t>
        </is>
      </c>
      <c r="AE675" s="31" t="inlineStr">
        <is>
          <t>Surface-blended Elo on Hard: Julia Avdeeva p=0.361 vs Yuan Yue. Executable ask 0.7300 (aec-wta-yueyua-julavd-2026-08-26).</t>
        </is>
      </c>
      <c r="AF675" s="31" t="inlineStr">
        <is>
          <t>Surface-blended Elo model; singles only, WTA+ATP market coverage, not yet locked-holdout qualified -- promoted by explicit operator directive, not genuine walk-forward validation.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Julia Avdeeva</t>
        </is>
      </c>
      <c r="AQ675" s="24" t="inlineStr">
        <is>
          <t>Julia Avdeeva</t>
        </is>
      </c>
      <c r="AR675" s="24" t="inlineStr">
        <is>
          <t>Julia Avdeeva</t>
        </is>
      </c>
      <c r="AS675" s="24" t="inlineStr">
        <is>
          <t>Yuan Yue</t>
        </is>
      </c>
      <c r="AT675" s="24" t="inlineStr">
        <is>
          <t>Yuan Yue</t>
        </is>
      </c>
      <c r="AU675" s="24" t="inlineStr">
        <is>
          <t>Yuan Yue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d777da58446bc099047b154203518e2585ef1a678f613f2b430f2589f7bf5cff</t>
        </is>
      </c>
      <c r="BB675" s="24" t="inlineStr">
        <is>
          <t>surface_blended_elo</t>
        </is>
      </c>
      <c r="BC675" s="24" t="inlineStr">
        <is>
          <t>tennis-surface-elo-v1</t>
        </is>
      </c>
      <c r="BD675" s="24" t="inlineStr">
        <is>
          <t>d777da58446bc099047b154203518e2585ef1a678f613f2b430f2589f7bf5cff</t>
        </is>
      </c>
      <c r="BE675" s="24" t="inlineStr">
        <is>
          <t>tennis-surface-elo-v1</t>
        </is>
      </c>
      <c r="BF675" s="24" t="inlineStr">
        <is>
          <t>1</t>
        </is>
      </c>
      <c r="BG675" s="24" t="inlineStr">
        <is>
          <t>d777da58446bc099047b154203518e2585ef1a678f613f2b430f2589f7bf5cff</t>
        </is>
      </c>
      <c r="BH675" s="24" t="inlineStr">
        <is>
          <t>2026-08-26T12:42:15.253223Z</t>
        </is>
      </c>
      <c r="BI675" s="24" t="inlineStr">
        <is>
          <t>["same_event","same_team_same_day","same_league_same_day"]</t>
        </is>
      </c>
      <c r="BJ675" s="25" t="n"/>
      <c r="BK675" s="26" t="n">
        <v>-270</v>
      </c>
      <c r="BL675" s="27" t="n">
        <v>1.37037</v>
      </c>
      <c r="BM675" s="28" t="n">
        <v>0.72973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inlineStr">
        <is>
          <t>f0f7f251a58916e5f04b238b1260da2adc0a1504c809789e0c67b05c59ad3ba0</t>
        </is>
      </c>
      <c r="DE675" s="24" t="inlineStr">
        <is>
          <t>/Users/vincentc9002/model-prediction/data/odds/tennis/2026-08-26/polymarket_snapshots.jsonl</t>
        </is>
      </c>
      <c r="DF675" s="24" t="inlineStr">
        <is>
          <t>524348:2026-08-26T12:42:15.253223Z</t>
        </is>
      </c>
      <c r="DG675" s="24" t="n"/>
      <c r="DH675" s="24" t="n"/>
      <c r="DI675" s="24" t="n"/>
      <c r="DJ675" s="24" t="inlineStr">
        <is>
          <t>0.72973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e7a2f264aa844fec</t>
        </is>
      </c>
      <c r="B676" s="24" t="inlineStr">
        <is>
          <t>2026-08-26T16:35:15.923799Z</t>
        </is>
      </c>
      <c r="C676" s="24" t="inlineStr">
        <is>
          <t>2026-08-26T19:30Z</t>
        </is>
      </c>
      <c r="D676" s="24" t="inlineStr">
        <is>
          <t>189-2026:184794</t>
        </is>
      </c>
      <c r="E676" s="24" t="inlineStr">
        <is>
          <t>TENNIS</t>
        </is>
      </c>
      <c r="F676" s="24" t="inlineStr">
        <is>
          <t>Lola Radivojevic</t>
        </is>
      </c>
      <c r="G676" s="24" t="inlineStr">
        <is>
          <t>Kristina Liutova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-335</v>
      </c>
      <c r="M676" s="27" t="n">
        <v>1.298507</v>
      </c>
      <c r="N676" s="28" t="n">
        <v>0.770115</v>
      </c>
      <c r="O676" s="28" t="n">
        <v>0.5780999999999999</v>
      </c>
      <c r="P676" s="28" t="n">
        <v>0.05</v>
      </c>
      <c r="Q676" s="28" t="n">
        <v>-0.192015</v>
      </c>
      <c r="R676" s="26" t="n">
        <v>0</v>
      </c>
      <c r="S676" s="29" t="n">
        <v>1</v>
      </c>
      <c r="T676" s="24" t="inlineStr">
        <is>
          <t>tennis-surface-elo-v1</t>
        </is>
      </c>
      <c r="U676" s="24" t="inlineStr">
        <is>
          <t>settled</t>
        </is>
      </c>
      <c r="V676" s="24" t="inlineStr">
        <is>
          <t>win</t>
        </is>
      </c>
      <c r="W676" s="26" t="n">
        <v>0</v>
      </c>
      <c r="X676" s="26" t="n">
        <v>1</v>
      </c>
      <c r="Y676" s="25" t="n"/>
      <c r="Z676" s="26" t="n">
        <v>-335</v>
      </c>
      <c r="AA676" s="28" t="n">
        <v>0.77</v>
      </c>
      <c r="AB676" s="28" t="n">
        <v>-0.000115</v>
      </c>
      <c r="AC676" s="30" t="n">
        <v>0.2985</v>
      </c>
      <c r="AD676" s="24" t="inlineStr">
        <is>
          <t>2026-08-27T03:39:57.580666Z</t>
        </is>
      </c>
      <c r="AE676" s="31" t="inlineStr">
        <is>
          <t>Surface-blended Elo on Hard: Lola Radivojevic p=0.422 vs Kristina Liutova. Executable ask 0.7700 (aec-wta-kriliu-lolrad-2026-08-26).</t>
        </is>
      </c>
      <c r="AF676" s="31" t="inlineStr">
        <is>
          <t>Surface-blended Elo model; singles only, WTA+ATP market coverage, not yet locked-holdout qualified -- promoted by explicit operator directive, not genuine walk-forward validation.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PAPER_CALL_MODEL_UNVALIDATED</t>
        </is>
      </c>
      <c r="AP676" s="24" t="inlineStr">
        <is>
          <t>Lola Radivojevic</t>
        </is>
      </c>
      <c r="AQ676" s="24" t="inlineStr">
        <is>
          <t>Lola Radivojevic</t>
        </is>
      </c>
      <c r="AR676" s="24" t="inlineStr">
        <is>
          <t>Lola Radivojevic</t>
        </is>
      </c>
      <c r="AS676" s="24" t="inlineStr">
        <is>
          <t>Kristina Liutova</t>
        </is>
      </c>
      <c r="AT676" s="24" t="inlineStr">
        <is>
          <t>Kristina Liutova</t>
        </is>
      </c>
      <c r="AU676" s="24" t="inlineStr">
        <is>
          <t>Kristina Liutova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d777da58446bc099047b154203518e2585ef1a678f613f2b430f2589f7bf5cff</t>
        </is>
      </c>
      <c r="BB676" s="24" t="inlineStr">
        <is>
          <t>surface_blended_elo</t>
        </is>
      </c>
      <c r="BC676" s="24" t="inlineStr">
        <is>
          <t>tennis-surface-elo-v1</t>
        </is>
      </c>
      <c r="BD676" s="24" t="inlineStr">
        <is>
          <t>d777da58446bc099047b154203518e2585ef1a678f613f2b430f2589f7bf5cff</t>
        </is>
      </c>
      <c r="BE676" s="24" t="inlineStr">
        <is>
          <t>tennis-surface-elo-v1</t>
        </is>
      </c>
      <c r="BF676" s="24" t="inlineStr">
        <is>
          <t>1</t>
        </is>
      </c>
      <c r="BG676" s="24" t="inlineStr">
        <is>
          <t>d777da58446bc099047b154203518e2585ef1a678f613f2b430f2589f7bf5cff</t>
        </is>
      </c>
      <c r="BH676" s="24" t="inlineStr">
        <is>
          <t>2026-08-26T16:31:17.711050Z</t>
        </is>
      </c>
      <c r="BI676" s="24" t="inlineStr">
        <is>
          <t>["same_event","same_team_same_day","same_league_same_day"]</t>
        </is>
      </c>
      <c r="BJ676" s="25" t="n"/>
      <c r="BK676" s="26" t="n">
        <v>-335</v>
      </c>
      <c r="BL676" s="27" t="n">
        <v>1.298507</v>
      </c>
      <c r="BM676" s="28" t="n">
        <v>0.770115</v>
      </c>
      <c r="BN676" s="28" t="n"/>
      <c r="BO676" s="28" t="n"/>
      <c r="BP676" s="25" t="n"/>
      <c r="BQ676" s="27" t="n">
        <v>1.298507</v>
      </c>
      <c r="BR676" s="28" t="n">
        <v>0.77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inlineStr">
        <is>
          <t>26fb743c509c5983db028a99891a1e05501d03c8c2b957aa1b87d971297f0f70</t>
        </is>
      </c>
      <c r="DE676" s="24" t="inlineStr">
        <is>
          <t>/Users/vincentc9002/model-prediction/data/odds/tennis/2026-08-26/polymarket_snapshots.jsonl</t>
        </is>
      </c>
      <c r="DF676" s="24" t="inlineStr">
        <is>
          <t>523316:2026-08-26T16:31:17.711050Z</t>
        </is>
      </c>
      <c r="DG676" s="24" t="n"/>
      <c r="DH676" s="24" t="n"/>
      <c r="DI676" s="24" t="n"/>
      <c r="DJ676" s="24" t="inlineStr">
        <is>
          <t>0.770115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e9be60526a814301</t>
        </is>
      </c>
      <c r="B677" s="24" t="inlineStr">
        <is>
          <t>2026-08-26T16:35:15.923799Z</t>
        </is>
      </c>
      <c r="C677" s="24" t="inlineStr">
        <is>
          <t>2026-08-26T19:30Z</t>
        </is>
      </c>
      <c r="D677" s="24" t="inlineStr">
        <is>
          <t>189-2026:184795</t>
        </is>
      </c>
      <c r="E677" s="24" t="inlineStr">
        <is>
          <t>TENNIS</t>
        </is>
      </c>
      <c r="F677" s="24" t="inlineStr">
        <is>
          <t>Marina Bassols Ribera</t>
        </is>
      </c>
      <c r="G677" s="24" t="inlineStr">
        <is>
          <t>Martyna Kubka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polymarket_us</t>
        </is>
      </c>
      <c r="L677" s="26" t="n">
        <v>-117</v>
      </c>
      <c r="M677" s="27" t="n">
        <v>1.854701</v>
      </c>
      <c r="N677" s="28" t="n">
        <v>0.539171</v>
      </c>
      <c r="O677" s="28" t="n">
        <v>0.5977</v>
      </c>
      <c r="P677" s="28" t="n">
        <v>0.05</v>
      </c>
      <c r="Q677" s="28" t="n">
        <v>0.058529</v>
      </c>
      <c r="R677" s="26" t="n">
        <v>49</v>
      </c>
      <c r="S677" s="29" t="n">
        <v>1</v>
      </c>
      <c r="T677" s="24" t="inlineStr">
        <is>
          <t>tennis-surface-elo-v1</t>
        </is>
      </c>
      <c r="U677" s="24" t="inlineStr">
        <is>
          <t>settled</t>
        </is>
      </c>
      <c r="V677" s="24" t="inlineStr">
        <is>
          <t>loss</t>
        </is>
      </c>
      <c r="W677" s="26" t="n">
        <v>0</v>
      </c>
      <c r="X677" s="26" t="n">
        <v>1</v>
      </c>
      <c r="Y677" s="25" t="n"/>
      <c r="Z677" s="26" t="n">
        <v>-117</v>
      </c>
      <c r="AA677" s="28" t="n">
        <v>0.54</v>
      </c>
      <c r="AB677" s="28" t="n">
        <v>0.000829</v>
      </c>
      <c r="AC677" s="30" t="n">
        <v>-1</v>
      </c>
      <c r="AD677" s="24" t="inlineStr">
        <is>
          <t>2026-08-27T00:41:26.733741Z</t>
        </is>
      </c>
      <c r="AE677" s="31" t="inlineStr">
        <is>
          <t>Surface-blended Elo on Hard: Marina Bassols Ribera p=0.598 vs Martyna Kubka. Executable ask 0.5400 (aec-wta-markub-marrib-2026-08-26).</t>
        </is>
      </c>
      <c r="AF677" s="31" t="inlineStr">
        <is>
          <t>Surface-blended Elo model; singles only, WTA+ATP market coverage, not yet locked-holdout qualified -- promoted by explicit operator directive, not genuine walk-forward validation.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Marina Bassols Ribera</t>
        </is>
      </c>
      <c r="AQ677" s="24" t="inlineStr">
        <is>
          <t>Marina Bassols Ribera</t>
        </is>
      </c>
      <c r="AR677" s="24" t="inlineStr">
        <is>
          <t>Marina Bassols Ribera</t>
        </is>
      </c>
      <c r="AS677" s="24" t="inlineStr">
        <is>
          <t>Martyna Kubka</t>
        </is>
      </c>
      <c r="AT677" s="24" t="inlineStr">
        <is>
          <t>Martyna Kubka</t>
        </is>
      </c>
      <c r="AU677" s="24" t="inlineStr">
        <is>
          <t>Martyna Kubka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d777da58446bc099047b154203518e2585ef1a678f613f2b430f2589f7bf5cff</t>
        </is>
      </c>
      <c r="BB677" s="24" t="inlineStr">
        <is>
          <t>surface_blended_elo</t>
        </is>
      </c>
      <c r="BC677" s="24" t="inlineStr">
        <is>
          <t>tennis-surface-elo-v1</t>
        </is>
      </c>
      <c r="BD677" s="24" t="inlineStr">
        <is>
          <t>d777da58446bc099047b154203518e2585ef1a678f613f2b430f2589f7bf5cff</t>
        </is>
      </c>
      <c r="BE677" s="24" t="inlineStr">
        <is>
          <t>tennis-surface-elo-v1</t>
        </is>
      </c>
      <c r="BF677" s="24" t="inlineStr">
        <is>
          <t>1</t>
        </is>
      </c>
      <c r="BG677" s="24" t="inlineStr">
        <is>
          <t>d777da58446bc099047b154203518e2585ef1a678f613f2b430f2589f7bf5cff</t>
        </is>
      </c>
      <c r="BH677" s="24" t="inlineStr">
        <is>
          <t>2026-08-26T12:42:15.247763Z</t>
        </is>
      </c>
      <c r="BI677" s="24" t="inlineStr">
        <is>
          <t>["same_event","same_team_same_day","same_league_same_day"]</t>
        </is>
      </c>
      <c r="BJ677" s="25" t="n"/>
      <c r="BK677" s="26" t="n">
        <v>-117</v>
      </c>
      <c r="BL677" s="27" t="n">
        <v>1.854701</v>
      </c>
      <c r="BM677" s="28" t="n">
        <v>0.539171</v>
      </c>
      <c r="BN677" s="28" t="n"/>
      <c r="BO677" s="28" t="n"/>
      <c r="BP677" s="25" t="n"/>
      <c r="BQ677" s="27" t="n">
        <v>1.854701</v>
      </c>
      <c r="BR677" s="28" t="n">
        <v>0.54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inlineStr">
        <is>
          <t>3e6f12150d47effb477cffa4f791cee6981e84218eb0af56611f810488267330</t>
        </is>
      </c>
      <c r="DE677" s="24" t="inlineStr">
        <is>
          <t>/Users/vincentc9002/model-prediction/data/odds/tennis/2026-08-26/polymarket_snapshots.jsonl</t>
        </is>
      </c>
      <c r="DF677" s="24" t="inlineStr">
        <is>
          <t>523380:2026-08-26T12:42:15.247763Z</t>
        </is>
      </c>
      <c r="DG677" s="24" t="n"/>
      <c r="DH677" s="24" t="n"/>
      <c r="DI677" s="24" t="n"/>
      <c r="DJ677" s="24" t="inlineStr">
        <is>
          <t>0.539171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e6980611c9bb4588</t>
        </is>
      </c>
      <c r="B678" s="24" t="inlineStr">
        <is>
          <t>2026-08-26T16:35:15.923799Z</t>
        </is>
      </c>
      <c r="C678" s="24" t="inlineStr">
        <is>
          <t>2026-08-26T21:00Z</t>
        </is>
      </c>
      <c r="D678" s="24" t="inlineStr">
        <is>
          <t>189-2026:184783</t>
        </is>
      </c>
      <c r="E678" s="24" t="inlineStr">
        <is>
          <t>TENNIS</t>
        </is>
      </c>
      <c r="F678" s="24" t="inlineStr">
        <is>
          <t>Alexandra Shubladze</t>
        </is>
      </c>
      <c r="G678" s="24" t="inlineStr">
        <is>
          <t>Darja Semenistaja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178</v>
      </c>
      <c r="M678" s="27" t="n">
        <v>2.78</v>
      </c>
      <c r="N678" s="28" t="n">
        <v>0.359712</v>
      </c>
      <c r="O678" s="28" t="n">
        <v>0.5832000000000001</v>
      </c>
      <c r="P678" s="28" t="n">
        <v>0.05</v>
      </c>
      <c r="Q678" s="28" t="n">
        <v>0.223488</v>
      </c>
      <c r="R678" s="26" t="n">
        <v>100</v>
      </c>
      <c r="S678" s="29" t="n">
        <v>2</v>
      </c>
      <c r="T678" s="24" t="inlineStr">
        <is>
          <t>tennis-surface-elo-v1</t>
        </is>
      </c>
      <c r="U678" s="24" t="inlineStr">
        <is>
          <t>settled</t>
        </is>
      </c>
      <c r="V678" s="24" t="inlineStr">
        <is>
          <t>win</t>
        </is>
      </c>
      <c r="W678" s="26" t="n">
        <v>0</v>
      </c>
      <c r="X678" s="26" t="n">
        <v>1</v>
      </c>
      <c r="Y678" s="25" t="n"/>
      <c r="Z678" s="26" t="n">
        <v>186</v>
      </c>
      <c r="AA678" s="28" t="n">
        <v>0.35</v>
      </c>
      <c r="AB678" s="28" t="n">
        <v>-0.009712</v>
      </c>
      <c r="AC678" s="30" t="n">
        <v>3.56</v>
      </c>
      <c r="AD678" s="24" t="inlineStr">
        <is>
          <t>2026-08-27T03:40:03.398632Z</t>
        </is>
      </c>
      <c r="AE678" s="31" t="inlineStr">
        <is>
          <t>Surface-blended Elo on Hard: Alexandra Shubladze p=0.417 vs Darja Semenistaja. Executable ask 0.3600 (aec-wta-darsem-aleshu-2026-08-26).</t>
        </is>
      </c>
      <c r="AF678" s="31" t="inlineStr">
        <is>
          <t>Surface-blended Elo model; singles only, WTA+ATP market coverage, not yet locked-holdout qualified -- promoted by explicit operator directive, not genuine walk-forward validation.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PAPER_CALL_MODEL_UNVALIDATED</t>
        </is>
      </c>
      <c r="AP678" s="24" t="inlineStr">
        <is>
          <t>Alexandra Shubladze</t>
        </is>
      </c>
      <c r="AQ678" s="24" t="inlineStr">
        <is>
          <t>Alexandra Shubladze</t>
        </is>
      </c>
      <c r="AR678" s="24" t="inlineStr">
        <is>
          <t>Alexandra Shubladze</t>
        </is>
      </c>
      <c r="AS678" s="24" t="inlineStr">
        <is>
          <t>Darja Semenistaja</t>
        </is>
      </c>
      <c r="AT678" s="24" t="inlineStr">
        <is>
          <t>Darja Semenistaja</t>
        </is>
      </c>
      <c r="AU678" s="24" t="inlineStr">
        <is>
          <t>Darja Semenistaja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d777da58446bc099047b154203518e2585ef1a678f613f2b430f2589f7bf5cff</t>
        </is>
      </c>
      <c r="BB678" s="24" t="inlineStr">
        <is>
          <t>surface_blended_elo</t>
        </is>
      </c>
      <c r="BC678" s="24" t="inlineStr">
        <is>
          <t>tennis-surface-elo-v1</t>
        </is>
      </c>
      <c r="BD678" s="24" t="inlineStr">
        <is>
          <t>d777da58446bc099047b154203518e2585ef1a678f613f2b430f2589f7bf5cff</t>
        </is>
      </c>
      <c r="BE678" s="24" t="inlineStr">
        <is>
          <t>tennis-surface-elo-v1</t>
        </is>
      </c>
      <c r="BF678" s="24" t="inlineStr">
        <is>
          <t>1</t>
        </is>
      </c>
      <c r="BG678" s="24" t="inlineStr">
        <is>
          <t>d777da58446bc099047b154203518e2585ef1a678f613f2b430f2589f7bf5cff</t>
        </is>
      </c>
      <c r="BH678" s="24" t="inlineStr">
        <is>
          <t>2026-08-26T12:42:15.115968Z</t>
        </is>
      </c>
      <c r="BI678" s="24" t="inlineStr">
        <is>
          <t>["same_event","same_team_same_day","same_league_same_day"]</t>
        </is>
      </c>
      <c r="BJ678" s="25" t="n"/>
      <c r="BK678" s="26" t="n">
        <v>178</v>
      </c>
      <c r="BL678" s="27" t="n">
        <v>2.78</v>
      </c>
      <c r="BM678" s="28" t="n">
        <v>0.359712</v>
      </c>
      <c r="BN678" s="28" t="n"/>
      <c r="BO678" s="28" t="n"/>
      <c r="BP678" s="25" t="n"/>
      <c r="BQ678" s="27" t="n">
        <v>2.86</v>
      </c>
      <c r="BR678" s="28" t="n">
        <v>0.35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inlineStr">
        <is>
          <t>bf0dacfe4eb7c9760595823e6b3401bc5f8494415421a481bd4346a675e9520c</t>
        </is>
      </c>
      <c r="DE678" s="24" t="inlineStr">
        <is>
          <t>/Users/vincentc9002/model-prediction/data/odds/tennis/2026-08-26/polymarket_snapshots.jsonl</t>
        </is>
      </c>
      <c r="DF678" s="24" t="inlineStr">
        <is>
          <t>524349:2026-08-26T12:42:15.115968Z</t>
        </is>
      </c>
      <c r="DG678" s="24" t="n"/>
      <c r="DH678" s="24" t="n"/>
      <c r="DI678" s="24" t="n"/>
      <c r="DJ678" s="24" t="inlineStr">
        <is>
          <t>0.359712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80997dbc6df043e2</t>
        </is>
      </c>
      <c r="B679" s="24" t="inlineStr">
        <is>
          <t>2026-08-26T16:35:15.923799Z</t>
        </is>
      </c>
      <c r="C679" s="24" t="inlineStr">
        <is>
          <t>2026-08-26T21:00Z</t>
        </is>
      </c>
      <c r="D679" s="24" t="inlineStr">
        <is>
          <t>189-2026:184798</t>
        </is>
      </c>
      <c r="E679" s="24" t="inlineStr">
        <is>
          <t>TENNIS</t>
        </is>
      </c>
      <c r="F679" s="24" t="inlineStr">
        <is>
          <t>Aliaksandra Sasnovich</t>
        </is>
      </c>
      <c r="G679" s="24" t="inlineStr">
        <is>
          <t>Vendula Valdmannova</t>
        </is>
      </c>
      <c r="H679" s="24" t="inlineStr">
        <is>
          <t>moneyline</t>
        </is>
      </c>
      <c r="I679" s="24" t="inlineStr">
        <is>
          <t>away</t>
        </is>
      </c>
      <c r="J679" s="25" t="n"/>
      <c r="K679" s="24" t="inlineStr">
        <is>
          <t>polymarket_us</t>
        </is>
      </c>
      <c r="L679" s="26" t="n">
        <v>-138</v>
      </c>
      <c r="M679" s="27" t="n">
        <v>1.724638</v>
      </c>
      <c r="N679" s="28" t="n">
        <v>0.579832</v>
      </c>
      <c r="O679" s="28" t="n">
        <v>0.5581</v>
      </c>
      <c r="P679" s="28" t="n">
        <v>0.05</v>
      </c>
      <c r="Q679" s="28" t="n">
        <v>-0.021732</v>
      </c>
      <c r="R679" s="26" t="n">
        <v>9</v>
      </c>
      <c r="S679" s="29" t="n">
        <v>1</v>
      </c>
      <c r="T679" s="24" t="inlineStr">
        <is>
          <t>tennis-surface-elo-v1</t>
        </is>
      </c>
      <c r="U679" s="24" t="inlineStr">
        <is>
          <t>settled</t>
        </is>
      </c>
      <c r="V679" s="24" t="inlineStr">
        <is>
          <t>loss</t>
        </is>
      </c>
      <c r="W679" s="26" t="n">
        <v>0</v>
      </c>
      <c r="X679" s="26" t="n">
        <v>1</v>
      </c>
      <c r="Y679" s="25" t="n"/>
      <c r="Z679" s="26" t="n">
        <v>-156</v>
      </c>
      <c r="AA679" s="28" t="n">
        <v>0.61</v>
      </c>
      <c r="AB679" s="28" t="n">
        <v>0.030168</v>
      </c>
      <c r="AC679" s="30" t="n">
        <v>-1</v>
      </c>
      <c r="AD679" s="24" t="inlineStr">
        <is>
          <t>2026-08-27T03:40:09.406927Z</t>
        </is>
      </c>
      <c r="AE679" s="31" t="inlineStr">
        <is>
          <t>Surface-blended Elo on Hard: Aliaksandra Sasnovich p=0.558 vs Vendula Valdmannova. Executable ask 0.5800 (aec-wta-venval-alisas-2026-08-26).</t>
        </is>
      </c>
      <c r="AF679" s="31" t="inlineStr">
        <is>
          <t>Surface-blended Elo model; singles only, WTA+ATP market coverage, not yet locked-holdout qualified -- promoted by explicit operator directive, not genuine walk-forward validation.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Aliaksandra Sasnovich</t>
        </is>
      </c>
      <c r="AQ679" s="24" t="inlineStr">
        <is>
          <t>Aliaksandra Sasnovich</t>
        </is>
      </c>
      <c r="AR679" s="24" t="inlineStr">
        <is>
          <t>Aliaksandra Sasnovich</t>
        </is>
      </c>
      <c r="AS679" s="24" t="inlineStr">
        <is>
          <t>Vendula Valdmannova</t>
        </is>
      </c>
      <c r="AT679" s="24" t="inlineStr">
        <is>
          <t>Vendula Valdmannova</t>
        </is>
      </c>
      <c r="AU679" s="24" t="inlineStr">
        <is>
          <t>Vendula Valdmannova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d777da58446bc099047b154203518e2585ef1a678f613f2b430f2589f7bf5cff</t>
        </is>
      </c>
      <c r="BB679" s="24" t="inlineStr">
        <is>
          <t>surface_blended_elo</t>
        </is>
      </c>
      <c r="BC679" s="24" t="inlineStr">
        <is>
          <t>tennis-surface-elo-v1</t>
        </is>
      </c>
      <c r="BD679" s="24" t="inlineStr">
        <is>
          <t>d777da58446bc099047b154203518e2585ef1a678f613f2b430f2589f7bf5cff</t>
        </is>
      </c>
      <c r="BE679" s="24" t="inlineStr">
        <is>
          <t>tennis-surface-elo-v1</t>
        </is>
      </c>
      <c r="BF679" s="24" t="inlineStr">
        <is>
          <t>1</t>
        </is>
      </c>
      <c r="BG679" s="24" t="inlineStr">
        <is>
          <t>d777da58446bc099047b154203518e2585ef1a678f613f2b430f2589f7bf5cff</t>
        </is>
      </c>
      <c r="BH679" s="24" t="inlineStr">
        <is>
          <t>2026-08-26T12:42:15.130172Z</t>
        </is>
      </c>
      <c r="BI679" s="24" t="inlineStr">
        <is>
          <t>["same_event","same_team_same_day","same_league_same_day"]</t>
        </is>
      </c>
      <c r="BJ679" s="25" t="n"/>
      <c r="BK679" s="26" t="n">
        <v>-138</v>
      </c>
      <c r="BL679" s="27" t="n">
        <v>1.724638</v>
      </c>
      <c r="BM679" s="28" t="n">
        <v>0.579832</v>
      </c>
      <c r="BN679" s="28" t="n"/>
      <c r="BO679" s="28" t="n"/>
      <c r="BP679" s="25" t="n"/>
      <c r="BQ679" s="27" t="n">
        <v>1.641026</v>
      </c>
      <c r="BR679" s="28" t="n">
        <v>0.61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inlineStr">
        <is>
          <t>9a5fe67f758e018930e0280de7fd9e0cb4475a639ecf5594965ebc3f485ec4ed</t>
        </is>
      </c>
      <c r="DE679" s="24" t="inlineStr">
        <is>
          <t>/Users/vincentc9002/model-prediction/data/odds/tennis/2026-08-26/polymarket_snapshots.jsonl</t>
        </is>
      </c>
      <c r="DF679" s="24" t="inlineStr">
        <is>
          <t>524469:2026-08-26T12:42:15.130172Z</t>
        </is>
      </c>
      <c r="DG679" s="24" t="n"/>
      <c r="DH679" s="24" t="n"/>
      <c r="DI679" s="24" t="n"/>
      <c r="DJ679" s="24" t="inlineStr">
        <is>
          <t>0.579832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77ec4002f333494d</t>
        </is>
      </c>
      <c r="B680" s="24" t="inlineStr">
        <is>
          <t>2026-08-26T16:35:15.923799Z</t>
        </is>
      </c>
      <c r="C680" s="24" t="inlineStr">
        <is>
          <t>2026-08-26T18:00Z</t>
        </is>
      </c>
      <c r="D680" s="24" t="inlineStr">
        <is>
          <t>189-2026:184667</t>
        </is>
      </c>
      <c r="E680" s="24" t="inlineStr">
        <is>
          <t>TENNIS</t>
        </is>
      </c>
      <c r="F680" s="24" t="inlineStr">
        <is>
          <t>Clement Chidekh</t>
        </is>
      </c>
      <c r="G680" s="24" t="inlineStr">
        <is>
          <t>Arthur Gea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-213</v>
      </c>
      <c r="M680" s="27" t="n">
        <v>1.469484</v>
      </c>
      <c r="N680" s="28" t="n">
        <v>0.680511</v>
      </c>
      <c r="O680" s="28" t="n">
        <v>0.6108</v>
      </c>
      <c r="P680" s="28" t="n">
        <v>0.05</v>
      </c>
      <c r="Q680" s="28" t="n">
        <v>-0.069711</v>
      </c>
      <c r="R680" s="26" t="n">
        <v>0</v>
      </c>
      <c r="S680" s="29" t="n">
        <v>1</v>
      </c>
      <c r="T680" s="24" t="inlineStr">
        <is>
          <t>tennis-surface-elo-v1</t>
        </is>
      </c>
      <c r="U680" s="24" t="inlineStr">
        <is>
          <t>settled</t>
        </is>
      </c>
      <c r="V680" s="24" t="inlineStr">
        <is>
          <t>win</t>
        </is>
      </c>
      <c r="W680" s="26" t="n">
        <v>0</v>
      </c>
      <c r="X680" s="26" t="n">
        <v>1</v>
      </c>
      <c r="Y680" s="25" t="n"/>
      <c r="Z680" s="26" t="n">
        <v>-213</v>
      </c>
      <c r="AA680" s="28" t="n">
        <v>0.68</v>
      </c>
      <c r="AB680" s="28" t="n">
        <v>-0.000511</v>
      </c>
      <c r="AC680" s="30" t="n">
        <v>0.4695</v>
      </c>
      <c r="AD680" s="24" t="inlineStr">
        <is>
          <t>2026-08-26T22:14:27.224336Z</t>
        </is>
      </c>
      <c r="AE680" s="31" t="inlineStr">
        <is>
          <t>Surface-blended Elo on Hard: Clement Chidekh p=0.389 vs Arthur Gea. Executable ask 0.6800 (aec-atp-artgea-clechi-2026-08-26).</t>
        </is>
      </c>
      <c r="AF680" s="31" t="inlineStr">
        <is>
          <t>Surface-blended Elo model; singles only, WTA+ATP market coverage, not yet locked-holdout qualified -- promoted by explicit operator directive, not genuine walk-forward validation.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Clement Chidekh</t>
        </is>
      </c>
      <c r="AQ680" s="24" t="inlineStr">
        <is>
          <t>Clement Chidekh</t>
        </is>
      </c>
      <c r="AR680" s="24" t="inlineStr">
        <is>
          <t>Clement Chidekh</t>
        </is>
      </c>
      <c r="AS680" s="24" t="inlineStr">
        <is>
          <t>Arthur Gea</t>
        </is>
      </c>
      <c r="AT680" s="24" t="inlineStr">
        <is>
          <t>Arthur Gea</t>
        </is>
      </c>
      <c r="AU680" s="24" t="inlineStr">
        <is>
          <t>Arthur Gea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d777da58446bc099047b154203518e2585ef1a678f613f2b430f2589f7bf5cff</t>
        </is>
      </c>
      <c r="BB680" s="24" t="inlineStr">
        <is>
          <t>surface_blended_elo</t>
        </is>
      </c>
      <c r="BC680" s="24" t="inlineStr">
        <is>
          <t>tennis-surface-elo-v1</t>
        </is>
      </c>
      <c r="BD680" s="24" t="inlineStr">
        <is>
          <t>d777da58446bc099047b154203518e2585ef1a678f613f2b430f2589f7bf5cff</t>
        </is>
      </c>
      <c r="BE680" s="24" t="inlineStr">
        <is>
          <t>tennis-surface-elo-v1</t>
        </is>
      </c>
      <c r="BF680" s="24" t="inlineStr">
        <is>
          <t>1</t>
        </is>
      </c>
      <c r="BG680" s="24" t="inlineStr">
        <is>
          <t>d777da58446bc099047b154203518e2585ef1a678f613f2b430f2589f7bf5cff</t>
        </is>
      </c>
      <c r="BH680" s="24" t="inlineStr">
        <is>
          <t>2026-08-26T12:42:22.128063Z</t>
        </is>
      </c>
      <c r="BI680" s="24" t="inlineStr">
        <is>
          <t>["same_event","same_team_same_day","same_league_same_day"]</t>
        </is>
      </c>
      <c r="BJ680" s="25" t="n"/>
      <c r="BK680" s="26" t="n">
        <v>-213</v>
      </c>
      <c r="BL680" s="27" t="n">
        <v>1.469484</v>
      </c>
      <c r="BM680" s="28" t="n">
        <v>0.680511</v>
      </c>
      <c r="BN680" s="28" t="n"/>
      <c r="BO680" s="28" t="n"/>
      <c r="BP680" s="25" t="n"/>
      <c r="BQ680" s="27" t="n">
        <v>1.469484</v>
      </c>
      <c r="BR680" s="28" t="n">
        <v>0.68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inlineStr">
        <is>
          <t>23263cb6645679e51571a0134392adc26b061c3b8de74f1ac0a168c43d82b824</t>
        </is>
      </c>
      <c r="DE680" s="24" t="inlineStr">
        <is>
          <t>/Users/vincentc9002/model-prediction/data/odds/tennis/2026-08-26/polymarket_snapshots.jsonl</t>
        </is>
      </c>
      <c r="DF680" s="24" t="inlineStr">
        <is>
          <t>521740:2026-08-26T12:42:22.128063Z</t>
        </is>
      </c>
      <c r="DG680" s="24" t="n"/>
      <c r="DH680" s="24" t="n"/>
      <c r="DI680" s="24" t="n"/>
      <c r="DJ680" s="24" t="inlineStr">
        <is>
          <t>0.680511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073dd89d904d4724</t>
        </is>
      </c>
      <c r="B681" s="24" t="inlineStr">
        <is>
          <t>2026-08-26T16:35:15.923799Z</t>
        </is>
      </c>
      <c r="C681" s="24" t="inlineStr">
        <is>
          <t>2026-08-26T18:00Z</t>
        </is>
      </c>
      <c r="D681" s="24" t="inlineStr">
        <is>
          <t>189-2026:184668</t>
        </is>
      </c>
      <c r="E681" s="24" t="inlineStr">
        <is>
          <t>TENNIS</t>
        </is>
      </c>
      <c r="F681" s="24" t="inlineStr">
        <is>
          <t>Nishesh Basavareddy</t>
        </is>
      </c>
      <c r="G681" s="24" t="inlineStr">
        <is>
          <t>Luka Mikrut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-233</v>
      </c>
      <c r="M681" s="27" t="n">
        <v>1.429185</v>
      </c>
      <c r="N681" s="28" t="n">
        <v>0.6997</v>
      </c>
      <c r="O681" s="28" t="n">
        <v>0.6748</v>
      </c>
      <c r="P681" s="28" t="n">
        <v>0.05</v>
      </c>
      <c r="Q681" s="28" t="n">
        <v>-0.0249</v>
      </c>
      <c r="R681" s="26" t="n">
        <v>8</v>
      </c>
      <c r="S681" s="29" t="n">
        <v>1</v>
      </c>
      <c r="T681" s="24" t="inlineStr">
        <is>
          <t>tennis-surface-elo-v1</t>
        </is>
      </c>
      <c r="U681" s="24" t="inlineStr">
        <is>
          <t>settled</t>
        </is>
      </c>
      <c r="V681" s="24" t="inlineStr">
        <is>
          <t>win</t>
        </is>
      </c>
      <c r="W681" s="26" t="n">
        <v>1</v>
      </c>
      <c r="X681" s="26" t="n">
        <v>0</v>
      </c>
      <c r="Y681" s="25" t="n"/>
      <c r="Z681" s="26" t="n">
        <v>-223</v>
      </c>
      <c r="AA681" s="28" t="n">
        <v>0.6899999999999999</v>
      </c>
      <c r="AB681" s="28" t="n">
        <v>-0.0097</v>
      </c>
      <c r="AC681" s="30" t="n">
        <v>0.4292</v>
      </c>
      <c r="AD681" s="24" t="inlineStr">
        <is>
          <t>2026-08-26T22:14:29.379012Z</t>
        </is>
      </c>
      <c r="AE681" s="31" t="inlineStr">
        <is>
          <t>Surface-blended Elo on Hard: Nishesh Basavareddy p=0.675 vs Luka Mikrut. Executable ask 0.7000 (aec-atp-lukmik-nisbas-2026-08-26).</t>
        </is>
      </c>
      <c r="AF681" s="31" t="inlineStr">
        <is>
          <t>Surface-blended Elo model; singles only, WTA+ATP market coverage, not yet locked-holdout qualified -- promoted by explicit operator directive, not genuine walk-forward validation.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PAPER_CALL_MODEL_UNVALIDATED</t>
        </is>
      </c>
      <c r="AP681" s="24" t="inlineStr">
        <is>
          <t>Nishesh Basavareddy</t>
        </is>
      </c>
      <c r="AQ681" s="24" t="inlineStr">
        <is>
          <t>Nishesh Basavareddy</t>
        </is>
      </c>
      <c r="AR681" s="24" t="inlineStr">
        <is>
          <t>Nishesh Basavareddy</t>
        </is>
      </c>
      <c r="AS681" s="24" t="inlineStr">
        <is>
          <t>Luka Mikrut</t>
        </is>
      </c>
      <c r="AT681" s="24" t="inlineStr">
        <is>
          <t>Luka Mikrut</t>
        </is>
      </c>
      <c r="AU681" s="24" t="inlineStr">
        <is>
          <t>Luka Mikrut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d777da58446bc099047b154203518e2585ef1a678f613f2b430f2589f7bf5cff</t>
        </is>
      </c>
      <c r="BB681" s="24" t="inlineStr">
        <is>
          <t>surface_blended_elo</t>
        </is>
      </c>
      <c r="BC681" s="24" t="inlineStr">
        <is>
          <t>tennis-surface-elo-v1</t>
        </is>
      </c>
      <c r="BD681" s="24" t="inlineStr">
        <is>
          <t>d777da58446bc099047b154203518e2585ef1a678f613f2b430f2589f7bf5cff</t>
        </is>
      </c>
      <c r="BE681" s="24" t="inlineStr">
        <is>
          <t>tennis-surface-elo-v1</t>
        </is>
      </c>
      <c r="BF681" s="24" t="inlineStr">
        <is>
          <t>1</t>
        </is>
      </c>
      <c r="BG681" s="24" t="inlineStr">
        <is>
          <t>d777da58446bc099047b154203518e2585ef1a678f613f2b430f2589f7bf5cff</t>
        </is>
      </c>
      <c r="BH681" s="24" t="inlineStr">
        <is>
          <t>2026-08-26T12:42:17.869568Z</t>
        </is>
      </c>
      <c r="BI681" s="24" t="inlineStr">
        <is>
          <t>["same_event","same_team_same_day","same_league_same_day"]</t>
        </is>
      </c>
      <c r="BJ681" s="25" t="n"/>
      <c r="BK681" s="26" t="n">
        <v>-233</v>
      </c>
      <c r="BL681" s="27" t="n">
        <v>1.429185</v>
      </c>
      <c r="BM681" s="28" t="n">
        <v>0.6997</v>
      </c>
      <c r="BN681" s="28" t="n"/>
      <c r="BO681" s="28" t="n"/>
      <c r="BP681" s="25" t="n"/>
      <c r="BQ681" s="27" t="n">
        <v>1.44843</v>
      </c>
      <c r="BR681" s="28" t="n">
        <v>0.6899999999999999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inlineStr">
        <is>
          <t>c8238b9cbad2123553700ff5d3939e2b14a42a3e9b1623106a95ffb8e699ab07</t>
        </is>
      </c>
      <c r="DE681" s="24" t="inlineStr">
        <is>
          <t>/Users/vincentc9002/model-prediction/data/odds/tennis/2026-08-26/polymarket_snapshots.jsonl</t>
        </is>
      </c>
      <c r="DF681" s="24" t="inlineStr">
        <is>
          <t>521747:2026-08-26T12:42:17.869568Z</t>
        </is>
      </c>
      <c r="DG681" s="24" t="n"/>
      <c r="DH681" s="24" t="n"/>
      <c r="DI681" s="24" t="n"/>
      <c r="DJ681" s="24" t="inlineStr">
        <is>
          <t>0.6997</t>
        </is>
      </c>
      <c r="DK681" s="24" t="n"/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b4cb8898a8c94771</t>
        </is>
      </c>
      <c r="B682" s="24" t="inlineStr">
        <is>
          <t>2026-08-26T16:35:15.923799Z</t>
        </is>
      </c>
      <c r="C682" s="24" t="inlineStr">
        <is>
          <t>2026-08-26T18:00Z</t>
        </is>
      </c>
      <c r="D682" s="24" t="inlineStr">
        <is>
          <t>189-2026:184775</t>
        </is>
      </c>
      <c r="E682" s="24" t="inlineStr">
        <is>
          <t>TENNIS</t>
        </is>
      </c>
      <c r="F682" s="24" t="inlineStr">
        <is>
          <t>Braden Shick</t>
        </is>
      </c>
      <c r="G682" s="24" t="inlineStr">
        <is>
          <t>Shintaro Mochizuki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156</v>
      </c>
      <c r="M682" s="27" t="n">
        <v>2.56</v>
      </c>
      <c r="N682" s="28" t="n">
        <v>0.390625</v>
      </c>
      <c r="O682" s="28" t="n">
        <v>0.535</v>
      </c>
      <c r="P682" s="28" t="n">
        <v>0.05</v>
      </c>
      <c r="Q682" s="28" t="n">
        <v>0.144375</v>
      </c>
      <c r="R682" s="26" t="n">
        <v>92</v>
      </c>
      <c r="S682" s="29" t="n">
        <v>1.75</v>
      </c>
      <c r="T682" s="24" t="inlineStr">
        <is>
          <t>tennis-surface-elo-v1</t>
        </is>
      </c>
      <c r="U682" s="24" t="inlineStr">
        <is>
          <t>settled</t>
        </is>
      </c>
      <c r="V682" s="24" t="inlineStr">
        <is>
          <t>loss</t>
        </is>
      </c>
      <c r="W682" s="26" t="n">
        <v>0</v>
      </c>
      <c r="X682" s="26" t="n">
        <v>1</v>
      </c>
      <c r="Y682" s="25" t="n"/>
      <c r="Z682" s="26" t="n">
        <v>156</v>
      </c>
      <c r="AA682" s="28" t="n">
        <v>0.39</v>
      </c>
      <c r="AB682" s="28" t="n">
        <v>-0.000625</v>
      </c>
      <c r="AC682" s="30" t="n">
        <v>-1.75</v>
      </c>
      <c r="AD682" s="24" t="inlineStr">
        <is>
          <t>2026-08-26T22:14:31.540975Z</t>
        </is>
      </c>
      <c r="AE682" s="31" t="inlineStr">
        <is>
          <t>Surface-blended Elo on Hard: Braden Shick p=0.535 vs Shintaro Mochizuki. Executable ask 0.3900 (aec-atp-shimoc-brashi-2026-08-26).</t>
        </is>
      </c>
      <c r="AF682" s="31" t="inlineStr">
        <is>
          <t>Surface-blended Elo model; singles only, WTA+ATP market coverage, not yet locked-holdout qualified -- promoted by explicit operator directive, not genuine walk-forward validation.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PAPER_CALL_MODEL_UNVALIDATED</t>
        </is>
      </c>
      <c r="AP682" s="24" t="inlineStr">
        <is>
          <t>Braden Shick</t>
        </is>
      </c>
      <c r="AQ682" s="24" t="inlineStr">
        <is>
          <t>Braden Shick</t>
        </is>
      </c>
      <c r="AR682" s="24" t="inlineStr">
        <is>
          <t>Braden Shick</t>
        </is>
      </c>
      <c r="AS682" s="24" t="inlineStr">
        <is>
          <t>Shintaro Mochizuki</t>
        </is>
      </c>
      <c r="AT682" s="24" t="inlineStr">
        <is>
          <t>Shintaro Mochizuki</t>
        </is>
      </c>
      <c r="AU682" s="24" t="inlineStr">
        <is>
          <t>Shintaro Mochizuki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d777da58446bc099047b154203518e2585ef1a678f613f2b430f2589f7bf5cff</t>
        </is>
      </c>
      <c r="BB682" s="24" t="inlineStr">
        <is>
          <t>surface_blended_elo</t>
        </is>
      </c>
      <c r="BC682" s="24" t="inlineStr">
        <is>
          <t>tennis-surface-elo-v1</t>
        </is>
      </c>
      <c r="BD682" s="24" t="inlineStr">
        <is>
          <t>d777da58446bc099047b154203518e2585ef1a678f613f2b430f2589f7bf5cff</t>
        </is>
      </c>
      <c r="BE682" s="24" t="inlineStr">
        <is>
          <t>tennis-surface-elo-v1</t>
        </is>
      </c>
      <c r="BF682" s="24" t="inlineStr">
        <is>
          <t>1</t>
        </is>
      </c>
      <c r="BG682" s="24" t="inlineStr">
        <is>
          <t>d777da58446bc099047b154203518e2585ef1a678f613f2b430f2589f7bf5cff</t>
        </is>
      </c>
      <c r="BH682" s="24" t="inlineStr">
        <is>
          <t>2026-08-26T12:42:15.775033Z</t>
        </is>
      </c>
      <c r="BI682" s="24" t="inlineStr">
        <is>
          <t>["same_event","same_team_same_day","same_league_same_day"]</t>
        </is>
      </c>
      <c r="BJ682" s="25" t="n"/>
      <c r="BK682" s="26" t="n">
        <v>156</v>
      </c>
      <c r="BL682" s="27" t="n">
        <v>2.56</v>
      </c>
      <c r="BM682" s="28" t="n">
        <v>0.390625</v>
      </c>
      <c r="BN682" s="28" t="n"/>
      <c r="BO682" s="28" t="n"/>
      <c r="BP682" s="25" t="n"/>
      <c r="BQ682" s="27" t="n">
        <v>2.56</v>
      </c>
      <c r="BR682" s="28" t="n">
        <v>0.39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inlineStr">
        <is>
          <t>23da0f3096c2de8832088b157179528a3d3c717dfed829c64a1761f22289f2d4</t>
        </is>
      </c>
      <c r="DE682" s="24" t="inlineStr">
        <is>
          <t>/Users/vincentc9002/model-prediction/data/odds/tennis/2026-08-26/polymarket_snapshots.jsonl</t>
        </is>
      </c>
      <c r="DF682" s="24" t="inlineStr">
        <is>
          <t>520604:2026-08-26T12:42:15.775033Z</t>
        </is>
      </c>
      <c r="DG682" s="24" t="n"/>
      <c r="DH682" s="24" t="n"/>
      <c r="DI682" s="24" t="n"/>
      <c r="DJ682" s="24" t="inlineStr">
        <is>
          <t>0.390625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87e09375ee7f42ed</t>
        </is>
      </c>
      <c r="B683" s="24" t="inlineStr">
        <is>
          <t>2026-08-26T16:35:15.923799Z</t>
        </is>
      </c>
      <c r="C683" s="24" t="inlineStr">
        <is>
          <t>2026-08-26T19:30Z</t>
        </is>
      </c>
      <c r="D683" s="24" t="inlineStr">
        <is>
          <t>189-2026:184666</t>
        </is>
      </c>
      <c r="E683" s="24" t="inlineStr">
        <is>
          <t>TENNIS</t>
        </is>
      </c>
      <c r="F683" s="24" t="inlineStr">
        <is>
          <t>Colton Smith</t>
        </is>
      </c>
      <c r="G683" s="24" t="inlineStr">
        <is>
          <t>Jerome Kym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-170</v>
      </c>
      <c r="M683" s="27" t="n">
        <v>1.588235</v>
      </c>
      <c r="N683" s="28" t="n">
        <v>0.62963</v>
      </c>
      <c r="O683" s="28" t="n">
        <v>0.6313</v>
      </c>
      <c r="P683" s="28" t="n">
        <v>0.05</v>
      </c>
      <c r="Q683" s="28" t="n">
        <v>0.00167</v>
      </c>
      <c r="R683" s="26" t="n">
        <v>21</v>
      </c>
      <c r="S683" s="29" t="n">
        <v>1</v>
      </c>
      <c r="T683" s="24" t="inlineStr">
        <is>
          <t>tennis-surface-elo-v1</t>
        </is>
      </c>
      <c r="U683" s="24" t="inlineStr">
        <is>
          <t>settled</t>
        </is>
      </c>
      <c r="V683" s="24" t="inlineStr">
        <is>
          <t>loss</t>
        </is>
      </c>
      <c r="W683" s="26" t="n">
        <v>1</v>
      </c>
      <c r="X683" s="26" t="n">
        <v>0</v>
      </c>
      <c r="Y683" s="25" t="n"/>
      <c r="Z683" s="26" t="n">
        <v>-194</v>
      </c>
      <c r="AA683" s="28" t="n">
        <v>0.66</v>
      </c>
      <c r="AB683" s="28" t="n">
        <v>0.03037</v>
      </c>
      <c r="AC683" s="30" t="n">
        <v>-1</v>
      </c>
      <c r="AD683" s="24" t="inlineStr">
        <is>
          <t>2026-08-27T03:40:16.900686Z</t>
        </is>
      </c>
      <c r="AE683" s="31" t="inlineStr">
        <is>
          <t>Surface-blended Elo on Hard: Colton Smith p=0.369 vs Jerome Kym. Executable ask 0.6300 (aec-atp-jerkym-colsmi-2026-08-26).</t>
        </is>
      </c>
      <c r="AF683" s="31" t="inlineStr">
        <is>
          <t>Surface-blended Elo model; singles only, WTA+ATP market coverage, not yet locked-holdout qualified -- promoted by explicit operator directive, not genuine walk-forward validation.</t>
        </is>
      </c>
      <c r="AG683" s="24" t="inlineStr">
        <is>
          <t>review_required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Colton Smith</t>
        </is>
      </c>
      <c r="AQ683" s="24" t="inlineStr">
        <is>
          <t>Colton Smith</t>
        </is>
      </c>
      <c r="AR683" s="24" t="inlineStr">
        <is>
          <t>Colton Smith</t>
        </is>
      </c>
      <c r="AS683" s="24" t="inlineStr">
        <is>
          <t>Jerome Kym</t>
        </is>
      </c>
      <c r="AT683" s="24" t="inlineStr">
        <is>
          <t>Jerome Kym</t>
        </is>
      </c>
      <c r="AU683" s="24" t="inlineStr">
        <is>
          <t>Jerome Kym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d777da58446bc099047b154203518e2585ef1a678f613f2b430f2589f7bf5cff</t>
        </is>
      </c>
      <c r="BB683" s="24" t="inlineStr">
        <is>
          <t>surface_blended_elo</t>
        </is>
      </c>
      <c r="BC683" s="24" t="inlineStr">
        <is>
          <t>tennis-surface-elo-v1</t>
        </is>
      </c>
      <c r="BD683" s="24" t="inlineStr">
        <is>
          <t>d777da58446bc099047b154203518e2585ef1a678f613f2b430f2589f7bf5cff</t>
        </is>
      </c>
      <c r="BE683" s="24" t="inlineStr">
        <is>
          <t>tennis-surface-elo-v1</t>
        </is>
      </c>
      <c r="BF683" s="24" t="inlineStr">
        <is>
          <t>1</t>
        </is>
      </c>
      <c r="BG683" s="24" t="inlineStr">
        <is>
          <t>d777da58446bc099047b154203518e2585ef1a678f613f2b430f2589f7bf5cff</t>
        </is>
      </c>
      <c r="BH683" s="24" t="inlineStr">
        <is>
          <t>2026-08-26T12:42:22.221204Z</t>
        </is>
      </c>
      <c r="BI683" s="24" t="inlineStr">
        <is>
          <t>["same_event","same_team_same_day","same_league_same_day"]</t>
        </is>
      </c>
      <c r="BJ683" s="25" t="n"/>
      <c r="BK683" s="26" t="n">
        <v>-170</v>
      </c>
      <c r="BL683" s="27" t="n">
        <v>1.588235</v>
      </c>
      <c r="BM683" s="28" t="n">
        <v>0.62963</v>
      </c>
      <c r="BN683" s="28" t="n"/>
      <c r="BO683" s="28" t="n"/>
      <c r="BP683" s="25" t="n"/>
      <c r="BQ683" s="27" t="n">
        <v>1.515464</v>
      </c>
      <c r="BR683" s="28" t="n">
        <v>0.66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inlineStr">
        <is>
          <t>1cd6647203996b4cdbd54aa5475082b226b07752e14b20054255a12cdfc79d65</t>
        </is>
      </c>
      <c r="DE683" s="24" t="inlineStr">
        <is>
          <t>/Users/vincentc9002/model-prediction/data/odds/tennis/2026-08-26/polymarket_snapshots.jsonl</t>
        </is>
      </c>
      <c r="DF683" s="24" t="inlineStr">
        <is>
          <t>524196:2026-08-26T12:42:22.221204Z</t>
        </is>
      </c>
      <c r="DG683" s="24" t="n"/>
      <c r="DH683" s="24" t="n"/>
      <c r="DI683" s="24" t="n"/>
      <c r="DJ683" s="24" t="inlineStr">
        <is>
          <t>0.62963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d428c6477aa04af2</t>
        </is>
      </c>
      <c r="B684" s="24" t="inlineStr">
        <is>
          <t>2026-08-26T16:35:15.923799Z</t>
        </is>
      </c>
      <c r="C684" s="24" t="inlineStr">
        <is>
          <t>2026-08-26T19:30Z</t>
        </is>
      </c>
      <c r="D684" s="24" t="inlineStr">
        <is>
          <t>189-2026:184672</t>
        </is>
      </c>
      <c r="E684" s="24" t="inlineStr">
        <is>
          <t>TENNIS</t>
        </is>
      </c>
      <c r="F684" s="24" t="inlineStr">
        <is>
          <t>Christopher O'Connell</t>
        </is>
      </c>
      <c r="G684" s="24" t="inlineStr">
        <is>
          <t>Nicolai Budkov Kjaer</t>
        </is>
      </c>
      <c r="H684" s="24" t="inlineStr">
        <is>
          <t>moneyline</t>
        </is>
      </c>
      <c r="I684" s="24" t="inlineStr">
        <is>
          <t>away</t>
        </is>
      </c>
      <c r="J684" s="25" t="n"/>
      <c r="K684" s="24" t="inlineStr">
        <is>
          <t>polymarket_us</t>
        </is>
      </c>
      <c r="L684" s="26" t="n">
        <v>-170</v>
      </c>
      <c r="M684" s="27" t="n">
        <v>1.588235</v>
      </c>
      <c r="N684" s="28" t="n">
        <v>0.62963</v>
      </c>
      <c r="O684" s="28" t="n">
        <v>0.6322</v>
      </c>
      <c r="P684" s="28" t="n">
        <v>0.05</v>
      </c>
      <c r="Q684" s="28" t="n">
        <v>0.00257</v>
      </c>
      <c r="R684" s="26" t="n">
        <v>21</v>
      </c>
      <c r="S684" s="29" t="n">
        <v>1</v>
      </c>
      <c r="T684" s="24" t="inlineStr">
        <is>
          <t>tennis-surface-elo-v1</t>
        </is>
      </c>
      <c r="U684" s="24" t="inlineStr">
        <is>
          <t>settled</t>
        </is>
      </c>
      <c r="V684" s="24" t="inlineStr">
        <is>
          <t>win</t>
        </is>
      </c>
      <c r="W684" s="26" t="n">
        <v>1</v>
      </c>
      <c r="X684" s="26" t="n">
        <v>0</v>
      </c>
      <c r="Y684" s="25" t="n"/>
      <c r="Z684" s="26" t="n">
        <v>-170</v>
      </c>
      <c r="AA684" s="28" t="n">
        <v>0.63</v>
      </c>
      <c r="AB684" s="28" t="n">
        <v>0.00037</v>
      </c>
      <c r="AC684" s="30" t="n">
        <v>0.5881999999999999</v>
      </c>
      <c r="AD684" s="24" t="inlineStr">
        <is>
          <t>2026-08-27T00:41:28.977802Z</t>
        </is>
      </c>
      <c r="AE684" s="31" t="inlineStr">
        <is>
          <t>Surface-blended Elo on Hard: Christopher O'Connell p=0.632 vs Nicolai Budkov Kjaer. Executable ask 0.6300 (aec-atp-nickja-chroco-2026-08-26).</t>
        </is>
      </c>
      <c r="AF684" s="31" t="inlineStr">
        <is>
          <t>Surface-blended Elo model; singles only, WTA+ATP market coverage, not yet locked-holdout qualified -- promoted by explicit operator directive, not genuine walk-forward validation.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Christopher O'Connell</t>
        </is>
      </c>
      <c r="AQ684" s="24" t="inlineStr">
        <is>
          <t>Christopher O'Connell</t>
        </is>
      </c>
      <c r="AR684" s="24" t="inlineStr">
        <is>
          <t>Christopher O'Connell</t>
        </is>
      </c>
      <c r="AS684" s="24" t="inlineStr">
        <is>
          <t>Nicolai Budkov Kjaer</t>
        </is>
      </c>
      <c r="AT684" s="24" t="inlineStr">
        <is>
          <t>Nicolai Budkov Kjaer</t>
        </is>
      </c>
      <c r="AU684" s="24" t="inlineStr">
        <is>
          <t>Nicolai Budkov Kjaer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d777da58446bc099047b154203518e2585ef1a678f613f2b430f2589f7bf5cff</t>
        </is>
      </c>
      <c r="BB684" s="24" t="inlineStr">
        <is>
          <t>surface_blended_elo</t>
        </is>
      </c>
      <c r="BC684" s="24" t="inlineStr">
        <is>
          <t>tennis-surface-elo-v1</t>
        </is>
      </c>
      <c r="BD684" s="24" t="inlineStr">
        <is>
          <t>d777da58446bc099047b154203518e2585ef1a678f613f2b430f2589f7bf5cff</t>
        </is>
      </c>
      <c r="BE684" s="24" t="inlineStr">
        <is>
          <t>tennis-surface-elo-v1</t>
        </is>
      </c>
      <c r="BF684" s="24" t="inlineStr">
        <is>
          <t>1</t>
        </is>
      </c>
      <c r="BG684" s="24" t="inlineStr">
        <is>
          <t>d777da58446bc099047b154203518e2585ef1a678f613f2b430f2589f7bf5cff</t>
        </is>
      </c>
      <c r="BH684" s="24" t="inlineStr">
        <is>
          <t>2026-08-26T16:31:23.443617Z</t>
        </is>
      </c>
      <c r="BI684" s="24" t="inlineStr">
        <is>
          <t>["same_event","same_team_same_day","same_league_same_day"]</t>
        </is>
      </c>
      <c r="BJ684" s="25" t="n"/>
      <c r="BK684" s="26" t="n">
        <v>-170</v>
      </c>
      <c r="BL684" s="27" t="n">
        <v>1.588235</v>
      </c>
      <c r="BM684" s="28" t="n">
        <v>0.62963</v>
      </c>
      <c r="BN684" s="28" t="n"/>
      <c r="BO684" s="28" t="n"/>
      <c r="BP684" s="25" t="n"/>
      <c r="BQ684" s="27" t="n">
        <v>1.588235</v>
      </c>
      <c r="BR684" s="28" t="n">
        <v>0.63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inlineStr">
        <is>
          <t>994adcd2dd5033ddc659679390a5fbdc01e7242916cbcd9f6bb1dab80605c348</t>
        </is>
      </c>
      <c r="DE684" s="24" t="inlineStr">
        <is>
          <t>/Users/vincentc9002/model-prediction/data/odds/tennis/2026-08-26/polymarket_snapshots.jsonl</t>
        </is>
      </c>
      <c r="DF684" s="24" t="inlineStr">
        <is>
          <t>523343:2026-08-26T16:31:23.443617Z</t>
        </is>
      </c>
      <c r="DG684" s="24" t="n"/>
      <c r="DH684" s="24" t="n"/>
      <c r="DI684" s="24" t="n"/>
      <c r="DJ684" s="24" t="inlineStr">
        <is>
          <t>0.62963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41b19978c68043b2</t>
        </is>
      </c>
      <c r="B685" s="24" t="inlineStr">
        <is>
          <t>2026-08-26T16:35:15.923799Z</t>
        </is>
      </c>
      <c r="C685" s="24" t="inlineStr">
        <is>
          <t>2026-08-26T19:30Z</t>
        </is>
      </c>
      <c r="D685" s="24" t="inlineStr">
        <is>
          <t>189-2026:184678</t>
        </is>
      </c>
      <c r="E685" s="24" t="inlineStr">
        <is>
          <t>TENNIS</t>
        </is>
      </c>
      <c r="F685" s="24" t="inlineStr">
        <is>
          <t>Michael Antonius</t>
        </is>
      </c>
      <c r="G685" s="24" t="inlineStr">
        <is>
          <t>Kei Nishikori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-163</v>
      </c>
      <c r="M685" s="27" t="n">
        <v>1.613497</v>
      </c>
      <c r="N685" s="28" t="n">
        <v>0.619772</v>
      </c>
      <c r="O685" s="28" t="n">
        <v>0.5259</v>
      </c>
      <c r="P685" s="28" t="n">
        <v>0.05</v>
      </c>
      <c r="Q685" s="28" t="n">
        <v>-0.093872</v>
      </c>
      <c r="R685" s="26" t="n">
        <v>0</v>
      </c>
      <c r="S685" s="29" t="n">
        <v>1</v>
      </c>
      <c r="T685" s="24" t="inlineStr">
        <is>
          <t>tennis-surface-elo-v1</t>
        </is>
      </c>
      <c r="U685" s="24" t="inlineStr">
        <is>
          <t>settled</t>
        </is>
      </c>
      <c r="V685" s="24" t="inlineStr">
        <is>
          <t>win</t>
        </is>
      </c>
      <c r="W685" s="26" t="n">
        <v>0</v>
      </c>
      <c r="X685" s="26" t="n">
        <v>1</v>
      </c>
      <c r="Y685" s="25" t="n"/>
      <c r="Z685" s="26" t="n">
        <v>-150</v>
      </c>
      <c r="AA685" s="28" t="n">
        <v>0.6</v>
      </c>
      <c r="AB685" s="28" t="n">
        <v>-0.019772</v>
      </c>
      <c r="AC685" s="30" t="n">
        <v>0.6135</v>
      </c>
      <c r="AD685" s="24" t="inlineStr">
        <is>
          <t>2026-08-27T00:41:31.238488Z</t>
        </is>
      </c>
      <c r="AE685" s="31" t="inlineStr">
        <is>
          <t>Surface-blended Elo on Hard: Michael Antonius p=0.474 vs Kei Nishikori. Executable ask 0.6200 (aec-atp-keinis-micant-2026-08-26).</t>
        </is>
      </c>
      <c r="AF685" s="31" t="inlineStr">
        <is>
          <t>Surface-blended Elo model; singles only, WTA+ATP market coverage, not yet locked-holdout qualified -- promoted by explicit operator directive, not genuine walk-forward validation.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PAPER_CALL_MODEL_UNVALIDATED</t>
        </is>
      </c>
      <c r="AP685" s="24" t="inlineStr">
        <is>
          <t>Michael Antonius</t>
        </is>
      </c>
      <c r="AQ685" s="24" t="inlineStr">
        <is>
          <t>Michael Antonius</t>
        </is>
      </c>
      <c r="AR685" s="24" t="inlineStr">
        <is>
          <t>Michael Antonius</t>
        </is>
      </c>
      <c r="AS685" s="24" t="inlineStr">
        <is>
          <t>Kei Nishikori</t>
        </is>
      </c>
      <c r="AT685" s="24" t="inlineStr">
        <is>
          <t>Kei Nishikori</t>
        </is>
      </c>
      <c r="AU685" s="24" t="inlineStr">
        <is>
          <t>Kei Nishikori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d777da58446bc099047b154203518e2585ef1a678f613f2b430f2589f7bf5cff</t>
        </is>
      </c>
      <c r="BB685" s="24" t="inlineStr">
        <is>
          <t>surface_blended_elo</t>
        </is>
      </c>
      <c r="BC685" s="24" t="inlineStr">
        <is>
          <t>tennis-surface-elo-v1</t>
        </is>
      </c>
      <c r="BD685" s="24" t="inlineStr">
        <is>
          <t>d777da58446bc099047b154203518e2585ef1a678f613f2b430f2589f7bf5cff</t>
        </is>
      </c>
      <c r="BE685" s="24" t="inlineStr">
        <is>
          <t>tennis-surface-elo-v1</t>
        </is>
      </c>
      <c r="BF685" s="24" t="inlineStr">
        <is>
          <t>1</t>
        </is>
      </c>
      <c r="BG685" s="24" t="inlineStr">
        <is>
          <t>d777da58446bc099047b154203518e2585ef1a678f613f2b430f2589f7bf5cff</t>
        </is>
      </c>
      <c r="BH685" s="24" t="inlineStr">
        <is>
          <t>2026-08-26T12:42:22.508592Z</t>
        </is>
      </c>
      <c r="BI685" s="24" t="inlineStr">
        <is>
          <t>["same_event","same_team_same_day","same_league_same_day"]</t>
        </is>
      </c>
      <c r="BJ685" s="25" t="n"/>
      <c r="BK685" s="26" t="n">
        <v>-163</v>
      </c>
      <c r="BL685" s="27" t="n">
        <v>1.613497</v>
      </c>
      <c r="BM685" s="28" t="n">
        <v>0.619772</v>
      </c>
      <c r="BN685" s="28" t="n"/>
      <c r="BO685" s="28" t="n"/>
      <c r="BP685" s="25" t="n"/>
      <c r="BQ685" s="27" t="n">
        <v>1.666667</v>
      </c>
      <c r="BR685" s="28" t="n">
        <v>0.6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inlineStr">
        <is>
          <t>3d82b9794572efcea0d609883b1d02084961836b84bedcd5d61ce64d3a11f930</t>
        </is>
      </c>
      <c r="DE685" s="24" t="inlineStr">
        <is>
          <t>/Users/vincentc9002/model-prediction/data/odds/tennis/2026-08-26/polymarket_snapshots.jsonl</t>
        </is>
      </c>
      <c r="DF685" s="24" t="inlineStr">
        <is>
          <t>520569:2026-08-26T12:42:22.508592Z</t>
        </is>
      </c>
      <c r="DG685" s="24" t="n"/>
      <c r="DH685" s="24" t="n"/>
      <c r="DI685" s="24" t="n"/>
      <c r="DJ685" s="24" t="inlineStr">
        <is>
          <t>0.619772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0288b08c0ef24c3b</t>
        </is>
      </c>
      <c r="B686" s="24" t="inlineStr">
        <is>
          <t>2026-08-26T16:35:15.923799Z</t>
        </is>
      </c>
      <c r="C686" s="24" t="inlineStr">
        <is>
          <t>2026-08-26T19:30Z</t>
        </is>
      </c>
      <c r="D686" s="24" t="inlineStr">
        <is>
          <t>189-2026:184761</t>
        </is>
      </c>
      <c r="E686" s="24" t="inlineStr">
        <is>
          <t>TENNIS</t>
        </is>
      </c>
      <c r="F686" s="24" t="inlineStr">
        <is>
          <t>Andre Ilagan</t>
        </is>
      </c>
      <c r="G686" s="24" t="inlineStr">
        <is>
          <t>Hugo Gaston</t>
        </is>
      </c>
      <c r="H686" s="24" t="inlineStr">
        <is>
          <t>moneyline</t>
        </is>
      </c>
      <c r="I686" s="24" t="inlineStr">
        <is>
          <t>away</t>
        </is>
      </c>
      <c r="J686" s="25" t="n"/>
      <c r="K686" s="24" t="inlineStr">
        <is>
          <t>polymarket_us</t>
        </is>
      </c>
      <c r="L686" s="26" t="n">
        <v>133</v>
      </c>
      <c r="M686" s="27" t="n">
        <v>2.33</v>
      </c>
      <c r="N686" s="28" t="n">
        <v>0.429185</v>
      </c>
      <c r="O686" s="28" t="n">
        <v>0.6147</v>
      </c>
      <c r="P686" s="28" t="n">
        <v>0.05</v>
      </c>
      <c r="Q686" s="28" t="n">
        <v>0.185515</v>
      </c>
      <c r="R686" s="26" t="n">
        <v>100</v>
      </c>
      <c r="S686" s="29" t="n">
        <v>2</v>
      </c>
      <c r="T686" s="24" t="inlineStr">
        <is>
          <t>tennis-surface-elo-v1</t>
        </is>
      </c>
      <c r="U686" s="24" t="inlineStr">
        <is>
          <t>settled</t>
        </is>
      </c>
      <c r="V686" s="24" t="inlineStr">
        <is>
          <t>loss</t>
        </is>
      </c>
      <c r="W686" s="26" t="n">
        <v>0</v>
      </c>
      <c r="X686" s="26" t="n">
        <v>1</v>
      </c>
      <c r="Y686" s="25" t="n"/>
      <c r="Z686" s="26" t="n">
        <v>133</v>
      </c>
      <c r="AA686" s="28" t="n">
        <v>0.43</v>
      </c>
      <c r="AB686" s="28" t="n">
        <v>0.000815</v>
      </c>
      <c r="AC686" s="30" t="n">
        <v>-2</v>
      </c>
      <c r="AD686" s="24" t="inlineStr">
        <is>
          <t>2026-08-26T22:14:33.688935Z</t>
        </is>
      </c>
      <c r="AE686" s="31" t="inlineStr">
        <is>
          <t>Surface-blended Elo on Hard: Andre Ilagan p=0.615 vs Hugo Gaston. Executable ask 0.4300 (aec-atp-huggas-andila-2026-08-26).</t>
        </is>
      </c>
      <c r="AF686" s="31" t="inlineStr">
        <is>
          <t>Surface-blended Elo model; singles only, WTA+ATP market coverage, not yet locked-holdout qualified -- promoted by explicit operator directive, not genuine walk-forward validation.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Andre Ilagan</t>
        </is>
      </c>
      <c r="AQ686" s="24" t="inlineStr">
        <is>
          <t>Andre Ilagan</t>
        </is>
      </c>
      <c r="AR686" s="24" t="inlineStr">
        <is>
          <t>Andre Ilagan</t>
        </is>
      </c>
      <c r="AS686" s="24" t="inlineStr">
        <is>
          <t>Hugo Gaston</t>
        </is>
      </c>
      <c r="AT686" s="24" t="inlineStr">
        <is>
          <t>Hugo Gaston</t>
        </is>
      </c>
      <c r="AU686" s="24" t="inlineStr">
        <is>
          <t>Hugo Gaston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d777da58446bc099047b154203518e2585ef1a678f613f2b430f2589f7bf5cff</t>
        </is>
      </c>
      <c r="BB686" s="24" t="inlineStr">
        <is>
          <t>surface_blended_elo</t>
        </is>
      </c>
      <c r="BC686" s="24" t="inlineStr">
        <is>
          <t>tennis-surface-elo-v1</t>
        </is>
      </c>
      <c r="BD686" s="24" t="inlineStr">
        <is>
          <t>d777da58446bc099047b154203518e2585ef1a678f613f2b430f2589f7bf5cff</t>
        </is>
      </c>
      <c r="BE686" s="24" t="inlineStr">
        <is>
          <t>tennis-surface-elo-v1</t>
        </is>
      </c>
      <c r="BF686" s="24" t="inlineStr">
        <is>
          <t>1</t>
        </is>
      </c>
      <c r="BG686" s="24" t="inlineStr">
        <is>
          <t>d777da58446bc099047b154203518e2585ef1a678f613f2b430f2589f7bf5cff</t>
        </is>
      </c>
      <c r="BH686" s="24" t="inlineStr">
        <is>
          <t>2026-08-26T16:31:21.645619Z</t>
        </is>
      </c>
      <c r="BI686" s="24" t="inlineStr">
        <is>
          <t>["same_event","same_team_same_day","same_league_same_day"]</t>
        </is>
      </c>
      <c r="BJ686" s="25" t="n"/>
      <c r="BK686" s="26" t="n">
        <v>133</v>
      </c>
      <c r="BL686" s="27" t="n">
        <v>2.33</v>
      </c>
      <c r="BM686" s="28" t="n">
        <v>0.429185</v>
      </c>
      <c r="BN686" s="28" t="n"/>
      <c r="BO686" s="28" t="n"/>
      <c r="BP686" s="25" t="n"/>
      <c r="BQ686" s="27" t="n">
        <v>2.33</v>
      </c>
      <c r="BR686" s="28" t="n">
        <v>0.43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inlineStr">
        <is>
          <t>cc74909f8d0cbc1d6cf0ea4b997c68401fcc0f18b592bc22de659870080151c9</t>
        </is>
      </c>
      <c r="DE686" s="24" t="inlineStr">
        <is>
          <t>/Users/vincentc9002/model-prediction/data/odds/tennis/2026-08-26/polymarket_snapshots.jsonl</t>
        </is>
      </c>
      <c r="DF686" s="24" t="inlineStr">
        <is>
          <t>523341:2026-08-26T16:31:21.645619Z</t>
        </is>
      </c>
      <c r="DG686" s="24" t="n"/>
      <c r="DH686" s="24" t="n"/>
      <c r="DI686" s="24" t="n"/>
      <c r="DJ686" s="24" t="inlineStr">
        <is>
          <t>0.429185</t>
        </is>
      </c>
      <c r="DK686" s="24" t="n"/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8ea4803de17d4e17</t>
        </is>
      </c>
      <c r="B687" s="24" t="inlineStr">
        <is>
          <t>2026-08-26T16:35:15.923799Z</t>
        </is>
      </c>
      <c r="C687" s="24" t="inlineStr">
        <is>
          <t>2026-08-26T19:30Z</t>
        </is>
      </c>
      <c r="D687" s="24" t="inlineStr">
        <is>
          <t>189-2026:184765</t>
        </is>
      </c>
      <c r="E687" s="24" t="inlineStr">
        <is>
          <t>TENNIS</t>
        </is>
      </c>
      <c r="F687" s="24" t="inlineStr">
        <is>
          <t>Pablo Llamas Ruiz</t>
        </is>
      </c>
      <c r="G687" s="24" t="inlineStr">
        <is>
          <t>Vitaliy Sachko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-203</v>
      </c>
      <c r="M687" s="27" t="n">
        <v>1.492611</v>
      </c>
      <c r="N687" s="28" t="n">
        <v>0.669967</v>
      </c>
      <c r="O687" s="28" t="n">
        <v>0.6054</v>
      </c>
      <c r="P687" s="28" t="n">
        <v>0.05</v>
      </c>
      <c r="Q687" s="28" t="n">
        <v>-0.064567</v>
      </c>
      <c r="R687" s="26" t="n">
        <v>0</v>
      </c>
      <c r="S687" s="29" t="n">
        <v>1</v>
      </c>
      <c r="T687" s="24" t="inlineStr">
        <is>
          <t>tennis-surface-elo-v1</t>
        </is>
      </c>
      <c r="U687" s="24" t="inlineStr">
        <is>
          <t>settled</t>
        </is>
      </c>
      <c r="V687" s="24" t="inlineStr">
        <is>
          <t>win</t>
        </is>
      </c>
      <c r="W687" s="26" t="n">
        <v>1</v>
      </c>
      <c r="X687" s="26" t="n">
        <v>0</v>
      </c>
      <c r="Y687" s="25" t="n"/>
      <c r="Z687" s="26" t="n">
        <v>-194</v>
      </c>
      <c r="AA687" s="28" t="n">
        <v>0.66</v>
      </c>
      <c r="AB687" s="28" t="n">
        <v>-0.009967</v>
      </c>
      <c r="AC687" s="30" t="n">
        <v>0.4926</v>
      </c>
      <c r="AD687" s="24" t="inlineStr">
        <is>
          <t>2026-08-27T03:40:24.731778Z</t>
        </is>
      </c>
      <c r="AE687" s="31" t="inlineStr">
        <is>
          <t>Surface-blended Elo on Hard: Pablo Llamas Ruiz p=0.605 vs Vitaliy Sachko. Executable ask 0.6700 (aec-atp-vitsac-pabrui-2026-08-26).</t>
        </is>
      </c>
      <c r="AF687" s="31" t="inlineStr">
        <is>
          <t>Surface-blended Elo model; singles only, WTA+ATP market coverage, not yet locked-holdout qualified -- promoted by explicit operator directive, not genuine walk-forward validation.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PAPER_CALL_LOW_EDGE</t>
        </is>
      </c>
      <c r="AP687" s="24" t="inlineStr">
        <is>
          <t>Pablo Llamas Ruiz</t>
        </is>
      </c>
      <c r="AQ687" s="24" t="inlineStr">
        <is>
          <t>Pablo Llamas Ruiz</t>
        </is>
      </c>
      <c r="AR687" s="24" t="inlineStr">
        <is>
          <t>Pablo Llamas Ruiz</t>
        </is>
      </c>
      <c r="AS687" s="24" t="inlineStr">
        <is>
          <t>Vitaliy Sachko</t>
        </is>
      </c>
      <c r="AT687" s="24" t="inlineStr">
        <is>
          <t>Vitaliy Sachko</t>
        </is>
      </c>
      <c r="AU687" s="24" t="inlineStr">
        <is>
          <t>Vitaliy Sachko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d777da58446bc099047b154203518e2585ef1a678f613f2b430f2589f7bf5cff</t>
        </is>
      </c>
      <c r="BB687" s="24" t="inlineStr">
        <is>
          <t>surface_blended_elo</t>
        </is>
      </c>
      <c r="BC687" s="24" t="inlineStr">
        <is>
          <t>tennis-surface-elo-v1</t>
        </is>
      </c>
      <c r="BD687" s="24" t="inlineStr">
        <is>
          <t>d777da58446bc099047b154203518e2585ef1a678f613f2b430f2589f7bf5cff</t>
        </is>
      </c>
      <c r="BE687" s="24" t="inlineStr">
        <is>
          <t>tennis-surface-elo-v1</t>
        </is>
      </c>
      <c r="BF687" s="24" t="inlineStr">
        <is>
          <t>1</t>
        </is>
      </c>
      <c r="BG687" s="24" t="inlineStr">
        <is>
          <t>d777da58446bc099047b154203518e2585ef1a678f613f2b430f2589f7bf5cff</t>
        </is>
      </c>
      <c r="BH687" s="24" t="inlineStr">
        <is>
          <t>2026-08-26T12:42:22.375267Z</t>
        </is>
      </c>
      <c r="BI687" s="24" t="inlineStr">
        <is>
          <t>["same_event","same_team_same_day","same_league_same_day"]</t>
        </is>
      </c>
      <c r="BJ687" s="25" t="n"/>
      <c r="BK687" s="26" t="n">
        <v>-203</v>
      </c>
      <c r="BL687" s="27" t="n">
        <v>1.492611</v>
      </c>
      <c r="BM687" s="28" t="n">
        <v>0.669967</v>
      </c>
      <c r="BN687" s="28" t="n"/>
      <c r="BO687" s="28" t="n"/>
      <c r="BP687" s="25" t="n"/>
      <c r="BQ687" s="27" t="n">
        <v>1.515464</v>
      </c>
      <c r="BR687" s="28" t="n">
        <v>0.66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False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inlineStr">
        <is>
          <t>1eeedad54d720ee90ad288f11dcb710796e06ce50eec89a4a0f5d595c26f80fc</t>
        </is>
      </c>
      <c r="DE687" s="24" t="inlineStr">
        <is>
          <t>/Users/vincentc9002/model-prediction/data/odds/tennis/2026-08-26/polymarket_snapshots.jsonl</t>
        </is>
      </c>
      <c r="DF687" s="24" t="inlineStr">
        <is>
          <t>521413:2026-08-26T12:42:22.375267Z</t>
        </is>
      </c>
      <c r="DG687" s="24" t="n"/>
      <c r="DH687" s="24" t="n"/>
      <c r="DI687" s="24" t="n"/>
      <c r="DJ687" s="24" t="inlineStr">
        <is>
          <t>0.669967</t>
        </is>
      </c>
      <c r="DK687" s="24" t="n"/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5c6c307c79b649b0</t>
        </is>
      </c>
      <c r="B688" s="24" t="inlineStr">
        <is>
          <t>2026-08-26T16:35:15.923799Z</t>
        </is>
      </c>
      <c r="C688" s="24" t="inlineStr">
        <is>
          <t>2026-08-26T19:30Z</t>
        </is>
      </c>
      <c r="D688" s="24" t="inlineStr">
        <is>
          <t>189-2026:184768</t>
        </is>
      </c>
      <c r="E688" s="24" t="inlineStr">
        <is>
          <t>TENNIS</t>
        </is>
      </c>
      <c r="F688" s="24" t="inlineStr">
        <is>
          <t>Lloyd Harris</t>
        </is>
      </c>
      <c r="G688" s="24" t="inlineStr">
        <is>
          <t>Henrique Rocha</t>
        </is>
      </c>
      <c r="H688" s="24" t="inlineStr">
        <is>
          <t>moneyline</t>
        </is>
      </c>
      <c r="I688" s="24" t="inlineStr">
        <is>
          <t>away</t>
        </is>
      </c>
      <c r="J688" s="25" t="n"/>
      <c r="K688" s="24" t="inlineStr">
        <is>
          <t>polymarket_us</t>
        </is>
      </c>
      <c r="L688" s="26" t="n">
        <v>117</v>
      </c>
      <c r="M688" s="27" t="n">
        <v>2.17</v>
      </c>
      <c r="N688" s="28" t="n">
        <v>0.460829</v>
      </c>
      <c r="O688" s="28" t="n">
        <v>0.6078</v>
      </c>
      <c r="P688" s="28" t="n">
        <v>0.05</v>
      </c>
      <c r="Q688" s="28" t="n">
        <v>0.146971</v>
      </c>
      <c r="R688" s="26" t="n">
        <v>93</v>
      </c>
      <c r="S688" s="29" t="n">
        <v>1.75</v>
      </c>
      <c r="T688" s="24" t="inlineStr">
        <is>
          <t>tennis-surface-elo-v1</t>
        </is>
      </c>
      <c r="U688" s="24" t="inlineStr">
        <is>
          <t>settled</t>
        </is>
      </c>
      <c r="V688" s="24" t="inlineStr">
        <is>
          <t>win</t>
        </is>
      </c>
      <c r="W688" s="26" t="n">
        <v>1</v>
      </c>
      <c r="X688" s="26" t="n">
        <v>0</v>
      </c>
      <c r="Y688" s="25" t="n"/>
      <c r="Z688" s="26" t="n">
        <v>122</v>
      </c>
      <c r="AA688" s="28" t="n">
        <v>0.45</v>
      </c>
      <c r="AB688" s="28" t="n">
        <v>-0.010829</v>
      </c>
      <c r="AC688" s="30" t="n">
        <v>2.0475</v>
      </c>
      <c r="AD688" s="24" t="inlineStr">
        <is>
          <t>2026-08-27T00:41:33.591293Z</t>
        </is>
      </c>
      <c r="AE688" s="31" t="inlineStr">
        <is>
          <t>Surface-blended Elo on Hard: Lloyd Harris p=0.608 vs Henrique Rocha. Executable ask 0.4600 (aec-atp-henroc-llohar-2026-08-26).</t>
        </is>
      </c>
      <c r="AF688" s="31" t="inlineStr">
        <is>
          <t>Surface-blended Elo model; singles only, WTA+ATP market coverage, not yet locked-holdout qualified -- promoted by explicit operator directive, not genuine walk-forward validation.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Lloyd Harris</t>
        </is>
      </c>
      <c r="AQ688" s="24" t="inlineStr">
        <is>
          <t>Lloyd Harris</t>
        </is>
      </c>
      <c r="AR688" s="24" t="inlineStr">
        <is>
          <t>Lloyd Harris</t>
        </is>
      </c>
      <c r="AS688" s="24" t="inlineStr">
        <is>
          <t>Henrique Rocha</t>
        </is>
      </c>
      <c r="AT688" s="24" t="inlineStr">
        <is>
          <t>Henrique Rocha</t>
        </is>
      </c>
      <c r="AU688" s="24" t="inlineStr">
        <is>
          <t>Henrique Rocha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d777da58446bc099047b154203518e2585ef1a678f613f2b430f2589f7bf5cff</t>
        </is>
      </c>
      <c r="BB688" s="24" t="inlineStr">
        <is>
          <t>surface_blended_elo</t>
        </is>
      </c>
      <c r="BC688" s="24" t="inlineStr">
        <is>
          <t>tennis-surface-elo-v1</t>
        </is>
      </c>
      <c r="BD688" s="24" t="inlineStr">
        <is>
          <t>d777da58446bc099047b154203518e2585ef1a678f613f2b430f2589f7bf5cff</t>
        </is>
      </c>
      <c r="BE688" s="24" t="inlineStr">
        <is>
          <t>tennis-surface-elo-v1</t>
        </is>
      </c>
      <c r="BF688" s="24" t="inlineStr">
        <is>
          <t>1</t>
        </is>
      </c>
      <c r="BG688" s="24" t="inlineStr">
        <is>
          <t>d777da58446bc099047b154203518e2585ef1a678f613f2b430f2589f7bf5cff</t>
        </is>
      </c>
      <c r="BH688" s="24" t="inlineStr">
        <is>
          <t>2026-08-26T12:42:22.660624Z</t>
        </is>
      </c>
      <c r="BI688" s="24" t="inlineStr">
        <is>
          <t>["same_event","same_team_same_day","same_league_same_day"]</t>
        </is>
      </c>
      <c r="BJ688" s="25" t="n"/>
      <c r="BK688" s="26" t="n">
        <v>117</v>
      </c>
      <c r="BL688" s="27" t="n">
        <v>2.17</v>
      </c>
      <c r="BM688" s="28" t="n">
        <v>0.460829</v>
      </c>
      <c r="BN688" s="28" t="n"/>
      <c r="BO688" s="28" t="n"/>
      <c r="BP688" s="25" t="n"/>
      <c r="BQ688" s="27" t="n">
        <v>2.22</v>
      </c>
      <c r="BR688" s="28" t="n">
        <v>0.45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inlineStr">
        <is>
          <t>8ac6ba5d415884337e558943faef1b63be0750b376645e26cf29e8dd62ca7885</t>
        </is>
      </c>
      <c r="DE688" s="24" t="inlineStr">
        <is>
          <t>/Users/vincentc9002/model-prediction/data/odds/tennis/2026-08-26/polymarket_snapshots.jsonl</t>
        </is>
      </c>
      <c r="DF688" s="24" t="inlineStr">
        <is>
          <t>522173:2026-08-26T12:42:22.660624Z</t>
        </is>
      </c>
      <c r="DG688" s="24" t="n"/>
      <c r="DH688" s="24" t="n"/>
      <c r="DI688" s="24" t="n"/>
      <c r="DJ688" s="24" t="inlineStr">
        <is>
          <t>0.460829</t>
        </is>
      </c>
      <c r="DK688" s="24" t="n"/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4caad7f7ea464f7d</t>
        </is>
      </c>
      <c r="B689" s="24" t="inlineStr">
        <is>
          <t>2026-08-26T16:35:15.923799Z</t>
        </is>
      </c>
      <c r="C689" s="24" t="inlineStr">
        <is>
          <t>2026-08-26T19:30Z</t>
        </is>
      </c>
      <c r="D689" s="24" t="inlineStr">
        <is>
          <t>189-2026:184772</t>
        </is>
      </c>
      <c r="E689" s="24" t="inlineStr">
        <is>
          <t>TENNIS</t>
        </is>
      </c>
      <c r="F689" s="24" t="inlineStr">
        <is>
          <t>Alexandre Muller</t>
        </is>
      </c>
      <c r="G689" s="24" t="inlineStr">
        <is>
          <t>Rei Sakamoto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178</v>
      </c>
      <c r="M689" s="27" t="n">
        <v>2.78</v>
      </c>
      <c r="N689" s="28" t="n">
        <v>0.359712</v>
      </c>
      <c r="O689" s="28" t="n">
        <v>0.5058</v>
      </c>
      <c r="P689" s="28" t="n">
        <v>0.05</v>
      </c>
      <c r="Q689" s="28" t="n">
        <v>0.146088</v>
      </c>
      <c r="R689" s="26" t="n">
        <v>93</v>
      </c>
      <c r="S689" s="29" t="n">
        <v>1.75</v>
      </c>
      <c r="T689" s="24" t="inlineStr">
        <is>
          <t>tennis-surface-elo-v1</t>
        </is>
      </c>
      <c r="U689" s="24" t="inlineStr">
        <is>
          <t>settled</t>
        </is>
      </c>
      <c r="V689" s="24" t="inlineStr">
        <is>
          <t>loss</t>
        </is>
      </c>
      <c r="W689" s="26" t="n">
        <v>0</v>
      </c>
      <c r="X689" s="26" t="n">
        <v>1</v>
      </c>
      <c r="Y689" s="25" t="n"/>
      <c r="Z689" s="26" t="n">
        <v>178</v>
      </c>
      <c r="AA689" s="28" t="n">
        <v>0.36</v>
      </c>
      <c r="AB689" s="28" t="n">
        <v>0.000288</v>
      </c>
      <c r="AC689" s="30" t="n">
        <v>-1.75</v>
      </c>
      <c r="AD689" s="24" t="inlineStr">
        <is>
          <t>2026-08-26T22:14:35.839779Z</t>
        </is>
      </c>
      <c r="AE689" s="31" t="inlineStr">
        <is>
          <t>Surface-blended Elo on Hard: Alexandre Muller p=0.506 vs Rei Sakamoto. Executable ask 0.3600 (aec-atp-reisak-alemul-2026-08-26).</t>
        </is>
      </c>
      <c r="AF689" s="31" t="inlineStr">
        <is>
          <t>Surface-blended Elo model; singles only, WTA+ATP market coverage, not yet locked-holdout qualified -- promoted by explicit operator directive, not genuine walk-forward validation.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PAPER_CALL_LOW_EDGE</t>
        </is>
      </c>
      <c r="AP689" s="24" t="inlineStr">
        <is>
          <t>Alexandre Muller</t>
        </is>
      </c>
      <c r="AQ689" s="24" t="inlineStr">
        <is>
          <t>Alexandre Muller</t>
        </is>
      </c>
      <c r="AR689" s="24" t="inlineStr">
        <is>
          <t>Alexandre Muller</t>
        </is>
      </c>
      <c r="AS689" s="24" t="inlineStr">
        <is>
          <t>Rei Sakamoto</t>
        </is>
      </c>
      <c r="AT689" s="24" t="inlineStr">
        <is>
          <t>Rei Sakamoto</t>
        </is>
      </c>
      <c r="AU689" s="24" t="inlineStr">
        <is>
          <t>Rei Sakamoto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d777da58446bc099047b154203518e2585ef1a678f613f2b430f2589f7bf5cff</t>
        </is>
      </c>
      <c r="BB689" s="24" t="inlineStr">
        <is>
          <t>surface_blended_elo</t>
        </is>
      </c>
      <c r="BC689" s="24" t="inlineStr">
        <is>
          <t>tennis-surface-elo-v1</t>
        </is>
      </c>
      <c r="BD689" s="24" t="inlineStr">
        <is>
          <t>d777da58446bc099047b154203518e2585ef1a678f613f2b430f2589f7bf5cff</t>
        </is>
      </c>
      <c r="BE689" s="24" t="inlineStr">
        <is>
          <t>tennis-surface-elo-v1</t>
        </is>
      </c>
      <c r="BF689" s="24" t="inlineStr">
        <is>
          <t>1</t>
        </is>
      </c>
      <c r="BG689" s="24" t="inlineStr">
        <is>
          <t>d777da58446bc099047b154203518e2585ef1a678f613f2b430f2589f7bf5cff</t>
        </is>
      </c>
      <c r="BH689" s="24" t="inlineStr">
        <is>
          <t>2026-08-26T12:42:16.754923Z</t>
        </is>
      </c>
      <c r="BI689" s="24" t="inlineStr">
        <is>
          <t>["same_event","same_team_same_day","same_league_same_day"]</t>
        </is>
      </c>
      <c r="BJ689" s="25" t="n"/>
      <c r="BK689" s="26" t="n">
        <v>178</v>
      </c>
      <c r="BL689" s="27" t="n">
        <v>2.78</v>
      </c>
      <c r="BM689" s="28" t="n">
        <v>0.359712</v>
      </c>
      <c r="BN689" s="28" t="n"/>
      <c r="BO689" s="28" t="n"/>
      <c r="BP689" s="25" t="n"/>
      <c r="BQ689" s="27" t="n">
        <v>2.78</v>
      </c>
      <c r="BR689" s="28" t="n">
        <v>0.36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inlineStr">
        <is>
          <t>3e58efb0ab395e7ac275486c53879416996445ed4e15ba53d04cb500c2820cd7</t>
        </is>
      </c>
      <c r="DE689" s="24" t="inlineStr">
        <is>
          <t>/Users/vincentc9002/model-prediction/data/odds/tennis/2026-08-26/polymarket_snapshots.jsonl</t>
        </is>
      </c>
      <c r="DF689" s="24" t="inlineStr">
        <is>
          <t>516367:2026-08-26T12:42:16.754923Z</t>
        </is>
      </c>
      <c r="DG689" s="24" t="n"/>
      <c r="DH689" s="24" t="n"/>
      <c r="DI689" s="24" t="n"/>
      <c r="DJ689" s="24" t="inlineStr">
        <is>
          <t>0.359712</t>
        </is>
      </c>
      <c r="DK689" s="24" t="n"/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a0321cfd952c4c4e</t>
        </is>
      </c>
      <c r="B690" s="24" t="inlineStr">
        <is>
          <t>2026-08-26T16:35:15.923799Z</t>
        </is>
      </c>
      <c r="C690" s="24" t="inlineStr">
        <is>
          <t>2026-08-26T19:30Z</t>
        </is>
      </c>
      <c r="D690" s="24" t="inlineStr">
        <is>
          <t>189-2026:184773</t>
        </is>
      </c>
      <c r="E690" s="24" t="inlineStr">
        <is>
          <t>TENNIS</t>
        </is>
      </c>
      <c r="F690" s="24" t="inlineStr">
        <is>
          <t>Daniil Glinka</t>
        </is>
      </c>
      <c r="G690" s="24" t="inlineStr">
        <is>
          <t>Zsombor Piros</t>
        </is>
      </c>
      <c r="H690" s="24" t="inlineStr">
        <is>
          <t>moneyline</t>
        </is>
      </c>
      <c r="I690" s="24" t="inlineStr">
        <is>
          <t>away</t>
        </is>
      </c>
      <c r="J690" s="25" t="n"/>
      <c r="K690" s="24" t="inlineStr">
        <is>
          <t>polymarket_us</t>
        </is>
      </c>
      <c r="L690" s="26" t="n">
        <v>144</v>
      </c>
      <c r="M690" s="27" t="n">
        <v>2.44</v>
      </c>
      <c r="N690" s="28" t="n">
        <v>0.409836</v>
      </c>
      <c r="O690" s="28" t="n">
        <v>0.5453</v>
      </c>
      <c r="P690" s="28" t="n">
        <v>0.05</v>
      </c>
      <c r="Q690" s="28" t="n">
        <v>0.135464</v>
      </c>
      <c r="R690" s="26" t="n">
        <v>88</v>
      </c>
      <c r="S690" s="29" t="n">
        <v>1.5</v>
      </c>
      <c r="T690" s="24" t="inlineStr">
        <is>
          <t>tennis-surface-elo-v1</t>
        </is>
      </c>
      <c r="U690" s="24" t="inlineStr">
        <is>
          <t>settled</t>
        </is>
      </c>
      <c r="V690" s="24" t="inlineStr">
        <is>
          <t>loss</t>
        </is>
      </c>
      <c r="W690" s="26" t="n">
        <v>0</v>
      </c>
      <c r="X690" s="26" t="n">
        <v>1</v>
      </c>
      <c r="Y690" s="25" t="n"/>
      <c r="Z690" s="26" t="n">
        <v>150</v>
      </c>
      <c r="AA690" s="28" t="n">
        <v>0.4</v>
      </c>
      <c r="AB690" s="28" t="n">
        <v>-0.009835999999999999</v>
      </c>
      <c r="AC690" s="30" t="n">
        <v>-1.5</v>
      </c>
      <c r="AD690" s="24" t="inlineStr">
        <is>
          <t>2026-08-27T00:41:35.874160Z</t>
        </is>
      </c>
      <c r="AE690" s="31" t="inlineStr">
        <is>
          <t>Surface-blended Elo on Hard: Daniil Glinka p=0.545 vs Zsombor Piros. Executable ask 0.4100 (aec-atp-zsopir-dangli-2026-08-26).</t>
        </is>
      </c>
      <c r="AF690" s="31" t="inlineStr">
        <is>
          <t>Surface-blended Elo model; singles only, WTA+ATP market coverage, not yet locked-holdout qualified -- promoted by explicit operator directive, not genuine walk-forward validation.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Daniil Glinka</t>
        </is>
      </c>
      <c r="AQ690" s="24" t="inlineStr">
        <is>
          <t>Daniil Glinka</t>
        </is>
      </c>
      <c r="AR690" s="24" t="inlineStr">
        <is>
          <t>Daniil Glinka</t>
        </is>
      </c>
      <c r="AS690" s="24" t="inlineStr">
        <is>
          <t>Zsombor Piros</t>
        </is>
      </c>
      <c r="AT690" s="24" t="inlineStr">
        <is>
          <t>Zsombor Piros</t>
        </is>
      </c>
      <c r="AU690" s="24" t="inlineStr">
        <is>
          <t>Zsombor Piros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d777da58446bc099047b154203518e2585ef1a678f613f2b430f2589f7bf5cff</t>
        </is>
      </c>
      <c r="BB690" s="24" t="inlineStr">
        <is>
          <t>surface_blended_elo</t>
        </is>
      </c>
      <c r="BC690" s="24" t="inlineStr">
        <is>
          <t>tennis-surface-elo-v1</t>
        </is>
      </c>
      <c r="BD690" s="24" t="inlineStr">
        <is>
          <t>d777da58446bc099047b154203518e2585ef1a678f613f2b430f2589f7bf5cff</t>
        </is>
      </c>
      <c r="BE690" s="24" t="inlineStr">
        <is>
          <t>tennis-surface-elo-v1</t>
        </is>
      </c>
      <c r="BF690" s="24" t="inlineStr">
        <is>
          <t>1</t>
        </is>
      </c>
      <c r="BG690" s="24" t="inlineStr">
        <is>
          <t>d777da58446bc099047b154203518e2585ef1a678f613f2b430f2589f7bf5cff</t>
        </is>
      </c>
      <c r="BH690" s="24" t="inlineStr">
        <is>
          <t>2026-08-26T12:42:22.799100Z</t>
        </is>
      </c>
      <c r="BI690" s="24" t="inlineStr">
        <is>
          <t>["same_event","same_team_same_day","same_league_same_day"]</t>
        </is>
      </c>
      <c r="BJ690" s="25" t="n"/>
      <c r="BK690" s="26" t="n">
        <v>144</v>
      </c>
      <c r="BL690" s="27" t="n">
        <v>2.44</v>
      </c>
      <c r="BM690" s="28" t="n">
        <v>0.409836</v>
      </c>
      <c r="BN690" s="28" t="n"/>
      <c r="BO690" s="28" t="n"/>
      <c r="BP690" s="25" t="n"/>
      <c r="BQ690" s="27" t="n">
        <v>2.5</v>
      </c>
      <c r="BR690" s="28" t="n">
        <v>0.4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inlineStr">
        <is>
          <t>b01b93cf25431061f529a647795356f25e96e62c2659b4268d4d2848e3c69775</t>
        </is>
      </c>
      <c r="DE690" s="24" t="inlineStr">
        <is>
          <t>/Users/vincentc9002/model-prediction/data/odds/tennis/2026-08-26/polymarket_snapshots.jsonl</t>
        </is>
      </c>
      <c r="DF690" s="24" t="inlineStr">
        <is>
          <t>523319:2026-08-26T12:42:22.799100Z</t>
        </is>
      </c>
      <c r="DG690" s="24" t="n"/>
      <c r="DH690" s="24" t="n"/>
      <c r="DI690" s="24" t="n"/>
      <c r="DJ690" s="24" t="inlineStr">
        <is>
          <t>0.409836</t>
        </is>
      </c>
      <c r="DK690" s="24" t="n"/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bf09665670fd42f1</t>
        </is>
      </c>
      <c r="B691" s="24" t="inlineStr">
        <is>
          <t>2026-08-26T16:35:15.923799Z</t>
        </is>
      </c>
      <c r="C691" s="24" t="inlineStr">
        <is>
          <t>2026-08-26T21:00Z</t>
        </is>
      </c>
      <c r="D691" s="24" t="inlineStr">
        <is>
          <t>189-2026:184675</t>
        </is>
      </c>
      <c r="E691" s="24" t="inlineStr">
        <is>
          <t>TENNIS</t>
        </is>
      </c>
      <c r="F691" s="24" t="inlineStr">
        <is>
          <t>SeongChan Hong</t>
        </is>
      </c>
      <c r="G691" s="24" t="inlineStr">
        <is>
          <t>Tristan Schoolkate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178</v>
      </c>
      <c r="M691" s="27" t="n">
        <v>2.78</v>
      </c>
      <c r="N691" s="28" t="n">
        <v>0.359712</v>
      </c>
      <c r="O691" s="28" t="n">
        <v>0.5304</v>
      </c>
      <c r="P691" s="28" t="n">
        <v>0.05</v>
      </c>
      <c r="Q691" s="28" t="n">
        <v>0.170688</v>
      </c>
      <c r="R691" s="26" t="n">
        <v>100</v>
      </c>
      <c r="S691" s="29" t="n">
        <v>1.75</v>
      </c>
      <c r="T691" s="24" t="inlineStr">
        <is>
          <t>tennis-surface-elo-v1</t>
        </is>
      </c>
      <c r="U691" s="24" t="inlineStr">
        <is>
          <t>settled</t>
        </is>
      </c>
      <c r="V691" s="24" t="inlineStr">
        <is>
          <t>loss</t>
        </is>
      </c>
      <c r="W691" s="26" t="n">
        <v>0</v>
      </c>
      <c r="X691" s="26" t="n">
        <v>1</v>
      </c>
      <c r="Y691" s="25" t="n"/>
      <c r="Z691" s="26" t="n"/>
      <c r="AA691" s="28" t="n"/>
      <c r="AB691" s="28" t="n"/>
      <c r="AC691" s="30" t="n">
        <v>-1.75</v>
      </c>
      <c r="AD691" s="24" t="inlineStr">
        <is>
          <t>2026-08-27T03:40:31.241613Z</t>
        </is>
      </c>
      <c r="AE691" s="31" t="inlineStr">
        <is>
          <t>Surface-blended Elo on Hard: SeongChan Hong p=0.530 vs Tristan Schoolkate. Executable ask 0.3600 (aec-atp-trisch-seohon-2026-08-26).</t>
        </is>
      </c>
      <c r="AF691" s="31" t="inlineStr">
        <is>
          <t>Surface-blended Elo model; singles only, WTA+ATP market coverage, not yet locked-holdout qualified -- promoted by explicit operator directive, not genuine walk-forward validation.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PAPER_CALL_MODEL_UNVALIDATED</t>
        </is>
      </c>
      <c r="AP691" s="24" t="inlineStr">
        <is>
          <t>SeongChan Hong</t>
        </is>
      </c>
      <c r="AQ691" s="24" t="inlineStr">
        <is>
          <t>SeongChan Hong</t>
        </is>
      </c>
      <c r="AR691" s="24" t="inlineStr">
        <is>
          <t>SeongChan Hong</t>
        </is>
      </c>
      <c r="AS691" s="24" t="inlineStr">
        <is>
          <t>Tristan Schoolkate</t>
        </is>
      </c>
      <c r="AT691" s="24" t="inlineStr">
        <is>
          <t>Tristan Schoolkate</t>
        </is>
      </c>
      <c r="AU691" s="24" t="inlineStr">
        <is>
          <t>Tristan Schoolkate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d777da58446bc099047b154203518e2585ef1a678f613f2b430f2589f7bf5cff</t>
        </is>
      </c>
      <c r="BB691" s="24" t="inlineStr">
        <is>
          <t>surface_blended_elo</t>
        </is>
      </c>
      <c r="BC691" s="24" t="inlineStr">
        <is>
          <t>tennis-surface-elo-v1</t>
        </is>
      </c>
      <c r="BD691" s="24" t="inlineStr">
        <is>
          <t>d777da58446bc099047b154203518e2585ef1a678f613f2b430f2589f7bf5cff</t>
        </is>
      </c>
      <c r="BE691" s="24" t="inlineStr">
        <is>
          <t>tennis-surface-elo-v1</t>
        </is>
      </c>
      <c r="BF691" s="24" t="inlineStr">
        <is>
          <t>1</t>
        </is>
      </c>
      <c r="BG691" s="24" t="inlineStr">
        <is>
          <t>d777da58446bc099047b154203518e2585ef1a678f613f2b430f2589f7bf5cff</t>
        </is>
      </c>
      <c r="BH691" s="24" t="inlineStr">
        <is>
          <t>2026-08-26T12:42:23.942216Z</t>
        </is>
      </c>
      <c r="BI691" s="24" t="inlineStr">
        <is>
          <t>["same_event","same_team_same_day","same_league_same_day"]</t>
        </is>
      </c>
      <c r="BJ691" s="25" t="n"/>
      <c r="BK691" s="26" t="n">
        <v>178</v>
      </c>
      <c r="BL691" s="27" t="n">
        <v>2.78</v>
      </c>
      <c r="BM691" s="28" t="n">
        <v>0.359712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inlineStr">
        <is>
          <t>3684df97682fc76ce3371e6fe82d59594cda0fb480886c7e6fd61c4443d0a806</t>
        </is>
      </c>
      <c r="DE691" s="24" t="inlineStr">
        <is>
          <t>/Users/vincentc9002/model-prediction/data/odds/tennis/2026-08-26/polymarket_snapshots.jsonl</t>
        </is>
      </c>
      <c r="DF691" s="24" t="inlineStr">
        <is>
          <t>524476:2026-08-26T12:42:23.942216Z</t>
        </is>
      </c>
      <c r="DG691" s="24" t="n"/>
      <c r="DH691" s="24" t="n"/>
      <c r="DI691" s="24" t="n"/>
      <c r="DJ691" s="24" t="inlineStr">
        <is>
          <t>0.359712</t>
        </is>
      </c>
      <c r="DK691" s="24" t="n"/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3614019171964e07</t>
        </is>
      </c>
      <c r="B692" s="24" t="inlineStr">
        <is>
          <t>2026-08-26T16:35:15.923799Z</t>
        </is>
      </c>
      <c r="C692" s="24" t="inlineStr">
        <is>
          <t>2026-08-26T21:00Z</t>
        </is>
      </c>
      <c r="D692" s="24" t="inlineStr">
        <is>
          <t>189-2026:184676</t>
        </is>
      </c>
      <c r="E692" s="24" t="inlineStr">
        <is>
          <t>TENNIS</t>
        </is>
      </c>
      <c r="F692" s="24" t="inlineStr">
        <is>
          <t>Hugo Dellien</t>
        </is>
      </c>
      <c r="G692" s="24" t="inlineStr">
        <is>
          <t>Federico Cina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-426</v>
      </c>
      <c r="M692" s="27" t="n">
        <v>1.234742</v>
      </c>
      <c r="N692" s="28" t="n">
        <v>0.809886</v>
      </c>
      <c r="O692" s="28" t="n">
        <v>0.5747</v>
      </c>
      <c r="P692" s="28" t="n">
        <v>0.05</v>
      </c>
      <c r="Q692" s="28" t="n">
        <v>-0.235186</v>
      </c>
      <c r="R692" s="26" t="n">
        <v>0</v>
      </c>
      <c r="S692" s="29" t="n">
        <v>1</v>
      </c>
      <c r="T692" s="24" t="inlineStr">
        <is>
          <t>tennis-surface-elo-v1</t>
        </is>
      </c>
      <c r="U692" s="24" t="inlineStr">
        <is>
          <t>settled</t>
        </is>
      </c>
      <c r="V692" s="24" t="inlineStr">
        <is>
          <t>win</t>
        </is>
      </c>
      <c r="W692" s="26" t="n">
        <v>0</v>
      </c>
      <c r="X692" s="26" t="n">
        <v>1</v>
      </c>
      <c r="Y692" s="25" t="n"/>
      <c r="Z692" s="26" t="n">
        <v>-426</v>
      </c>
      <c r="AA692" s="28" t="n">
        <v>0.8100000000000001</v>
      </c>
      <c r="AB692" s="28" t="n">
        <v>0.000114</v>
      </c>
      <c r="AC692" s="30" t="n">
        <v>0.2347</v>
      </c>
      <c r="AD692" s="24" t="inlineStr">
        <is>
          <t>2026-08-27T03:40:37.153164Z</t>
        </is>
      </c>
      <c r="AE692" s="31" t="inlineStr">
        <is>
          <t>Surface-blended Elo on Hard: Hugo Dellien p=0.425 vs Federico Cina. Executable ask 0.8100 (aec-atp-fedcin-hugdel-2026-08-26).</t>
        </is>
      </c>
      <c r="AF692" s="31" t="inlineStr">
        <is>
          <t>Surface-blended Elo model; singles only, WTA+ATP market coverage, not yet locked-holdout qualified -- promoted by explicit operator directive, not genuine walk-forward validation.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Hugo Dellien</t>
        </is>
      </c>
      <c r="AQ692" s="24" t="inlineStr">
        <is>
          <t>Hugo Dellien</t>
        </is>
      </c>
      <c r="AR692" s="24" t="inlineStr">
        <is>
          <t>Hugo Dellien</t>
        </is>
      </c>
      <c r="AS692" s="24" t="inlineStr">
        <is>
          <t>Federico Cina</t>
        </is>
      </c>
      <c r="AT692" s="24" t="inlineStr">
        <is>
          <t>Federico Cina</t>
        </is>
      </c>
      <c r="AU692" s="24" t="inlineStr">
        <is>
          <t>Federico Cina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d777da58446bc099047b154203518e2585ef1a678f613f2b430f2589f7bf5cff</t>
        </is>
      </c>
      <c r="BB692" s="24" t="inlineStr">
        <is>
          <t>surface_blended_elo</t>
        </is>
      </c>
      <c r="BC692" s="24" t="inlineStr">
        <is>
          <t>tennis-surface-elo-v1</t>
        </is>
      </c>
      <c r="BD692" s="24" t="inlineStr">
        <is>
          <t>d777da58446bc099047b154203518e2585ef1a678f613f2b430f2589f7bf5cff</t>
        </is>
      </c>
      <c r="BE692" s="24" t="inlineStr">
        <is>
          <t>tennis-surface-elo-v1</t>
        </is>
      </c>
      <c r="BF692" s="24" t="inlineStr">
        <is>
          <t>1</t>
        </is>
      </c>
      <c r="BG692" s="24" t="inlineStr">
        <is>
          <t>d777da58446bc099047b154203518e2585ef1a678f613f2b430f2589f7bf5cff</t>
        </is>
      </c>
      <c r="BH692" s="24" t="inlineStr">
        <is>
          <t>2026-08-26T12:42:16.248129Z</t>
        </is>
      </c>
      <c r="BI692" s="24" t="inlineStr">
        <is>
          <t>["same_event","same_team_same_day","same_league_same_day"]</t>
        </is>
      </c>
      <c r="BJ692" s="25" t="n"/>
      <c r="BK692" s="26" t="n">
        <v>-426</v>
      </c>
      <c r="BL692" s="27" t="n">
        <v>1.234742</v>
      </c>
      <c r="BM692" s="28" t="n">
        <v>0.809886</v>
      </c>
      <c r="BN692" s="28" t="n"/>
      <c r="BO692" s="28" t="n"/>
      <c r="BP692" s="25" t="n"/>
      <c r="BQ692" s="27" t="n">
        <v>1.234742</v>
      </c>
      <c r="BR692" s="28" t="n">
        <v>0.8100000000000001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inlineStr">
        <is>
          <t>bc56b5f293596560669013772a81cebce4f36069bd98c2364332e29ddf3e223b</t>
        </is>
      </c>
      <c r="DE692" s="24" t="inlineStr">
        <is>
          <t>/Users/vincentc9002/model-prediction/data/odds/tennis/2026-08-26/polymarket_snapshots.jsonl</t>
        </is>
      </c>
      <c r="DF692" s="24" t="inlineStr">
        <is>
          <t>524195:2026-08-26T12:42:16.248129Z</t>
        </is>
      </c>
      <c r="DG692" s="24" t="n"/>
      <c r="DH692" s="24" t="n"/>
      <c r="DI692" s="24" t="n"/>
      <c r="DJ692" s="24" t="inlineStr">
        <is>
          <t>0.809886</t>
        </is>
      </c>
      <c r="DK692" s="24" t="n"/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bd755a17bb294fa5</t>
        </is>
      </c>
      <c r="B693" s="24" t="inlineStr">
        <is>
          <t>2026-08-26T16:35:15.923799Z</t>
        </is>
      </c>
      <c r="C693" s="24" t="inlineStr">
        <is>
          <t>2026-08-26T21:00Z</t>
        </is>
      </c>
      <c r="D693" s="24" t="inlineStr">
        <is>
          <t>189-2026:184677</t>
        </is>
      </c>
      <c r="E693" s="24" t="inlineStr">
        <is>
          <t>TENNIS</t>
        </is>
      </c>
      <c r="F693" s="24" t="inlineStr">
        <is>
          <t>Andrew Johnson</t>
        </is>
      </c>
      <c r="G693" s="24" t="inlineStr">
        <is>
          <t>Liam Draxl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245</v>
      </c>
      <c r="M693" s="27" t="n">
        <v>3.45</v>
      </c>
      <c r="N693" s="28" t="n">
        <v>0.289855</v>
      </c>
      <c r="O693" s="28" t="n">
        <v>0.5345</v>
      </c>
      <c r="P693" s="28" t="n">
        <v>0.05</v>
      </c>
      <c r="Q693" s="28" t="n">
        <v>0.244645</v>
      </c>
      <c r="R693" s="26" t="n">
        <v>100</v>
      </c>
      <c r="S693" s="29" t="n">
        <v>2</v>
      </c>
      <c r="T693" s="24" t="inlineStr">
        <is>
          <t>tennis-surface-elo-v1</t>
        </is>
      </c>
      <c r="U693" s="24" t="inlineStr">
        <is>
          <t>settled</t>
        </is>
      </c>
      <c r="V693" s="24" t="inlineStr">
        <is>
          <t>loss</t>
        </is>
      </c>
      <c r="W693" s="26" t="n">
        <v>0</v>
      </c>
      <c r="X693" s="26" t="n">
        <v>1</v>
      </c>
      <c r="Y693" s="25" t="n"/>
      <c r="Z693" s="26" t="n">
        <v>245</v>
      </c>
      <c r="AA693" s="28" t="n">
        <v>0.29</v>
      </c>
      <c r="AB693" s="28" t="n">
        <v>0.000145</v>
      </c>
      <c r="AC693" s="30" t="n">
        <v>-2</v>
      </c>
      <c r="AD693" s="24" t="inlineStr">
        <is>
          <t>2026-08-27T00:41:38.170443Z</t>
        </is>
      </c>
      <c r="AE693" s="31" t="inlineStr">
        <is>
          <t>Surface-blended Elo on Hard: Andrew Johnson p=0.534 vs Liam Draxl. Executable ask 0.2900 (aec-atp-liadra-andjoh-2026-08-27).</t>
        </is>
      </c>
      <c r="AF693" s="31" t="inlineStr">
        <is>
          <t>Surface-blended Elo model; singles only, WTA+ATP market coverage, not yet locked-holdout qualified -- promoted by explicit operator directive, not genuine walk-forward validation.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Andrew Johnson</t>
        </is>
      </c>
      <c r="AQ693" s="24" t="inlineStr">
        <is>
          <t>Andrew Johnson</t>
        </is>
      </c>
      <c r="AR693" s="24" t="inlineStr">
        <is>
          <t>Andrew Johnson</t>
        </is>
      </c>
      <c r="AS693" s="24" t="inlineStr">
        <is>
          <t>Liam Draxl</t>
        </is>
      </c>
      <c r="AT693" s="24" t="inlineStr">
        <is>
          <t>Liam Draxl</t>
        </is>
      </c>
      <c r="AU693" s="24" t="inlineStr">
        <is>
          <t>Liam Draxl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d777da58446bc099047b154203518e2585ef1a678f613f2b430f2589f7bf5cff</t>
        </is>
      </c>
      <c r="BB693" s="24" t="inlineStr">
        <is>
          <t>surface_blended_elo</t>
        </is>
      </c>
      <c r="BC693" s="24" t="inlineStr">
        <is>
          <t>tennis-surface-elo-v1</t>
        </is>
      </c>
      <c r="BD693" s="24" t="inlineStr">
        <is>
          <t>d777da58446bc099047b154203518e2585ef1a678f613f2b430f2589f7bf5cff</t>
        </is>
      </c>
      <c r="BE693" s="24" t="inlineStr">
        <is>
          <t>tennis-surface-elo-v1</t>
        </is>
      </c>
      <c r="BF693" s="24" t="inlineStr">
        <is>
          <t>1</t>
        </is>
      </c>
      <c r="BG693" s="24" t="inlineStr">
        <is>
          <t>d777da58446bc099047b154203518e2585ef1a678f613f2b430f2589f7bf5cff</t>
        </is>
      </c>
      <c r="BH693" s="24" t="inlineStr">
        <is>
          <t>2026-08-26T16:31:24.513298Z</t>
        </is>
      </c>
      <c r="BI693" s="24" t="inlineStr">
        <is>
          <t>["same_event","same_team_same_day","same_league_same_day"]</t>
        </is>
      </c>
      <c r="BJ693" s="25" t="n"/>
      <c r="BK693" s="26" t="n">
        <v>245</v>
      </c>
      <c r="BL693" s="27" t="n">
        <v>3.45</v>
      </c>
      <c r="BM693" s="28" t="n">
        <v>0.289855</v>
      </c>
      <c r="BN693" s="28" t="n"/>
      <c r="BO693" s="28" t="n"/>
      <c r="BP693" s="25" t="n"/>
      <c r="BQ693" s="27" t="n">
        <v>3.45</v>
      </c>
      <c r="BR693" s="28" t="n">
        <v>0.29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inlineStr">
        <is>
          <t>78cb53cc60fece16ed69ed62d90c50031b9a21f88c1143b84c90e2bc7674740e</t>
        </is>
      </c>
      <c r="DE693" s="24" t="inlineStr">
        <is>
          <t>/Users/vincentc9002/model-prediction/data/odds/tennis/2026-08-26/polymarket_snapshots.jsonl</t>
        </is>
      </c>
      <c r="DF693" s="24" t="inlineStr">
        <is>
          <t>524970:2026-08-26T16:31:24.513298Z</t>
        </is>
      </c>
      <c r="DG693" s="24" t="n"/>
      <c r="DH693" s="24" t="n"/>
      <c r="DI693" s="24" t="n"/>
      <c r="DJ693" s="24" t="inlineStr">
        <is>
          <t>0.289855</t>
        </is>
      </c>
      <c r="DK693" s="24" t="n"/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c0b08a423db3485b</t>
        </is>
      </c>
      <c r="B694" s="24" t="inlineStr">
        <is>
          <t>2026-08-26T16:35:15.923799Z</t>
        </is>
      </c>
      <c r="C694" s="24" t="inlineStr">
        <is>
          <t>2026-08-26T21:00Z</t>
        </is>
      </c>
      <c r="D694" s="24" t="inlineStr">
        <is>
          <t>189-2026:184762</t>
        </is>
      </c>
      <c r="E694" s="24" t="inlineStr">
        <is>
          <t>TENNIS</t>
        </is>
      </c>
      <c r="F694" s="24" t="inlineStr">
        <is>
          <t>Borna Gojo</t>
        </is>
      </c>
      <c r="G694" s="24" t="inlineStr">
        <is>
          <t>Bu Yunchaokete</t>
        </is>
      </c>
      <c r="H694" s="24" t="inlineStr">
        <is>
          <t>moneyline</t>
        </is>
      </c>
      <c r="I694" s="24" t="inlineStr">
        <is>
          <t>away</t>
        </is>
      </c>
      <c r="J694" s="25" t="n"/>
      <c r="K694" s="24" t="inlineStr">
        <is>
          <t>polymarket_us</t>
        </is>
      </c>
      <c r="L694" s="26" t="n">
        <v>138</v>
      </c>
      <c r="M694" s="27" t="n">
        <v>2.38</v>
      </c>
      <c r="N694" s="28" t="n">
        <v>0.420168</v>
      </c>
      <c r="O694" s="28" t="n">
        <v>0.5007</v>
      </c>
      <c r="P694" s="28" t="n">
        <v>0.05</v>
      </c>
      <c r="Q694" s="28" t="n">
        <v>0.08053200000000001</v>
      </c>
      <c r="R694" s="26" t="n">
        <v>60</v>
      </c>
      <c r="S694" s="29" t="n">
        <v>1.25</v>
      </c>
      <c r="T694" s="24" t="inlineStr">
        <is>
          <t>tennis-surface-elo-v1</t>
        </is>
      </c>
      <c r="U694" s="24" t="inlineStr">
        <is>
          <t>settled</t>
        </is>
      </c>
      <c r="V694" s="24" t="inlineStr">
        <is>
          <t>loss</t>
        </is>
      </c>
      <c r="W694" s="26" t="n">
        <v>0</v>
      </c>
      <c r="X694" s="26" t="n">
        <v>1</v>
      </c>
      <c r="Y694" s="25" t="n"/>
      <c r="Z694" s="26" t="n">
        <v>122</v>
      </c>
      <c r="AA694" s="28" t="n">
        <v>0.45</v>
      </c>
      <c r="AB694" s="28" t="n">
        <v>0.029832</v>
      </c>
      <c r="AC694" s="30" t="n">
        <v>-1.25</v>
      </c>
      <c r="AD694" s="24" t="inlineStr">
        <is>
          <t>2026-08-27T00:41:40.403674Z</t>
        </is>
      </c>
      <c r="AE694" s="31" t="inlineStr">
        <is>
          <t>Surface-blended Elo on Hard: Borna Gojo p=0.501 vs Bu Yunchaokete. Executable ask 0.4200 (aec-atp-yunbu-borgoj-2026-08-26).</t>
        </is>
      </c>
      <c r="AF694" s="31" t="inlineStr">
        <is>
          <t>Surface-blended Elo model; singles only, WTA+ATP market coverage, not yet locked-holdout qualified -- promoted by explicit operator directive, not genuine walk-forward validation.</t>
        </is>
      </c>
      <c r="AG694" s="24" t="inlineStr">
        <is>
          <t>review_required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Borna Gojo</t>
        </is>
      </c>
      <c r="AQ694" s="24" t="inlineStr">
        <is>
          <t>Borna Gojo</t>
        </is>
      </c>
      <c r="AR694" s="24" t="inlineStr">
        <is>
          <t>Borna Gojo</t>
        </is>
      </c>
      <c r="AS694" s="24" t="inlineStr">
        <is>
          <t>Bu Yunchaokete</t>
        </is>
      </c>
      <c r="AT694" s="24" t="inlineStr">
        <is>
          <t>Bu Yunchaokete</t>
        </is>
      </c>
      <c r="AU694" s="24" t="inlineStr">
        <is>
          <t>Bu Yunchaokete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d777da58446bc099047b154203518e2585ef1a678f613f2b430f2589f7bf5cff</t>
        </is>
      </c>
      <c r="BB694" s="24" t="inlineStr">
        <is>
          <t>surface_blended_elo</t>
        </is>
      </c>
      <c r="BC694" s="24" t="inlineStr">
        <is>
          <t>tennis-surface-elo-v1</t>
        </is>
      </c>
      <c r="BD694" s="24" t="inlineStr">
        <is>
          <t>d777da58446bc099047b154203518e2585ef1a678f613f2b430f2589f7bf5cff</t>
        </is>
      </c>
      <c r="BE694" s="24" t="inlineStr">
        <is>
          <t>tennis-surface-elo-v1</t>
        </is>
      </c>
      <c r="BF694" s="24" t="inlineStr">
        <is>
          <t>1</t>
        </is>
      </c>
      <c r="BG694" s="24" t="inlineStr">
        <is>
          <t>d777da58446bc099047b154203518e2585ef1a678f613f2b430f2589f7bf5cff</t>
        </is>
      </c>
      <c r="BH694" s="24" t="inlineStr">
        <is>
          <t>2026-08-26T12:42:23.865722Z</t>
        </is>
      </c>
      <c r="BI694" s="24" t="inlineStr">
        <is>
          <t>["same_event","same_team_same_day","same_league_same_day"]</t>
        </is>
      </c>
      <c r="BJ694" s="25" t="n"/>
      <c r="BK694" s="26" t="n">
        <v>138</v>
      </c>
      <c r="BL694" s="27" t="n">
        <v>2.38</v>
      </c>
      <c r="BM694" s="28" t="n">
        <v>0.420168</v>
      </c>
      <c r="BN694" s="28" t="n"/>
      <c r="BO694" s="28" t="n"/>
      <c r="BP694" s="25" t="n"/>
      <c r="BQ694" s="27" t="n">
        <v>2.22</v>
      </c>
      <c r="BR694" s="28" t="n">
        <v>0.45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inlineStr">
        <is>
          <t>9c4e9027a67d1279fd76569e04300b9ae99d382330b330940096e2712bdb340b</t>
        </is>
      </c>
      <c r="DE694" s="24" t="inlineStr">
        <is>
          <t>/Users/vincentc9002/model-prediction/data/odds/tennis/2026-08-26/polymarket_snapshots.jsonl</t>
        </is>
      </c>
      <c r="DF694" s="24" t="inlineStr">
        <is>
          <t>524194:2026-08-26T12:42:23.865722Z</t>
        </is>
      </c>
      <c r="DG694" s="24" t="n"/>
      <c r="DH694" s="24" t="n"/>
      <c r="DI694" s="24" t="n"/>
      <c r="DJ694" s="24" t="inlineStr">
        <is>
          <t>0.420168</t>
        </is>
      </c>
      <c r="DK694" s="24" t="n"/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5e146e907d514b6f</t>
        </is>
      </c>
      <c r="B695" s="24" t="inlineStr">
        <is>
          <t>2026-08-26T16:35:15.923799Z</t>
        </is>
      </c>
      <c r="C695" s="24" t="inlineStr">
        <is>
          <t>2026-08-26T18:00Z</t>
        </is>
      </c>
      <c r="D695" s="24" t="inlineStr">
        <is>
          <t>363-2026:182035</t>
        </is>
      </c>
      <c r="E695" s="24" t="inlineStr">
        <is>
          <t>TENNIS</t>
        </is>
      </c>
      <c r="F695" s="24" t="inlineStr">
        <is>
          <t>Ignacio Buse</t>
        </is>
      </c>
      <c r="G695" s="24" t="inlineStr">
        <is>
          <t>Daniel Altmaier</t>
        </is>
      </c>
      <c r="H695" s="24" t="inlineStr">
        <is>
          <t>moneyline</t>
        </is>
      </c>
      <c r="I695" s="24" t="inlineStr">
        <is>
          <t>away</t>
        </is>
      </c>
      <c r="J695" s="25" t="n"/>
      <c r="K695" s="24" t="inlineStr">
        <is>
          <t>polymarket_us</t>
        </is>
      </c>
      <c r="L695" s="26" t="n">
        <v>-122</v>
      </c>
      <c r="M695" s="27" t="n">
        <v>1.819672</v>
      </c>
      <c r="N695" s="28" t="n">
        <v>0.54955</v>
      </c>
      <c r="O695" s="28" t="n">
        <v>0.5377999999999999</v>
      </c>
      <c r="P695" s="28" t="n">
        <v>0.05</v>
      </c>
      <c r="Q695" s="28" t="n">
        <v>-0.01175</v>
      </c>
      <c r="R695" s="26" t="n">
        <v>14</v>
      </c>
      <c r="S695" s="29" t="n">
        <v>1</v>
      </c>
      <c r="T695" s="24" t="inlineStr">
        <is>
          <t>tennis-surface-elo-v1</t>
        </is>
      </c>
      <c r="U695" s="24" t="inlineStr">
        <is>
          <t>settled</t>
        </is>
      </c>
      <c r="V695" s="24" t="inlineStr">
        <is>
          <t>win</t>
        </is>
      </c>
      <c r="W695" s="26" t="n">
        <v>1</v>
      </c>
      <c r="X695" s="26" t="n">
        <v>0</v>
      </c>
      <c r="Y695" s="25" t="n"/>
      <c r="Z695" s="26" t="n">
        <v>-122</v>
      </c>
      <c r="AA695" s="28" t="n">
        <v>0.55</v>
      </c>
      <c r="AB695" s="28" t="n">
        <v>0.00045</v>
      </c>
      <c r="AC695" s="30" t="n">
        <v>0.8197</v>
      </c>
      <c r="AD695" s="24" t="inlineStr">
        <is>
          <t>2026-08-26T22:14:37.996757Z</t>
        </is>
      </c>
      <c r="AE695" s="31" t="inlineStr">
        <is>
          <t>Surface-blended Elo on Hard: Ignacio Buse p=0.538 vs Daniel Altmaier. Executable ask 0.5500 (aec-atp-danalt-ignbus-2026-08-26).</t>
        </is>
      </c>
      <c r="AF695" s="31" t="inlineStr">
        <is>
          <t>Surface-blended Elo model; singles only, WTA+ATP market coverage, not yet locked-holdout qualified -- promoted by explicit operator directive, not genuine walk-forward validation.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Ignacio Buse</t>
        </is>
      </c>
      <c r="AQ695" s="24" t="inlineStr">
        <is>
          <t>Ignacio Buse</t>
        </is>
      </c>
      <c r="AR695" s="24" t="inlineStr">
        <is>
          <t>Ignacio Buse</t>
        </is>
      </c>
      <c r="AS695" s="24" t="inlineStr">
        <is>
          <t>Daniel Altmaier</t>
        </is>
      </c>
      <c r="AT695" s="24" t="inlineStr">
        <is>
          <t>Daniel Altmaier</t>
        </is>
      </c>
      <c r="AU695" s="24" t="inlineStr">
        <is>
          <t>Daniel Altmaier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d777da58446bc099047b154203518e2585ef1a678f613f2b430f2589f7bf5cff</t>
        </is>
      </c>
      <c r="BB695" s="24" t="inlineStr">
        <is>
          <t>surface_blended_elo</t>
        </is>
      </c>
      <c r="BC695" s="24" t="inlineStr">
        <is>
          <t>tennis-surface-elo-v1</t>
        </is>
      </c>
      <c r="BD695" s="24" t="inlineStr">
        <is>
          <t>d777da58446bc099047b154203518e2585ef1a678f613f2b430f2589f7bf5cff</t>
        </is>
      </c>
      <c r="BE695" s="24" t="inlineStr">
        <is>
          <t>tennis-surface-elo-v1</t>
        </is>
      </c>
      <c r="BF695" s="24" t="inlineStr">
        <is>
          <t>1</t>
        </is>
      </c>
      <c r="BG695" s="24" t="inlineStr">
        <is>
          <t>d777da58446bc099047b154203518e2585ef1a678f613f2b430f2589f7bf5cff</t>
        </is>
      </c>
      <c r="BH695" s="24" t="inlineStr">
        <is>
          <t>2026-08-26T16:31:19.895196Z</t>
        </is>
      </c>
      <c r="BI695" s="24" t="inlineStr">
        <is>
          <t>["same_event","same_team_same_day","same_league_same_day"]</t>
        </is>
      </c>
      <c r="BJ695" s="25" t="n"/>
      <c r="BK695" s="26" t="n">
        <v>-122</v>
      </c>
      <c r="BL695" s="27" t="n">
        <v>1.819672</v>
      </c>
      <c r="BM695" s="28" t="n">
        <v>0.54955</v>
      </c>
      <c r="BN695" s="28" t="n"/>
      <c r="BO695" s="28" t="n"/>
      <c r="BP695" s="25" t="n"/>
      <c r="BQ695" s="27" t="n">
        <v>1.819672</v>
      </c>
      <c r="BR695" s="28" t="n">
        <v>0.55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inlineStr">
        <is>
          <t>dd6b941b6f1b2c186c4d5f655e976fa7b5b4877d1ffbd82a2361042820a0aae5</t>
        </is>
      </c>
      <c r="DE695" s="24" t="inlineStr">
        <is>
          <t>/Users/vincentc9002/model-prediction/data/odds/tennis/2026-08-26/polymarket_snapshots.jsonl</t>
        </is>
      </c>
      <c r="DF695" s="24" t="inlineStr">
        <is>
          <t>522435:2026-08-26T16:31:19.895196Z</t>
        </is>
      </c>
      <c r="DG695" s="24" t="n"/>
      <c r="DH695" s="24" t="n"/>
      <c r="DI695" s="24" t="n"/>
      <c r="DJ695" s="24" t="inlineStr">
        <is>
          <t>0.54955</t>
        </is>
      </c>
      <c r="DK695" s="24" t="n"/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d0c4fcd8e4e847b3</t>
        </is>
      </c>
      <c r="B696" s="24" t="inlineStr">
        <is>
          <t>2026-08-26T16:35:15.923799Z</t>
        </is>
      </c>
      <c r="C696" s="24" t="inlineStr">
        <is>
          <t>2026-08-26T18:00Z</t>
        </is>
      </c>
      <c r="D696" s="24" t="inlineStr">
        <is>
          <t>363-2026:182037</t>
        </is>
      </c>
      <c r="E696" s="24" t="inlineStr">
        <is>
          <t>TENNIS</t>
        </is>
      </c>
      <c r="F696" s="24" t="inlineStr">
        <is>
          <t>Benjamin Bonzi</t>
        </is>
      </c>
      <c r="G696" s="24" t="inlineStr">
        <is>
          <t>Rinky Hijikata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-108</v>
      </c>
      <c r="M696" s="27" t="n">
        <v>1.925926</v>
      </c>
      <c r="N696" s="28" t="n">
        <v>0.519231</v>
      </c>
      <c r="O696" s="28" t="n">
        <v>0.574</v>
      </c>
      <c r="P696" s="28" t="n">
        <v>0.05</v>
      </c>
      <c r="Q696" s="28" t="n">
        <v>0.054769</v>
      </c>
      <c r="R696" s="26" t="n">
        <v>47</v>
      </c>
      <c r="S696" s="29" t="n">
        <v>1</v>
      </c>
      <c r="T696" s="24" t="inlineStr">
        <is>
          <t>tennis-surface-elo-v1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-108</v>
      </c>
      <c r="AA696" s="28" t="n">
        <v>0.52</v>
      </c>
      <c r="AB696" s="28" t="n">
        <v>0.000769</v>
      </c>
      <c r="AC696" s="30" t="n">
        <v>-1</v>
      </c>
      <c r="AD696" s="24" t="inlineStr">
        <is>
          <t>2026-08-26T22:14:40.147958Z</t>
        </is>
      </c>
      <c r="AE696" s="31" t="inlineStr">
        <is>
          <t>Surface-blended Elo on Hard: Benjamin Bonzi p=0.426 vs Rinky Hijikata. Executable ask 0.5200 (aec-atp-rinhij-benbon-2026-08-26).</t>
        </is>
      </c>
      <c r="AF696" s="31" t="inlineStr">
        <is>
          <t>Surface-blended Elo model; singles only, WTA+ATP market coverage, not yet locked-holdout qualified -- promoted by explicit operator directive, not genuine walk-forward validation.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Benjamin Bonzi</t>
        </is>
      </c>
      <c r="AQ696" s="24" t="inlineStr">
        <is>
          <t>Benjamin Bonzi</t>
        </is>
      </c>
      <c r="AR696" s="24" t="inlineStr">
        <is>
          <t>Benjamin Bonzi</t>
        </is>
      </c>
      <c r="AS696" s="24" t="inlineStr">
        <is>
          <t>Rinky Hijikata</t>
        </is>
      </c>
      <c r="AT696" s="24" t="inlineStr">
        <is>
          <t>Rinky Hijikata</t>
        </is>
      </c>
      <c r="AU696" s="24" t="inlineStr">
        <is>
          <t>Rinky Hijikata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d777da58446bc099047b154203518e2585ef1a678f613f2b430f2589f7bf5cff</t>
        </is>
      </c>
      <c r="BB696" s="24" t="inlineStr">
        <is>
          <t>surface_blended_elo</t>
        </is>
      </c>
      <c r="BC696" s="24" t="inlineStr">
        <is>
          <t>tennis-surface-elo-v1</t>
        </is>
      </c>
      <c r="BD696" s="24" t="inlineStr">
        <is>
          <t>d777da58446bc099047b154203518e2585ef1a678f613f2b430f2589f7bf5cff</t>
        </is>
      </c>
      <c r="BE696" s="24" t="inlineStr">
        <is>
          <t>tennis-surface-elo-v1</t>
        </is>
      </c>
      <c r="BF696" s="24" t="inlineStr">
        <is>
          <t>1</t>
        </is>
      </c>
      <c r="BG696" s="24" t="inlineStr">
        <is>
          <t>d777da58446bc099047b154203518e2585ef1a678f613f2b430f2589f7bf5cff</t>
        </is>
      </c>
      <c r="BH696" s="24" t="inlineStr">
        <is>
          <t>2026-08-26T16:31:19.580782Z</t>
        </is>
      </c>
      <c r="BI696" s="24" t="inlineStr">
        <is>
          <t>["same_event","same_team_same_day","same_league_same_day"]</t>
        </is>
      </c>
      <c r="BJ696" s="25" t="n"/>
      <c r="BK696" s="26" t="n">
        <v>-108</v>
      </c>
      <c r="BL696" s="27" t="n">
        <v>1.925926</v>
      </c>
      <c r="BM696" s="28" t="n">
        <v>0.519231</v>
      </c>
      <c r="BN696" s="28" t="n"/>
      <c r="BO696" s="28" t="n"/>
      <c r="BP696" s="25" t="n"/>
      <c r="BQ696" s="27" t="n">
        <v>1.925926</v>
      </c>
      <c r="BR696" s="28" t="n">
        <v>0.52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inlineStr">
        <is>
          <t>b9dcb26f129ab349347559da139031554c961834fec6eadfc06c1a30b7c9cd77</t>
        </is>
      </c>
      <c r="DE696" s="24" t="inlineStr">
        <is>
          <t>/Users/vincentc9002/model-prediction/data/odds/tennis/2026-08-26/polymarket_snapshots.jsonl</t>
        </is>
      </c>
      <c r="DF696" s="24" t="inlineStr">
        <is>
          <t>524208:2026-08-26T16:31:19.580782Z</t>
        </is>
      </c>
      <c r="DG696" s="24" t="n"/>
      <c r="DH696" s="24" t="n"/>
      <c r="DI696" s="24" t="n"/>
      <c r="DJ696" s="24" t="inlineStr">
        <is>
          <t>0.519231</t>
        </is>
      </c>
      <c r="DK696" s="24" t="n"/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51dce599b3fe4474</t>
        </is>
      </c>
      <c r="B697" s="24" t="inlineStr">
        <is>
          <t>2026-08-26T16:35:15.923799Z</t>
        </is>
      </c>
      <c r="C697" s="24" t="inlineStr">
        <is>
          <t>2026-08-26T18:00Z</t>
        </is>
      </c>
      <c r="D697" s="24" t="inlineStr">
        <is>
          <t>363-2026:182045</t>
        </is>
      </c>
      <c r="E697" s="24" t="inlineStr">
        <is>
          <t>TENNIS</t>
        </is>
      </c>
      <c r="F697" s="24" t="inlineStr">
        <is>
          <t>Luciano Darderi</t>
        </is>
      </c>
      <c r="G697" s="24" t="inlineStr">
        <is>
          <t>Botic Van De Zandschulp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144</v>
      </c>
      <c r="M697" s="27" t="n">
        <v>2.44</v>
      </c>
      <c r="N697" s="28" t="n">
        <v>0.409836</v>
      </c>
      <c r="O697" s="28" t="n">
        <v>0.5396</v>
      </c>
      <c r="P697" s="28" t="n">
        <v>0.05</v>
      </c>
      <c r="Q697" s="28" t="n">
        <v>0.129764</v>
      </c>
      <c r="R697" s="26" t="n">
        <v>85</v>
      </c>
      <c r="S697" s="29" t="n">
        <v>1.5</v>
      </c>
      <c r="T697" s="24" t="inlineStr">
        <is>
          <t>tennis-surface-elo-v1</t>
        </is>
      </c>
      <c r="U697" s="24" t="inlineStr">
        <is>
          <t>settled</t>
        </is>
      </c>
      <c r="V697" s="24" t="inlineStr">
        <is>
          <t>loss</t>
        </is>
      </c>
      <c r="W697" s="26" t="n">
        <v>0</v>
      </c>
      <c r="X697" s="26" t="n">
        <v>1</v>
      </c>
      <c r="Y697" s="25" t="n"/>
      <c r="Z697" s="26" t="n">
        <v>144</v>
      </c>
      <c r="AA697" s="28" t="n">
        <v>0.41</v>
      </c>
      <c r="AB697" s="28" t="n">
        <v>0.000164</v>
      </c>
      <c r="AC697" s="30" t="n">
        <v>-1.5</v>
      </c>
      <c r="AD697" s="24" t="inlineStr">
        <is>
          <t>2026-08-26T22:14:42.299520Z</t>
        </is>
      </c>
      <c r="AE697" s="31" t="inlineStr">
        <is>
          <t>Surface-blended Elo on Hard: Luciano Darderi p=0.540 vs Botic Van De Zandschulp. Executable ask 0.4100 (aec-atp-botzan-lucdar-2026-08-26).</t>
        </is>
      </c>
      <c r="AF697" s="31" t="inlineStr">
        <is>
          <t>Surface-blended Elo model; singles only, WTA+ATP market coverage, not yet locked-holdout qualified -- promoted by explicit operator directive, not genuine walk-forward validation.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Luciano Darderi</t>
        </is>
      </c>
      <c r="AQ697" s="24" t="inlineStr">
        <is>
          <t>Luciano Darderi</t>
        </is>
      </c>
      <c r="AR697" s="24" t="inlineStr">
        <is>
          <t>Luciano Darderi</t>
        </is>
      </c>
      <c r="AS697" s="24" t="inlineStr">
        <is>
          <t>Botic Van De Zandschulp</t>
        </is>
      </c>
      <c r="AT697" s="24" t="inlineStr">
        <is>
          <t>Botic Van De Zandschulp</t>
        </is>
      </c>
      <c r="AU697" s="24" t="inlineStr">
        <is>
          <t>Botic Van De Zandschulp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d777da58446bc099047b154203518e2585ef1a678f613f2b430f2589f7bf5cff</t>
        </is>
      </c>
      <c r="BB697" s="24" t="inlineStr">
        <is>
          <t>surface_blended_elo</t>
        </is>
      </c>
      <c r="BC697" s="24" t="inlineStr">
        <is>
          <t>tennis-surface-elo-v1</t>
        </is>
      </c>
      <c r="BD697" s="24" t="inlineStr">
        <is>
          <t>d777da58446bc099047b154203518e2585ef1a678f613f2b430f2589f7bf5cff</t>
        </is>
      </c>
      <c r="BE697" s="24" t="inlineStr">
        <is>
          <t>tennis-surface-elo-v1</t>
        </is>
      </c>
      <c r="BF697" s="24" t="inlineStr">
        <is>
          <t>1</t>
        </is>
      </c>
      <c r="BG697" s="24" t="inlineStr">
        <is>
          <t>d777da58446bc099047b154203518e2585ef1a678f613f2b430f2589f7bf5cff</t>
        </is>
      </c>
      <c r="BH697" s="24" t="inlineStr">
        <is>
          <t>2026-08-26T16:31:20.012063Z</t>
        </is>
      </c>
      <c r="BI697" s="24" t="inlineStr">
        <is>
          <t>["same_event","same_team_same_day","same_league_same_day"]</t>
        </is>
      </c>
      <c r="BJ697" s="25" t="n"/>
      <c r="BK697" s="26" t="n">
        <v>144</v>
      </c>
      <c r="BL697" s="27" t="n">
        <v>2.44</v>
      </c>
      <c r="BM697" s="28" t="n">
        <v>0.409836</v>
      </c>
      <c r="BN697" s="28" t="n"/>
      <c r="BO697" s="28" t="n"/>
      <c r="BP697" s="25" t="n"/>
      <c r="BQ697" s="27" t="n">
        <v>2.44</v>
      </c>
      <c r="BR697" s="28" t="n">
        <v>0.41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inlineStr">
        <is>
          <t>0b89543d233f715e7609e9512b69f82f3ed10b7da6acad2769d19b61f4e79702</t>
        </is>
      </c>
      <c r="DE697" s="24" t="inlineStr">
        <is>
          <t>/Users/vincentc9002/model-prediction/data/odds/tennis/2026-08-26/polymarket_snapshots.jsonl</t>
        </is>
      </c>
      <c r="DF697" s="24" t="inlineStr">
        <is>
          <t>523336:2026-08-26T16:31:20.012063Z</t>
        </is>
      </c>
      <c r="DG697" s="24" t="n"/>
      <c r="DH697" s="24" t="n"/>
      <c r="DI697" s="24" t="n"/>
      <c r="DJ697" s="24" t="inlineStr">
        <is>
          <t>0.409836</t>
        </is>
      </c>
      <c r="DK697" s="24" t="n"/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50acaaeb59db4d44</t>
        </is>
      </c>
      <c r="B698" s="24" t="inlineStr">
        <is>
          <t>2026-08-26T16:35:15.923799Z</t>
        </is>
      </c>
      <c r="C698" s="24" t="inlineStr">
        <is>
          <t>2026-08-26T19:30Z</t>
        </is>
      </c>
      <c r="D698" s="24" t="inlineStr">
        <is>
          <t>363-2026:182060</t>
        </is>
      </c>
      <c r="E698" s="24" t="inlineStr">
        <is>
          <t>TENNIS</t>
        </is>
      </c>
      <c r="F698" s="24" t="inlineStr">
        <is>
          <t>Mees Rottgering</t>
        </is>
      </c>
      <c r="G698" s="24" t="inlineStr">
        <is>
          <t>Arthur Fery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-213</v>
      </c>
      <c r="M698" s="27" t="n">
        <v>1.469484</v>
      </c>
      <c r="N698" s="28" t="n">
        <v>0.680511</v>
      </c>
      <c r="O698" s="28" t="n">
        <v>0.5816</v>
      </c>
      <c r="P698" s="28" t="n">
        <v>0.05</v>
      </c>
      <c r="Q698" s="28" t="n">
        <v>-0.098911</v>
      </c>
      <c r="R698" s="26" t="n">
        <v>0</v>
      </c>
      <c r="S698" s="29" t="n">
        <v>1</v>
      </c>
      <c r="T698" s="24" t="inlineStr">
        <is>
          <t>tennis-surface-elo-v1</t>
        </is>
      </c>
      <c r="U698" s="24" t="inlineStr">
        <is>
          <t>settled</t>
        </is>
      </c>
      <c r="V698" s="24" t="inlineStr">
        <is>
          <t>win</t>
        </is>
      </c>
      <c r="W698" s="26" t="n">
        <v>0</v>
      </c>
      <c r="X698" s="26" t="n">
        <v>1</v>
      </c>
      <c r="Y698" s="25" t="n"/>
      <c r="Z698" s="26" t="n">
        <v>-213</v>
      </c>
      <c r="AA698" s="28" t="n">
        <v>0.68</v>
      </c>
      <c r="AB698" s="28" t="n">
        <v>-0.000511</v>
      </c>
      <c r="AC698" s="30" t="n">
        <v>0.4695</v>
      </c>
      <c r="AD698" s="24" t="inlineStr">
        <is>
          <t>2026-08-26T22:14:44.456377Z</t>
        </is>
      </c>
      <c r="AE698" s="31" t="inlineStr">
        <is>
          <t>Surface-blended Elo on Hard: Mees Rottgering p=0.418 vs Arthur Fery. Executable ask 0.6800 (aec-atp-artfer-meerot-2026-08-26).</t>
        </is>
      </c>
      <c r="AF698" s="31" t="inlineStr">
        <is>
          <t>Surface-blended Elo model; singles only, WTA+ATP market coverage, not yet locked-holdout qualified -- promoted by explicit operator directive, not genuine walk-forward validation.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PAPER_CALL_LOW_EDGE</t>
        </is>
      </c>
      <c r="AP698" s="24" t="inlineStr">
        <is>
          <t>Mees Rottgering</t>
        </is>
      </c>
      <c r="AQ698" s="24" t="inlineStr">
        <is>
          <t>Mees Rottgering</t>
        </is>
      </c>
      <c r="AR698" s="24" t="inlineStr">
        <is>
          <t>Mees Rottgering</t>
        </is>
      </c>
      <c r="AS698" s="24" t="inlineStr">
        <is>
          <t>Arthur Fery</t>
        </is>
      </c>
      <c r="AT698" s="24" t="inlineStr">
        <is>
          <t>Arthur Fery</t>
        </is>
      </c>
      <c r="AU698" s="24" t="inlineStr">
        <is>
          <t>Arthur Fery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d777da58446bc099047b154203518e2585ef1a678f613f2b430f2589f7bf5cff</t>
        </is>
      </c>
      <c r="BB698" s="24" t="inlineStr">
        <is>
          <t>surface_blended_elo</t>
        </is>
      </c>
      <c r="BC698" s="24" t="inlineStr">
        <is>
          <t>tennis-surface-elo-v1</t>
        </is>
      </c>
      <c r="BD698" s="24" t="inlineStr">
        <is>
          <t>d777da58446bc099047b154203518e2585ef1a678f613f2b430f2589f7bf5cff</t>
        </is>
      </c>
      <c r="BE698" s="24" t="inlineStr">
        <is>
          <t>tennis-surface-elo-v1</t>
        </is>
      </c>
      <c r="BF698" s="24" t="inlineStr">
        <is>
          <t>1</t>
        </is>
      </c>
      <c r="BG698" s="24" t="inlineStr">
        <is>
          <t>d777da58446bc099047b154203518e2585ef1a678f613f2b430f2589f7bf5cff</t>
        </is>
      </c>
      <c r="BH698" s="24" t="inlineStr">
        <is>
          <t>2026-08-26T16:31:20.349748Z</t>
        </is>
      </c>
      <c r="BI698" s="24" t="inlineStr">
        <is>
          <t>["same_event","same_team_same_day","same_league_same_day"]</t>
        </is>
      </c>
      <c r="BJ698" s="25" t="n"/>
      <c r="BK698" s="26" t="n">
        <v>-213</v>
      </c>
      <c r="BL698" s="27" t="n">
        <v>1.469484</v>
      </c>
      <c r="BM698" s="28" t="n">
        <v>0.680511</v>
      </c>
      <c r="BN698" s="28" t="n"/>
      <c r="BO698" s="28" t="n"/>
      <c r="BP698" s="25" t="n"/>
      <c r="BQ698" s="27" t="n">
        <v>1.469484</v>
      </c>
      <c r="BR698" s="28" t="n">
        <v>0.68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inlineStr">
        <is>
          <t>e1b7b4e8eb0d73b13242ab09661caaee2dd83953688b624a08f99130769dfecb</t>
        </is>
      </c>
      <c r="DE698" s="24" t="inlineStr">
        <is>
          <t>/Users/vincentc9002/model-prediction/data/odds/tennis/2026-08-26/polymarket_snapshots.jsonl</t>
        </is>
      </c>
      <c r="DF698" s="24" t="inlineStr">
        <is>
          <t>524253:2026-08-26T16:31:20.349748Z</t>
        </is>
      </c>
      <c r="DG698" s="24" t="n"/>
      <c r="DH698" s="24" t="n"/>
      <c r="DI698" s="24" t="n"/>
      <c r="DJ698" s="24" t="inlineStr">
        <is>
          <t>0.680511</t>
        </is>
      </c>
      <c r="DK698" s="24" t="n"/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5628ab5891bf478f</t>
        </is>
      </c>
      <c r="B699" s="24" t="inlineStr">
        <is>
          <t>2026-08-26T16:35:15.923799Z</t>
        </is>
      </c>
      <c r="C699" s="24" t="inlineStr">
        <is>
          <t>2026-08-26T20:00Z</t>
        </is>
      </c>
      <c r="D699" s="24" t="inlineStr">
        <is>
          <t>363-2026:182039</t>
        </is>
      </c>
      <c r="E699" s="24" t="inlineStr">
        <is>
          <t>TENNIS</t>
        </is>
      </c>
      <c r="F699" s="24" t="inlineStr">
        <is>
          <t>Sebastian Baez</t>
        </is>
      </c>
      <c r="G699" s="24" t="inlineStr">
        <is>
          <t>Juan Manuel Cerundolo</t>
        </is>
      </c>
      <c r="H699" s="24" t="inlineStr">
        <is>
          <t>moneyline</t>
        </is>
      </c>
      <c r="I699" s="24" t="inlineStr">
        <is>
          <t>away</t>
        </is>
      </c>
      <c r="J699" s="25" t="n"/>
      <c r="K699" s="24" t="inlineStr">
        <is>
          <t>polymarket_us</t>
        </is>
      </c>
      <c r="L699" s="26" t="n">
        <v>-144</v>
      </c>
      <c r="M699" s="27" t="n">
        <v>1.694444</v>
      </c>
      <c r="N699" s="28" t="n">
        <v>0.590164</v>
      </c>
      <c r="O699" s="28" t="n">
        <v>0.5698</v>
      </c>
      <c r="P699" s="28" t="n">
        <v>0.05</v>
      </c>
      <c r="Q699" s="28" t="n">
        <v>-0.020364</v>
      </c>
      <c r="R699" s="26" t="n">
        <v>10</v>
      </c>
      <c r="S699" s="29" t="n">
        <v>1</v>
      </c>
      <c r="T699" s="24" t="inlineStr">
        <is>
          <t>tennis-surface-elo-v1</t>
        </is>
      </c>
      <c r="U699" s="24" t="inlineStr">
        <is>
          <t>settled</t>
        </is>
      </c>
      <c r="V699" s="24" t="inlineStr">
        <is>
          <t>loss</t>
        </is>
      </c>
      <c r="W699" s="26" t="n">
        <v>0</v>
      </c>
      <c r="X699" s="26" t="n">
        <v>1</v>
      </c>
      <c r="Y699" s="25" t="n"/>
      <c r="Z699" s="26" t="n">
        <v>-144</v>
      </c>
      <c r="AA699" s="28" t="n">
        <v>0.59</v>
      </c>
      <c r="AB699" s="28" t="n">
        <v>-0.000164</v>
      </c>
      <c r="AC699" s="30" t="n">
        <v>-1</v>
      </c>
      <c r="AD699" s="24" t="inlineStr">
        <is>
          <t>2026-08-26T22:14:46.662383Z</t>
        </is>
      </c>
      <c r="AE699" s="31" t="inlineStr">
        <is>
          <t>Surface-blended Elo on Hard: Sebastian Baez p=0.570 vs Juan Manuel Cerundolo. Executable ask 0.5900 (aec-atp-juacer-sebbae-2026-08-26).</t>
        </is>
      </c>
      <c r="AF699" s="31" t="inlineStr">
        <is>
          <t>Surface-blended Elo model; singles only, WTA+ATP market coverage, not yet locked-holdout qualified -- promoted by explicit operator directive, not genuine walk-forward validation.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Sebastian Baez</t>
        </is>
      </c>
      <c r="AQ699" s="24" t="inlineStr">
        <is>
          <t>Sebastian Baez</t>
        </is>
      </c>
      <c r="AR699" s="24" t="inlineStr">
        <is>
          <t>Sebastian Baez</t>
        </is>
      </c>
      <c r="AS699" s="24" t="inlineStr">
        <is>
          <t>Juan Manuel Cerundolo</t>
        </is>
      </c>
      <c r="AT699" s="24" t="inlineStr">
        <is>
          <t>Juan Manuel Cerundolo</t>
        </is>
      </c>
      <c r="AU699" s="24" t="inlineStr">
        <is>
          <t>Juan Manuel Cerundolo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d777da58446bc099047b154203518e2585ef1a678f613f2b430f2589f7bf5cff</t>
        </is>
      </c>
      <c r="BB699" s="24" t="inlineStr">
        <is>
          <t>surface_blended_elo</t>
        </is>
      </c>
      <c r="BC699" s="24" t="inlineStr">
        <is>
          <t>tennis-surface-elo-v1</t>
        </is>
      </c>
      <c r="BD699" s="24" t="inlineStr">
        <is>
          <t>d777da58446bc099047b154203518e2585ef1a678f613f2b430f2589f7bf5cff</t>
        </is>
      </c>
      <c r="BE699" s="24" t="inlineStr">
        <is>
          <t>tennis-surface-elo-v1</t>
        </is>
      </c>
      <c r="BF699" s="24" t="inlineStr">
        <is>
          <t>1</t>
        </is>
      </c>
      <c r="BG699" s="24" t="inlineStr">
        <is>
          <t>d777da58446bc099047b154203518e2585ef1a678f613f2b430f2589f7bf5cff</t>
        </is>
      </c>
      <c r="BH699" s="24" t="inlineStr">
        <is>
          <t>2026-08-26T16:31:24.384243Z</t>
        </is>
      </c>
      <c r="BI699" s="24" t="inlineStr">
        <is>
          <t>["same_event","same_team_same_day","same_league_same_day"]</t>
        </is>
      </c>
      <c r="BJ699" s="25" t="n"/>
      <c r="BK699" s="26" t="n">
        <v>-144</v>
      </c>
      <c r="BL699" s="27" t="n">
        <v>1.694444</v>
      </c>
      <c r="BM699" s="28" t="n">
        <v>0.590164</v>
      </c>
      <c r="BN699" s="28" t="n"/>
      <c r="BO699" s="28" t="n"/>
      <c r="BP699" s="25" t="n"/>
      <c r="BQ699" s="27" t="n">
        <v>1.694444</v>
      </c>
      <c r="BR699" s="28" t="n">
        <v>0.59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False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inlineStr">
        <is>
          <t>1446ebc2735b2ab7bc50021cc17a6ed147ecb2b063723a46eb71e59d33e43c82</t>
        </is>
      </c>
      <c r="DE699" s="24" t="inlineStr">
        <is>
          <t>/Users/vincentc9002/model-prediction/data/odds/tennis/2026-08-26/polymarket_snapshots.jsonl</t>
        </is>
      </c>
      <c r="DF699" s="24" t="inlineStr">
        <is>
          <t>524769:2026-08-26T16:31:24.384243Z</t>
        </is>
      </c>
      <c r="DG699" s="24" t="n"/>
      <c r="DH699" s="24" t="n"/>
      <c r="DI699" s="24" t="n"/>
      <c r="DJ699" s="24" t="inlineStr">
        <is>
          <t>0.590164</t>
        </is>
      </c>
      <c r="DK699" s="24" t="n"/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3a2c6779534f45e3</t>
        </is>
      </c>
      <c r="B700" s="24" t="inlineStr">
        <is>
          <t>2026-08-26T16:35:15.923799Z</t>
        </is>
      </c>
      <c r="C700" s="24" t="inlineStr">
        <is>
          <t>2026-08-26T21:30Z</t>
        </is>
      </c>
      <c r="D700" s="24" t="inlineStr">
        <is>
          <t>363-2026:182061</t>
        </is>
      </c>
      <c r="E700" s="24" t="inlineStr">
        <is>
          <t>TENNIS</t>
        </is>
      </c>
      <c r="F700" s="24" t="inlineStr">
        <is>
          <t>James Duckworth</t>
        </is>
      </c>
      <c r="G700" s="24" t="inlineStr">
        <is>
          <t>Lorenzo Sonego</t>
        </is>
      </c>
      <c r="H700" s="24" t="inlineStr">
        <is>
          <t>moneyline</t>
        </is>
      </c>
      <c r="I700" s="24" t="inlineStr">
        <is>
          <t>home</t>
        </is>
      </c>
      <c r="J700" s="25" t="n"/>
      <c r="K700" s="24" t="inlineStr">
        <is>
          <t>polymarket_us</t>
        </is>
      </c>
      <c r="L700" s="26" t="n">
        <v>-127</v>
      </c>
      <c r="M700" s="27" t="n">
        <v>1.787402</v>
      </c>
      <c r="N700" s="28" t="n">
        <v>0.5594710000000001</v>
      </c>
      <c r="O700" s="28" t="n">
        <v>0.5814</v>
      </c>
      <c r="P700" s="28" t="n">
        <v>0.05</v>
      </c>
      <c r="Q700" s="28" t="n">
        <v>0.021929</v>
      </c>
      <c r="R700" s="26" t="n">
        <v>31</v>
      </c>
      <c r="S700" s="29" t="n">
        <v>1</v>
      </c>
      <c r="T700" s="24" t="inlineStr">
        <is>
          <t>tennis-surface-elo-v1</t>
        </is>
      </c>
      <c r="U700" s="24" t="inlineStr">
        <is>
          <t>settled</t>
        </is>
      </c>
      <c r="V700" s="24" t="inlineStr">
        <is>
          <t>loss</t>
        </is>
      </c>
      <c r="W700" s="26" t="n">
        <v>1</v>
      </c>
      <c r="X700" s="26" t="n">
        <v>0</v>
      </c>
      <c r="Y700" s="25" t="n"/>
      <c r="Z700" s="26" t="n">
        <v>-127</v>
      </c>
      <c r="AA700" s="28" t="n">
        <v>0.5600000000000001</v>
      </c>
      <c r="AB700" s="28" t="n">
        <v>0.000529</v>
      </c>
      <c r="AC700" s="30" t="n">
        <v>-1</v>
      </c>
      <c r="AD700" s="24" t="inlineStr">
        <is>
          <t>2026-08-27T00:41:42.704456Z</t>
        </is>
      </c>
      <c r="AE700" s="31" t="inlineStr">
        <is>
          <t>Surface-blended Elo on Hard: James Duckworth p=0.419 vs Lorenzo Sonego. Executable ask 0.5600 (aec-atp-lorson-jamduc-2026-08-27).</t>
        </is>
      </c>
      <c r="AF700" s="31" t="inlineStr">
        <is>
          <t>Surface-blended Elo model; singles only, WTA+ATP market coverage, not yet locked-holdout qualified -- promoted by explicit operator directive, not genuine walk-forward validation.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PAPER_CALL_LOW_EDGE</t>
        </is>
      </c>
      <c r="AP700" s="24" t="inlineStr">
        <is>
          <t>James Duckworth</t>
        </is>
      </c>
      <c r="AQ700" s="24" t="inlineStr">
        <is>
          <t>James Duckworth</t>
        </is>
      </c>
      <c r="AR700" s="24" t="inlineStr">
        <is>
          <t>James Duckworth</t>
        </is>
      </c>
      <c r="AS700" s="24" t="inlineStr">
        <is>
          <t>Lorenzo Sonego</t>
        </is>
      </c>
      <c r="AT700" s="24" t="inlineStr">
        <is>
          <t>Lorenzo Sonego</t>
        </is>
      </c>
      <c r="AU700" s="24" t="inlineStr">
        <is>
          <t>Lorenzo Sonego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d777da58446bc099047b154203518e2585ef1a678f613f2b430f2589f7bf5cff</t>
        </is>
      </c>
      <c r="BB700" s="24" t="inlineStr">
        <is>
          <t>surface_blended_elo</t>
        </is>
      </c>
      <c r="BC700" s="24" t="inlineStr">
        <is>
          <t>tennis-surface-elo-v1</t>
        </is>
      </c>
      <c r="BD700" s="24" t="inlineStr">
        <is>
          <t>d777da58446bc099047b154203518e2585ef1a678f613f2b430f2589f7bf5cff</t>
        </is>
      </c>
      <c r="BE700" s="24" t="inlineStr">
        <is>
          <t>tennis-surface-elo-v1</t>
        </is>
      </c>
      <c r="BF700" s="24" t="inlineStr">
        <is>
          <t>1</t>
        </is>
      </c>
      <c r="BG700" s="24" t="inlineStr">
        <is>
          <t>d777da58446bc099047b154203518e2585ef1a678f613f2b430f2589f7bf5cff</t>
        </is>
      </c>
      <c r="BH700" s="24" t="inlineStr">
        <is>
          <t>2026-08-26T16:31:26.642760Z</t>
        </is>
      </c>
      <c r="BI700" s="24" t="inlineStr">
        <is>
          <t>["same_event","same_team_same_day","same_league_same_day"]</t>
        </is>
      </c>
      <c r="BJ700" s="25" t="n"/>
      <c r="BK700" s="26" t="n">
        <v>-127</v>
      </c>
      <c r="BL700" s="27" t="n">
        <v>1.787402</v>
      </c>
      <c r="BM700" s="28" t="n">
        <v>0.5594710000000001</v>
      </c>
      <c r="BN700" s="28" t="n"/>
      <c r="BO700" s="28" t="n"/>
      <c r="BP700" s="25" t="n"/>
      <c r="BQ700" s="27" t="n">
        <v>1.787402</v>
      </c>
      <c r="BR700" s="28" t="n">
        <v>0.5600000000000001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inlineStr">
        <is>
          <t>fc3f4f021ccdd2d779cb7edb26086e4c65f0571653205b1388a304b878707f5a</t>
        </is>
      </c>
      <c r="DE700" s="24" t="inlineStr">
        <is>
          <t>/Users/vincentc9002/model-prediction/data/odds/tennis/2026-08-26/polymarket_snapshots.jsonl</t>
        </is>
      </c>
      <c r="DF700" s="24" t="inlineStr">
        <is>
          <t>524833:2026-08-26T16:31:26.642760Z</t>
        </is>
      </c>
      <c r="DG700" s="24" t="n"/>
      <c r="DH700" s="24" t="n"/>
      <c r="DI700" s="24" t="n"/>
      <c r="DJ700" s="24" t="inlineStr">
        <is>
          <t>0.559471</t>
        </is>
      </c>
      <c r="DK700" s="24" t="n"/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f28c6318144b40be</t>
        </is>
      </c>
      <c r="B701" s="24" t="inlineStr">
        <is>
          <t>2026-08-26T22:18:02.207568Z</t>
        </is>
      </c>
      <c r="C701" s="24" t="inlineStr">
        <is>
          <t>2026-08-26T23:00Z</t>
        </is>
      </c>
      <c r="D701" s="24" t="inlineStr">
        <is>
          <t>341-2026:182508</t>
        </is>
      </c>
      <c r="E701" s="24" t="inlineStr">
        <is>
          <t>TENNIS</t>
        </is>
      </c>
      <c r="F701" s="24" t="inlineStr">
        <is>
          <t>Elise Mertens</t>
        </is>
      </c>
      <c r="G701" s="24" t="inlineStr">
        <is>
          <t>Panna Udvardy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polymarket_us</t>
        </is>
      </c>
      <c r="L701" s="26" t="n">
        <v>-400</v>
      </c>
      <c r="M701" s="27" t="n">
        <v>1.25</v>
      </c>
      <c r="N701" s="28" t="n">
        <v>0.8</v>
      </c>
      <c r="O701" s="28" t="n">
        <v>0.5646</v>
      </c>
      <c r="P701" s="28" t="n">
        <v>0.05</v>
      </c>
      <c r="Q701" s="28" t="n">
        <v>-0.2354</v>
      </c>
      <c r="R701" s="26" t="n">
        <v>0</v>
      </c>
      <c r="S701" s="29" t="n">
        <v>1</v>
      </c>
      <c r="T701" s="24" t="inlineStr">
        <is>
          <t>tennis-surface-elo-v1</t>
        </is>
      </c>
      <c r="U701" s="24" t="inlineStr">
        <is>
          <t>settled</t>
        </is>
      </c>
      <c r="V701" s="24" t="inlineStr">
        <is>
          <t>win</t>
        </is>
      </c>
      <c r="W701" s="26" t="n">
        <v>1</v>
      </c>
      <c r="X701" s="26" t="n">
        <v>0</v>
      </c>
      <c r="Y701" s="25" t="n"/>
      <c r="Z701" s="26" t="n">
        <v>-400</v>
      </c>
      <c r="AA701" s="28" t="n">
        <v>0.8</v>
      </c>
      <c r="AB701" s="28" t="n">
        <v>0</v>
      </c>
      <c r="AC701" s="30" t="n">
        <v>0.25</v>
      </c>
      <c r="AD701" s="24" t="inlineStr">
        <is>
          <t>2026-08-27T03:43:53.649766Z</t>
        </is>
      </c>
      <c r="AE701" s="31" t="inlineStr">
        <is>
          <t>Surface-blended Elo on Hard: Elise Mertens p=0.565 vs Panna Udvardy. Executable ask 0.8000 (aec-wta-panudv-elimer-2026-08-26).</t>
        </is>
      </c>
      <c r="AF701" s="31" t="inlineStr">
        <is>
          <t>Surface-blended Elo model; singles only, WTA+ATP market coverage, not yet locked-holdout qualified -- promoted by explicit operator directive, not genuine walk-forward validation.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Elise Mertens</t>
        </is>
      </c>
      <c r="AQ701" s="24" t="inlineStr">
        <is>
          <t>Elise Mertens</t>
        </is>
      </c>
      <c r="AR701" s="24" t="inlineStr">
        <is>
          <t>Elise Mertens</t>
        </is>
      </c>
      <c r="AS701" s="24" t="inlineStr">
        <is>
          <t>Panna Udvardy</t>
        </is>
      </c>
      <c r="AT701" s="24" t="inlineStr">
        <is>
          <t>Panna Udvardy</t>
        </is>
      </c>
      <c r="AU701" s="24" t="inlineStr">
        <is>
          <t>Panna Udvardy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d777da58446bc099047b154203518e2585ef1a678f613f2b430f2589f7bf5cff</t>
        </is>
      </c>
      <c r="BB701" s="24" t="inlineStr">
        <is>
          <t>surface_blended_elo</t>
        </is>
      </c>
      <c r="BC701" s="24" t="inlineStr">
        <is>
          <t>tennis-surface-elo-v1</t>
        </is>
      </c>
      <c r="BD701" s="24" t="inlineStr">
        <is>
          <t>d777da58446bc099047b154203518e2585ef1a678f613f2b430f2589f7bf5cff</t>
        </is>
      </c>
      <c r="BE701" s="24" t="inlineStr">
        <is>
          <t>tennis-surface-elo-v1</t>
        </is>
      </c>
      <c r="BF701" s="24" t="inlineStr">
        <is>
          <t>1</t>
        </is>
      </c>
      <c r="BG701" s="24" t="inlineStr">
        <is>
          <t>d777da58446bc099047b154203518e2585ef1a678f613f2b430f2589f7bf5cff</t>
        </is>
      </c>
      <c r="BH701" s="24" t="inlineStr">
        <is>
          <t>2026-08-26T22:16:55.446261Z</t>
        </is>
      </c>
      <c r="BI701" s="24" t="inlineStr">
        <is>
          <t>["same_event","same_team_same_day","same_league_same_day"]</t>
        </is>
      </c>
      <c r="BJ701" s="25" t="n"/>
      <c r="BK701" s="26" t="n">
        <v>-400</v>
      </c>
      <c r="BL701" s="27" t="n">
        <v>1.25</v>
      </c>
      <c r="BM701" s="28" t="n">
        <v>0.8</v>
      </c>
      <c r="BN701" s="28" t="n"/>
      <c r="BO701" s="28" t="n"/>
      <c r="BP701" s="25" t="n"/>
      <c r="BQ701" s="27" t="n">
        <v>1.25</v>
      </c>
      <c r="BR701" s="28" t="n">
        <v>0.8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inlineStr">
        <is>
          <t>6d753db152e76947f048c5528c878757ede30cb5e3b63dc66e417d1ce45b809b</t>
        </is>
      </c>
      <c r="DE701" s="24" t="inlineStr">
        <is>
          <t>/Users/vincentc9002/model-prediction/data/odds/tennis/2026-08-26/polymarket_snapshots.jsonl</t>
        </is>
      </c>
      <c r="DF701" s="24" t="inlineStr">
        <is>
          <t>524706:2026-08-26T22:16:55.446261Z</t>
        </is>
      </c>
      <c r="DG701" s="24" t="n"/>
      <c r="DH701" s="24" t="n"/>
      <c r="DI701" s="24" t="n"/>
      <c r="DJ701" s="24" t="inlineStr">
        <is>
          <t>0.8</t>
        </is>
      </c>
      <c r="DK701" s="24" t="n"/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7d273bc1d93248b3</t>
        </is>
      </c>
      <c r="B702" s="24" t="inlineStr">
        <is>
          <t>2026-08-26T22:18:02.207568Z</t>
        </is>
      </c>
      <c r="C702" s="24" t="inlineStr">
        <is>
          <t>2026-08-26T22:25Z</t>
        </is>
      </c>
      <c r="D702" s="24" t="inlineStr">
        <is>
          <t>189-2026:184797</t>
        </is>
      </c>
      <c r="E702" s="24" t="inlineStr">
        <is>
          <t>TENNIS</t>
        </is>
      </c>
      <c r="F702" s="24" t="inlineStr">
        <is>
          <t>Sofia Costoulas</t>
        </is>
      </c>
      <c r="G702" s="24" t="inlineStr">
        <is>
          <t>Elvina Kalieva</t>
        </is>
      </c>
      <c r="H702" s="24" t="inlineStr">
        <is>
          <t>moneyline</t>
        </is>
      </c>
      <c r="I702" s="24" t="inlineStr">
        <is>
          <t>away</t>
        </is>
      </c>
      <c r="J702" s="25" t="n"/>
      <c r="K702" s="24" t="inlineStr">
        <is>
          <t>polymarket_us</t>
        </is>
      </c>
      <c r="L702" s="26" t="n">
        <v>108</v>
      </c>
      <c r="M702" s="27" t="n">
        <v>2.08</v>
      </c>
      <c r="N702" s="28" t="n">
        <v>0.480769</v>
      </c>
      <c r="O702" s="28" t="n">
        <v>0.5083</v>
      </c>
      <c r="P702" s="28" t="n">
        <v>0.05</v>
      </c>
      <c r="Q702" s="28" t="n">
        <v>0.027531</v>
      </c>
      <c r="R702" s="26" t="n">
        <v>34</v>
      </c>
      <c r="S702" s="29" t="n">
        <v>1</v>
      </c>
      <c r="T702" s="24" t="inlineStr">
        <is>
          <t>tennis-surface-elo-v1</t>
        </is>
      </c>
      <c r="U702" s="24" t="inlineStr">
        <is>
          <t>settled</t>
        </is>
      </c>
      <c r="V702" s="24" t="inlineStr">
        <is>
          <t>loss</t>
        </is>
      </c>
      <c r="W702" s="26" t="n">
        <v>0</v>
      </c>
      <c r="X702" s="26" t="n">
        <v>1</v>
      </c>
      <c r="Y702" s="25" t="n"/>
      <c r="Z702" s="26" t="n">
        <v>108</v>
      </c>
      <c r="AA702" s="28" t="n">
        <v>0.48</v>
      </c>
      <c r="AB702" s="28" t="n">
        <v>-0.000769</v>
      </c>
      <c r="AC702" s="30" t="n">
        <v>-1</v>
      </c>
      <c r="AD702" s="24" t="inlineStr">
        <is>
          <t>2026-08-27T03:43:58.226385Z</t>
        </is>
      </c>
      <c r="AE702" s="31" t="inlineStr">
        <is>
          <t>Surface-blended Elo on Hard: Sofia Costoulas p=0.508 vs Elvina Kalieva. Executable ask 0.4800 (aec-wta-elvkal-sofcos-2026-08-27).</t>
        </is>
      </c>
      <c r="AF702" s="31" t="inlineStr">
        <is>
          <t>Surface-blended Elo model; singles only, WTA+ATP market coverage, not yet locked-holdout qualified -- promoted by explicit operator directive, not genuine walk-forward validation.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PAPER_CALL_LOW_EDGE</t>
        </is>
      </c>
      <c r="AP702" s="24" t="inlineStr">
        <is>
          <t>Sofia Costoulas</t>
        </is>
      </c>
      <c r="AQ702" s="24" t="inlineStr">
        <is>
          <t>Sofia Costoulas</t>
        </is>
      </c>
      <c r="AR702" s="24" t="inlineStr">
        <is>
          <t>Sofia Costoulas</t>
        </is>
      </c>
      <c r="AS702" s="24" t="inlineStr">
        <is>
          <t>Elvina Kalieva</t>
        </is>
      </c>
      <c r="AT702" s="24" t="inlineStr">
        <is>
          <t>Elvina Kalieva</t>
        </is>
      </c>
      <c r="AU702" s="24" t="inlineStr">
        <is>
          <t>Elvina Kalieva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d777da58446bc099047b154203518e2585ef1a678f613f2b430f2589f7bf5cff</t>
        </is>
      </c>
      <c r="BB702" s="24" t="inlineStr">
        <is>
          <t>surface_blended_elo</t>
        </is>
      </c>
      <c r="BC702" s="24" t="inlineStr">
        <is>
          <t>tennis-surface-elo-v1</t>
        </is>
      </c>
      <c r="BD702" s="24" t="inlineStr">
        <is>
          <t>d777da58446bc099047b154203518e2585ef1a678f613f2b430f2589f7bf5cff</t>
        </is>
      </c>
      <c r="BE702" s="24" t="inlineStr">
        <is>
          <t>tennis-surface-elo-v1</t>
        </is>
      </c>
      <c r="BF702" s="24" t="inlineStr">
        <is>
          <t>1</t>
        </is>
      </c>
      <c r="BG702" s="24" t="inlineStr">
        <is>
          <t>d777da58446bc099047b154203518e2585ef1a678f613f2b430f2589f7bf5cff</t>
        </is>
      </c>
      <c r="BH702" s="24" t="inlineStr">
        <is>
          <t>2026-08-26T22:16:55.713188Z</t>
        </is>
      </c>
      <c r="BI702" s="24" t="inlineStr">
        <is>
          <t>["same_event","same_team_same_day","same_league_same_day"]</t>
        </is>
      </c>
      <c r="BJ702" s="25" t="n"/>
      <c r="BK702" s="26" t="n">
        <v>108</v>
      </c>
      <c r="BL702" s="27" t="n">
        <v>2.08</v>
      </c>
      <c r="BM702" s="28" t="n">
        <v>0.480769</v>
      </c>
      <c r="BN702" s="28" t="n"/>
      <c r="BO702" s="28" t="n"/>
      <c r="BP702" s="25" t="n"/>
      <c r="BQ702" s="27" t="n">
        <v>2.08</v>
      </c>
      <c r="BR702" s="28" t="n">
        <v>0.48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inlineStr">
        <is>
          <t>e7746ec0c6b5483fa6431cf7d9c0ad4f195e805ce83e4c66bccc5cc0808fdf3e</t>
        </is>
      </c>
      <c r="DE702" s="24" t="inlineStr">
        <is>
          <t>/Users/vincentc9002/model-prediction/data/odds/tennis/2026-08-26/polymarket_snapshots.jsonl</t>
        </is>
      </c>
      <c r="DF702" s="24" t="inlineStr">
        <is>
          <t>524251:2026-08-26T22:16:55.713188Z</t>
        </is>
      </c>
      <c r="DG702" s="24" t="n"/>
      <c r="DH702" s="24" t="n"/>
      <c r="DI702" s="24" t="n"/>
      <c r="DJ702" s="24" t="inlineStr">
        <is>
          <t>0.480769</t>
        </is>
      </c>
      <c r="DK702" s="24" t="n"/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d8bb11b1240e43df</t>
        </is>
      </c>
      <c r="B703" s="24" t="inlineStr">
        <is>
          <t>2026-08-26T22:18:02.207568Z</t>
        </is>
      </c>
      <c r="C703" s="24" t="inlineStr">
        <is>
          <t>2026-08-26T22:30Z</t>
        </is>
      </c>
      <c r="D703" s="24" t="inlineStr">
        <is>
          <t>363-2026:182038</t>
        </is>
      </c>
      <c r="E703" s="24" t="inlineStr">
        <is>
          <t>TENNIS</t>
        </is>
      </c>
      <c r="F703" s="24" t="inlineStr">
        <is>
          <t>Stefanos Tsitsipas</t>
        </is>
      </c>
      <c r="G703" s="24" t="inlineStr">
        <is>
          <t>Aleksandar Kovacevic</t>
        </is>
      </c>
      <c r="H703" s="24" t="inlineStr">
        <is>
          <t>moneyline</t>
        </is>
      </c>
      <c r="I703" s="24" t="inlineStr">
        <is>
          <t>away</t>
        </is>
      </c>
      <c r="J703" s="25" t="n"/>
      <c r="K703" s="24" t="inlineStr">
        <is>
          <t>polymarket_us</t>
        </is>
      </c>
      <c r="L703" s="26" t="n">
        <v>-233</v>
      </c>
      <c r="M703" s="27" t="n">
        <v>1.429185</v>
      </c>
      <c r="N703" s="28" t="n">
        <v>0.6997</v>
      </c>
      <c r="O703" s="28" t="n">
        <v>0.6734</v>
      </c>
      <c r="P703" s="28" t="n">
        <v>0.05</v>
      </c>
      <c r="Q703" s="28" t="n">
        <v>-0.0263</v>
      </c>
      <c r="R703" s="26" t="n">
        <v>7</v>
      </c>
      <c r="S703" s="29" t="n">
        <v>1</v>
      </c>
      <c r="T703" s="24" t="inlineStr">
        <is>
          <t>tennis-surface-elo-v1</t>
        </is>
      </c>
      <c r="U703" s="24" t="inlineStr">
        <is>
          <t>settled</t>
        </is>
      </c>
      <c r="V703" s="24" t="inlineStr">
        <is>
          <t>loss</t>
        </is>
      </c>
      <c r="W703" s="26" t="n">
        <v>0</v>
      </c>
      <c r="X703" s="26" t="n">
        <v>1</v>
      </c>
      <c r="Y703" s="25" t="n"/>
      <c r="Z703" s="26" t="n">
        <v>-233</v>
      </c>
      <c r="AA703" s="28" t="n">
        <v>0.7</v>
      </c>
      <c r="AB703" s="28" t="n">
        <v>0.0003</v>
      </c>
      <c r="AC703" s="30" t="n">
        <v>-1</v>
      </c>
      <c r="AD703" s="24" t="inlineStr">
        <is>
          <t>2026-08-27T00:41:46.012570Z</t>
        </is>
      </c>
      <c r="AE703" s="31" t="inlineStr">
        <is>
          <t>Surface-blended Elo on Hard: Stefanos Tsitsipas p=0.673 vs Aleksandar Kovacevic. Executable ask 0.7000 (aec-atp-alekov-stetsi-2026-08-26).</t>
        </is>
      </c>
      <c r="AF703" s="31" t="inlineStr">
        <is>
          <t>Surface-blended Elo model; singles only, WTA+ATP market coverage, not yet locked-holdout qualified -- promoted by explicit operator directive, not genuine walk-forward validation.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Stefanos Tsitsipas</t>
        </is>
      </c>
      <c r="AQ703" s="24" t="inlineStr">
        <is>
          <t>Stefanos Tsitsipas</t>
        </is>
      </c>
      <c r="AR703" s="24" t="inlineStr">
        <is>
          <t>Stefanos Tsitsipas</t>
        </is>
      </c>
      <c r="AS703" s="24" t="inlineStr">
        <is>
          <t>Aleksandar Kovacevic</t>
        </is>
      </c>
      <c r="AT703" s="24" t="inlineStr">
        <is>
          <t>Aleksandar Kovacevic</t>
        </is>
      </c>
      <c r="AU703" s="24" t="inlineStr">
        <is>
          <t>Aleksandar Kovacevic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d777da58446bc099047b154203518e2585ef1a678f613f2b430f2589f7bf5cff</t>
        </is>
      </c>
      <c r="BB703" s="24" t="inlineStr">
        <is>
          <t>surface_blended_elo</t>
        </is>
      </c>
      <c r="BC703" s="24" t="inlineStr">
        <is>
          <t>tennis-surface-elo-v1</t>
        </is>
      </c>
      <c r="BD703" s="24" t="inlineStr">
        <is>
          <t>d777da58446bc099047b154203518e2585ef1a678f613f2b430f2589f7bf5cff</t>
        </is>
      </c>
      <c r="BE703" s="24" t="inlineStr">
        <is>
          <t>tennis-surface-elo-v1</t>
        </is>
      </c>
      <c r="BF703" s="24" t="inlineStr">
        <is>
          <t>1</t>
        </is>
      </c>
      <c r="BG703" s="24" t="inlineStr">
        <is>
          <t>d777da58446bc099047b154203518e2585ef1a678f613f2b430f2589f7bf5cff</t>
        </is>
      </c>
      <c r="BH703" s="24" t="inlineStr">
        <is>
          <t>2026-08-26T22:16:58.083674Z</t>
        </is>
      </c>
      <c r="BI703" s="24" t="inlineStr">
        <is>
          <t>["same_event","same_team_same_day","same_league_same_day"]</t>
        </is>
      </c>
      <c r="BJ703" s="25" t="n"/>
      <c r="BK703" s="26" t="n">
        <v>-233</v>
      </c>
      <c r="BL703" s="27" t="n">
        <v>1.429185</v>
      </c>
      <c r="BM703" s="28" t="n">
        <v>0.6997</v>
      </c>
      <c r="BN703" s="28" t="n"/>
      <c r="BO703" s="28" t="n"/>
      <c r="BP703" s="25" t="n"/>
      <c r="BQ703" s="27" t="n">
        <v>1.429185</v>
      </c>
      <c r="BR703" s="28" t="n">
        <v>0.7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False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inlineStr">
        <is>
          <t>f546cc1253e261f10d614b582ba8daed3b16a3deec6d953efa1e22274202a55b</t>
        </is>
      </c>
      <c r="DE703" s="24" t="inlineStr">
        <is>
          <t>/Users/vincentc9002/model-prediction/data/odds/tennis/2026-08-26/polymarket_snapshots.jsonl</t>
        </is>
      </c>
      <c r="DF703" s="24" t="inlineStr">
        <is>
          <t>523347:2026-08-26T22:16:58.083674Z</t>
        </is>
      </c>
      <c r="DG703" s="24" t="n"/>
      <c r="DH703" s="24" t="n"/>
      <c r="DI703" s="24" t="n"/>
      <c r="DJ703" s="24" t="inlineStr">
        <is>
          <t>0.6997</t>
        </is>
      </c>
      <c r="DK703" s="24" t="n"/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1554e5a21b414ca2</t>
        </is>
      </c>
      <c r="B704" s="24" t="inlineStr">
        <is>
          <t>2026-08-26T22:18:02.207568Z</t>
        </is>
      </c>
      <c r="C704" s="24" t="inlineStr">
        <is>
          <t>2026-08-27T00:00Z</t>
        </is>
      </c>
      <c r="D704" s="24" t="inlineStr">
        <is>
          <t>363-2026:182056</t>
        </is>
      </c>
      <c r="E704" s="24" t="inlineStr">
        <is>
          <t>TENNIS</t>
        </is>
      </c>
      <c r="F704" s="24" t="inlineStr">
        <is>
          <t>Fabian Marozsan</t>
        </is>
      </c>
      <c r="G704" s="24" t="inlineStr">
        <is>
          <t>Martin Damm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127</v>
      </c>
      <c r="M704" s="27" t="n">
        <v>2.27</v>
      </c>
      <c r="N704" s="28" t="n">
        <v>0.440529</v>
      </c>
      <c r="O704" s="28" t="n">
        <v>0.5687</v>
      </c>
      <c r="P704" s="28" t="n">
        <v>0.05</v>
      </c>
      <c r="Q704" s="28" t="n">
        <v>0.128171</v>
      </c>
      <c r="R704" s="26" t="n">
        <v>84</v>
      </c>
      <c r="S704" s="29" t="n">
        <v>1.5</v>
      </c>
      <c r="T704" s="24" t="inlineStr">
        <is>
          <t>tennis-surface-elo-v1</t>
        </is>
      </c>
      <c r="U704" s="24" t="inlineStr">
        <is>
          <t>settled</t>
        </is>
      </c>
      <c r="V704" s="24" t="inlineStr">
        <is>
          <t>loss</t>
        </is>
      </c>
      <c r="W704" s="26" t="n">
        <v>1</v>
      </c>
      <c r="X704" s="26" t="n">
        <v>0</v>
      </c>
      <c r="Y704" s="25" t="n"/>
      <c r="Z704" s="26" t="n">
        <v>127</v>
      </c>
      <c r="AA704" s="28" t="n">
        <v>0.44</v>
      </c>
      <c r="AB704" s="28" t="n">
        <v>-0.000529</v>
      </c>
      <c r="AC704" s="30" t="n">
        <v>-1.5</v>
      </c>
      <c r="AD704" s="24" t="inlineStr">
        <is>
          <t>2026-08-27T03:44:02.684597Z</t>
        </is>
      </c>
      <c r="AE704" s="31" t="inlineStr">
        <is>
          <t>Surface-blended Elo on Hard: Fabian Marozsan p=0.431 vs Martin Damm. Executable ask 0.4400 (aec-atp-mardam-fabmar-2026-08-27).</t>
        </is>
      </c>
      <c r="AF704" s="31" t="inlineStr">
        <is>
          <t>Surface-blended Elo model; singles only, WTA+ATP market coverage, not yet locked-holdout qualified -- promoted by explicit operator directive, not genuine walk-forward validation.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Fabian Marozsan</t>
        </is>
      </c>
      <c r="AQ704" s="24" t="inlineStr">
        <is>
          <t>Fabian Marozsan</t>
        </is>
      </c>
      <c r="AR704" s="24" t="inlineStr">
        <is>
          <t>Fabian Marozsan</t>
        </is>
      </c>
      <c r="AS704" s="24" t="inlineStr">
        <is>
          <t>Martin Damm</t>
        </is>
      </c>
      <c r="AT704" s="24" t="inlineStr">
        <is>
          <t>Martin Damm</t>
        </is>
      </c>
      <c r="AU704" s="24" t="inlineStr">
        <is>
          <t>Martin Damm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d777da58446bc099047b154203518e2585ef1a678f613f2b430f2589f7bf5cff</t>
        </is>
      </c>
      <c r="BB704" s="24" t="inlineStr">
        <is>
          <t>surface_blended_elo</t>
        </is>
      </c>
      <c r="BC704" s="24" t="inlineStr">
        <is>
          <t>tennis-surface-elo-v1</t>
        </is>
      </c>
      <c r="BD704" s="24" t="inlineStr">
        <is>
          <t>d777da58446bc099047b154203518e2585ef1a678f613f2b430f2589f7bf5cff</t>
        </is>
      </c>
      <c r="BE704" s="24" t="inlineStr">
        <is>
          <t>tennis-surface-elo-v1</t>
        </is>
      </c>
      <c r="BF704" s="24" t="inlineStr">
        <is>
          <t>1</t>
        </is>
      </c>
      <c r="BG704" s="24" t="inlineStr">
        <is>
          <t>d777da58446bc099047b154203518e2585ef1a678f613f2b430f2589f7bf5cff</t>
        </is>
      </c>
      <c r="BH704" s="24" t="inlineStr">
        <is>
          <t>2026-08-26T22:16:58.572565Z</t>
        </is>
      </c>
      <c r="BI704" s="24" t="inlineStr">
        <is>
          <t>["same_event","same_team_same_day","same_league_same_day"]</t>
        </is>
      </c>
      <c r="BJ704" s="25" t="n"/>
      <c r="BK704" s="26" t="n">
        <v>127</v>
      </c>
      <c r="BL704" s="27" t="n">
        <v>2.27</v>
      </c>
      <c r="BM704" s="28" t="n">
        <v>0.440529</v>
      </c>
      <c r="BN704" s="28" t="n"/>
      <c r="BO704" s="28" t="n"/>
      <c r="BP704" s="25" t="n"/>
      <c r="BQ704" s="27" t="n">
        <v>2.27</v>
      </c>
      <c r="BR704" s="28" t="n">
        <v>0.44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inlineStr">
        <is>
          <t>14d6de91b08183d7c7f968b8c2626348363e64216173f5f2f6abd957d26b2d8b</t>
        </is>
      </c>
      <c r="DE704" s="24" t="inlineStr">
        <is>
          <t>/Users/vincentc9002/model-prediction/data/odds/tennis/2026-08-26/polymarket_snapshots.jsonl</t>
        </is>
      </c>
      <c r="DF704" s="24" t="inlineStr">
        <is>
          <t>524784:2026-08-26T22:16:58.572565Z</t>
        </is>
      </c>
      <c r="DG704" s="24" t="n"/>
      <c r="DH704" s="24" t="n"/>
      <c r="DI704" s="24" t="n"/>
      <c r="DJ704" s="24" t="inlineStr">
        <is>
          <t>0.440529</t>
        </is>
      </c>
      <c r="DK704" s="24" t="n"/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62d7e7cbc98246a8</t>
        </is>
      </c>
      <c r="B705" s="24" t="inlineStr">
        <is>
          <t>2026-08-27T00:43:55.471336Z</t>
        </is>
      </c>
      <c r="C705" s="24" t="inlineStr">
        <is>
          <t>2026-08-27T01:30Z</t>
        </is>
      </c>
      <c r="D705" s="24" t="inlineStr">
        <is>
          <t>341-2026:182495</t>
        </is>
      </c>
      <c r="E705" s="24" t="inlineStr">
        <is>
          <t>TENNIS</t>
        </is>
      </c>
      <c r="F705" s="24" t="inlineStr">
        <is>
          <t>Alycia Parks</t>
        </is>
      </c>
      <c r="G705" s="24" t="inlineStr">
        <is>
          <t>Maja Chwalinska</t>
        </is>
      </c>
      <c r="H705" s="24" t="inlineStr">
        <is>
          <t>moneyline</t>
        </is>
      </c>
      <c r="I705" s="24" t="inlineStr">
        <is>
          <t>home</t>
        </is>
      </c>
      <c r="J705" s="25" t="n"/>
      <c r="K705" s="24" t="inlineStr">
        <is>
          <t>polymarket_us</t>
        </is>
      </c>
      <c r="L705" s="26" t="n">
        <v>-170</v>
      </c>
      <c r="M705" s="27" t="n">
        <v>1.588235</v>
      </c>
      <c r="N705" s="28" t="n">
        <v>0.62963</v>
      </c>
      <c r="O705" s="28" t="n">
        <v>0.6561</v>
      </c>
      <c r="P705" s="28" t="n">
        <v>0.05</v>
      </c>
      <c r="Q705" s="28" t="n">
        <v>0.02647</v>
      </c>
      <c r="R705" s="26" t="n">
        <v>33</v>
      </c>
      <c r="S705" s="29" t="n">
        <v>1</v>
      </c>
      <c r="T705" s="24" t="inlineStr">
        <is>
          <t>tennis-surface-elo-v1</t>
        </is>
      </c>
      <c r="U705" s="24" t="inlineStr">
        <is>
          <t>settled</t>
        </is>
      </c>
      <c r="V705" s="24" t="inlineStr">
        <is>
          <t>loss</t>
        </is>
      </c>
      <c r="W705" s="26" t="n">
        <v>1</v>
      </c>
      <c r="X705" s="26" t="n">
        <v>0</v>
      </c>
      <c r="Y705" s="25" t="n"/>
      <c r="Z705" s="26" t="n">
        <v>-170</v>
      </c>
      <c r="AA705" s="28" t="n">
        <v>0.63</v>
      </c>
      <c r="AB705" s="28" t="n">
        <v>0.00037</v>
      </c>
      <c r="AC705" s="30" t="n">
        <v>-1</v>
      </c>
      <c r="AD705" s="24" t="inlineStr">
        <is>
          <t>2026-08-27T03:44:26.807694Z</t>
        </is>
      </c>
      <c r="AE705" s="31" t="inlineStr">
        <is>
          <t>Surface-blended Elo on Hard: Alycia Parks p=0.344 vs Maja Chwalinska. Executable ask 0.6300 (aec-wta-majchw-alypar-2026-08-26).</t>
        </is>
      </c>
      <c r="AF705" s="31" t="inlineStr">
        <is>
          <t>Surface-blended Elo model; singles only, WTA+ATP market coverage, not yet locked-holdout qualified -- promoted by explicit operator directive, not genuine walk-forward validation.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Alycia Parks</t>
        </is>
      </c>
      <c r="AQ705" s="24" t="inlineStr">
        <is>
          <t>Alycia Parks</t>
        </is>
      </c>
      <c r="AR705" s="24" t="inlineStr">
        <is>
          <t>Alycia Parks</t>
        </is>
      </c>
      <c r="AS705" s="24" t="inlineStr">
        <is>
          <t>Maja Chwalinska</t>
        </is>
      </c>
      <c r="AT705" s="24" t="inlineStr">
        <is>
          <t>Maja Chwalinska</t>
        </is>
      </c>
      <c r="AU705" s="24" t="inlineStr">
        <is>
          <t>Maja Chwalinska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d777da58446bc099047b154203518e2585ef1a678f613f2b430f2589f7bf5cff</t>
        </is>
      </c>
      <c r="BB705" s="24" t="inlineStr">
        <is>
          <t>surface_blended_elo</t>
        </is>
      </c>
      <c r="BC705" s="24" t="inlineStr">
        <is>
          <t>tennis-surface-elo-v1</t>
        </is>
      </c>
      <c r="BD705" s="24" t="inlineStr">
        <is>
          <t>d777da58446bc099047b154203518e2585ef1a678f613f2b430f2589f7bf5cff</t>
        </is>
      </c>
      <c r="BE705" s="24" t="inlineStr">
        <is>
          <t>tennis-surface-elo-v1</t>
        </is>
      </c>
      <c r="BF705" s="24" t="inlineStr">
        <is>
          <t>1</t>
        </is>
      </c>
      <c r="BG705" s="24" t="inlineStr">
        <is>
          <t>d777da58446bc099047b154203518e2585ef1a678f613f2b430f2589f7bf5cff</t>
        </is>
      </c>
      <c r="BH705" s="24" t="inlineStr">
        <is>
          <t>2026-08-27T00:43:23.855957Z</t>
        </is>
      </c>
      <c r="BI705" s="24" t="inlineStr">
        <is>
          <t>["same_event","same_team_same_day","same_league_same_day"]</t>
        </is>
      </c>
      <c r="BJ705" s="25" t="n"/>
      <c r="BK705" s="26" t="n">
        <v>-170</v>
      </c>
      <c r="BL705" s="27" t="n">
        <v>1.588235</v>
      </c>
      <c r="BM705" s="28" t="n">
        <v>0.62963</v>
      </c>
      <c r="BN705" s="28" t="n"/>
      <c r="BO705" s="28" t="n"/>
      <c r="BP705" s="25" t="n"/>
      <c r="BQ705" s="27" t="n">
        <v>1.588235</v>
      </c>
      <c r="BR705" s="28" t="n">
        <v>0.63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inlineStr">
        <is>
          <t>6ac62869bfa3a354b43cd9adc51700f94208f4c3e2bec94dfac5c3a153d4d7b3</t>
        </is>
      </c>
      <c r="DE705" s="24" t="inlineStr">
        <is>
          <t>/Users/vincentc9002/model-prediction/data/odds/tennis/2026-08-26/polymarket_snapshots.jsonl</t>
        </is>
      </c>
      <c r="DF705" s="24" t="inlineStr">
        <is>
          <t>516434:2026-08-27T00:43:23.855957Z</t>
        </is>
      </c>
      <c r="DG705" s="24" t="n"/>
      <c r="DH705" s="24" t="n"/>
      <c r="DI705" s="24" t="n"/>
      <c r="DJ705" s="24" t="inlineStr">
        <is>
          <t>0.62963</t>
        </is>
      </c>
      <c r="DK705" s="24" t="n"/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c66bdf7c13f24aa9</t>
        </is>
      </c>
      <c r="B706" s="24" t="inlineStr">
        <is>
          <t>2026-08-27T00:43:55.471336Z</t>
        </is>
      </c>
      <c r="C706" s="24" t="inlineStr">
        <is>
          <t>2026-08-27T03:00Z</t>
        </is>
      </c>
      <c r="D706" s="24" t="inlineStr">
        <is>
          <t>341-2026:182493</t>
        </is>
      </c>
      <c r="E706" s="24" t="inlineStr">
        <is>
          <t>TENNIS</t>
        </is>
      </c>
      <c r="F706" s="24" t="inlineStr">
        <is>
          <t>Clara Tauson</t>
        </is>
      </c>
      <c r="G706" s="24" t="inlineStr">
        <is>
          <t>Ekaterina Alexandrova</t>
        </is>
      </c>
      <c r="H706" s="24" t="inlineStr">
        <is>
          <t>moneyline</t>
        </is>
      </c>
      <c r="I706" s="24" t="inlineStr">
        <is>
          <t>home</t>
        </is>
      </c>
      <c r="J706" s="25" t="n"/>
      <c r="K706" s="24" t="inlineStr">
        <is>
          <t>polymarket_us</t>
        </is>
      </c>
      <c r="L706" s="26" t="n">
        <v>108</v>
      </c>
      <c r="M706" s="27" t="n">
        <v>2.08</v>
      </c>
      <c r="N706" s="28" t="n">
        <v>0.480769</v>
      </c>
      <c r="O706" s="28" t="n">
        <v>0.5551</v>
      </c>
      <c r="P706" s="28" t="n">
        <v>0.05</v>
      </c>
      <c r="Q706" s="28" t="n">
        <v>0.07433099999999999</v>
      </c>
      <c r="R706" s="26" t="n">
        <v>57</v>
      </c>
      <c r="S706" s="29" t="n">
        <v>1.25</v>
      </c>
      <c r="T706" s="24" t="inlineStr">
        <is>
          <t>tennis-surface-elo-v1</t>
        </is>
      </c>
      <c r="U706" s="24" t="inlineStr">
        <is>
          <t>settled</t>
        </is>
      </c>
      <c r="V706" s="24" t="inlineStr">
        <is>
          <t>loss</t>
        </is>
      </c>
      <c r="W706" s="26" t="n">
        <v>1</v>
      </c>
      <c r="X706" s="26" t="n">
        <v>0</v>
      </c>
      <c r="Y706" s="25" t="n"/>
      <c r="Z706" s="26" t="n">
        <v>108</v>
      </c>
      <c r="AA706" s="28" t="n">
        <v>0.48</v>
      </c>
      <c r="AB706" s="28" t="n">
        <v>-0.000769</v>
      </c>
      <c r="AC706" s="30" t="n">
        <v>-1.25</v>
      </c>
      <c r="AD706" s="24" t="inlineStr">
        <is>
          <t>2026-08-27T12:30:17.688229Z</t>
        </is>
      </c>
      <c r="AE706" s="31" t="inlineStr">
        <is>
          <t>Surface-blended Elo on Hard: Clara Tauson p=0.445 vs Ekaterina Alexandrova. Executable ask 0.4800 (aec-wta-ekaale-clatau-2026-08-26).</t>
        </is>
      </c>
      <c r="AF706" s="31" t="inlineStr">
        <is>
          <t>Surface-blended Elo model; singles only, WTA+ATP market coverage, not yet locked-holdout qualified -- promoted by explicit operator directive, not genuine walk-forward validation.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Clara Tauson</t>
        </is>
      </c>
      <c r="AQ706" s="24" t="inlineStr">
        <is>
          <t>Clara Tauson</t>
        </is>
      </c>
      <c r="AR706" s="24" t="inlineStr">
        <is>
          <t>Clara Tauson</t>
        </is>
      </c>
      <c r="AS706" s="24" t="inlineStr">
        <is>
          <t>Ekaterina Alexandrova</t>
        </is>
      </c>
      <c r="AT706" s="24" t="inlineStr">
        <is>
          <t>Ekaterina Alexandrova</t>
        </is>
      </c>
      <c r="AU706" s="24" t="inlineStr">
        <is>
          <t>Ekaterina Alexandrova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d777da58446bc099047b154203518e2585ef1a678f613f2b430f2589f7bf5cff</t>
        </is>
      </c>
      <c r="BB706" s="24" t="inlineStr">
        <is>
          <t>surface_blended_elo</t>
        </is>
      </c>
      <c r="BC706" s="24" t="inlineStr">
        <is>
          <t>tennis-surface-elo-v1</t>
        </is>
      </c>
      <c r="BD706" s="24" t="inlineStr">
        <is>
          <t>d777da58446bc099047b154203518e2585ef1a678f613f2b430f2589f7bf5cff</t>
        </is>
      </c>
      <c r="BE706" s="24" t="inlineStr">
        <is>
          <t>tennis-surface-elo-v1</t>
        </is>
      </c>
      <c r="BF706" s="24" t="inlineStr">
        <is>
          <t>1</t>
        </is>
      </c>
      <c r="BG706" s="24" t="inlineStr">
        <is>
          <t>d777da58446bc099047b154203518e2585ef1a678f613f2b430f2589f7bf5cff</t>
        </is>
      </c>
      <c r="BH706" s="24" t="inlineStr">
        <is>
          <t>2026-08-27T00:43:24.082456Z</t>
        </is>
      </c>
      <c r="BI706" s="24" t="inlineStr">
        <is>
          <t>["same_event","same_team_same_day","same_league_same_day"]</t>
        </is>
      </c>
      <c r="BJ706" s="25" t="n"/>
      <c r="BK706" s="26" t="n">
        <v>108</v>
      </c>
      <c r="BL706" s="27" t="n">
        <v>2.08</v>
      </c>
      <c r="BM706" s="28" t="n">
        <v>0.480769</v>
      </c>
      <c r="BN706" s="28" t="n"/>
      <c r="BO706" s="28" t="n"/>
      <c r="BP706" s="25" t="n"/>
      <c r="BQ706" s="27" t="n">
        <v>2.08</v>
      </c>
      <c r="BR706" s="28" t="n">
        <v>0.48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inlineStr">
        <is>
          <t>963dfee4188ef0769f2e18c8981af6f800290e4d1ad7bccc142c1a22f1952a6d</t>
        </is>
      </c>
      <c r="DE706" s="24" t="inlineStr">
        <is>
          <t>/Users/vincentc9002/model-prediction/data/odds/tennis/2026-08-26/polymarket_snapshots.jsonl</t>
        </is>
      </c>
      <c r="DF706" s="24" t="inlineStr">
        <is>
          <t>516952:2026-08-27T00:43:24.082456Z</t>
        </is>
      </c>
      <c r="DG706" s="24" t="n"/>
      <c r="DH706" s="24" t="n"/>
      <c r="DI706" s="24" t="n"/>
      <c r="DJ706" s="24" t="inlineStr">
        <is>
          <t>0.480769</t>
        </is>
      </c>
      <c r="DK706" s="24" t="n"/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d4cf540df4bc40fb</t>
        </is>
      </c>
      <c r="B707" s="24" t="inlineStr">
        <is>
          <t>2026-08-27T13:58:24.220632Z</t>
        </is>
      </c>
      <c r="C707" s="24" t="inlineStr">
        <is>
          <t>2026-08-27T21:00Z</t>
        </is>
      </c>
      <c r="D707" s="24" t="inlineStr">
        <is>
          <t>341-2026:182488</t>
        </is>
      </c>
      <c r="E707" s="24" t="inlineStr">
        <is>
          <t>TENNIS</t>
        </is>
      </c>
      <c r="F707" s="24" t="inlineStr">
        <is>
          <t>Ann Li</t>
        </is>
      </c>
      <c r="G707" s="24" t="inlineStr">
        <is>
          <t>Alycia Parks</t>
        </is>
      </c>
      <c r="H707" s="24" t="inlineStr">
        <is>
          <t>moneyline</t>
        </is>
      </c>
      <c r="I707" s="24" t="inlineStr">
        <is>
          <t>away</t>
        </is>
      </c>
      <c r="J707" s="25" t="n"/>
      <c r="K707" s="24" t="inlineStr">
        <is>
          <t>polymarket_us</t>
        </is>
      </c>
      <c r="L707" s="26" t="n">
        <v>-245</v>
      </c>
      <c r="M707" s="27" t="n">
        <v>1.408163</v>
      </c>
      <c r="N707" s="28" t="n">
        <v>0.710145</v>
      </c>
      <c r="O707" s="28" t="n">
        <v>0.6297</v>
      </c>
      <c r="P707" s="28" t="n">
        <v>0.05</v>
      </c>
      <c r="Q707" s="28" t="n">
        <v>-0.080445</v>
      </c>
      <c r="R707" s="26" t="n">
        <v>0</v>
      </c>
      <c r="S707" s="29" t="n">
        <v>1</v>
      </c>
      <c r="T707" s="24" t="inlineStr">
        <is>
          <t>tennis-surface-elo-v1</t>
        </is>
      </c>
      <c r="U707" s="24" t="inlineStr">
        <is>
          <t>settled</t>
        </is>
      </c>
      <c r="V707" s="24" t="inlineStr">
        <is>
          <t>win</t>
        </is>
      </c>
      <c r="W707" s="26" t="n">
        <v>1</v>
      </c>
      <c r="X707" s="26" t="n">
        <v>0</v>
      </c>
      <c r="Y707" s="25" t="n"/>
      <c r="Z707" s="26" t="n">
        <v>-245</v>
      </c>
      <c r="AA707" s="28" t="n">
        <v>0.71</v>
      </c>
      <c r="AB707" s="28" t="n">
        <v>-0.000145</v>
      </c>
      <c r="AC707" s="30" t="n">
        <v>0.4082</v>
      </c>
      <c r="AD707" s="24" t="inlineStr">
        <is>
          <t>2026-08-28T02:37:40.846435Z</t>
        </is>
      </c>
      <c r="AE707" s="31" t="inlineStr">
        <is>
          <t>Surface-blended Elo on Hard: Ann Li p=0.630 vs Alycia Parks. Executable ask 0.7100 (aec-wta-alypar-annli-2026-08-27).</t>
        </is>
      </c>
      <c r="AF707" s="31" t="inlineStr">
        <is>
          <t>Surface-blended Elo model; singles only, WTA+ATP market coverage, not yet locked-holdout qualified -- promoted by explicit operator directive, not genuine walk-forward validation.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Ann Li</t>
        </is>
      </c>
      <c r="AQ707" s="24" t="inlineStr">
        <is>
          <t>Ann Li</t>
        </is>
      </c>
      <c r="AR707" s="24" t="inlineStr">
        <is>
          <t>Ann Li</t>
        </is>
      </c>
      <c r="AS707" s="24" t="inlineStr">
        <is>
          <t>Alycia Parks</t>
        </is>
      </c>
      <c r="AT707" s="24" t="inlineStr">
        <is>
          <t>Alycia Parks</t>
        </is>
      </c>
      <c r="AU707" s="24" t="inlineStr">
        <is>
          <t>Alycia Parks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d777da58446bc099047b154203518e2585ef1a678f613f2b430f2589f7bf5cff</t>
        </is>
      </c>
      <c r="BB707" s="24" t="inlineStr">
        <is>
          <t>surface_blended_elo</t>
        </is>
      </c>
      <c r="BC707" s="24" t="inlineStr">
        <is>
          <t>tennis-surface-elo-v1</t>
        </is>
      </c>
      <c r="BD707" s="24" t="inlineStr">
        <is>
          <t>d777da58446bc099047b154203518e2585ef1a678f613f2b430f2589f7bf5cff</t>
        </is>
      </c>
      <c r="BE707" s="24" t="inlineStr">
        <is>
          <t>tennis-surface-elo-v1</t>
        </is>
      </c>
      <c r="BF707" s="24" t="inlineStr">
        <is>
          <t>1</t>
        </is>
      </c>
      <c r="BG707" s="24" t="inlineStr">
        <is>
          <t>d777da58446bc099047b154203518e2585ef1a678f613f2b430f2589f7bf5cff</t>
        </is>
      </c>
      <c r="BH707" s="24" t="inlineStr">
        <is>
          <t>2026-08-27T13:56:40.185428Z</t>
        </is>
      </c>
      <c r="BI707" s="24" t="inlineStr">
        <is>
          <t>["same_event","same_team_same_day","same_league_same_day"]</t>
        </is>
      </c>
      <c r="BJ707" s="25" t="n"/>
      <c r="BK707" s="26" t="n">
        <v>-245</v>
      </c>
      <c r="BL707" s="27" t="n">
        <v>1.408163</v>
      </c>
      <c r="BM707" s="28" t="n">
        <v>0.710145</v>
      </c>
      <c r="BN707" s="28" t="n"/>
      <c r="BO707" s="28" t="n"/>
      <c r="BP707" s="25" t="n"/>
      <c r="BQ707" s="27" t="n">
        <v>1.408163</v>
      </c>
      <c r="BR707" s="28" t="n">
        <v>0.71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inlineStr">
        <is>
          <t>d9a12f7c7c563641007f5b5d2d797512c677c77a69e8f007a0282b4597ead8e8</t>
        </is>
      </c>
      <c r="DE707" s="24" t="inlineStr">
        <is>
          <t>/Users/vincentc9002/model-prediction/data/odds/tennis/2026-08-27/polymarket_snapshots.jsonl</t>
        </is>
      </c>
      <c r="DF707" s="24" t="inlineStr">
        <is>
          <t>538203:2026-08-27T13:56:40.185428Z</t>
        </is>
      </c>
      <c r="DG707" s="24" t="n"/>
      <c r="DH707" s="24" t="n"/>
      <c r="DI707" s="24" t="n"/>
      <c r="DJ707" s="24" t="inlineStr">
        <is>
          <t>0.710145</t>
        </is>
      </c>
      <c r="DK707" s="24" t="n"/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43c02fc12cec479a</t>
        </is>
      </c>
      <c r="B708" s="24" t="inlineStr">
        <is>
          <t>2026-08-27T13:58:24.220632Z</t>
        </is>
      </c>
      <c r="C708" s="24" t="inlineStr">
        <is>
          <t>2026-08-27T16:00Z</t>
        </is>
      </c>
      <c r="D708" s="24" t="inlineStr">
        <is>
          <t>1075-2026:182148</t>
        </is>
      </c>
      <c r="E708" s="24" t="inlineStr">
        <is>
          <t>TENNIS</t>
        </is>
      </c>
      <c r="F708" s="24" t="inlineStr">
        <is>
          <t>Julia Grabher</t>
        </is>
      </c>
      <c r="G708" s="24" t="inlineStr">
        <is>
          <t>Fiona Crawley</t>
        </is>
      </c>
      <c r="H708" s="24" t="inlineStr">
        <is>
          <t>moneyline</t>
        </is>
      </c>
      <c r="I708" s="24" t="inlineStr">
        <is>
          <t>away</t>
        </is>
      </c>
      <c r="J708" s="25" t="n"/>
      <c r="K708" s="24" t="inlineStr">
        <is>
          <t>polymarket_us</t>
        </is>
      </c>
      <c r="L708" s="26" t="n">
        <v>-108</v>
      </c>
      <c r="M708" s="27" t="n">
        <v>1.925926</v>
      </c>
      <c r="N708" s="28" t="n">
        <v>0.519231</v>
      </c>
      <c r="O708" s="28" t="n">
        <v>0.5373</v>
      </c>
      <c r="P708" s="28" t="n">
        <v>0.05</v>
      </c>
      <c r="Q708" s="28" t="n">
        <v>0.018069</v>
      </c>
      <c r="R708" s="26" t="n">
        <v>29</v>
      </c>
      <c r="S708" s="29" t="n">
        <v>1</v>
      </c>
      <c r="T708" s="24" t="inlineStr">
        <is>
          <t>tennis-surface-elo-v1</t>
        </is>
      </c>
      <c r="U708" s="24" t="inlineStr">
        <is>
          <t>settled</t>
        </is>
      </c>
      <c r="V708" s="24" t="inlineStr">
        <is>
          <t>win</t>
        </is>
      </c>
      <c r="W708" s="26" t="n">
        <v>1</v>
      </c>
      <c r="X708" s="26" t="n">
        <v>0</v>
      </c>
      <c r="Y708" s="25" t="n"/>
      <c r="Z708" s="26" t="n">
        <v>-108</v>
      </c>
      <c r="AA708" s="28" t="n">
        <v>0.52</v>
      </c>
      <c r="AB708" s="28" t="n">
        <v>0.000769</v>
      </c>
      <c r="AC708" s="30" t="n">
        <v>0.9258999999999999</v>
      </c>
      <c r="AD708" s="24" t="inlineStr">
        <is>
          <t>2026-08-28T02:37:45.612508Z</t>
        </is>
      </c>
      <c r="AE708" s="31" t="inlineStr">
        <is>
          <t>Surface-blended Elo on Hard: Julia Grabher p=0.537 vs Fiona Crawley. Executable ask 0.5200 (aec-wta-fiocra-julgra-2026-08-27).</t>
        </is>
      </c>
      <c r="AF708" s="31" t="inlineStr">
        <is>
          <t>Surface-blended Elo model; singles only, WTA+ATP market coverage, not yet locked-holdout qualified -- promoted by explicit operator directive, not genuine walk-forward validation.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Julia Grabher</t>
        </is>
      </c>
      <c r="AQ708" s="24" t="inlineStr">
        <is>
          <t>Julia Grabher</t>
        </is>
      </c>
      <c r="AR708" s="24" t="inlineStr">
        <is>
          <t>Julia Grabher</t>
        </is>
      </c>
      <c r="AS708" s="24" t="inlineStr">
        <is>
          <t>Fiona Crawley</t>
        </is>
      </c>
      <c r="AT708" s="24" t="inlineStr">
        <is>
          <t>Fiona Crawley</t>
        </is>
      </c>
      <c r="AU708" s="24" t="inlineStr">
        <is>
          <t>Fiona Crawley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d777da58446bc099047b154203518e2585ef1a678f613f2b430f2589f7bf5cff</t>
        </is>
      </c>
      <c r="BB708" s="24" t="inlineStr">
        <is>
          <t>surface_blended_elo</t>
        </is>
      </c>
      <c r="BC708" s="24" t="inlineStr">
        <is>
          <t>tennis-surface-elo-v1</t>
        </is>
      </c>
      <c r="BD708" s="24" t="inlineStr">
        <is>
          <t>d777da58446bc099047b154203518e2585ef1a678f613f2b430f2589f7bf5cff</t>
        </is>
      </c>
      <c r="BE708" s="24" t="inlineStr">
        <is>
          <t>tennis-surface-elo-v1</t>
        </is>
      </c>
      <c r="BF708" s="24" t="inlineStr">
        <is>
          <t>1</t>
        </is>
      </c>
      <c r="BG708" s="24" t="inlineStr">
        <is>
          <t>d777da58446bc099047b154203518e2585ef1a678f613f2b430f2589f7bf5cff</t>
        </is>
      </c>
      <c r="BH708" s="24" t="inlineStr">
        <is>
          <t>2026-08-27T13:56:39.265153Z</t>
        </is>
      </c>
      <c r="BI708" s="24" t="inlineStr">
        <is>
          <t>["same_event","same_team_same_day","same_league_same_day"]</t>
        </is>
      </c>
      <c r="BJ708" s="25" t="n"/>
      <c r="BK708" s="26" t="n">
        <v>-108</v>
      </c>
      <c r="BL708" s="27" t="n">
        <v>1.925926</v>
      </c>
      <c r="BM708" s="28" t="n">
        <v>0.519231</v>
      </c>
      <c r="BN708" s="28" t="n"/>
      <c r="BO708" s="28" t="n"/>
      <c r="BP708" s="25" t="n"/>
      <c r="BQ708" s="27" t="n">
        <v>1.925926</v>
      </c>
      <c r="BR708" s="28" t="n">
        <v>0.52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inlineStr">
        <is>
          <t>73eab20d1dbf7e138c8b4087421f2320fbafc1b23733e15bdf918e138e00f641</t>
        </is>
      </c>
      <c r="DE708" s="24" t="inlineStr">
        <is>
          <t>/Users/vincentc9002/model-prediction/data/odds/tennis/2026-08-27/polymarket_snapshots.jsonl</t>
        </is>
      </c>
      <c r="DF708" s="24" t="inlineStr">
        <is>
          <t>532715:2026-08-27T13:56:39.265153Z</t>
        </is>
      </c>
      <c r="DG708" s="24" t="n"/>
      <c r="DH708" s="24" t="n"/>
      <c r="DI708" s="24" t="n"/>
      <c r="DJ708" s="24" t="inlineStr">
        <is>
          <t>0.519231</t>
        </is>
      </c>
      <c r="DK708" s="24" t="n"/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a88e622b58cf4dc1</t>
        </is>
      </c>
      <c r="B709" s="24" t="inlineStr">
        <is>
          <t>2026-08-27T13:58:24.220632Z</t>
        </is>
      </c>
      <c r="C709" s="24" t="inlineStr">
        <is>
          <t>2026-08-27T17:30Z</t>
        </is>
      </c>
      <c r="D709" s="24" t="inlineStr">
        <is>
          <t>1075-2026:182145</t>
        </is>
      </c>
      <c r="E709" s="24" t="inlineStr">
        <is>
          <t>TENNIS</t>
        </is>
      </c>
      <c r="F709" s="24" t="inlineStr">
        <is>
          <t>Tereza Valentova</t>
        </is>
      </c>
      <c r="G709" s="24" t="inlineStr">
        <is>
          <t>Kylie Collins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-1150</v>
      </c>
      <c r="M709" s="27" t="n">
        <v>1.086957</v>
      </c>
      <c r="N709" s="28" t="n">
        <v>0.92</v>
      </c>
      <c r="O709" s="28" t="n">
        <v>0.7342</v>
      </c>
      <c r="P709" s="28" t="n">
        <v>0.05</v>
      </c>
      <c r="Q709" s="28" t="n">
        <v>-0.1858</v>
      </c>
      <c r="R709" s="26" t="n">
        <v>0</v>
      </c>
      <c r="S709" s="29" t="n">
        <v>1</v>
      </c>
      <c r="T709" s="24" t="inlineStr">
        <is>
          <t>tennis-surface-elo-v1</t>
        </is>
      </c>
      <c r="U709" s="24" t="inlineStr">
        <is>
          <t>settled</t>
        </is>
      </c>
      <c r="V709" s="24" t="inlineStr">
        <is>
          <t>win</t>
        </is>
      </c>
      <c r="W709" s="26" t="n">
        <v>1</v>
      </c>
      <c r="X709" s="26" t="n">
        <v>0</v>
      </c>
      <c r="Y709" s="25" t="n"/>
      <c r="Z709" s="26" t="n">
        <v>-1150</v>
      </c>
      <c r="AA709" s="28" t="n">
        <v>0.92</v>
      </c>
      <c r="AB709" s="28" t="n">
        <v>0</v>
      </c>
      <c r="AC709" s="30" t="n">
        <v>0.08699999999999999</v>
      </c>
      <c r="AD709" s="24" t="inlineStr">
        <is>
          <t>2026-08-27T22:15:49.623813Z</t>
        </is>
      </c>
      <c r="AE709" s="31" t="inlineStr">
        <is>
          <t>Surface-blended Elo on Hard: Tereza Valentova p=0.734 vs Kylie Collins. Executable ask 0.9200 (aec-wta-kylcol-terval-2026-08-27).</t>
        </is>
      </c>
      <c r="AF709" s="31" t="inlineStr">
        <is>
          <t>Surface-blended Elo model; singles only, WTA+ATP market coverage, not yet locked-holdout qualified -- promoted by explicit operator directive, not genuine walk-forward validation.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Tereza Valentova</t>
        </is>
      </c>
      <c r="AQ709" s="24" t="inlineStr">
        <is>
          <t>Tereza Valentova</t>
        </is>
      </c>
      <c r="AR709" s="24" t="inlineStr">
        <is>
          <t>Tereza Valentova</t>
        </is>
      </c>
      <c r="AS709" s="24" t="inlineStr">
        <is>
          <t>Kylie Collins</t>
        </is>
      </c>
      <c r="AT709" s="24" t="inlineStr">
        <is>
          <t>Kylie Collins</t>
        </is>
      </c>
      <c r="AU709" s="24" t="inlineStr">
        <is>
          <t>Kylie Collins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d777da58446bc099047b154203518e2585ef1a678f613f2b430f2589f7bf5cff</t>
        </is>
      </c>
      <c r="BB709" s="24" t="inlineStr">
        <is>
          <t>surface_blended_elo</t>
        </is>
      </c>
      <c r="BC709" s="24" t="inlineStr">
        <is>
          <t>tennis-surface-elo-v1</t>
        </is>
      </c>
      <c r="BD709" s="24" t="inlineStr">
        <is>
          <t>d777da58446bc099047b154203518e2585ef1a678f613f2b430f2589f7bf5cff</t>
        </is>
      </c>
      <c r="BE709" s="24" t="inlineStr">
        <is>
          <t>tennis-surface-elo-v1</t>
        </is>
      </c>
      <c r="BF709" s="24" t="inlineStr">
        <is>
          <t>1</t>
        </is>
      </c>
      <c r="BG709" s="24" t="inlineStr">
        <is>
          <t>d777da58446bc099047b154203518e2585ef1a678f613f2b430f2589f7bf5cff</t>
        </is>
      </c>
      <c r="BH709" s="24" t="inlineStr">
        <is>
          <t>2026-08-27T13:56:39.911952Z</t>
        </is>
      </c>
      <c r="BI709" s="24" t="inlineStr">
        <is>
          <t>["same_event","same_team_same_day","same_league_same_day"]</t>
        </is>
      </c>
      <c r="BJ709" s="25" t="n"/>
      <c r="BK709" s="26" t="n">
        <v>-1150</v>
      </c>
      <c r="BL709" s="27" t="n">
        <v>1.086957</v>
      </c>
      <c r="BM709" s="28" t="n">
        <v>0.92</v>
      </c>
      <c r="BN709" s="28" t="n"/>
      <c r="BO709" s="28" t="n"/>
      <c r="BP709" s="25" t="n"/>
      <c r="BQ709" s="27" t="n">
        <v>1.086957</v>
      </c>
      <c r="BR709" s="28" t="n">
        <v>0.92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False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inlineStr">
        <is>
          <t>5edca6056549542d9528e9cf593c71ee5866224ab724121bed3a8937518e73fe</t>
        </is>
      </c>
      <c r="DE709" s="24" t="inlineStr">
        <is>
          <t>/Users/vincentc9002/model-prediction/data/odds/tennis/2026-08-27/polymarket_snapshots.jsonl</t>
        </is>
      </c>
      <c r="DF709" s="24" t="inlineStr">
        <is>
          <t>531344:2026-08-27T13:56:39.911952Z</t>
        </is>
      </c>
      <c r="DG709" s="24" t="n"/>
      <c r="DH709" s="24" t="n"/>
      <c r="DI709" s="24" t="n"/>
      <c r="DJ709" s="24" t="inlineStr">
        <is>
          <t>0.92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727ec6ea75ea4717</t>
        </is>
      </c>
      <c r="B710" s="24" t="inlineStr">
        <is>
          <t>2026-08-27T13:58:24.220632Z</t>
        </is>
      </c>
      <c r="C710" s="24" t="inlineStr">
        <is>
          <t>2026-08-27T15:00Z</t>
        </is>
      </c>
      <c r="D710" s="24" t="inlineStr">
        <is>
          <t>189-2026:184809</t>
        </is>
      </c>
      <c r="E710" s="24" t="inlineStr">
        <is>
          <t>TENNIS</t>
        </is>
      </c>
      <c r="F710" s="24" t="inlineStr">
        <is>
          <t>Robin Montgomery</t>
        </is>
      </c>
      <c r="G710" s="24" t="inlineStr">
        <is>
          <t>Carson Branstine</t>
        </is>
      </c>
      <c r="H710" s="24" t="inlineStr">
        <is>
          <t>moneyline</t>
        </is>
      </c>
      <c r="I710" s="24" t="inlineStr">
        <is>
          <t>away</t>
        </is>
      </c>
      <c r="J710" s="25" t="n"/>
      <c r="K710" s="24" t="inlineStr">
        <is>
          <t>polymarket_us</t>
        </is>
      </c>
      <c r="L710" s="26" t="n">
        <v>-355</v>
      </c>
      <c r="M710" s="27" t="n">
        <v>1.28169</v>
      </c>
      <c r="N710" s="28" t="n">
        <v>0.78022</v>
      </c>
      <c r="O710" s="28" t="n">
        <v>0.6684</v>
      </c>
      <c r="P710" s="28" t="n">
        <v>0.05</v>
      </c>
      <c r="Q710" s="28" t="n">
        <v>-0.11182</v>
      </c>
      <c r="R710" s="26" t="n">
        <v>0</v>
      </c>
      <c r="S710" s="29" t="n">
        <v>1</v>
      </c>
      <c r="T710" s="24" t="inlineStr">
        <is>
          <t>tennis-surface-elo-v1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0</v>
      </c>
      <c r="Y710" s="25" t="n"/>
      <c r="Z710" s="26" t="n">
        <v>-355</v>
      </c>
      <c r="AA710" s="28" t="n">
        <v>0.78</v>
      </c>
      <c r="AB710" s="28" t="n">
        <v>-0.00022</v>
      </c>
      <c r="AC710" s="30" t="n">
        <v>0.2817</v>
      </c>
      <c r="AD710" s="24" t="inlineStr">
        <is>
          <t>2026-08-27T21:48:02.934887Z</t>
        </is>
      </c>
      <c r="AE710" s="31" t="inlineStr">
        <is>
          <t>Surface-blended Elo on Hard: Robin Montgomery p=0.668 vs Carson Branstine. Executable ask 0.7800 (aec-wta-carbra-robmon-2026-08-27).</t>
        </is>
      </c>
      <c r="AF710" s="31" t="inlineStr">
        <is>
          <t>Surface-blended Elo model; singles only, WTA+ATP market coverage, not yet locked-holdout qualified -- promoted by explicit operator directive, not genuine walk-forward validation.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Robin Montgomery</t>
        </is>
      </c>
      <c r="AQ710" s="24" t="inlineStr">
        <is>
          <t>Robin Montgomery</t>
        </is>
      </c>
      <c r="AR710" s="24" t="inlineStr">
        <is>
          <t>Robin Montgomery</t>
        </is>
      </c>
      <c r="AS710" s="24" t="inlineStr">
        <is>
          <t>Carson Branstine</t>
        </is>
      </c>
      <c r="AT710" s="24" t="inlineStr">
        <is>
          <t>Carson Branstine</t>
        </is>
      </c>
      <c r="AU710" s="24" t="inlineStr">
        <is>
          <t>Carson Branstine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d777da58446bc099047b154203518e2585ef1a678f613f2b430f2589f7bf5cff</t>
        </is>
      </c>
      <c r="BB710" s="24" t="inlineStr">
        <is>
          <t>surface_blended_elo</t>
        </is>
      </c>
      <c r="BC710" s="24" t="inlineStr">
        <is>
          <t>tennis-surface-elo-v1</t>
        </is>
      </c>
      <c r="BD710" s="24" t="inlineStr">
        <is>
          <t>d777da58446bc099047b154203518e2585ef1a678f613f2b430f2589f7bf5cff</t>
        </is>
      </c>
      <c r="BE710" s="24" t="inlineStr">
        <is>
          <t>tennis-surface-elo-v1</t>
        </is>
      </c>
      <c r="BF710" s="24" t="inlineStr">
        <is>
          <t>1</t>
        </is>
      </c>
      <c r="BG710" s="24" t="inlineStr">
        <is>
          <t>d777da58446bc099047b154203518e2585ef1a678f613f2b430f2589f7bf5cff</t>
        </is>
      </c>
      <c r="BH710" s="24" t="inlineStr">
        <is>
          <t>2026-08-27T13:56:39.035145Z</t>
        </is>
      </c>
      <c r="BI710" s="24" t="inlineStr">
        <is>
          <t>["same_event","same_team_same_day","same_league_same_day"]</t>
        </is>
      </c>
      <c r="BJ710" s="25" t="n"/>
      <c r="BK710" s="26" t="n">
        <v>-355</v>
      </c>
      <c r="BL710" s="27" t="n">
        <v>1.28169</v>
      </c>
      <c r="BM710" s="28" t="n">
        <v>0.78022</v>
      </c>
      <c r="BN710" s="28" t="n"/>
      <c r="BO710" s="28" t="n"/>
      <c r="BP710" s="25" t="n"/>
      <c r="BQ710" s="27" t="n">
        <v>1.28169</v>
      </c>
      <c r="BR710" s="28" t="n">
        <v>0.78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inlineStr">
        <is>
          <t>0b9304ab107f09d87d39bd7421933194fbc82f47c969078b141ba1ea2a2eab70</t>
        </is>
      </c>
      <c r="DE710" s="24" t="inlineStr">
        <is>
          <t>/Users/vincentc9002/model-prediction/data/odds/tennis/2026-08-27/polymarket_snapshots.jsonl</t>
        </is>
      </c>
      <c r="DF710" s="24" t="inlineStr">
        <is>
          <t>530846:2026-08-27T13:56:39.035145Z</t>
        </is>
      </c>
      <c r="DG710" s="24" t="n"/>
      <c r="DH710" s="24" t="n"/>
      <c r="DI710" s="24" t="n"/>
      <c r="DJ710" s="24" t="inlineStr">
        <is>
          <t>0.78022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2a2ddde217dc4841</t>
        </is>
      </c>
      <c r="B711" s="24" t="inlineStr">
        <is>
          <t>2026-08-27T13:58:24.220632Z</t>
        </is>
      </c>
      <c r="C711" s="24" t="inlineStr">
        <is>
          <t>2026-08-27T15:00Z</t>
        </is>
      </c>
      <c r="D711" s="24" t="inlineStr">
        <is>
          <t>189-2026:184811</t>
        </is>
      </c>
      <c r="E711" s="24" t="inlineStr">
        <is>
          <t>TENNIS</t>
        </is>
      </c>
      <c r="F711" s="24" t="inlineStr">
        <is>
          <t>Andrea Lazaro Garcia</t>
        </is>
      </c>
      <c r="G711" s="24" t="inlineStr">
        <is>
          <t>Polina Iatcenko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133</v>
      </c>
      <c r="M711" s="27" t="n">
        <v>2.33</v>
      </c>
      <c r="N711" s="28" t="n">
        <v>0.429185</v>
      </c>
      <c r="O711" s="28" t="n">
        <v>0.548</v>
      </c>
      <c r="P711" s="28" t="n">
        <v>0.05</v>
      </c>
      <c r="Q711" s="28" t="n">
        <v>0.118815</v>
      </c>
      <c r="R711" s="26" t="n">
        <v>79</v>
      </c>
      <c r="S711" s="29" t="n">
        <v>1.5</v>
      </c>
      <c r="T711" s="24" t="inlineStr">
        <is>
          <t>tennis-surface-elo-v1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1</v>
      </c>
      <c r="Y711" s="25" t="n"/>
      <c r="Z711" s="26" t="n">
        <v>133</v>
      </c>
      <c r="AA711" s="28" t="n">
        <v>0.43</v>
      </c>
      <c r="AB711" s="28" t="n">
        <v>0.000815</v>
      </c>
      <c r="AC711" s="30" t="n">
        <v>-1.5</v>
      </c>
      <c r="AD711" s="24" t="inlineStr">
        <is>
          <t>2026-08-27T21:48:07.526441Z</t>
        </is>
      </c>
      <c r="AE711" s="31" t="inlineStr">
        <is>
          <t>Surface-blended Elo on Hard: Andrea Lazaro Garcia p=0.548 vs Polina Iatcenko. Executable ask 0.4300 (aec-wta-poliat-andgar-2026-08-27).</t>
        </is>
      </c>
      <c r="AF711" s="31" t="inlineStr">
        <is>
          <t>Surface-blended Elo model; singles only, WTA+ATP market coverage, not yet locked-holdout qualified -- promoted by explicit operator directive, not genuine walk-forward validation.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Andrea Lazaro Garcia</t>
        </is>
      </c>
      <c r="AQ711" s="24" t="inlineStr">
        <is>
          <t>Andrea Lazaro Garcia</t>
        </is>
      </c>
      <c r="AR711" s="24" t="inlineStr">
        <is>
          <t>Andrea Lazaro Garcia</t>
        </is>
      </c>
      <c r="AS711" s="24" t="inlineStr">
        <is>
          <t>Polina Iatcenko</t>
        </is>
      </c>
      <c r="AT711" s="24" t="inlineStr">
        <is>
          <t>Polina Iatcenko</t>
        </is>
      </c>
      <c r="AU711" s="24" t="inlineStr">
        <is>
          <t>Polina Iatcenko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d777da58446bc099047b154203518e2585ef1a678f613f2b430f2589f7bf5cff</t>
        </is>
      </c>
      <c r="BB711" s="24" t="inlineStr">
        <is>
          <t>surface_blended_elo</t>
        </is>
      </c>
      <c r="BC711" s="24" t="inlineStr">
        <is>
          <t>tennis-surface-elo-v1</t>
        </is>
      </c>
      <c r="BD711" s="24" t="inlineStr">
        <is>
          <t>d777da58446bc099047b154203518e2585ef1a678f613f2b430f2589f7bf5cff</t>
        </is>
      </c>
      <c r="BE711" s="24" t="inlineStr">
        <is>
          <t>tennis-surface-elo-v1</t>
        </is>
      </c>
      <c r="BF711" s="24" t="inlineStr">
        <is>
          <t>1</t>
        </is>
      </c>
      <c r="BG711" s="24" t="inlineStr">
        <is>
          <t>d777da58446bc099047b154203518e2585ef1a678f613f2b430f2589f7bf5cff</t>
        </is>
      </c>
      <c r="BH711" s="24" t="inlineStr">
        <is>
          <t>2026-08-27T13:56:38.784059Z</t>
        </is>
      </c>
      <c r="BI711" s="24" t="inlineStr">
        <is>
          <t>["same_event","same_team_same_day","same_league_same_day"]</t>
        </is>
      </c>
      <c r="BJ711" s="25" t="n"/>
      <c r="BK711" s="26" t="n">
        <v>133</v>
      </c>
      <c r="BL711" s="27" t="n">
        <v>2.33</v>
      </c>
      <c r="BM711" s="28" t="n">
        <v>0.429185</v>
      </c>
      <c r="BN711" s="28" t="n"/>
      <c r="BO711" s="28" t="n"/>
      <c r="BP711" s="25" t="n"/>
      <c r="BQ711" s="27" t="n">
        <v>2.33</v>
      </c>
      <c r="BR711" s="28" t="n">
        <v>0.43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inlineStr">
        <is>
          <t>2e7a679b4fc3eb1d2d6d99005a03cd6921cb4fd1269d041c021be7d99fd4fd9f</t>
        </is>
      </c>
      <c r="DE711" s="24" t="inlineStr">
        <is>
          <t>/Users/vincentc9002/model-prediction/data/odds/tennis/2026-08-27/polymarket_snapshots.jsonl</t>
        </is>
      </c>
      <c r="DF711" s="24" t="inlineStr">
        <is>
          <t>531333:2026-08-27T13:56:38.784059Z</t>
        </is>
      </c>
      <c r="DG711" s="24" t="n"/>
      <c r="DH711" s="24" t="n"/>
      <c r="DI711" s="24" t="n"/>
      <c r="DJ711" s="24" t="inlineStr">
        <is>
          <t>0.429185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917619fcd3ce4fe6</t>
        </is>
      </c>
      <c r="B712" s="24" t="inlineStr">
        <is>
          <t>2026-08-27T13:58:24.220632Z</t>
        </is>
      </c>
      <c r="C712" s="24" t="inlineStr">
        <is>
          <t>2026-08-27T15:00Z</t>
        </is>
      </c>
      <c r="D712" s="24" t="inlineStr">
        <is>
          <t>189-2026:184815</t>
        </is>
      </c>
      <c r="E712" s="24" t="inlineStr">
        <is>
          <t>TENNIS</t>
        </is>
      </c>
      <c r="F712" s="24" t="inlineStr">
        <is>
          <t>Anouk Koevermans</t>
        </is>
      </c>
      <c r="G712" s="24" t="inlineStr">
        <is>
          <t>Mariam Bolkvadze</t>
        </is>
      </c>
      <c r="H712" s="24" t="inlineStr">
        <is>
          <t>moneyline</t>
        </is>
      </c>
      <c r="I712" s="24" t="inlineStr">
        <is>
          <t>home</t>
        </is>
      </c>
      <c r="J712" s="25" t="n"/>
      <c r="K712" s="24" t="inlineStr">
        <is>
          <t>polymarket_us</t>
        </is>
      </c>
      <c r="L712" s="26" t="n">
        <v>156</v>
      </c>
      <c r="M712" s="27" t="n">
        <v>2.56</v>
      </c>
      <c r="N712" s="28" t="n">
        <v>0.390625</v>
      </c>
      <c r="O712" s="28" t="n">
        <v>0.5525</v>
      </c>
      <c r="P712" s="28" t="n">
        <v>0.05</v>
      </c>
      <c r="Q712" s="28" t="n">
        <v>0.161875</v>
      </c>
      <c r="R712" s="26" t="n">
        <v>100</v>
      </c>
      <c r="S712" s="29" t="n">
        <v>1.75</v>
      </c>
      <c r="T712" s="24" t="inlineStr">
        <is>
          <t>tennis-surface-elo-v1</t>
        </is>
      </c>
      <c r="U712" s="24" t="inlineStr">
        <is>
          <t>settled</t>
        </is>
      </c>
      <c r="V712" s="24" t="inlineStr">
        <is>
          <t>loss</t>
        </is>
      </c>
      <c r="W712" s="26" t="n">
        <v>1</v>
      </c>
      <c r="X712" s="26" t="n">
        <v>0</v>
      </c>
      <c r="Y712" s="25" t="n"/>
      <c r="Z712" s="26" t="n">
        <v>156</v>
      </c>
      <c r="AA712" s="28" t="n">
        <v>0.39</v>
      </c>
      <c r="AB712" s="28" t="n">
        <v>-0.000625</v>
      </c>
      <c r="AC712" s="30" t="n">
        <v>-1.75</v>
      </c>
      <c r="AD712" s="24" t="inlineStr">
        <is>
          <t>2026-08-29T12:32:57.787721Z</t>
        </is>
      </c>
      <c r="AE712" s="31" t="inlineStr">
        <is>
          <t>Surface-blended Elo on Hard: Anouk Koevermans p=0.448 vs Mariam Bolkvadze. Executable ask 0.3900 (aec-wta-marbol-anokoe-2026-08-27).</t>
        </is>
      </c>
      <c r="AF712" s="31" t="inlineStr">
        <is>
          <t>Surface-blended Elo model; singles only, WTA+ATP market coverage, not yet locked-holdout qualified -- promoted by explicit operator directive, not genuine walk-forward validation.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Anouk Koevermans</t>
        </is>
      </c>
      <c r="AQ712" s="24" t="inlineStr">
        <is>
          <t>Anouk Koevermans</t>
        </is>
      </c>
      <c r="AR712" s="24" t="inlineStr">
        <is>
          <t>Anouk Koevermans</t>
        </is>
      </c>
      <c r="AS712" s="24" t="inlineStr">
        <is>
          <t>Mariam Bolkvadze</t>
        </is>
      </c>
      <c r="AT712" s="24" t="inlineStr">
        <is>
          <t>Mariam Bolkvadze</t>
        </is>
      </c>
      <c r="AU712" s="24" t="inlineStr">
        <is>
          <t>Mariam Bolkvadze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d777da58446bc099047b154203518e2585ef1a678f613f2b430f2589f7bf5cff</t>
        </is>
      </c>
      <c r="BB712" s="24" t="inlineStr">
        <is>
          <t>surface_blended_elo</t>
        </is>
      </c>
      <c r="BC712" s="24" t="inlineStr">
        <is>
          <t>tennis-surface-elo-v1</t>
        </is>
      </c>
      <c r="BD712" s="24" t="inlineStr">
        <is>
          <t>d777da58446bc099047b154203518e2585ef1a678f613f2b430f2589f7bf5cff</t>
        </is>
      </c>
      <c r="BE712" s="24" t="inlineStr">
        <is>
          <t>tennis-surface-elo-v1</t>
        </is>
      </c>
      <c r="BF712" s="24" t="inlineStr">
        <is>
          <t>1</t>
        </is>
      </c>
      <c r="BG712" s="24" t="inlineStr">
        <is>
          <t>d777da58446bc099047b154203518e2585ef1a678f613f2b430f2589f7bf5cff</t>
        </is>
      </c>
      <c r="BH712" s="24" t="inlineStr">
        <is>
          <t>2026-08-27T13:56:39.172092Z</t>
        </is>
      </c>
      <c r="BI712" s="24" t="inlineStr">
        <is>
          <t>["same_event","same_team_same_day","same_league_same_day"]</t>
        </is>
      </c>
      <c r="BJ712" s="25" t="n"/>
      <c r="BK712" s="26" t="n">
        <v>156</v>
      </c>
      <c r="BL712" s="27" t="n">
        <v>2.56</v>
      </c>
      <c r="BM712" s="28" t="n">
        <v>0.390625</v>
      </c>
      <c r="BN712" s="28" t="n"/>
      <c r="BO712" s="28" t="n"/>
      <c r="BP712" s="25" t="n"/>
      <c r="BQ712" s="27" t="n">
        <v>2.56</v>
      </c>
      <c r="BR712" s="28" t="n">
        <v>0.39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inlineStr">
        <is>
          <t>59b9faa065363df4bfcf8e44611279cd0b742975694ad1c181ac953da9aa82a1</t>
        </is>
      </c>
      <c r="DE712" s="24" t="inlineStr">
        <is>
          <t>/Users/vincentc9002/model-prediction/data/odds/tennis/2026-08-27/polymarket_snapshots.jsonl</t>
        </is>
      </c>
      <c r="DF712" s="24" t="inlineStr">
        <is>
          <t>530625:2026-08-27T13:56:39.172092Z</t>
        </is>
      </c>
      <c r="DG712" s="24" t="n"/>
      <c r="DH712" s="24" t="n"/>
      <c r="DI712" s="24" t="n"/>
      <c r="DJ712" s="24" t="inlineStr">
        <is>
          <t>0.390625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b4f7bf4f486b4e57</t>
        </is>
      </c>
      <c r="B713" s="24" t="inlineStr">
        <is>
          <t>2026-08-27T13:58:24.220632Z</t>
        </is>
      </c>
      <c r="C713" s="24" t="inlineStr">
        <is>
          <t>2026-08-27T15:00Z</t>
        </is>
      </c>
      <c r="D713" s="24" t="inlineStr">
        <is>
          <t>189-2026:184817</t>
        </is>
      </c>
      <c r="E713" s="24" t="inlineStr">
        <is>
          <t>TENNIS</t>
        </is>
      </c>
      <c r="F713" s="24" t="inlineStr">
        <is>
          <t>Elena Pridankina</t>
        </is>
      </c>
      <c r="G713" s="24" t="inlineStr">
        <is>
          <t>Zheng Qinwen</t>
        </is>
      </c>
      <c r="H713" s="24" t="inlineStr">
        <is>
          <t>moneyline</t>
        </is>
      </c>
      <c r="I713" s="24" t="inlineStr">
        <is>
          <t>home</t>
        </is>
      </c>
      <c r="J713" s="25" t="n"/>
      <c r="K713" s="24" t="inlineStr">
        <is>
          <t>polymarket_us</t>
        </is>
      </c>
      <c r="L713" s="26" t="n">
        <v>-525</v>
      </c>
      <c r="M713" s="27" t="n">
        <v>1.190476</v>
      </c>
      <c r="N713" s="28" t="n">
        <v>0.84</v>
      </c>
      <c r="O713" s="28" t="n">
        <v>0.6627</v>
      </c>
      <c r="P713" s="28" t="n">
        <v>0.05</v>
      </c>
      <c r="Q713" s="28" t="n">
        <v>-0.1773</v>
      </c>
      <c r="R713" s="26" t="n">
        <v>0</v>
      </c>
      <c r="S713" s="29" t="n">
        <v>1</v>
      </c>
      <c r="T713" s="24" t="inlineStr">
        <is>
          <t>tennis-surface-elo-v1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1</v>
      </c>
      <c r="Y713" s="25" t="n"/>
      <c r="Z713" s="26" t="n"/>
      <c r="AA713" s="28" t="n"/>
      <c r="AB713" s="28" t="n"/>
      <c r="AC713" s="30" t="n">
        <v>0.1905</v>
      </c>
      <c r="AD713" s="24" t="inlineStr">
        <is>
          <t>2026-08-29T12:33:00.182559Z</t>
        </is>
      </c>
      <c r="AE713" s="31" t="inlineStr">
        <is>
          <t>Surface-blended Elo on Hard: Elena Pridankina p=0.337 vs Zheng Qinwen. Executable ask 0.8400 (aec-wta-qinzhe-elepri-2026-08-27).</t>
        </is>
      </c>
      <c r="AF713" s="31" t="inlineStr">
        <is>
          <t>Surface-blended Elo model; singles only, WTA+ATP market coverage, not yet locked-holdout qualified -- promoted by explicit operator directive, not genuine walk-forward validation.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Elena Pridankina</t>
        </is>
      </c>
      <c r="AQ713" s="24" t="inlineStr">
        <is>
          <t>Elena Pridankina</t>
        </is>
      </c>
      <c r="AR713" s="24" t="inlineStr">
        <is>
          <t>Elena Pridankina</t>
        </is>
      </c>
      <c r="AS713" s="24" t="inlineStr">
        <is>
          <t>Zheng Qinwen</t>
        </is>
      </c>
      <c r="AT713" s="24" t="inlineStr">
        <is>
          <t>Zheng Qinwen</t>
        </is>
      </c>
      <c r="AU713" s="24" t="inlineStr">
        <is>
          <t>Zheng Qinwen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d777da58446bc099047b154203518e2585ef1a678f613f2b430f2589f7bf5cff</t>
        </is>
      </c>
      <c r="BB713" s="24" t="inlineStr">
        <is>
          <t>surface_blended_elo</t>
        </is>
      </c>
      <c r="BC713" s="24" t="inlineStr">
        <is>
          <t>tennis-surface-elo-v1</t>
        </is>
      </c>
      <c r="BD713" s="24" t="inlineStr">
        <is>
          <t>d777da58446bc099047b154203518e2585ef1a678f613f2b430f2589f7bf5cff</t>
        </is>
      </c>
      <c r="BE713" s="24" t="inlineStr">
        <is>
          <t>tennis-surface-elo-v1</t>
        </is>
      </c>
      <c r="BF713" s="24" t="inlineStr">
        <is>
          <t>1</t>
        </is>
      </c>
      <c r="BG713" s="24" t="inlineStr">
        <is>
          <t>d777da58446bc099047b154203518e2585ef1a678f613f2b430f2589f7bf5cff</t>
        </is>
      </c>
      <c r="BH713" s="24" t="inlineStr">
        <is>
          <t>2026-08-27T13:56:38.933894Z</t>
        </is>
      </c>
      <c r="BI713" s="24" t="inlineStr">
        <is>
          <t>["same_event","same_team_same_day","same_league_same_day"]</t>
        </is>
      </c>
      <c r="BJ713" s="25" t="n"/>
      <c r="BK713" s="26" t="n">
        <v>-525</v>
      </c>
      <c r="BL713" s="27" t="n">
        <v>1.190476</v>
      </c>
      <c r="BM713" s="28" t="n">
        <v>0.84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inlineStr">
        <is>
          <t>cd2894d4313c675d2ace5ef78b437f379c7432a2550f21ea3ef0c1cef73f0a65</t>
        </is>
      </c>
      <c r="DE713" s="24" t="inlineStr">
        <is>
          <t>/Users/vincentc9002/model-prediction/data/odds/tennis/2026-08-27/polymarket_snapshots.jsonl</t>
        </is>
      </c>
      <c r="DF713" s="24" t="inlineStr">
        <is>
          <t>530622:2026-08-27T13:56:38.933894Z</t>
        </is>
      </c>
      <c r="DG713" s="24" t="n"/>
      <c r="DH713" s="24" t="n"/>
      <c r="DI713" s="24" t="n"/>
      <c r="DJ713" s="24" t="inlineStr">
        <is>
          <t>0.84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aee6a73fbf484853</t>
        </is>
      </c>
      <c r="B714" s="24" t="inlineStr">
        <is>
          <t>2026-08-27T13:58:24.220632Z</t>
        </is>
      </c>
      <c r="C714" s="24" t="inlineStr">
        <is>
          <t>2026-08-27T15:00Z</t>
        </is>
      </c>
      <c r="D714" s="24" t="inlineStr">
        <is>
          <t>189-2026:184819</t>
        </is>
      </c>
      <c r="E714" s="24" t="inlineStr">
        <is>
          <t>TENNIS</t>
        </is>
      </c>
      <c r="F714" s="24" t="inlineStr">
        <is>
          <t>Lucrezia Stefanini</t>
        </is>
      </c>
      <c r="G714" s="24" t="inlineStr">
        <is>
          <t>Julieta Pareja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-127</v>
      </c>
      <c r="M714" s="27" t="n">
        <v>1.787402</v>
      </c>
      <c r="N714" s="28" t="n">
        <v>0.5594710000000001</v>
      </c>
      <c r="O714" s="28" t="n">
        <v>0.5114</v>
      </c>
      <c r="P714" s="28" t="n">
        <v>0.05</v>
      </c>
      <c r="Q714" s="28" t="n">
        <v>-0.048071</v>
      </c>
      <c r="R714" s="26" t="n">
        <v>0</v>
      </c>
      <c r="S714" s="29" t="n">
        <v>1</v>
      </c>
      <c r="T714" s="24" t="inlineStr">
        <is>
          <t>tennis-surface-elo-v1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-127</v>
      </c>
      <c r="AA714" s="28" t="n">
        <v>0.5600000000000001</v>
      </c>
      <c r="AB714" s="28" t="n">
        <v>0.000529</v>
      </c>
      <c r="AC714" s="30" t="n">
        <v>-1</v>
      </c>
      <c r="AD714" s="24" t="inlineStr">
        <is>
          <t>2026-08-27T21:48:12.245096Z</t>
        </is>
      </c>
      <c r="AE714" s="31" t="inlineStr">
        <is>
          <t>Surface-blended Elo on Hard: Lucrezia Stefanini p=0.489 vs Julieta Pareja. Executable ask 0.5600 (aec-wta-julpar-lucste-2026-08-27).</t>
        </is>
      </c>
      <c r="AF714" s="31" t="inlineStr">
        <is>
          <t>Surface-blended Elo model; singles only, WTA+ATP market coverage, not yet locked-holdout qualified -- promoted by explicit operator directive, not genuine walk-forward validation.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PAPER_CALL_LOW_EDGE</t>
        </is>
      </c>
      <c r="AP714" s="24" t="inlineStr">
        <is>
          <t>Lucrezia Stefanini</t>
        </is>
      </c>
      <c r="AQ714" s="24" t="inlineStr">
        <is>
          <t>Lucrezia Stefanini</t>
        </is>
      </c>
      <c r="AR714" s="24" t="inlineStr">
        <is>
          <t>Lucrezia Stefanini</t>
        </is>
      </c>
      <c r="AS714" s="24" t="inlineStr">
        <is>
          <t>Julieta Pareja</t>
        </is>
      </c>
      <c r="AT714" s="24" t="inlineStr">
        <is>
          <t>Julieta Pareja</t>
        </is>
      </c>
      <c r="AU714" s="24" t="inlineStr">
        <is>
          <t>Julieta Pareja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d777da58446bc099047b154203518e2585ef1a678f613f2b430f2589f7bf5cff</t>
        </is>
      </c>
      <c r="BB714" s="24" t="inlineStr">
        <is>
          <t>surface_blended_elo</t>
        </is>
      </c>
      <c r="BC714" s="24" t="inlineStr">
        <is>
          <t>tennis-surface-elo-v1</t>
        </is>
      </c>
      <c r="BD714" s="24" t="inlineStr">
        <is>
          <t>d777da58446bc099047b154203518e2585ef1a678f613f2b430f2589f7bf5cff</t>
        </is>
      </c>
      <c r="BE714" s="24" t="inlineStr">
        <is>
          <t>tennis-surface-elo-v1</t>
        </is>
      </c>
      <c r="BF714" s="24" t="inlineStr">
        <is>
          <t>1</t>
        </is>
      </c>
      <c r="BG714" s="24" t="inlineStr">
        <is>
          <t>d777da58446bc099047b154203518e2585ef1a678f613f2b430f2589f7bf5cff</t>
        </is>
      </c>
      <c r="BH714" s="24" t="inlineStr">
        <is>
          <t>2026-08-27T13:56:38.577646Z</t>
        </is>
      </c>
      <c r="BI714" s="24" t="inlineStr">
        <is>
          <t>["same_event","same_team_same_day","same_league_same_day"]</t>
        </is>
      </c>
      <c r="BJ714" s="25" t="n"/>
      <c r="BK714" s="26" t="n">
        <v>-127</v>
      </c>
      <c r="BL714" s="27" t="n">
        <v>1.787402</v>
      </c>
      <c r="BM714" s="28" t="n">
        <v>0.5594710000000001</v>
      </c>
      <c r="BN714" s="28" t="n"/>
      <c r="BO714" s="28" t="n"/>
      <c r="BP714" s="25" t="n"/>
      <c r="BQ714" s="27" t="n">
        <v>1.787402</v>
      </c>
      <c r="BR714" s="28" t="n">
        <v>0.5600000000000001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inlineStr">
        <is>
          <t>966ae402e87cd710b7e64259ea730c1350bbceb91d0d2de8a2ff695db39133b2</t>
        </is>
      </c>
      <c r="DE714" s="24" t="inlineStr">
        <is>
          <t>/Users/vincentc9002/model-prediction/data/odds/tennis/2026-08-27/polymarket_snapshots.jsonl</t>
        </is>
      </c>
      <c r="DF714" s="24" t="inlineStr">
        <is>
          <t>531546:2026-08-27T13:56:38.577646Z</t>
        </is>
      </c>
      <c r="DG714" s="24" t="n"/>
      <c r="DH714" s="24" t="n"/>
      <c r="DI714" s="24" t="n"/>
      <c r="DJ714" s="24" t="inlineStr">
        <is>
          <t>0.559471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e628fe275ca84be4</t>
        </is>
      </c>
      <c r="B715" s="24" t="inlineStr">
        <is>
          <t>2026-08-27T13:58:24.220632Z</t>
        </is>
      </c>
      <c r="C715" s="24" t="inlineStr">
        <is>
          <t>2026-08-27T15:00Z</t>
        </is>
      </c>
      <c r="D715" s="24" t="inlineStr">
        <is>
          <t>189-2026:184821</t>
        </is>
      </c>
      <c r="E715" s="24" t="inlineStr">
        <is>
          <t>TENNIS</t>
        </is>
      </c>
      <c r="F715" s="24" t="inlineStr">
        <is>
          <t>Ekaterine Gorgodze</t>
        </is>
      </c>
      <c r="G715" s="24" t="inlineStr">
        <is>
          <t>Gabriela Knutson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-270</v>
      </c>
      <c r="M715" s="27" t="n">
        <v>1.37037</v>
      </c>
      <c r="N715" s="28" t="n">
        <v>0.72973</v>
      </c>
      <c r="O715" s="28" t="n">
        <v>0.5725</v>
      </c>
      <c r="P715" s="28" t="n">
        <v>0.05</v>
      </c>
      <c r="Q715" s="28" t="n">
        <v>-0.15723</v>
      </c>
      <c r="R715" s="26" t="n">
        <v>0</v>
      </c>
      <c r="S715" s="29" t="n">
        <v>1</v>
      </c>
      <c r="T715" s="24" t="inlineStr">
        <is>
          <t>tennis-surface-elo-v1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-270</v>
      </c>
      <c r="AA715" s="28" t="n">
        <v>0.73</v>
      </c>
      <c r="AB715" s="28" t="n">
        <v>0.00027</v>
      </c>
      <c r="AC715" s="30" t="n">
        <v>0.3704</v>
      </c>
      <c r="AD715" s="24" t="inlineStr">
        <is>
          <t>2026-08-27T21:48:16.776874Z</t>
        </is>
      </c>
      <c r="AE715" s="31" t="inlineStr">
        <is>
          <t>Surface-blended Elo on Hard: Ekaterine Gorgodze p=0.428 vs Gabriela Knutson. Executable ask 0.7300 (aec-wta-gabknu-ekagor-2026-08-27).</t>
        </is>
      </c>
      <c r="AF715" s="31" t="inlineStr">
        <is>
          <t>Surface-blended Elo model; singles only, WTA+ATP market coverage, not yet locked-holdout qualified -- promoted by explicit operator directive, not genuine walk-forward validation.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Ekaterine Gorgodze</t>
        </is>
      </c>
      <c r="AQ715" s="24" t="inlineStr">
        <is>
          <t>Ekaterine Gorgodze</t>
        </is>
      </c>
      <c r="AR715" s="24" t="inlineStr">
        <is>
          <t>Ekaterine Gorgodze</t>
        </is>
      </c>
      <c r="AS715" s="24" t="inlineStr">
        <is>
          <t>Gabriela Knutson</t>
        </is>
      </c>
      <c r="AT715" s="24" t="inlineStr">
        <is>
          <t>Gabriela Knutson</t>
        </is>
      </c>
      <c r="AU715" s="24" t="inlineStr">
        <is>
          <t>Gabriela Knutson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d777da58446bc099047b154203518e2585ef1a678f613f2b430f2589f7bf5cff</t>
        </is>
      </c>
      <c r="BB715" s="24" t="inlineStr">
        <is>
          <t>surface_blended_elo</t>
        </is>
      </c>
      <c r="BC715" s="24" t="inlineStr">
        <is>
          <t>tennis-surface-elo-v1</t>
        </is>
      </c>
      <c r="BD715" s="24" t="inlineStr">
        <is>
          <t>d777da58446bc099047b154203518e2585ef1a678f613f2b430f2589f7bf5cff</t>
        </is>
      </c>
      <c r="BE715" s="24" t="inlineStr">
        <is>
          <t>tennis-surface-elo-v1</t>
        </is>
      </c>
      <c r="BF715" s="24" t="inlineStr">
        <is>
          <t>1</t>
        </is>
      </c>
      <c r="BG715" s="24" t="inlineStr">
        <is>
          <t>d777da58446bc099047b154203518e2585ef1a678f613f2b430f2589f7bf5cff</t>
        </is>
      </c>
      <c r="BH715" s="24" t="inlineStr">
        <is>
          <t>2026-08-27T13:56:38.680087Z</t>
        </is>
      </c>
      <c r="BI715" s="24" t="inlineStr">
        <is>
          <t>["same_event","same_team_same_day","same_league_same_day"]</t>
        </is>
      </c>
      <c r="BJ715" s="25" t="n"/>
      <c r="BK715" s="26" t="n">
        <v>-270</v>
      </c>
      <c r="BL715" s="27" t="n">
        <v>1.37037</v>
      </c>
      <c r="BM715" s="28" t="n">
        <v>0.72973</v>
      </c>
      <c r="BN715" s="28" t="n"/>
      <c r="BO715" s="28" t="n"/>
      <c r="BP715" s="25" t="n"/>
      <c r="BQ715" s="27" t="n">
        <v>1.37037</v>
      </c>
      <c r="BR715" s="28" t="n">
        <v>0.73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inlineStr">
        <is>
          <t>29271ad4d20f83340e5a50f2f7c784fb8ef3362a7c40262317255bb9c07c0055</t>
        </is>
      </c>
      <c r="DE715" s="24" t="inlineStr">
        <is>
          <t>/Users/vincentc9002/model-prediction/data/odds/tennis/2026-08-27/polymarket_snapshots.jsonl</t>
        </is>
      </c>
      <c r="DF715" s="24" t="inlineStr">
        <is>
          <t>532073:2026-08-27T13:56:38.680087Z</t>
        </is>
      </c>
      <c r="DG715" s="24" t="n"/>
      <c r="DH715" s="24" t="n"/>
      <c r="DI715" s="24" t="n"/>
      <c r="DJ715" s="24" t="inlineStr">
        <is>
          <t>0.72973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8b64979444a441ff</t>
        </is>
      </c>
      <c r="B716" s="24" t="inlineStr">
        <is>
          <t>2026-08-27T13:58:24.220632Z</t>
        </is>
      </c>
      <c r="C716" s="24" t="inlineStr">
        <is>
          <t>2026-08-27T16:30Z</t>
        </is>
      </c>
      <c r="D716" s="24" t="inlineStr">
        <is>
          <t>189-2026:184808</t>
        </is>
      </c>
      <c r="E716" s="24" t="inlineStr">
        <is>
          <t>TENNIS</t>
        </is>
      </c>
      <c r="F716" s="24" t="inlineStr">
        <is>
          <t>Arantxa Rus</t>
        </is>
      </c>
      <c r="G716" s="24" t="inlineStr">
        <is>
          <t>Susan Bandecchi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polymarket_us</t>
        </is>
      </c>
      <c r="L716" s="26" t="n">
        <v>-203</v>
      </c>
      <c r="M716" s="27" t="n">
        <v>1.492611</v>
      </c>
      <c r="N716" s="28" t="n">
        <v>0.669967</v>
      </c>
      <c r="O716" s="28" t="n">
        <v>0.5063</v>
      </c>
      <c r="P716" s="28" t="n">
        <v>0.05</v>
      </c>
      <c r="Q716" s="28" t="n">
        <v>-0.163667</v>
      </c>
      <c r="R716" s="26" t="n">
        <v>0</v>
      </c>
      <c r="S716" s="29" t="n">
        <v>1</v>
      </c>
      <c r="T716" s="24" t="inlineStr">
        <is>
          <t>tennis-surface-elo-v1</t>
        </is>
      </c>
      <c r="U716" s="24" t="inlineStr">
        <is>
          <t>settled</t>
        </is>
      </c>
      <c r="V716" s="24" t="inlineStr">
        <is>
          <t>loss</t>
        </is>
      </c>
      <c r="W716" s="26" t="n">
        <v>1</v>
      </c>
      <c r="X716" s="26" t="n">
        <v>0</v>
      </c>
      <c r="Y716" s="25" t="n"/>
      <c r="Z716" s="26" t="n">
        <v>-203</v>
      </c>
      <c r="AA716" s="28" t="n">
        <v>0.67</v>
      </c>
      <c r="AB716" s="28" t="n">
        <v>3.3e-05</v>
      </c>
      <c r="AC716" s="30" t="n">
        <v>-1</v>
      </c>
      <c r="AD716" s="24" t="inlineStr">
        <is>
          <t>2026-08-29T12:33:02.540025Z</t>
        </is>
      </c>
      <c r="AE716" s="31" t="inlineStr">
        <is>
          <t>Surface-blended Elo on Hard: Arantxa Rus p=0.494 vs Susan Bandecchi. Executable ask 0.6700 (aec-wta-susban-ararus-2026-08-27).</t>
        </is>
      </c>
      <c r="AF716" s="31" t="inlineStr">
        <is>
          <t>Surface-blended Elo model; singles only, WTA+ATP market coverage, not yet locked-holdout qualified -- promoted by explicit operator directive, not genuine walk-forward validation.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Arantxa Rus</t>
        </is>
      </c>
      <c r="AQ716" s="24" t="inlineStr">
        <is>
          <t>Arantxa Rus</t>
        </is>
      </c>
      <c r="AR716" s="24" t="inlineStr">
        <is>
          <t>Arantxa Rus</t>
        </is>
      </c>
      <c r="AS716" s="24" t="inlineStr">
        <is>
          <t>Susan Bandecchi</t>
        </is>
      </c>
      <c r="AT716" s="24" t="inlineStr">
        <is>
          <t>Susan Bandecchi</t>
        </is>
      </c>
      <c r="AU716" s="24" t="inlineStr">
        <is>
          <t>Susan Bandecchi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d777da58446bc099047b154203518e2585ef1a678f613f2b430f2589f7bf5cff</t>
        </is>
      </c>
      <c r="BB716" s="24" t="inlineStr">
        <is>
          <t>surface_blended_elo</t>
        </is>
      </c>
      <c r="BC716" s="24" t="inlineStr">
        <is>
          <t>tennis-surface-elo-v1</t>
        </is>
      </c>
      <c r="BD716" s="24" t="inlineStr">
        <is>
          <t>d777da58446bc099047b154203518e2585ef1a678f613f2b430f2589f7bf5cff</t>
        </is>
      </c>
      <c r="BE716" s="24" t="inlineStr">
        <is>
          <t>tennis-surface-elo-v1</t>
        </is>
      </c>
      <c r="BF716" s="24" t="inlineStr">
        <is>
          <t>1</t>
        </is>
      </c>
      <c r="BG716" s="24" t="inlineStr">
        <is>
          <t>d777da58446bc099047b154203518e2585ef1a678f613f2b430f2589f7bf5cff</t>
        </is>
      </c>
      <c r="BH716" s="24" t="inlineStr">
        <is>
          <t>2026-08-27T13:56:39.630482Z</t>
        </is>
      </c>
      <c r="BI716" s="24" t="inlineStr">
        <is>
          <t>["same_event","same_team_same_day","same_league_same_day"]</t>
        </is>
      </c>
      <c r="BJ716" s="25" t="n"/>
      <c r="BK716" s="26" t="n">
        <v>-203</v>
      </c>
      <c r="BL716" s="27" t="n">
        <v>1.492611</v>
      </c>
      <c r="BM716" s="28" t="n">
        <v>0.669967</v>
      </c>
      <c r="BN716" s="28" t="n"/>
      <c r="BO716" s="28" t="n"/>
      <c r="BP716" s="25" t="n"/>
      <c r="BQ716" s="27" t="n">
        <v>1.492611</v>
      </c>
      <c r="BR716" s="28" t="n">
        <v>0.67</v>
      </c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inlineStr">
        <is>
          <t>ab62cb43d4e57b149c8afa54d4b4208c13024877d8b89c26e509c9d1eef9ac9c</t>
        </is>
      </c>
      <c r="DE716" s="24" t="inlineStr">
        <is>
          <t>/Users/vincentc9002/model-prediction/data/odds/tennis/2026-08-27/polymarket_snapshots.jsonl</t>
        </is>
      </c>
      <c r="DF716" s="24" t="inlineStr">
        <is>
          <t>533475:2026-08-27T13:56:39.630482Z</t>
        </is>
      </c>
      <c r="DG716" s="24" t="n"/>
      <c r="DH716" s="24" t="n"/>
      <c r="DI716" s="24" t="n"/>
      <c r="DJ716" s="24" t="inlineStr">
        <is>
          <t>0.669967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9d50f81e58774e88</t>
        </is>
      </c>
      <c r="B717" s="24" t="inlineStr">
        <is>
          <t>2026-08-27T13:58:24.220632Z</t>
        </is>
      </c>
      <c r="C717" s="24" t="inlineStr">
        <is>
          <t>2026-08-27T16:30Z</t>
        </is>
      </c>
      <c r="D717" s="24" t="inlineStr">
        <is>
          <t>189-2026:184810</t>
        </is>
      </c>
      <c r="E717" s="24" t="inlineStr">
        <is>
          <t>TENNIS</t>
        </is>
      </c>
      <c r="F717" s="24" t="inlineStr">
        <is>
          <t>Nao Hibino</t>
        </is>
      </c>
      <c r="G717" s="24" t="inlineStr">
        <is>
          <t>Lucie Havlickova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113</v>
      </c>
      <c r="M717" s="27" t="n">
        <v>2.13</v>
      </c>
      <c r="N717" s="28" t="n">
        <v>0.469484</v>
      </c>
      <c r="O717" s="28" t="n">
        <v>0.5823</v>
      </c>
      <c r="P717" s="28" t="n">
        <v>0.05</v>
      </c>
      <c r="Q717" s="28" t="n">
        <v>0.112816</v>
      </c>
      <c r="R717" s="26" t="n">
        <v>76</v>
      </c>
      <c r="S717" s="29" t="n">
        <v>1.5</v>
      </c>
      <c r="T717" s="24" t="inlineStr">
        <is>
          <t>tennis-surface-elo-v1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1</v>
      </c>
      <c r="Y717" s="25" t="n"/>
      <c r="Z717" s="26" t="n">
        <v>113</v>
      </c>
      <c r="AA717" s="28" t="n">
        <v>0.47</v>
      </c>
      <c r="AB717" s="28" t="n">
        <v>0.000516</v>
      </c>
      <c r="AC717" s="30" t="n">
        <v>1.695</v>
      </c>
      <c r="AD717" s="24" t="inlineStr">
        <is>
          <t>2026-08-29T12:33:04.774369Z</t>
        </is>
      </c>
      <c r="AE717" s="31" t="inlineStr">
        <is>
          <t>Surface-blended Elo on Hard: Nao Hibino p=0.418 vs Lucie Havlickova. Executable ask 0.4700 (aec-wta-luchav-naohib-2026-08-27).</t>
        </is>
      </c>
      <c r="AF717" s="31" t="inlineStr">
        <is>
          <t>Surface-blended Elo model; singles only, WTA+ATP market coverage, not yet locked-holdout qualified -- promoted by explicit operator directive, not genuine walk-forward validation.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Nao Hibino</t>
        </is>
      </c>
      <c r="AQ717" s="24" t="inlineStr">
        <is>
          <t>Nao Hibino</t>
        </is>
      </c>
      <c r="AR717" s="24" t="inlineStr">
        <is>
          <t>Nao Hibino</t>
        </is>
      </c>
      <c r="AS717" s="24" t="inlineStr">
        <is>
          <t>Lucie Havlickova</t>
        </is>
      </c>
      <c r="AT717" s="24" t="inlineStr">
        <is>
          <t>Lucie Havlickova</t>
        </is>
      </c>
      <c r="AU717" s="24" t="inlineStr">
        <is>
          <t>Lucie Havlickova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d777da58446bc099047b154203518e2585ef1a678f613f2b430f2589f7bf5cff</t>
        </is>
      </c>
      <c r="BB717" s="24" t="inlineStr">
        <is>
          <t>surface_blended_elo</t>
        </is>
      </c>
      <c r="BC717" s="24" t="inlineStr">
        <is>
          <t>tennis-surface-elo-v1</t>
        </is>
      </c>
      <c r="BD717" s="24" t="inlineStr">
        <is>
          <t>d777da58446bc099047b154203518e2585ef1a678f613f2b430f2589f7bf5cff</t>
        </is>
      </c>
      <c r="BE717" s="24" t="inlineStr">
        <is>
          <t>tennis-surface-elo-v1</t>
        </is>
      </c>
      <c r="BF717" s="24" t="inlineStr">
        <is>
          <t>1</t>
        </is>
      </c>
      <c r="BG717" s="24" t="inlineStr">
        <is>
          <t>d777da58446bc099047b154203518e2585ef1a678f613f2b430f2589f7bf5cff</t>
        </is>
      </c>
      <c r="BH717" s="24" t="inlineStr">
        <is>
          <t>2026-08-27T13:56:39.406853Z</t>
        </is>
      </c>
      <c r="BI717" s="24" t="inlineStr">
        <is>
          <t>["same_event","same_team_same_day","same_league_same_day"]</t>
        </is>
      </c>
      <c r="BJ717" s="25" t="n"/>
      <c r="BK717" s="26" t="n">
        <v>113</v>
      </c>
      <c r="BL717" s="27" t="n">
        <v>2.13</v>
      </c>
      <c r="BM717" s="28" t="n">
        <v>0.469484</v>
      </c>
      <c r="BN717" s="28" t="n"/>
      <c r="BO717" s="28" t="n"/>
      <c r="BP717" s="25" t="n"/>
      <c r="BQ717" s="27" t="n">
        <v>2.13</v>
      </c>
      <c r="BR717" s="28" t="n">
        <v>0.47</v>
      </c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inlineStr">
        <is>
          <t>f9702d8c23e15d7fbe0da0f468a219eaca158b3dce1312af42497efdf29c16ca</t>
        </is>
      </c>
      <c r="DE717" s="24" t="inlineStr">
        <is>
          <t>/Users/vincentc9002/model-prediction/data/odds/tennis/2026-08-27/polymarket_snapshots.jsonl</t>
        </is>
      </c>
      <c r="DF717" s="24" t="inlineStr">
        <is>
          <t>533690:2026-08-27T13:56:39.406853Z</t>
        </is>
      </c>
      <c r="DG717" s="24" t="n"/>
      <c r="DH717" s="24" t="n"/>
      <c r="DI717" s="24" t="n"/>
      <c r="DJ717" s="24" t="inlineStr">
        <is>
          <t>0.469484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f558f53db27e4da4</t>
        </is>
      </c>
      <c r="B718" s="24" t="inlineStr">
        <is>
          <t>2026-08-27T13:58:24.220632Z</t>
        </is>
      </c>
      <c r="C718" s="24" t="inlineStr">
        <is>
          <t>2026-08-27T16:30Z</t>
        </is>
      </c>
      <c r="D718" s="24" t="inlineStr">
        <is>
          <t>189-2026:184813</t>
        </is>
      </c>
      <c r="E718" s="24" t="inlineStr">
        <is>
          <t>TENNIS</t>
        </is>
      </c>
      <c r="F718" s="24" t="inlineStr">
        <is>
          <t>Mary Stoiana</t>
        </is>
      </c>
      <c r="G718" s="24" t="inlineStr">
        <is>
          <t>Yuan Yue</t>
        </is>
      </c>
      <c r="H718" s="24" t="inlineStr">
        <is>
          <t>moneyline</t>
        </is>
      </c>
      <c r="I718" s="24" t="inlineStr">
        <is>
          <t>away</t>
        </is>
      </c>
      <c r="J718" s="25" t="n"/>
      <c r="K718" s="24" t="inlineStr">
        <is>
          <t>polymarket_us</t>
        </is>
      </c>
      <c r="L718" s="26" t="n">
        <v>-122</v>
      </c>
      <c r="M718" s="27" t="n">
        <v>1.819672</v>
      </c>
      <c r="N718" s="28" t="n">
        <v>0.54955</v>
      </c>
      <c r="O718" s="28" t="n">
        <v>0.5896</v>
      </c>
      <c r="P718" s="28" t="n">
        <v>0.05</v>
      </c>
      <c r="Q718" s="28" t="n">
        <v>0.04005</v>
      </c>
      <c r="R718" s="26" t="n">
        <v>40</v>
      </c>
      <c r="S718" s="29" t="n">
        <v>1</v>
      </c>
      <c r="T718" s="24" t="inlineStr">
        <is>
          <t>tennis-surface-elo-v1</t>
        </is>
      </c>
      <c r="U718" s="24" t="inlineStr">
        <is>
          <t>settled</t>
        </is>
      </c>
      <c r="V718" s="24" t="inlineStr">
        <is>
          <t>win</t>
        </is>
      </c>
      <c r="W718" s="26" t="n">
        <v>1</v>
      </c>
      <c r="X718" s="26" t="n">
        <v>0</v>
      </c>
      <c r="Y718" s="25" t="n"/>
      <c r="Z718" s="26" t="n">
        <v>-122</v>
      </c>
      <c r="AA718" s="28" t="n">
        <v>0.55</v>
      </c>
      <c r="AB718" s="28" t="n">
        <v>0.00045</v>
      </c>
      <c r="AC718" s="30" t="n">
        <v>0.8197</v>
      </c>
      <c r="AD718" s="24" t="inlineStr">
        <is>
          <t>2026-08-29T12:33:07.050860Z</t>
        </is>
      </c>
      <c r="AE718" s="31" t="inlineStr">
        <is>
          <t>Surface-blended Elo on Hard: Mary Stoiana p=0.590 vs Yuan Yue. Executable ask 0.5500 (aec-wta-yueyua-marsto-2026-08-27).</t>
        </is>
      </c>
      <c r="AF718" s="31" t="inlineStr">
        <is>
          <t>Surface-blended Elo model; singles only, WTA+ATP market coverage, not yet locked-holdout qualified -- promoted by explicit operator directive, not genuine walk-forward validation.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PAPER_CALL_LOW_EDGE</t>
        </is>
      </c>
      <c r="AP718" s="24" t="inlineStr">
        <is>
          <t>Mary Stoiana</t>
        </is>
      </c>
      <c r="AQ718" s="24" t="inlineStr">
        <is>
          <t>Mary Stoiana</t>
        </is>
      </c>
      <c r="AR718" s="24" t="inlineStr">
        <is>
          <t>Mary Stoiana</t>
        </is>
      </c>
      <c r="AS718" s="24" t="inlineStr">
        <is>
          <t>Yuan Yue</t>
        </is>
      </c>
      <c r="AT718" s="24" t="inlineStr">
        <is>
          <t>Yuan Yue</t>
        </is>
      </c>
      <c r="AU718" s="24" t="inlineStr">
        <is>
          <t>Yuan Yue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d777da58446bc099047b154203518e2585ef1a678f613f2b430f2589f7bf5cff</t>
        </is>
      </c>
      <c r="BB718" s="24" t="inlineStr">
        <is>
          <t>surface_blended_elo</t>
        </is>
      </c>
      <c r="BC718" s="24" t="inlineStr">
        <is>
          <t>tennis-surface-elo-v1</t>
        </is>
      </c>
      <c r="BD718" s="24" t="inlineStr">
        <is>
          <t>d777da58446bc099047b154203518e2585ef1a678f613f2b430f2589f7bf5cff</t>
        </is>
      </c>
      <c r="BE718" s="24" t="inlineStr">
        <is>
          <t>tennis-surface-elo-v1</t>
        </is>
      </c>
      <c r="BF718" s="24" t="inlineStr">
        <is>
          <t>1</t>
        </is>
      </c>
      <c r="BG718" s="24" t="inlineStr">
        <is>
          <t>d777da58446bc099047b154203518e2585ef1a678f613f2b430f2589f7bf5cff</t>
        </is>
      </c>
      <c r="BH718" s="24" t="inlineStr">
        <is>
          <t>2026-08-27T13:56:39.315746Z</t>
        </is>
      </c>
      <c r="BI718" s="24" t="inlineStr">
        <is>
          <t>["same_event","same_team_same_day","same_league_same_day"]</t>
        </is>
      </c>
      <c r="BJ718" s="25" t="n"/>
      <c r="BK718" s="26" t="n">
        <v>-122</v>
      </c>
      <c r="BL718" s="27" t="n">
        <v>1.819672</v>
      </c>
      <c r="BM718" s="28" t="n">
        <v>0.54955</v>
      </c>
      <c r="BN718" s="28" t="n"/>
      <c r="BO718" s="28" t="n"/>
      <c r="BP718" s="25" t="n"/>
      <c r="BQ718" s="27" t="n">
        <v>1.819672</v>
      </c>
      <c r="BR718" s="28" t="n">
        <v>0.55</v>
      </c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inlineStr">
        <is>
          <t>470e4862bb6349e892727ee6fca80b0cbb4a1699a0bff04a84290a2bf2a82870</t>
        </is>
      </c>
      <c r="DE718" s="24" t="inlineStr">
        <is>
          <t>/Users/vincentc9002/model-prediction/data/odds/tennis/2026-08-27/polymarket_snapshots.jsonl</t>
        </is>
      </c>
      <c r="DF718" s="24" t="inlineStr">
        <is>
          <t>534048:2026-08-27T13:56:39.315746Z</t>
        </is>
      </c>
      <c r="DG718" s="24" t="n"/>
      <c r="DH718" s="24" t="n"/>
      <c r="DI718" s="24" t="n"/>
      <c r="DJ718" s="24" t="inlineStr">
        <is>
          <t>0.54955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0e41fa0a4e1a40b5</t>
        </is>
      </c>
      <c r="B719" s="24" t="inlineStr">
        <is>
          <t>2026-08-27T13:58:24.220632Z</t>
        </is>
      </c>
      <c r="C719" s="24" t="inlineStr">
        <is>
          <t>2026-08-27T16:30Z</t>
        </is>
      </c>
      <c r="D719" s="24" t="inlineStr">
        <is>
          <t>189-2026:184816</t>
        </is>
      </c>
      <c r="E719" s="24" t="inlineStr">
        <is>
          <t>TENNIS</t>
        </is>
      </c>
      <c r="F719" s="24" t="inlineStr">
        <is>
          <t>Himeno Sakatsume</t>
        </is>
      </c>
      <c r="G719" s="24" t="inlineStr">
        <is>
          <t>Mia Ristic</t>
        </is>
      </c>
      <c r="H719" s="24" t="inlineStr">
        <is>
          <t>moneyline</t>
        </is>
      </c>
      <c r="I719" s="24" t="inlineStr">
        <is>
          <t>away</t>
        </is>
      </c>
      <c r="J719" s="25" t="n"/>
      <c r="K719" s="24" t="inlineStr">
        <is>
          <t>polymarket_us</t>
        </is>
      </c>
      <c r="L719" s="26" t="n">
        <v>-133</v>
      </c>
      <c r="M719" s="27" t="n">
        <v>1.75188</v>
      </c>
      <c r="N719" s="28" t="n">
        <v>0.570815</v>
      </c>
      <c r="O719" s="28" t="n">
        <v>0.5242</v>
      </c>
      <c r="P719" s="28" t="n">
        <v>0.05</v>
      </c>
      <c r="Q719" s="28" t="n">
        <v>-0.046615</v>
      </c>
      <c r="R719" s="26" t="n">
        <v>0</v>
      </c>
      <c r="S719" s="29" t="n">
        <v>1</v>
      </c>
      <c r="T719" s="24" t="inlineStr">
        <is>
          <t>tennis-surface-elo-v1</t>
        </is>
      </c>
      <c r="U719" s="24" t="inlineStr">
        <is>
          <t>settled</t>
        </is>
      </c>
      <c r="V719" s="24" t="inlineStr">
        <is>
          <t>win</t>
        </is>
      </c>
      <c r="W719" s="26" t="n">
        <v>1</v>
      </c>
      <c r="X719" s="26" t="n">
        <v>0</v>
      </c>
      <c r="Y719" s="25" t="n"/>
      <c r="Z719" s="26" t="n">
        <v>-133</v>
      </c>
      <c r="AA719" s="28" t="n">
        <v>0.57</v>
      </c>
      <c r="AB719" s="28" t="n">
        <v>-0.000815</v>
      </c>
      <c r="AC719" s="30" t="n">
        <v>0.7519</v>
      </c>
      <c r="AD719" s="24" t="inlineStr">
        <is>
          <t>2026-08-29T12:33:09.332403Z</t>
        </is>
      </c>
      <c r="AE719" s="31" t="inlineStr">
        <is>
          <t>Surface-blended Elo on Hard: Himeno Sakatsume p=0.524 vs Mia Ristic. Executable ask 0.5700 (aec-wta-miaris-himsak-2026-08-27).</t>
        </is>
      </c>
      <c r="AF719" s="31" t="inlineStr">
        <is>
          <t>Surface-blended Elo model; singles only, WTA+ATP market coverage, not yet locked-holdout qualified -- promoted by explicit operator directive, not genuine walk-forward validation.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Himeno Sakatsume</t>
        </is>
      </c>
      <c r="AQ719" s="24" t="inlineStr">
        <is>
          <t>Himeno Sakatsume</t>
        </is>
      </c>
      <c r="AR719" s="24" t="inlineStr">
        <is>
          <t>Himeno Sakatsume</t>
        </is>
      </c>
      <c r="AS719" s="24" t="inlineStr">
        <is>
          <t>Mia Ristic</t>
        </is>
      </c>
      <c r="AT719" s="24" t="inlineStr">
        <is>
          <t>Mia Ristic</t>
        </is>
      </c>
      <c r="AU719" s="24" t="inlineStr">
        <is>
          <t>Mia Ristic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d777da58446bc099047b154203518e2585ef1a678f613f2b430f2589f7bf5cff</t>
        </is>
      </c>
      <c r="BB719" s="24" t="inlineStr">
        <is>
          <t>surface_blended_elo</t>
        </is>
      </c>
      <c r="BC719" s="24" t="inlineStr">
        <is>
          <t>tennis-surface-elo-v1</t>
        </is>
      </c>
      <c r="BD719" s="24" t="inlineStr">
        <is>
          <t>d777da58446bc099047b154203518e2585ef1a678f613f2b430f2589f7bf5cff</t>
        </is>
      </c>
      <c r="BE719" s="24" t="inlineStr">
        <is>
          <t>tennis-surface-elo-v1</t>
        </is>
      </c>
      <c r="BF719" s="24" t="inlineStr">
        <is>
          <t>1</t>
        </is>
      </c>
      <c r="BG719" s="24" t="inlineStr">
        <is>
          <t>d777da58446bc099047b154203518e2585ef1a678f613f2b430f2589f7bf5cff</t>
        </is>
      </c>
      <c r="BH719" s="24" t="inlineStr">
        <is>
          <t>2026-08-27T13:56:39.564544Z</t>
        </is>
      </c>
      <c r="BI719" s="24" t="inlineStr">
        <is>
          <t>["same_event","same_team_same_day","same_league_same_day"]</t>
        </is>
      </c>
      <c r="BJ719" s="25" t="n"/>
      <c r="BK719" s="26" t="n">
        <v>-133</v>
      </c>
      <c r="BL719" s="27" t="n">
        <v>1.75188</v>
      </c>
      <c r="BM719" s="28" t="n">
        <v>0.570815</v>
      </c>
      <c r="BN719" s="28" t="n"/>
      <c r="BO719" s="28" t="n"/>
      <c r="BP719" s="25" t="n"/>
      <c r="BQ719" s="27" t="n">
        <v>1.75188</v>
      </c>
      <c r="BR719" s="28" t="n">
        <v>0.57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False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inlineStr">
        <is>
          <t>f09fd13288f26d109ec1c79458731200927ca65a20c7f37127d49b96663bc018</t>
        </is>
      </c>
      <c r="DE719" s="24" t="inlineStr">
        <is>
          <t>/Users/vincentc9002/model-prediction/data/odds/tennis/2026-08-27/polymarket_snapshots.jsonl</t>
        </is>
      </c>
      <c r="DF719" s="24" t="inlineStr">
        <is>
          <t>533474:2026-08-27T13:56:39.564544Z</t>
        </is>
      </c>
      <c r="DG719" s="24" t="n"/>
      <c r="DH719" s="24" t="n"/>
      <c r="DI719" s="24" t="n"/>
      <c r="DJ719" s="24" t="inlineStr">
        <is>
          <t>0.570815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624c2b220ba54751</t>
        </is>
      </c>
      <c r="B720" s="24" t="inlineStr">
        <is>
          <t>2026-08-27T13:58:24.220632Z</t>
        </is>
      </c>
      <c r="C720" s="24" t="inlineStr">
        <is>
          <t>2026-08-27T16:30Z</t>
        </is>
      </c>
      <c r="D720" s="24" t="inlineStr">
        <is>
          <t>189-2026:184820</t>
        </is>
      </c>
      <c r="E720" s="24" t="inlineStr">
        <is>
          <t>TENNIS</t>
        </is>
      </c>
      <c r="F720" s="24" t="inlineStr">
        <is>
          <t>Bianca Andreescu</t>
        </is>
      </c>
      <c r="G720" s="24" t="inlineStr">
        <is>
          <t>Tamara Zidansek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317</v>
      </c>
      <c r="M720" s="27" t="n">
        <v>4.17</v>
      </c>
      <c r="N720" s="28" t="n">
        <v>0.239808</v>
      </c>
      <c r="O720" s="28" t="n">
        <v>0.6338</v>
      </c>
      <c r="P720" s="28" t="n">
        <v>0.05</v>
      </c>
      <c r="Q720" s="28" t="n">
        <v>0.393992</v>
      </c>
      <c r="R720" s="26" t="n">
        <v>100</v>
      </c>
      <c r="S720" s="29" t="n">
        <v>2</v>
      </c>
      <c r="T720" s="24" t="inlineStr">
        <is>
          <t>tennis-surface-elo-v1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1</v>
      </c>
      <c r="Y720" s="25" t="n"/>
      <c r="Z720" s="26" t="n">
        <v>317</v>
      </c>
      <c r="AA720" s="28" t="n">
        <v>0.24</v>
      </c>
      <c r="AB720" s="28" t="n">
        <v>0.000192</v>
      </c>
      <c r="AC720" s="30" t="n">
        <v>6.34</v>
      </c>
      <c r="AD720" s="24" t="inlineStr">
        <is>
          <t>2026-08-29T12:33:11.598230Z</t>
        </is>
      </c>
      <c r="AE720" s="31" t="inlineStr">
        <is>
          <t>Surface-blended Elo on Hard: Bianca Andreescu p=0.366 vs Tamara Zidansek. Executable ask 0.2400 (aec-wta-tamzid-biaand-2026-08-27).</t>
        </is>
      </c>
      <c r="AF720" s="31" t="inlineStr">
        <is>
          <t>Surface-blended Elo model; singles only, WTA+ATP market coverage, not yet locked-holdout qualified -- promoted by explicit operator directive, not genuine walk-forward validation.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Bianca Andreescu</t>
        </is>
      </c>
      <c r="AQ720" s="24" t="inlineStr">
        <is>
          <t>Bianca Andreescu</t>
        </is>
      </c>
      <c r="AR720" s="24" t="inlineStr">
        <is>
          <t>Bianca Andreescu</t>
        </is>
      </c>
      <c r="AS720" s="24" t="inlineStr">
        <is>
          <t>Tamara Zidansek</t>
        </is>
      </c>
      <c r="AT720" s="24" t="inlineStr">
        <is>
          <t>Tamara Zidansek</t>
        </is>
      </c>
      <c r="AU720" s="24" t="inlineStr">
        <is>
          <t>Tamara Zidansek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d777da58446bc099047b154203518e2585ef1a678f613f2b430f2589f7bf5cff</t>
        </is>
      </c>
      <c r="BB720" s="24" t="inlineStr">
        <is>
          <t>surface_blended_elo</t>
        </is>
      </c>
      <c r="BC720" s="24" t="inlineStr">
        <is>
          <t>tennis-surface-elo-v1</t>
        </is>
      </c>
      <c r="BD720" s="24" t="inlineStr">
        <is>
          <t>d777da58446bc099047b154203518e2585ef1a678f613f2b430f2589f7bf5cff</t>
        </is>
      </c>
      <c r="BE720" s="24" t="inlineStr">
        <is>
          <t>tennis-surface-elo-v1</t>
        </is>
      </c>
      <c r="BF720" s="24" t="inlineStr">
        <is>
          <t>1</t>
        </is>
      </c>
      <c r="BG720" s="24" t="inlineStr">
        <is>
          <t>d777da58446bc099047b154203518e2585ef1a678f613f2b430f2589f7bf5cff</t>
        </is>
      </c>
      <c r="BH720" s="24" t="inlineStr">
        <is>
          <t>2026-08-27T13:56:39.777808Z</t>
        </is>
      </c>
      <c r="BI720" s="24" t="inlineStr">
        <is>
          <t>["same_event","same_team_same_day","same_league_same_day"]</t>
        </is>
      </c>
      <c r="BJ720" s="25" t="n"/>
      <c r="BK720" s="26" t="n">
        <v>317</v>
      </c>
      <c r="BL720" s="27" t="n">
        <v>4.17</v>
      </c>
      <c r="BM720" s="28" t="n">
        <v>0.239808</v>
      </c>
      <c r="BN720" s="28" t="n"/>
      <c r="BO720" s="28" t="n"/>
      <c r="BP720" s="25" t="n"/>
      <c r="BQ720" s="27" t="n">
        <v>4.17</v>
      </c>
      <c r="BR720" s="28" t="n">
        <v>0.24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inlineStr">
        <is>
          <t>33246148f1acb47c631ab2d6ec31ab86e70475e2bede712bd0d2da0e5e94ed63</t>
        </is>
      </c>
      <c r="DE720" s="24" t="inlineStr">
        <is>
          <t>/Users/vincentc9002/model-prediction/data/odds/tennis/2026-08-27/polymarket_snapshots.jsonl</t>
        </is>
      </c>
      <c r="DF720" s="24" t="inlineStr">
        <is>
          <t>533866:2026-08-27T13:56:39.777808Z</t>
        </is>
      </c>
      <c r="DG720" s="24" t="n"/>
      <c r="DH720" s="24" t="n"/>
      <c r="DI720" s="24" t="n"/>
      <c r="DJ720" s="24" t="inlineStr">
        <is>
          <t>0.239808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9a1425047fba47ce</t>
        </is>
      </c>
      <c r="B721" s="24" t="inlineStr">
        <is>
          <t>2026-08-27T13:58:24.220632Z</t>
        </is>
      </c>
      <c r="C721" s="24" t="inlineStr">
        <is>
          <t>2026-08-27T17:00Z</t>
        </is>
      </c>
      <c r="D721" s="24" t="inlineStr">
        <is>
          <t>189-2026:184818</t>
        </is>
      </c>
      <c r="E721" s="24" t="inlineStr">
        <is>
          <t>TENNIS</t>
        </is>
      </c>
      <c r="F721" s="24" t="inlineStr">
        <is>
          <t>Harriet Dart</t>
        </is>
      </c>
      <c r="G721" s="24" t="inlineStr">
        <is>
          <t>Heather Watson</t>
        </is>
      </c>
      <c r="H721" s="24" t="inlineStr">
        <is>
          <t>moneyline</t>
        </is>
      </c>
      <c r="I721" s="24" t="inlineStr">
        <is>
          <t>home</t>
        </is>
      </c>
      <c r="J721" s="25" t="n"/>
      <c r="K721" s="24" t="inlineStr">
        <is>
          <t>polymarket_us</t>
        </is>
      </c>
      <c r="L721" s="26" t="n">
        <v>156</v>
      </c>
      <c r="M721" s="27" t="n">
        <v>2.56</v>
      </c>
      <c r="N721" s="28" t="n">
        <v>0.390625</v>
      </c>
      <c r="O721" s="28" t="n">
        <v>0.5033</v>
      </c>
      <c r="P721" s="28" t="n">
        <v>0.05</v>
      </c>
      <c r="Q721" s="28" t="n">
        <v>0.112675</v>
      </c>
      <c r="R721" s="26" t="n">
        <v>76</v>
      </c>
      <c r="S721" s="29" t="n">
        <v>1.5</v>
      </c>
      <c r="T721" s="24" t="inlineStr">
        <is>
          <t>tennis-surface-elo-v1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</v>
      </c>
      <c r="X721" s="26" t="n">
        <v>0</v>
      </c>
      <c r="Y721" s="25" t="n"/>
      <c r="Z721" s="26" t="n">
        <v>156</v>
      </c>
      <c r="AA721" s="28" t="n">
        <v>0.39</v>
      </c>
      <c r="AB721" s="28" t="n">
        <v>-0.000625</v>
      </c>
      <c r="AC721" s="30" t="n">
        <v>-1.5</v>
      </c>
      <c r="AD721" s="24" t="inlineStr">
        <is>
          <t>2026-08-29T12:33:13.880746Z</t>
        </is>
      </c>
      <c r="AE721" s="31" t="inlineStr">
        <is>
          <t>Surface-blended Elo on Hard: Harriet Dart p=0.497 vs Heather Watson. Executable ask 0.3900 (aec-wta-heawat-hardar-2026-08-27).</t>
        </is>
      </c>
      <c r="AF721" s="31" t="inlineStr">
        <is>
          <t>Surface-blended Elo model; singles only, WTA+ATP market coverage, not yet locked-holdout qualified -- promoted by explicit operator directive, not genuine walk-forward validation.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Harriet Dart</t>
        </is>
      </c>
      <c r="AQ721" s="24" t="inlineStr">
        <is>
          <t>Harriet Dart</t>
        </is>
      </c>
      <c r="AR721" s="24" t="inlineStr">
        <is>
          <t>Harriet Dart</t>
        </is>
      </c>
      <c r="AS721" s="24" t="inlineStr">
        <is>
          <t>Heather Watson</t>
        </is>
      </c>
      <c r="AT721" s="24" t="inlineStr">
        <is>
          <t>Heather Watson</t>
        </is>
      </c>
      <c r="AU721" s="24" t="inlineStr">
        <is>
          <t>Heather Watson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d777da58446bc099047b154203518e2585ef1a678f613f2b430f2589f7bf5cff</t>
        </is>
      </c>
      <c r="BB721" s="24" t="inlineStr">
        <is>
          <t>surface_blended_elo</t>
        </is>
      </c>
      <c r="BC721" s="24" t="inlineStr">
        <is>
          <t>tennis-surface-elo-v1</t>
        </is>
      </c>
      <c r="BD721" s="24" t="inlineStr">
        <is>
          <t>d777da58446bc099047b154203518e2585ef1a678f613f2b430f2589f7bf5cff</t>
        </is>
      </c>
      <c r="BE721" s="24" t="inlineStr">
        <is>
          <t>tennis-surface-elo-v1</t>
        </is>
      </c>
      <c r="BF721" s="24" t="inlineStr">
        <is>
          <t>1</t>
        </is>
      </c>
      <c r="BG721" s="24" t="inlineStr">
        <is>
          <t>d777da58446bc099047b154203518e2585ef1a678f613f2b430f2589f7bf5cff</t>
        </is>
      </c>
      <c r="BH721" s="24" t="inlineStr">
        <is>
          <t>2026-08-27T13:56:39.882043Z</t>
        </is>
      </c>
      <c r="BI721" s="24" t="inlineStr">
        <is>
          <t>["same_event","same_team_same_day","same_league_same_day"]</t>
        </is>
      </c>
      <c r="BJ721" s="25" t="n"/>
      <c r="BK721" s="26" t="n">
        <v>156</v>
      </c>
      <c r="BL721" s="27" t="n">
        <v>2.56</v>
      </c>
      <c r="BM721" s="28" t="n">
        <v>0.390625</v>
      </c>
      <c r="BN721" s="28" t="n"/>
      <c r="BO721" s="28" t="n"/>
      <c r="BP721" s="25" t="n"/>
      <c r="BQ721" s="27" t="n">
        <v>2.56</v>
      </c>
      <c r="BR721" s="28" t="n">
        <v>0.39</v>
      </c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inlineStr">
        <is>
          <t>e10ef01ecd563b60364df09f74588af2dd21750a0633630ae6cb9cbcff85b39b</t>
        </is>
      </c>
      <c r="DE721" s="24" t="inlineStr">
        <is>
          <t>/Users/vincentc9002/model-prediction/data/odds/tennis/2026-08-27/polymarket_snapshots.jsonl</t>
        </is>
      </c>
      <c r="DF721" s="24" t="inlineStr">
        <is>
          <t>534117:2026-08-27T13:56:39.882043Z</t>
        </is>
      </c>
      <c r="DG721" s="24" t="n"/>
      <c r="DH721" s="24" t="n"/>
      <c r="DI721" s="24" t="n"/>
      <c r="DJ721" s="24" t="inlineStr">
        <is>
          <t>0.390625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cea7b9a656564ad7</t>
        </is>
      </c>
      <c r="B722" s="24" t="inlineStr">
        <is>
          <t>2026-08-27T13:58:24.220632Z</t>
        </is>
      </c>
      <c r="C722" s="24" t="inlineStr">
        <is>
          <t>2026-08-27T18:00Z</t>
        </is>
      </c>
      <c r="D722" s="24" t="inlineStr">
        <is>
          <t>189-2026:184759</t>
        </is>
      </c>
      <c r="E722" s="24" t="inlineStr">
        <is>
          <t>TENNIS</t>
        </is>
      </c>
      <c r="F722" s="24" t="inlineStr">
        <is>
          <t>Joanna Garland</t>
        </is>
      </c>
      <c r="G722" s="24" t="inlineStr">
        <is>
          <t>Francesca Jones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-156</v>
      </c>
      <c r="M722" s="27" t="n">
        <v>1.641026</v>
      </c>
      <c r="N722" s="28" t="n">
        <v>0.609375</v>
      </c>
      <c r="O722" s="28" t="n">
        <v>0.6297</v>
      </c>
      <c r="P722" s="28" t="n">
        <v>0.05</v>
      </c>
      <c r="Q722" s="28" t="n">
        <v>0.020325</v>
      </c>
      <c r="R722" s="26" t="n">
        <v>30</v>
      </c>
      <c r="S722" s="29" t="n">
        <v>1</v>
      </c>
      <c r="T722" s="24" t="inlineStr">
        <is>
          <t>tennis-surface-elo-v1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-156</v>
      </c>
      <c r="AA722" s="28" t="n">
        <v>0.61</v>
      </c>
      <c r="AB722" s="28" t="n">
        <v>0.000625</v>
      </c>
      <c r="AC722" s="30" t="n">
        <v>0.641</v>
      </c>
      <c r="AD722" s="24" t="inlineStr">
        <is>
          <t>2026-08-29T12:33:16.165615Z</t>
        </is>
      </c>
      <c r="AE722" s="31" t="inlineStr">
        <is>
          <t>Surface-blended Elo on Hard: Joanna Garland p=0.370 vs Francesca Jones. Executable ask 0.6100 (aec-wta-frajon-joagar-2026-08-27).</t>
        </is>
      </c>
      <c r="AF722" s="31" t="inlineStr">
        <is>
          <t>Surface-blended Elo model; singles only, WTA+ATP market coverage, not yet locked-holdout qualified -- promoted by explicit operator directive, not genuine walk-forward validation.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PAPER_CALL_LOW_EDGE</t>
        </is>
      </c>
      <c r="AP722" s="24" t="inlineStr">
        <is>
          <t>Joanna Garland</t>
        </is>
      </c>
      <c r="AQ722" s="24" t="inlineStr">
        <is>
          <t>Joanna Garland</t>
        </is>
      </c>
      <c r="AR722" s="24" t="inlineStr">
        <is>
          <t>Joanna Garland</t>
        </is>
      </c>
      <c r="AS722" s="24" t="inlineStr">
        <is>
          <t>Francesca Jones</t>
        </is>
      </c>
      <c r="AT722" s="24" t="inlineStr">
        <is>
          <t>Francesca Jones</t>
        </is>
      </c>
      <c r="AU722" s="24" t="inlineStr">
        <is>
          <t>Francesca Jones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d777da58446bc099047b154203518e2585ef1a678f613f2b430f2589f7bf5cff</t>
        </is>
      </c>
      <c r="BB722" s="24" t="inlineStr">
        <is>
          <t>surface_blended_elo</t>
        </is>
      </c>
      <c r="BC722" s="24" t="inlineStr">
        <is>
          <t>tennis-surface-elo-v1</t>
        </is>
      </c>
      <c r="BD722" s="24" t="inlineStr">
        <is>
          <t>d777da58446bc099047b154203518e2585ef1a678f613f2b430f2589f7bf5cff</t>
        </is>
      </c>
      <c r="BE722" s="24" t="inlineStr">
        <is>
          <t>tennis-surface-elo-v1</t>
        </is>
      </c>
      <c r="BF722" s="24" t="inlineStr">
        <is>
          <t>1</t>
        </is>
      </c>
      <c r="BG722" s="24" t="inlineStr">
        <is>
          <t>d777da58446bc099047b154203518e2585ef1a678f613f2b430f2589f7bf5cff</t>
        </is>
      </c>
      <c r="BH722" s="24" t="inlineStr">
        <is>
          <t>2026-08-27T13:56:39.981943Z</t>
        </is>
      </c>
      <c r="BI722" s="24" t="inlineStr">
        <is>
          <t>["same_event","same_team_same_day","same_league_same_day"]</t>
        </is>
      </c>
      <c r="BJ722" s="25" t="n"/>
      <c r="BK722" s="26" t="n">
        <v>-156</v>
      </c>
      <c r="BL722" s="27" t="n">
        <v>1.641026</v>
      </c>
      <c r="BM722" s="28" t="n">
        <v>0.609375</v>
      </c>
      <c r="BN722" s="28" t="n"/>
      <c r="BO722" s="28" t="n"/>
      <c r="BP722" s="25" t="n"/>
      <c r="BQ722" s="27" t="n">
        <v>1.641026</v>
      </c>
      <c r="BR722" s="28" t="n">
        <v>0.61</v>
      </c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inlineStr">
        <is>
          <t>a557b7bf140ad61acf239e0c16a803c110ca7ac936d10e969d612ada2a81fbe7</t>
        </is>
      </c>
      <c r="DE722" s="24" t="inlineStr">
        <is>
          <t>/Users/vincentc9002/model-prediction/data/odds/tennis/2026-08-27/polymarket_snapshots.jsonl</t>
        </is>
      </c>
      <c r="DF722" s="24" t="inlineStr">
        <is>
          <t>534311:2026-08-27T13:56:39.981943Z</t>
        </is>
      </c>
      <c r="DG722" s="24" t="n"/>
      <c r="DH722" s="24" t="n"/>
      <c r="DI722" s="24" t="n"/>
      <c r="DJ722" s="24" t="inlineStr">
        <is>
          <t>0.609375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c33cf7fd38fc4c3e</t>
        </is>
      </c>
      <c r="B723" s="24" t="inlineStr">
        <is>
          <t>2026-08-27T13:58:24.220632Z</t>
        </is>
      </c>
      <c r="C723" s="24" t="inlineStr">
        <is>
          <t>2026-08-27T18:00Z</t>
        </is>
      </c>
      <c r="D723" s="24" t="inlineStr">
        <is>
          <t>189-2026:184807</t>
        </is>
      </c>
      <c r="E723" s="24" t="inlineStr">
        <is>
          <t>TENNIS</t>
        </is>
      </c>
      <c r="F723" s="24" t="inlineStr">
        <is>
          <t>Storm Hunter</t>
        </is>
      </c>
      <c r="G723" s="24" t="inlineStr">
        <is>
          <t>Darja Semenistaja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-178</v>
      </c>
      <c r="M723" s="27" t="n">
        <v>1.561798</v>
      </c>
      <c r="N723" s="28" t="n">
        <v>0.640288</v>
      </c>
      <c r="O723" s="28" t="n">
        <v>0.5254</v>
      </c>
      <c r="P723" s="28" t="n">
        <v>0.05</v>
      </c>
      <c r="Q723" s="28" t="n">
        <v>-0.114888</v>
      </c>
      <c r="R723" s="26" t="n">
        <v>0</v>
      </c>
      <c r="S723" s="29" t="n">
        <v>1</v>
      </c>
      <c r="T723" s="24" t="inlineStr">
        <is>
          <t>tennis-surface-elo-v1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>
        <v>-178</v>
      </c>
      <c r="AA723" s="28" t="n">
        <v>0.64</v>
      </c>
      <c r="AB723" s="28" t="n">
        <v>-0.000288</v>
      </c>
      <c r="AC723" s="30" t="n">
        <v>0.5618</v>
      </c>
      <c r="AD723" s="24" t="inlineStr">
        <is>
          <t>2026-08-29T12:33:18.502144Z</t>
        </is>
      </c>
      <c r="AE723" s="31" t="inlineStr">
        <is>
          <t>Surface-blended Elo on Hard: Storm Hunter p=0.525 vs Darja Semenistaja. Executable ask 0.6400 (aec-wta-darsem-stohun-2026-08-27).</t>
        </is>
      </c>
      <c r="AF723" s="31" t="inlineStr">
        <is>
          <t>Surface-blended Elo model; singles only, WTA+ATP market coverage, not yet locked-holdout qualified -- promoted by explicit operator directive, not genuine walk-forward validation.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Storm Hunter</t>
        </is>
      </c>
      <c r="AQ723" s="24" t="inlineStr">
        <is>
          <t>Storm Hunter</t>
        </is>
      </c>
      <c r="AR723" s="24" t="inlineStr">
        <is>
          <t>Storm Hunter</t>
        </is>
      </c>
      <c r="AS723" s="24" t="inlineStr">
        <is>
          <t>Darja Semenistaja</t>
        </is>
      </c>
      <c r="AT723" s="24" t="inlineStr">
        <is>
          <t>Darja Semenistaja</t>
        </is>
      </c>
      <c r="AU723" s="24" t="inlineStr">
        <is>
          <t>Darja Semenistaja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d777da58446bc099047b154203518e2585ef1a678f613f2b430f2589f7bf5cff</t>
        </is>
      </c>
      <c r="BB723" s="24" t="inlineStr">
        <is>
          <t>surface_blended_elo</t>
        </is>
      </c>
      <c r="BC723" s="24" t="inlineStr">
        <is>
          <t>tennis-surface-elo-v1</t>
        </is>
      </c>
      <c r="BD723" s="24" t="inlineStr">
        <is>
          <t>d777da58446bc099047b154203518e2585ef1a678f613f2b430f2589f7bf5cff</t>
        </is>
      </c>
      <c r="BE723" s="24" t="inlineStr">
        <is>
          <t>tennis-surface-elo-v1</t>
        </is>
      </c>
      <c r="BF723" s="24" t="inlineStr">
        <is>
          <t>1</t>
        </is>
      </c>
      <c r="BG723" s="24" t="inlineStr">
        <is>
          <t>d777da58446bc099047b154203518e2585ef1a678f613f2b430f2589f7bf5cff</t>
        </is>
      </c>
      <c r="BH723" s="24" t="inlineStr">
        <is>
          <t>2026-08-27T13:56:40.140965Z</t>
        </is>
      </c>
      <c r="BI723" s="24" t="inlineStr">
        <is>
          <t>["same_event","same_team_same_day","same_league_same_day"]</t>
        </is>
      </c>
      <c r="BJ723" s="25" t="n"/>
      <c r="BK723" s="26" t="n">
        <v>-178</v>
      </c>
      <c r="BL723" s="27" t="n">
        <v>1.561798</v>
      </c>
      <c r="BM723" s="28" t="n">
        <v>0.640288</v>
      </c>
      <c r="BN723" s="28" t="n"/>
      <c r="BO723" s="28" t="n"/>
      <c r="BP723" s="25" t="n"/>
      <c r="BQ723" s="27" t="n">
        <v>1.561798</v>
      </c>
      <c r="BR723" s="28" t="n">
        <v>0.64</v>
      </c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inlineStr">
        <is>
          <t>94fffe0a4177af8828030b259d6d2d94392fb3fa1abdb27ab038dce5bdfc5a20</t>
        </is>
      </c>
      <c r="DE723" s="24" t="inlineStr">
        <is>
          <t>/Users/vincentc9002/model-prediction/data/odds/tennis/2026-08-27/polymarket_snapshots.jsonl</t>
        </is>
      </c>
      <c r="DF723" s="24" t="inlineStr">
        <is>
          <t>535210:2026-08-27T13:56:40.140965Z</t>
        </is>
      </c>
      <c r="DG723" s="24" t="n"/>
      <c r="DH723" s="24" t="n"/>
      <c r="DI723" s="24" t="n"/>
      <c r="DJ723" s="24" t="inlineStr">
        <is>
          <t>0.640288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b2b7df20921a4790</t>
        </is>
      </c>
      <c r="B724" s="24" t="inlineStr">
        <is>
          <t>2026-08-27T13:58:24.220632Z</t>
        </is>
      </c>
      <c r="C724" s="24" t="inlineStr">
        <is>
          <t>2026-08-27T18:00Z</t>
        </is>
      </c>
      <c r="D724" s="24" t="inlineStr">
        <is>
          <t>189-2026:184812</t>
        </is>
      </c>
      <c r="E724" s="24" t="inlineStr">
        <is>
          <t>TENNIS</t>
        </is>
      </c>
      <c r="F724" s="24" t="inlineStr">
        <is>
          <t>Vendula Valdmannova</t>
        </is>
      </c>
      <c r="G724" s="24" t="inlineStr">
        <is>
          <t>Elvina Kalieva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-117</v>
      </c>
      <c r="M724" s="27" t="n">
        <v>1.854701</v>
      </c>
      <c r="N724" s="28" t="n">
        <v>0.539171</v>
      </c>
      <c r="O724" s="28" t="n">
        <v>0.5304</v>
      </c>
      <c r="P724" s="28" t="n">
        <v>0.05</v>
      </c>
      <c r="Q724" s="28" t="n">
        <v>-0.008770999999999999</v>
      </c>
      <c r="R724" s="26" t="n">
        <v>16</v>
      </c>
      <c r="S724" s="29" t="n">
        <v>1</v>
      </c>
      <c r="T724" s="24" t="inlineStr">
        <is>
          <t>tennis-surface-elo-v1</t>
        </is>
      </c>
      <c r="U724" s="24" t="inlineStr">
        <is>
          <t>settled</t>
        </is>
      </c>
      <c r="V724" s="24" t="inlineStr">
        <is>
          <t>loss</t>
        </is>
      </c>
      <c r="W724" s="26" t="n">
        <v>0</v>
      </c>
      <c r="X724" s="26" t="n">
        <v>1</v>
      </c>
      <c r="Y724" s="25" t="n"/>
      <c r="Z724" s="26" t="n">
        <v>-117</v>
      </c>
      <c r="AA724" s="28" t="n">
        <v>0.54</v>
      </c>
      <c r="AB724" s="28" t="n">
        <v>0.000829</v>
      </c>
      <c r="AC724" s="30" t="n">
        <v>-1</v>
      </c>
      <c r="AD724" s="24" t="inlineStr">
        <is>
          <t>2026-08-29T12:33:20.739355Z</t>
        </is>
      </c>
      <c r="AE724" s="31" t="inlineStr">
        <is>
          <t>Surface-blended Elo on Hard: Vendula Valdmannova p=0.530 vs Elvina Kalieva. Executable ask 0.5400 (aec-wta-elvkal-venval-2026-08-27).</t>
        </is>
      </c>
      <c r="AF724" s="31" t="inlineStr">
        <is>
          <t>Surface-blended Elo model; singles only, WTA+ATP market coverage, not yet locked-holdout qualified -- promoted by explicit operator directive, not genuine walk-forward validation.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Vendula Valdmannova</t>
        </is>
      </c>
      <c r="AQ724" s="24" t="inlineStr">
        <is>
          <t>Vendula Valdmannova</t>
        </is>
      </c>
      <c r="AR724" s="24" t="inlineStr">
        <is>
          <t>Vendula Valdmannova</t>
        </is>
      </c>
      <c r="AS724" s="24" t="inlineStr">
        <is>
          <t>Elvina Kalieva</t>
        </is>
      </c>
      <c r="AT724" s="24" t="inlineStr">
        <is>
          <t>Elvina Kalieva</t>
        </is>
      </c>
      <c r="AU724" s="24" t="inlineStr">
        <is>
          <t>Elvina Kalieva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d777da58446bc099047b154203518e2585ef1a678f613f2b430f2589f7bf5cff</t>
        </is>
      </c>
      <c r="BB724" s="24" t="inlineStr">
        <is>
          <t>surface_blended_elo</t>
        </is>
      </c>
      <c r="BC724" s="24" t="inlineStr">
        <is>
          <t>tennis-surface-elo-v1</t>
        </is>
      </c>
      <c r="BD724" s="24" t="inlineStr">
        <is>
          <t>d777da58446bc099047b154203518e2585ef1a678f613f2b430f2589f7bf5cff</t>
        </is>
      </c>
      <c r="BE724" s="24" t="inlineStr">
        <is>
          <t>tennis-surface-elo-v1</t>
        </is>
      </c>
      <c r="BF724" s="24" t="inlineStr">
        <is>
          <t>1</t>
        </is>
      </c>
      <c r="BG724" s="24" t="inlineStr">
        <is>
          <t>d777da58446bc099047b154203518e2585ef1a678f613f2b430f2589f7bf5cff</t>
        </is>
      </c>
      <c r="BH724" s="24" t="inlineStr">
        <is>
          <t>2026-08-27T13:56:40.186066Z</t>
        </is>
      </c>
      <c r="BI724" s="24" t="inlineStr">
        <is>
          <t>["same_event","same_team_same_day","same_league_same_day"]</t>
        </is>
      </c>
      <c r="BJ724" s="25" t="n"/>
      <c r="BK724" s="26" t="n">
        <v>-117</v>
      </c>
      <c r="BL724" s="27" t="n">
        <v>1.854701</v>
      </c>
      <c r="BM724" s="28" t="n">
        <v>0.539171</v>
      </c>
      <c r="BN724" s="28" t="n"/>
      <c r="BO724" s="28" t="n"/>
      <c r="BP724" s="25" t="n"/>
      <c r="BQ724" s="27" t="n">
        <v>1.854701</v>
      </c>
      <c r="BR724" s="28" t="n">
        <v>0.54</v>
      </c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inlineStr">
        <is>
          <t>952b833748871f6d2ccf24363409bbc21195d0327cefd62ae8eb6f51c9fd8508</t>
        </is>
      </c>
      <c r="DE724" s="24" t="inlineStr">
        <is>
          <t>/Users/vincentc9002/model-prediction/data/odds/tennis/2026-08-27/polymarket_snapshots.jsonl</t>
        </is>
      </c>
      <c r="DF724" s="24" t="inlineStr">
        <is>
          <t>535243:2026-08-27T13:56:40.186066Z</t>
        </is>
      </c>
      <c r="DG724" s="24" t="n"/>
      <c r="DH724" s="24" t="n"/>
      <c r="DI724" s="24" t="n"/>
      <c r="DJ724" s="24" t="inlineStr">
        <is>
          <t>0.539171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7be2e2a344c349b7</t>
        </is>
      </c>
      <c r="B725" s="24" t="inlineStr">
        <is>
          <t>2026-08-27T13:58:24.220632Z</t>
        </is>
      </c>
      <c r="C725" s="24" t="inlineStr">
        <is>
          <t>2026-08-27T18:00Z</t>
        </is>
      </c>
      <c r="D725" s="24" t="inlineStr">
        <is>
          <t>189-2026:184814</t>
        </is>
      </c>
      <c r="E725" s="24" t="inlineStr">
        <is>
          <t>TENNIS</t>
        </is>
      </c>
      <c r="F725" s="24" t="inlineStr">
        <is>
          <t>Martyna Kubka</t>
        </is>
      </c>
      <c r="G725" s="24" t="inlineStr">
        <is>
          <t>Kristina Liutova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-300</v>
      </c>
      <c r="M725" s="27" t="n">
        <v>1.333333</v>
      </c>
      <c r="N725" s="28" t="n">
        <v>0.75</v>
      </c>
      <c r="O725" s="28" t="n">
        <v>0.5819</v>
      </c>
      <c r="P725" s="28" t="n">
        <v>0.05</v>
      </c>
      <c r="Q725" s="28" t="n">
        <v>-0.1681</v>
      </c>
      <c r="R725" s="26" t="n">
        <v>0</v>
      </c>
      <c r="S725" s="29" t="n">
        <v>1</v>
      </c>
      <c r="T725" s="24" t="inlineStr">
        <is>
          <t>tennis-surface-elo-v1</t>
        </is>
      </c>
      <c r="U725" s="24" t="inlineStr">
        <is>
          <t>settled</t>
        </is>
      </c>
      <c r="V725" s="24" t="inlineStr">
        <is>
          <t>win</t>
        </is>
      </c>
      <c r="W725" s="26" t="n">
        <v>0</v>
      </c>
      <c r="X725" s="26" t="n">
        <v>1</v>
      </c>
      <c r="Y725" s="25" t="n"/>
      <c r="Z725" s="26" t="n">
        <v>-300</v>
      </c>
      <c r="AA725" s="28" t="n">
        <v>0.75</v>
      </c>
      <c r="AB725" s="28" t="n">
        <v>0</v>
      </c>
      <c r="AC725" s="30" t="n">
        <v>0.3333</v>
      </c>
      <c r="AD725" s="24" t="inlineStr">
        <is>
          <t>2026-08-29T12:33:23.019753Z</t>
        </is>
      </c>
      <c r="AE725" s="31" t="inlineStr">
        <is>
          <t>Surface-blended Elo on Hard: Martyna Kubka p=0.418 vs Kristina Liutova. Executable ask 0.7500 (aec-wta-kriliu-markub-2026-08-28).</t>
        </is>
      </c>
      <c r="AF725" s="31" t="inlineStr">
        <is>
          <t>Surface-blended Elo model; singles only, WTA+ATP market coverage, not yet locked-holdout qualified -- promoted by explicit operator directive, not genuine walk-forward validation.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PAPER_CALL_MODEL_UNVALIDATED</t>
        </is>
      </c>
      <c r="AP725" s="24" t="inlineStr">
        <is>
          <t>Martyna Kubka</t>
        </is>
      </c>
      <c r="AQ725" s="24" t="inlineStr">
        <is>
          <t>Martyna Kubka</t>
        </is>
      </c>
      <c r="AR725" s="24" t="inlineStr">
        <is>
          <t>Martyna Kubka</t>
        </is>
      </c>
      <c r="AS725" s="24" t="inlineStr">
        <is>
          <t>Kristina Liutova</t>
        </is>
      </c>
      <c r="AT725" s="24" t="inlineStr">
        <is>
          <t>Kristina Liutova</t>
        </is>
      </c>
      <c r="AU725" s="24" t="inlineStr">
        <is>
          <t>Kristina Liutova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d777da58446bc099047b154203518e2585ef1a678f613f2b430f2589f7bf5cff</t>
        </is>
      </c>
      <c r="BB725" s="24" t="inlineStr">
        <is>
          <t>surface_blended_elo</t>
        </is>
      </c>
      <c r="BC725" s="24" t="inlineStr">
        <is>
          <t>tennis-surface-elo-v1</t>
        </is>
      </c>
      <c r="BD725" s="24" t="inlineStr">
        <is>
          <t>d777da58446bc099047b154203518e2585ef1a678f613f2b430f2589f7bf5cff</t>
        </is>
      </c>
      <c r="BE725" s="24" t="inlineStr">
        <is>
          <t>tennis-surface-elo-v1</t>
        </is>
      </c>
      <c r="BF725" s="24" t="inlineStr">
        <is>
          <t>1</t>
        </is>
      </c>
      <c r="BG725" s="24" t="inlineStr">
        <is>
          <t>d777da58446bc099047b154203518e2585ef1a678f613f2b430f2589f7bf5cff</t>
        </is>
      </c>
      <c r="BH725" s="24" t="inlineStr">
        <is>
          <t>2026-08-27T13:56:40.076610Z</t>
        </is>
      </c>
      <c r="BI725" s="24" t="inlineStr">
        <is>
          <t>["same_event","same_team_same_day","same_league_same_day"]</t>
        </is>
      </c>
      <c r="BJ725" s="25" t="n"/>
      <c r="BK725" s="26" t="n">
        <v>-300</v>
      </c>
      <c r="BL725" s="27" t="n">
        <v>1.333333</v>
      </c>
      <c r="BM725" s="28" t="n">
        <v>0.75</v>
      </c>
      <c r="BN725" s="28" t="n"/>
      <c r="BO725" s="28" t="n"/>
      <c r="BP725" s="25" t="n"/>
      <c r="BQ725" s="27" t="n">
        <v>1.333333</v>
      </c>
      <c r="BR725" s="28" t="n">
        <v>0.75</v>
      </c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False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inlineStr">
        <is>
          <t>e7df79559b5df4ad4cf87957bfdc1ee0bf12f0cc7ff1b759444599a4f0353ff9</t>
        </is>
      </c>
      <c r="DE725" s="24" t="inlineStr">
        <is>
          <t>/Users/vincentc9002/model-prediction/data/odds/tennis/2026-08-27/polymarket_snapshots.jsonl</t>
        </is>
      </c>
      <c r="DF725" s="24" t="inlineStr">
        <is>
          <t>535047:2026-08-27T13:56:40.076610Z</t>
        </is>
      </c>
      <c r="DG725" s="24" t="n"/>
      <c r="DH725" s="24" t="n"/>
      <c r="DI725" s="24" t="n"/>
      <c r="DJ725" s="24" t="inlineStr">
        <is>
          <t>0.75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cfbeb835319d431b</t>
        </is>
      </c>
      <c r="B726" s="24" t="inlineStr">
        <is>
          <t>2026-08-27T13:58:24.220632Z</t>
        </is>
      </c>
      <c r="C726" s="24" t="inlineStr">
        <is>
          <t>2026-08-27T15:00Z</t>
        </is>
      </c>
      <c r="D726" s="24" t="inlineStr">
        <is>
          <t>189-2026:184679</t>
        </is>
      </c>
      <c r="E726" s="24" t="inlineStr">
        <is>
          <t>TENNIS</t>
        </is>
      </c>
      <c r="F726" s="24" t="inlineStr">
        <is>
          <t>Jurij Rodionov</t>
        </is>
      </c>
      <c r="G726" s="24" t="inlineStr">
        <is>
          <t>Jacob Fearnley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-245</v>
      </c>
      <c r="M726" s="27" t="n">
        <v>1.408163</v>
      </c>
      <c r="N726" s="28" t="n">
        <v>0.710145</v>
      </c>
      <c r="O726" s="28" t="n">
        <v>0.5343</v>
      </c>
      <c r="P726" s="28" t="n">
        <v>0.05</v>
      </c>
      <c r="Q726" s="28" t="n">
        <v>-0.175845</v>
      </c>
      <c r="R726" s="26" t="n">
        <v>0</v>
      </c>
      <c r="S726" s="29" t="n">
        <v>1</v>
      </c>
      <c r="T726" s="24" t="inlineStr">
        <is>
          <t>tennis-surface-elo-v1</t>
        </is>
      </c>
      <c r="U726" s="24" t="inlineStr">
        <is>
          <t>settled</t>
        </is>
      </c>
      <c r="V726" s="24" t="inlineStr">
        <is>
          <t>loss</t>
        </is>
      </c>
      <c r="W726" s="26" t="n">
        <v>1</v>
      </c>
      <c r="X726" s="26" t="n">
        <v>0</v>
      </c>
      <c r="Y726" s="25" t="n"/>
      <c r="Z726" s="26" t="n">
        <v>-245</v>
      </c>
      <c r="AA726" s="28" t="n">
        <v>0.71</v>
      </c>
      <c r="AB726" s="28" t="n">
        <v>-0.000145</v>
      </c>
      <c r="AC726" s="30" t="n">
        <v>-1</v>
      </c>
      <c r="AD726" s="24" t="inlineStr">
        <is>
          <t>2026-08-29T12:33:25.288964Z</t>
        </is>
      </c>
      <c r="AE726" s="31" t="inlineStr">
        <is>
          <t>Surface-blended Elo on Hard: Jurij Rodionov p=0.466 vs Jacob Fearnley. Executable ask 0.7100 (aec-atp-jacfea-jurrod-2026-08-27).</t>
        </is>
      </c>
      <c r="AF726" s="31" t="inlineStr">
        <is>
          <t>Surface-blended Elo model; singles only, WTA+ATP market coverage, not yet locked-holdout qualified -- promoted by explicit operator directive, not genuine walk-forward validation.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Jurij Rodionov</t>
        </is>
      </c>
      <c r="AQ726" s="24" t="inlineStr">
        <is>
          <t>Jurij Rodionov</t>
        </is>
      </c>
      <c r="AR726" s="24" t="inlineStr">
        <is>
          <t>Jurij Rodionov</t>
        </is>
      </c>
      <c r="AS726" s="24" t="inlineStr">
        <is>
          <t>Jacob Fearnley</t>
        </is>
      </c>
      <c r="AT726" s="24" t="inlineStr">
        <is>
          <t>Jacob Fearnley</t>
        </is>
      </c>
      <c r="AU726" s="24" t="inlineStr">
        <is>
          <t>Jacob Fearnley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d777da58446bc099047b154203518e2585ef1a678f613f2b430f2589f7bf5cff</t>
        </is>
      </c>
      <c r="BB726" s="24" t="inlineStr">
        <is>
          <t>surface_blended_elo</t>
        </is>
      </c>
      <c r="BC726" s="24" t="inlineStr">
        <is>
          <t>tennis-surface-elo-v1</t>
        </is>
      </c>
      <c r="BD726" s="24" t="inlineStr">
        <is>
          <t>d777da58446bc099047b154203518e2585ef1a678f613f2b430f2589f7bf5cff</t>
        </is>
      </c>
      <c r="BE726" s="24" t="inlineStr">
        <is>
          <t>tennis-surface-elo-v1</t>
        </is>
      </c>
      <c r="BF726" s="24" t="inlineStr">
        <is>
          <t>1</t>
        </is>
      </c>
      <c r="BG726" s="24" t="inlineStr">
        <is>
          <t>d777da58446bc099047b154203518e2585ef1a678f613f2b430f2589f7bf5cff</t>
        </is>
      </c>
      <c r="BH726" s="24" t="inlineStr">
        <is>
          <t>2026-08-27T13:57:07.203680Z</t>
        </is>
      </c>
      <c r="BI726" s="24" t="inlineStr">
        <is>
          <t>["same_event","same_team_same_day","same_league_same_day"]</t>
        </is>
      </c>
      <c r="BJ726" s="25" t="n"/>
      <c r="BK726" s="26" t="n">
        <v>-245</v>
      </c>
      <c r="BL726" s="27" t="n">
        <v>1.408163</v>
      </c>
      <c r="BM726" s="28" t="n">
        <v>0.710145</v>
      </c>
      <c r="BN726" s="28" t="n"/>
      <c r="BO726" s="28" t="n"/>
      <c r="BP726" s="25" t="n"/>
      <c r="BQ726" s="27" t="n">
        <v>1.408163</v>
      </c>
      <c r="BR726" s="28" t="n">
        <v>0.71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inlineStr">
        <is>
          <t>0db7454105651c507e92d823b0ef8445893d51ce3768833d71af7a0394d2a7d9</t>
        </is>
      </c>
      <c r="DE726" s="24" t="inlineStr">
        <is>
          <t>/Users/vincentc9002/model-prediction/data/odds/tennis/2026-08-27/polymarket_snapshots.jsonl</t>
        </is>
      </c>
      <c r="DF726" s="24" t="inlineStr">
        <is>
          <t>531136:2026-08-27T13:57:07.203680Z</t>
        </is>
      </c>
      <c r="DG726" s="24" t="n"/>
      <c r="DH726" s="24" t="n"/>
      <c r="DI726" s="24" t="n"/>
      <c r="DJ726" s="24" t="inlineStr">
        <is>
          <t>0.710145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a198ccda558f4184</t>
        </is>
      </c>
      <c r="B727" s="24" t="inlineStr">
        <is>
          <t>2026-08-27T13:58:24.220632Z</t>
        </is>
      </c>
      <c r="C727" s="24" t="inlineStr">
        <is>
          <t>2026-08-27T15:00Z</t>
        </is>
      </c>
      <c r="D727" s="24" t="inlineStr">
        <is>
          <t>189-2026:184683</t>
        </is>
      </c>
      <c r="E727" s="24" t="inlineStr">
        <is>
          <t>TENNIS</t>
        </is>
      </c>
      <c r="F727" s="24" t="inlineStr">
        <is>
          <t>Dusan Lajovic</t>
        </is>
      </c>
      <c r="G727" s="24" t="inlineStr">
        <is>
          <t>Chak Lam Coleman Wong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-203</v>
      </c>
      <c r="M727" s="27" t="n">
        <v>1.492611</v>
      </c>
      <c r="N727" s="28" t="n">
        <v>0.669967</v>
      </c>
      <c r="O727" s="28" t="n">
        <v>0.5788</v>
      </c>
      <c r="P727" s="28" t="n">
        <v>0.05</v>
      </c>
      <c r="Q727" s="28" t="n">
        <v>-0.091167</v>
      </c>
      <c r="R727" s="26" t="n">
        <v>0</v>
      </c>
      <c r="S727" s="29" t="n">
        <v>1</v>
      </c>
      <c r="T727" s="24" t="inlineStr">
        <is>
          <t>tennis-surface-elo-v1</t>
        </is>
      </c>
      <c r="U727" s="24" t="inlineStr">
        <is>
          <t>settled</t>
        </is>
      </c>
      <c r="V727" s="24" t="inlineStr">
        <is>
          <t>win</t>
        </is>
      </c>
      <c r="W727" s="26" t="n">
        <v>0</v>
      </c>
      <c r="X727" s="26" t="n">
        <v>1</v>
      </c>
      <c r="Y727" s="25" t="n"/>
      <c r="Z727" s="26" t="n">
        <v>-203</v>
      </c>
      <c r="AA727" s="28" t="n">
        <v>0.67</v>
      </c>
      <c r="AB727" s="28" t="n">
        <v>3.3e-05</v>
      </c>
      <c r="AC727" s="30" t="n">
        <v>0.4926</v>
      </c>
      <c r="AD727" s="24" t="inlineStr">
        <is>
          <t>2026-08-27T21:48:21.324246Z</t>
        </is>
      </c>
      <c r="AE727" s="31" t="inlineStr">
        <is>
          <t>Surface-blended Elo on Hard: Dusan Lajovic p=0.421 vs Chak Lam Coleman Wong. Executable ask 0.6700 (aec-atp-colwon-duslaj-2026-08-27).</t>
        </is>
      </c>
      <c r="AF727" s="31" t="inlineStr">
        <is>
          <t>Surface-blended Elo model; singles only, WTA+ATP market coverage, not yet locked-holdout qualified -- promoted by explicit operator directive, not genuine walk-forward validation.</t>
        </is>
      </c>
      <c r="AG727" s="24" t="inlineStr">
        <is>
          <t>not_applicable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Dusan Lajovic</t>
        </is>
      </c>
      <c r="AQ727" s="24" t="inlineStr">
        <is>
          <t>Dusan Lajovic</t>
        </is>
      </c>
      <c r="AR727" s="24" t="inlineStr">
        <is>
          <t>Dusan Lajovic</t>
        </is>
      </c>
      <c r="AS727" s="24" t="inlineStr">
        <is>
          <t>Chak Lam Coleman Wong</t>
        </is>
      </c>
      <c r="AT727" s="24" t="inlineStr">
        <is>
          <t>Chak Lam Coleman Wong</t>
        </is>
      </c>
      <c r="AU727" s="24" t="inlineStr">
        <is>
          <t>Chak Lam Coleman Wong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d777da58446bc099047b154203518e2585ef1a678f613f2b430f2589f7bf5cff</t>
        </is>
      </c>
      <c r="BB727" s="24" t="inlineStr">
        <is>
          <t>surface_blended_elo</t>
        </is>
      </c>
      <c r="BC727" s="24" t="inlineStr">
        <is>
          <t>tennis-surface-elo-v1</t>
        </is>
      </c>
      <c r="BD727" s="24" t="inlineStr">
        <is>
          <t>d777da58446bc099047b154203518e2585ef1a678f613f2b430f2589f7bf5cff</t>
        </is>
      </c>
      <c r="BE727" s="24" t="inlineStr">
        <is>
          <t>tennis-surface-elo-v1</t>
        </is>
      </c>
      <c r="BF727" s="24" t="inlineStr">
        <is>
          <t>1</t>
        </is>
      </c>
      <c r="BG727" s="24" t="inlineStr">
        <is>
          <t>d777da58446bc099047b154203518e2585ef1a678f613f2b430f2589f7bf5cff</t>
        </is>
      </c>
      <c r="BH727" s="24" t="inlineStr">
        <is>
          <t>2026-08-27T13:56:40.358056Z</t>
        </is>
      </c>
      <c r="BI727" s="24" t="inlineStr">
        <is>
          <t>["same_event","same_team_same_day","same_league_same_day"]</t>
        </is>
      </c>
      <c r="BJ727" s="25" t="n"/>
      <c r="BK727" s="26" t="n">
        <v>-203</v>
      </c>
      <c r="BL727" s="27" t="n">
        <v>1.492611</v>
      </c>
      <c r="BM727" s="28" t="n">
        <v>0.669967</v>
      </c>
      <c r="BN727" s="28" t="n"/>
      <c r="BO727" s="28" t="n"/>
      <c r="BP727" s="25" t="n"/>
      <c r="BQ727" s="27" t="n">
        <v>1.492611</v>
      </c>
      <c r="BR727" s="28" t="n">
        <v>0.67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inlineStr">
        <is>
          <t>f017156f77dd3987588cf262df9bd5239010470390bc5ca0d7e2e29eca3875a7</t>
        </is>
      </c>
      <c r="DE727" s="24" t="inlineStr">
        <is>
          <t>/Users/vincentc9002/model-prediction/data/odds/tennis/2026-08-27/polymarket_snapshots.jsonl</t>
        </is>
      </c>
      <c r="DF727" s="24" t="inlineStr">
        <is>
          <t>531941:2026-08-27T13:56:40.358056Z</t>
        </is>
      </c>
      <c r="DG727" s="24" t="n"/>
      <c r="DH727" s="24" t="n"/>
      <c r="DI727" s="24" t="n"/>
      <c r="DJ727" s="24" t="inlineStr">
        <is>
          <t>0.669967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bb155dcd1e7c4e65</t>
        </is>
      </c>
      <c r="B728" s="24" t="inlineStr">
        <is>
          <t>2026-08-27T13:58:24.220632Z</t>
        </is>
      </c>
      <c r="C728" s="24" t="inlineStr">
        <is>
          <t>2026-08-27T15:00Z</t>
        </is>
      </c>
      <c r="D728" s="24" t="inlineStr">
        <is>
          <t>189-2026:184686</t>
        </is>
      </c>
      <c r="E728" s="24" t="inlineStr">
        <is>
          <t>TENNIS</t>
        </is>
      </c>
      <c r="F728" s="24" t="inlineStr">
        <is>
          <t>Cristian Garin</t>
        </is>
      </c>
      <c r="G728" s="24" t="inlineStr">
        <is>
          <t>Toby Samuel</t>
        </is>
      </c>
      <c r="H728" s="24" t="inlineStr">
        <is>
          <t>moneyline</t>
        </is>
      </c>
      <c r="I728" s="24" t="inlineStr">
        <is>
          <t>home</t>
        </is>
      </c>
      <c r="J728" s="25" t="n"/>
      <c r="K728" s="24" t="inlineStr">
        <is>
          <t>polymarket_us</t>
        </is>
      </c>
      <c r="L728" s="26" t="n">
        <v>-213</v>
      </c>
      <c r="M728" s="27" t="n">
        <v>1.469484</v>
      </c>
      <c r="N728" s="28" t="n">
        <v>0.680511</v>
      </c>
      <c r="O728" s="28" t="n">
        <v>0.6185</v>
      </c>
      <c r="P728" s="28" t="n">
        <v>0.05</v>
      </c>
      <c r="Q728" s="28" t="n">
        <v>-0.062011</v>
      </c>
      <c r="R728" s="26" t="n">
        <v>0</v>
      </c>
      <c r="S728" s="29" t="n">
        <v>1</v>
      </c>
      <c r="T728" s="24" t="inlineStr">
        <is>
          <t>tennis-surface-elo-v1</t>
        </is>
      </c>
      <c r="U728" s="24" t="inlineStr">
        <is>
          <t>settled</t>
        </is>
      </c>
      <c r="V728" s="24" t="inlineStr">
        <is>
          <t>win</t>
        </is>
      </c>
      <c r="W728" s="26" t="n">
        <v>0</v>
      </c>
      <c r="X728" s="26" t="n">
        <v>1</v>
      </c>
      <c r="Y728" s="25" t="n"/>
      <c r="Z728" s="26" t="n">
        <v>-213</v>
      </c>
      <c r="AA728" s="28" t="n">
        <v>0.68</v>
      </c>
      <c r="AB728" s="28" t="n">
        <v>-0.000511</v>
      </c>
      <c r="AC728" s="30" t="n">
        <v>0.4695</v>
      </c>
      <c r="AD728" s="24" t="inlineStr">
        <is>
          <t>2026-08-27T22:15:54.093975Z</t>
        </is>
      </c>
      <c r="AE728" s="31" t="inlineStr">
        <is>
          <t>Surface-blended Elo on Hard: Cristian Garin p=0.382 vs Toby Samuel. Executable ask 0.6800 (aec-atp-tobsam-crigar-2026-08-27).</t>
        </is>
      </c>
      <c r="AF728" s="31" t="inlineStr">
        <is>
          <t>Surface-blended Elo model; singles only, WTA+ATP market coverage, not yet locked-holdout qualified -- promoted by explicit operator directive, not genuine walk-forward validation.</t>
        </is>
      </c>
      <c r="AG728" s="24" t="inlineStr">
        <is>
          <t>not_applicable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Cristian Garin</t>
        </is>
      </c>
      <c r="AQ728" s="24" t="inlineStr">
        <is>
          <t>Cristian Garin</t>
        </is>
      </c>
      <c r="AR728" s="24" t="inlineStr">
        <is>
          <t>Cristian Garin</t>
        </is>
      </c>
      <c r="AS728" s="24" t="inlineStr">
        <is>
          <t>Toby Samuel</t>
        </is>
      </c>
      <c r="AT728" s="24" t="inlineStr">
        <is>
          <t>Toby Samuel</t>
        </is>
      </c>
      <c r="AU728" s="24" t="inlineStr">
        <is>
          <t>Toby Samuel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d777da58446bc099047b154203518e2585ef1a678f613f2b430f2589f7bf5cff</t>
        </is>
      </c>
      <c r="BB728" s="24" t="inlineStr">
        <is>
          <t>surface_blended_elo</t>
        </is>
      </c>
      <c r="BC728" s="24" t="inlineStr">
        <is>
          <t>tennis-surface-elo-v1</t>
        </is>
      </c>
      <c r="BD728" s="24" t="inlineStr">
        <is>
          <t>d777da58446bc099047b154203518e2585ef1a678f613f2b430f2589f7bf5cff</t>
        </is>
      </c>
      <c r="BE728" s="24" t="inlineStr">
        <is>
          <t>tennis-surface-elo-v1</t>
        </is>
      </c>
      <c r="BF728" s="24" t="inlineStr">
        <is>
          <t>1</t>
        </is>
      </c>
      <c r="BG728" s="24" t="inlineStr">
        <is>
          <t>d777da58446bc099047b154203518e2585ef1a678f613f2b430f2589f7bf5cff</t>
        </is>
      </c>
      <c r="BH728" s="24" t="inlineStr">
        <is>
          <t>2026-08-27T13:56:41.315147Z</t>
        </is>
      </c>
      <c r="BI728" s="24" t="inlineStr">
        <is>
          <t>["same_event","same_team_same_day","same_league_same_day"]</t>
        </is>
      </c>
      <c r="BJ728" s="25" t="n"/>
      <c r="BK728" s="26" t="n">
        <v>-213</v>
      </c>
      <c r="BL728" s="27" t="n">
        <v>1.469484</v>
      </c>
      <c r="BM728" s="28" t="n">
        <v>0.680511</v>
      </c>
      <c r="BN728" s="28" t="n"/>
      <c r="BO728" s="28" t="n"/>
      <c r="BP728" s="25" t="n"/>
      <c r="BQ728" s="27" t="n">
        <v>1.469484</v>
      </c>
      <c r="BR728" s="28" t="n">
        <v>0.68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inlineStr">
        <is>
          <t>3d4ef7c15c27d3350c4f7c17a3f2a575048e4b4c01d1d3ca8c4f362e119929f8</t>
        </is>
      </c>
      <c r="DE728" s="24" t="inlineStr">
        <is>
          <t>/Users/vincentc9002/model-prediction/data/odds/tennis/2026-08-27/polymarket_snapshots.jsonl</t>
        </is>
      </c>
      <c r="DF728" s="24" t="inlineStr">
        <is>
          <t>532716:2026-08-27T13:56:41.315147Z</t>
        </is>
      </c>
      <c r="DG728" s="24" t="n"/>
      <c r="DH728" s="24" t="n"/>
      <c r="DI728" s="24" t="n"/>
      <c r="DJ728" s="24" t="inlineStr">
        <is>
          <t>0.680511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3eedd78057834a91</t>
        </is>
      </c>
      <c r="B729" s="24" t="inlineStr">
        <is>
          <t>2026-08-27T13:58:24.220632Z</t>
        </is>
      </c>
      <c r="C729" s="24" t="inlineStr">
        <is>
          <t>2026-08-27T15:00Z</t>
        </is>
      </c>
      <c r="D729" s="24" t="inlineStr">
        <is>
          <t>189-2026:184771</t>
        </is>
      </c>
      <c r="E729" s="24" t="inlineStr">
        <is>
          <t>TENNIS</t>
        </is>
      </c>
      <c r="F729" s="24" t="inlineStr">
        <is>
          <t>Harry Wendelken</t>
        </is>
      </c>
      <c r="G729" s="24" t="inlineStr">
        <is>
          <t>Vilius Gaubas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-144</v>
      </c>
      <c r="M729" s="27" t="n">
        <v>1.694444</v>
      </c>
      <c r="N729" s="28" t="n">
        <v>0.590164</v>
      </c>
      <c r="O729" s="28" t="n">
        <v>0.5547</v>
      </c>
      <c r="P729" s="28" t="n">
        <v>0.05</v>
      </c>
      <c r="Q729" s="28" t="n">
        <v>-0.035464</v>
      </c>
      <c r="R729" s="26" t="n">
        <v>2</v>
      </c>
      <c r="S729" s="29" t="n">
        <v>1</v>
      </c>
      <c r="T729" s="24" t="inlineStr">
        <is>
          <t>tennis-surface-elo-v1</t>
        </is>
      </c>
      <c r="U729" s="24" t="inlineStr">
        <is>
          <t>settled</t>
        </is>
      </c>
      <c r="V729" s="24" t="inlineStr">
        <is>
          <t>loss</t>
        </is>
      </c>
      <c r="W729" s="26" t="n">
        <v>1</v>
      </c>
      <c r="X729" s="26" t="n">
        <v>0</v>
      </c>
      <c r="Y729" s="25" t="n"/>
      <c r="Z729" s="26" t="n">
        <v>-144</v>
      </c>
      <c r="AA729" s="28" t="n">
        <v>0.59</v>
      </c>
      <c r="AB729" s="28" t="n">
        <v>-0.000164</v>
      </c>
      <c r="AC729" s="30" t="n">
        <v>-1</v>
      </c>
      <c r="AD729" s="24" t="inlineStr">
        <is>
          <t>2026-08-29T12:33:27.578634Z</t>
        </is>
      </c>
      <c r="AE729" s="31" t="inlineStr">
        <is>
          <t>Surface-blended Elo on Hard: Harry Wendelken p=0.445 vs Vilius Gaubas. Executable ask 0.5900 (aec-atp-vilgau-harwen-2026-08-27).</t>
        </is>
      </c>
      <c r="AF729" s="31" t="inlineStr">
        <is>
          <t>Surface-blended Elo model; singles only, WTA+ATP market coverage, not yet locked-holdout qualified -- promoted by explicit operator directive, not genuine walk-forward validation.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PAPER_CALL_MODEL_UNVALIDATED</t>
        </is>
      </c>
      <c r="AP729" s="24" t="inlineStr">
        <is>
          <t>Harry Wendelken</t>
        </is>
      </c>
      <c r="AQ729" s="24" t="inlineStr">
        <is>
          <t>Harry Wendelken</t>
        </is>
      </c>
      <c r="AR729" s="24" t="inlineStr">
        <is>
          <t>Harry Wendelken</t>
        </is>
      </c>
      <c r="AS729" s="24" t="inlineStr">
        <is>
          <t>Vilius Gaubas</t>
        </is>
      </c>
      <c r="AT729" s="24" t="inlineStr">
        <is>
          <t>Vilius Gaubas</t>
        </is>
      </c>
      <c r="AU729" s="24" t="inlineStr">
        <is>
          <t>Vilius Gaubas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d777da58446bc099047b154203518e2585ef1a678f613f2b430f2589f7bf5cff</t>
        </is>
      </c>
      <c r="BB729" s="24" t="inlineStr">
        <is>
          <t>surface_blended_elo</t>
        </is>
      </c>
      <c r="BC729" s="24" t="inlineStr">
        <is>
          <t>tennis-surface-elo-v1</t>
        </is>
      </c>
      <c r="BD729" s="24" t="inlineStr">
        <is>
          <t>d777da58446bc099047b154203518e2585ef1a678f613f2b430f2589f7bf5cff</t>
        </is>
      </c>
      <c r="BE729" s="24" t="inlineStr">
        <is>
          <t>tennis-surface-elo-v1</t>
        </is>
      </c>
      <c r="BF729" s="24" t="inlineStr">
        <is>
          <t>1</t>
        </is>
      </c>
      <c r="BG729" s="24" t="inlineStr">
        <is>
          <t>d777da58446bc099047b154203518e2585ef1a678f613f2b430f2589f7bf5cff</t>
        </is>
      </c>
      <c r="BH729" s="24" t="inlineStr">
        <is>
          <t>2026-08-27T13:56:41.711079Z</t>
        </is>
      </c>
      <c r="BI729" s="24" t="inlineStr">
        <is>
          <t>["same_event","same_team_same_day","same_league_same_day"]</t>
        </is>
      </c>
      <c r="BJ729" s="25" t="n"/>
      <c r="BK729" s="26" t="n">
        <v>-144</v>
      </c>
      <c r="BL729" s="27" t="n">
        <v>1.694444</v>
      </c>
      <c r="BM729" s="28" t="n">
        <v>0.590164</v>
      </c>
      <c r="BN729" s="28" t="n"/>
      <c r="BO729" s="28" t="n"/>
      <c r="BP729" s="25" t="n"/>
      <c r="BQ729" s="27" t="n">
        <v>1.694444</v>
      </c>
      <c r="BR729" s="28" t="n">
        <v>0.59</v>
      </c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inlineStr">
        <is>
          <t>b05069239eca373b9b408dff2603b8247bd6273d6b6fef6e61025bcd5d1cfba1</t>
        </is>
      </c>
      <c r="DE729" s="24" t="inlineStr">
        <is>
          <t>/Users/vincentc9002/model-prediction/data/odds/tennis/2026-08-27/polymarket_snapshots.jsonl</t>
        </is>
      </c>
      <c r="DF729" s="24" t="inlineStr">
        <is>
          <t>533480:2026-08-27T13:56:41.711079Z</t>
        </is>
      </c>
      <c r="DG729" s="24" t="n"/>
      <c r="DH729" s="24" t="n"/>
      <c r="DI729" s="24" t="n"/>
      <c r="DJ729" s="24" t="inlineStr">
        <is>
          <t>0.590164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b07cef555ba94023</t>
        </is>
      </c>
      <c r="B730" s="24" t="inlineStr">
        <is>
          <t>2026-08-27T13:58:24.220632Z</t>
        </is>
      </c>
      <c r="C730" s="24" t="inlineStr">
        <is>
          <t>2026-08-27T15:00Z</t>
        </is>
      </c>
      <c r="D730" s="24" t="inlineStr">
        <is>
          <t>189-2026:184805</t>
        </is>
      </c>
      <c r="E730" s="24" t="inlineStr">
        <is>
          <t>TENNIS</t>
        </is>
      </c>
      <c r="F730" s="24" t="inlineStr">
        <is>
          <t>Andrea Guerrieri</t>
        </is>
      </c>
      <c r="G730" s="24" t="inlineStr">
        <is>
          <t>Aziz Dougaz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100</v>
      </c>
      <c r="M730" s="27" t="n">
        <v>2</v>
      </c>
      <c r="N730" s="28" t="n">
        <v>0.5</v>
      </c>
      <c r="O730" s="28" t="n">
        <v>0.5996</v>
      </c>
      <c r="P730" s="28" t="n">
        <v>0.05</v>
      </c>
      <c r="Q730" s="28" t="n">
        <v>0.09959999999999999</v>
      </c>
      <c r="R730" s="26" t="n">
        <v>70</v>
      </c>
      <c r="S730" s="29" t="n">
        <v>1.25</v>
      </c>
      <c r="T730" s="24" t="inlineStr">
        <is>
          <t>tennis-surface-elo-v1</t>
        </is>
      </c>
      <c r="U730" s="24" t="inlineStr">
        <is>
          <t>settled</t>
        </is>
      </c>
      <c r="V730" s="24" t="inlineStr">
        <is>
          <t>win</t>
        </is>
      </c>
      <c r="W730" s="26" t="n">
        <v>1</v>
      </c>
      <c r="X730" s="26" t="n">
        <v>0</v>
      </c>
      <c r="Y730" s="25" t="n"/>
      <c r="Z730" s="26" t="n">
        <v>100</v>
      </c>
      <c r="AA730" s="28" t="n">
        <v>0.5</v>
      </c>
      <c r="AB730" s="28" t="n">
        <v>0</v>
      </c>
      <c r="AC730" s="30" t="n">
        <v>1.25</v>
      </c>
      <c r="AD730" s="24" t="inlineStr">
        <is>
          <t>2026-08-27T21:48:25.966042Z</t>
        </is>
      </c>
      <c r="AE730" s="31" t="inlineStr">
        <is>
          <t>Surface-blended Elo on Hard: Andrea Guerrieri p=0.600 vs Aziz Dougaz. Executable ask 0.5000 (aec-atp-azidou-andgue-2026-08-27).</t>
        </is>
      </c>
      <c r="AF730" s="31" t="inlineStr">
        <is>
          <t>Surface-blended Elo model; singles only, WTA+ATP market coverage, not yet locked-holdout qualified -- promoted by explicit operator directive, not genuine walk-forward validation.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PAPER_CALL_MODEL_UNVALIDATED</t>
        </is>
      </c>
      <c r="AP730" s="24" t="inlineStr">
        <is>
          <t>Andrea Guerrieri</t>
        </is>
      </c>
      <c r="AQ730" s="24" t="inlineStr">
        <is>
          <t>Andrea Guerrieri</t>
        </is>
      </c>
      <c r="AR730" s="24" t="inlineStr">
        <is>
          <t>Andrea Guerrieri</t>
        </is>
      </c>
      <c r="AS730" s="24" t="inlineStr">
        <is>
          <t>Aziz Dougaz</t>
        </is>
      </c>
      <c r="AT730" s="24" t="inlineStr">
        <is>
          <t>Aziz Dougaz</t>
        </is>
      </c>
      <c r="AU730" s="24" t="inlineStr">
        <is>
          <t>Aziz Dougaz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d777da58446bc099047b154203518e2585ef1a678f613f2b430f2589f7bf5cff</t>
        </is>
      </c>
      <c r="BB730" s="24" t="inlineStr">
        <is>
          <t>surface_blended_elo</t>
        </is>
      </c>
      <c r="BC730" s="24" t="inlineStr">
        <is>
          <t>tennis-surface-elo-v1</t>
        </is>
      </c>
      <c r="BD730" s="24" t="inlineStr">
        <is>
          <t>d777da58446bc099047b154203518e2585ef1a678f613f2b430f2589f7bf5cff</t>
        </is>
      </c>
      <c r="BE730" s="24" t="inlineStr">
        <is>
          <t>tennis-surface-elo-v1</t>
        </is>
      </c>
      <c r="BF730" s="24" t="inlineStr">
        <is>
          <t>1</t>
        </is>
      </c>
      <c r="BG730" s="24" t="inlineStr">
        <is>
          <t>d777da58446bc099047b154203518e2585ef1a678f613f2b430f2589f7bf5cff</t>
        </is>
      </c>
      <c r="BH730" s="24" t="inlineStr">
        <is>
          <t>2026-08-27T13:56:41.150248Z</t>
        </is>
      </c>
      <c r="BI730" s="24" t="inlineStr">
        <is>
          <t>["same_event","same_team_same_day","same_league_same_day"]</t>
        </is>
      </c>
      <c r="BJ730" s="25" t="n"/>
      <c r="BK730" s="26" t="n">
        <v>100</v>
      </c>
      <c r="BL730" s="27" t="n">
        <v>2</v>
      </c>
      <c r="BM730" s="28" t="n">
        <v>0.5</v>
      </c>
      <c r="BN730" s="28" t="n"/>
      <c r="BO730" s="28" t="n"/>
      <c r="BP730" s="25" t="n"/>
      <c r="BQ730" s="27" t="n">
        <v>2</v>
      </c>
      <c r="BR730" s="28" t="n">
        <v>0.5</v>
      </c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inlineStr">
        <is>
          <t>1ffe6f6c6c7922523d4d11724131eb46fc0063b9f35efa963c70fbc03aa9ce2a</t>
        </is>
      </c>
      <c r="DE730" s="24" t="inlineStr">
        <is>
          <t>/Users/vincentc9002/model-prediction/data/odds/tennis/2026-08-27/polymarket_snapshots.jsonl</t>
        </is>
      </c>
      <c r="DF730" s="24" t="inlineStr">
        <is>
          <t>530980:2026-08-27T13:56:41.150248Z</t>
        </is>
      </c>
      <c r="DG730" s="24" t="n"/>
      <c r="DH730" s="24" t="n"/>
      <c r="DI730" s="24" t="n"/>
      <c r="DJ730" s="24" t="inlineStr">
        <is>
          <t>0.5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56af3faf4b7c4f35</t>
        </is>
      </c>
      <c r="B731" s="24" t="inlineStr">
        <is>
          <t>2026-08-27T13:58:24.220632Z</t>
        </is>
      </c>
      <c r="C731" s="24" t="inlineStr">
        <is>
          <t>2026-08-27T16:30Z</t>
        </is>
      </c>
      <c r="D731" s="24" t="inlineStr">
        <is>
          <t>189-2026:184688</t>
        </is>
      </c>
      <c r="E731" s="24" t="inlineStr">
        <is>
          <t>TENNIS</t>
        </is>
      </c>
      <c r="F731" s="24" t="inlineStr">
        <is>
          <t>Francesco Passaro</t>
        </is>
      </c>
      <c r="G731" s="24" t="inlineStr">
        <is>
          <t>Shintaro Mochizuki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polymarket_us</t>
        </is>
      </c>
      <c r="L731" s="26" t="n">
        <v>104</v>
      </c>
      <c r="M731" s="27" t="n">
        <v>2.04</v>
      </c>
      <c r="N731" s="28" t="n">
        <v>0.490196</v>
      </c>
      <c r="O731" s="28" t="n">
        <v>0.6111</v>
      </c>
      <c r="P731" s="28" t="n">
        <v>0.05</v>
      </c>
      <c r="Q731" s="28" t="n">
        <v>0.120904</v>
      </c>
      <c r="R731" s="26" t="n">
        <v>80</v>
      </c>
      <c r="S731" s="29" t="n">
        <v>1.5</v>
      </c>
      <c r="T731" s="24" t="inlineStr">
        <is>
          <t>tennis-surface-elo-v1</t>
        </is>
      </c>
      <c r="U731" s="24" t="inlineStr">
        <is>
          <t>settled</t>
        </is>
      </c>
      <c r="V731" s="24" t="inlineStr">
        <is>
          <t>win</t>
        </is>
      </c>
      <c r="W731" s="26" t="n">
        <v>1</v>
      </c>
      <c r="X731" s="26" t="n">
        <v>0</v>
      </c>
      <c r="Y731" s="25" t="n"/>
      <c r="Z731" s="26" t="n">
        <v>104</v>
      </c>
      <c r="AA731" s="28" t="n">
        <v>0.49</v>
      </c>
      <c r="AB731" s="28" t="n">
        <v>-0.000196</v>
      </c>
      <c r="AC731" s="30" t="n">
        <v>1.56</v>
      </c>
      <c r="AD731" s="24" t="inlineStr">
        <is>
          <t>2026-08-29T12:33:29.840516Z</t>
        </is>
      </c>
      <c r="AE731" s="31" t="inlineStr">
        <is>
          <t>Surface-blended Elo on Hard: Francesco Passaro p=0.611 vs Shintaro Mochizuki. Executable ask 0.4900 (aec-atp-shimoc-frapas-2026-08-27).</t>
        </is>
      </c>
      <c r="AF731" s="31" t="inlineStr">
        <is>
          <t>Surface-blended Elo model; singles only, WTA+ATP market coverage, not yet locked-holdout qualified -- promoted by explicit operator directive, not genuine walk-forward validation.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Francesco Passaro</t>
        </is>
      </c>
      <c r="AQ731" s="24" t="inlineStr">
        <is>
          <t>Francesco Passaro</t>
        </is>
      </c>
      <c r="AR731" s="24" t="inlineStr">
        <is>
          <t>Francesco Passaro</t>
        </is>
      </c>
      <c r="AS731" s="24" t="inlineStr">
        <is>
          <t>Shintaro Mochizuki</t>
        </is>
      </c>
      <c r="AT731" s="24" t="inlineStr">
        <is>
          <t>Shintaro Mochizuki</t>
        </is>
      </c>
      <c r="AU731" s="24" t="inlineStr">
        <is>
          <t>Shintaro Mochizuki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d777da58446bc099047b154203518e2585ef1a678f613f2b430f2589f7bf5cff</t>
        </is>
      </c>
      <c r="BB731" s="24" t="inlineStr">
        <is>
          <t>surface_blended_elo</t>
        </is>
      </c>
      <c r="BC731" s="24" t="inlineStr">
        <is>
          <t>tennis-surface-elo-v1</t>
        </is>
      </c>
      <c r="BD731" s="24" t="inlineStr">
        <is>
          <t>d777da58446bc099047b154203518e2585ef1a678f613f2b430f2589f7bf5cff</t>
        </is>
      </c>
      <c r="BE731" s="24" t="inlineStr">
        <is>
          <t>tennis-surface-elo-v1</t>
        </is>
      </c>
      <c r="BF731" s="24" t="inlineStr">
        <is>
          <t>1</t>
        </is>
      </c>
      <c r="BG731" s="24" t="inlineStr">
        <is>
          <t>d777da58446bc099047b154203518e2585ef1a678f613f2b430f2589f7bf5cff</t>
        </is>
      </c>
      <c r="BH731" s="24" t="inlineStr">
        <is>
          <t>2026-08-27T13:56:41.548383Z</t>
        </is>
      </c>
      <c r="BI731" s="24" t="inlineStr">
        <is>
          <t>["same_event","same_team_same_day","same_league_same_day"]</t>
        </is>
      </c>
      <c r="BJ731" s="25" t="n"/>
      <c r="BK731" s="26" t="n">
        <v>104</v>
      </c>
      <c r="BL731" s="27" t="n">
        <v>2.04</v>
      </c>
      <c r="BM731" s="28" t="n">
        <v>0.490196</v>
      </c>
      <c r="BN731" s="28" t="n"/>
      <c r="BO731" s="28" t="n"/>
      <c r="BP731" s="25" t="n"/>
      <c r="BQ731" s="27" t="n">
        <v>2.04</v>
      </c>
      <c r="BR731" s="28" t="n">
        <v>0.49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inlineStr">
        <is>
          <t>a6a73c3728f68ad33cbf50a4a27f71b1190002daff4b13475c8f583aaa407ef4</t>
        </is>
      </c>
      <c r="DE731" s="24" t="inlineStr">
        <is>
          <t>/Users/vincentc9002/model-prediction/data/odds/tennis/2026-08-27/polymarket_snapshots.jsonl</t>
        </is>
      </c>
      <c r="DF731" s="24" t="inlineStr">
        <is>
          <t>533483:2026-08-27T13:56:41.548383Z</t>
        </is>
      </c>
      <c r="DG731" s="24" t="n"/>
      <c r="DH731" s="24" t="n"/>
      <c r="DI731" s="24" t="n"/>
      <c r="DJ731" s="24" t="inlineStr">
        <is>
          <t>0.490196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6e5fb812881a4a2e</t>
        </is>
      </c>
      <c r="B732" s="24" t="inlineStr">
        <is>
          <t>2026-08-27T13:58:24.220632Z</t>
        </is>
      </c>
      <c r="C732" s="24" t="inlineStr">
        <is>
          <t>2026-08-27T16:30Z</t>
        </is>
      </c>
      <c r="D732" s="24" t="inlineStr">
        <is>
          <t>189-2026:184766</t>
        </is>
      </c>
      <c r="E732" s="24" t="inlineStr">
        <is>
          <t>TENNIS</t>
        </is>
      </c>
      <c r="F732" s="24" t="inlineStr">
        <is>
          <t>Nishesh Basavareddy</t>
        </is>
      </c>
      <c r="G732" s="24" t="inlineStr">
        <is>
          <t>Arthur Gea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133</v>
      </c>
      <c r="M732" s="27" t="n">
        <v>2.33</v>
      </c>
      <c r="N732" s="28" t="n">
        <v>0.429185</v>
      </c>
      <c r="O732" s="28" t="n">
        <v>0.5346</v>
      </c>
      <c r="P732" s="28" t="n">
        <v>0.05</v>
      </c>
      <c r="Q732" s="28" t="n">
        <v>0.105415</v>
      </c>
      <c r="R732" s="26" t="n">
        <v>73</v>
      </c>
      <c r="S732" s="29" t="n">
        <v>1.25</v>
      </c>
      <c r="T732" s="24" t="inlineStr">
        <is>
          <t>tennis-surface-elo-v1</t>
        </is>
      </c>
      <c r="U732" s="24" t="inlineStr">
        <is>
          <t>settled</t>
        </is>
      </c>
      <c r="V732" s="24" t="inlineStr">
        <is>
          <t>win</t>
        </is>
      </c>
      <c r="W732" s="26" t="n">
        <v>1</v>
      </c>
      <c r="X732" s="26" t="n">
        <v>0</v>
      </c>
      <c r="Y732" s="25" t="n"/>
      <c r="Z732" s="26" t="n">
        <v>133</v>
      </c>
      <c r="AA732" s="28" t="n">
        <v>0.43</v>
      </c>
      <c r="AB732" s="28" t="n">
        <v>0.000815</v>
      </c>
      <c r="AC732" s="30" t="n">
        <v>1.6625</v>
      </c>
      <c r="AD732" s="24" t="inlineStr">
        <is>
          <t>2026-08-29T12:33:32.103105Z</t>
        </is>
      </c>
      <c r="AE732" s="31" t="inlineStr">
        <is>
          <t>Surface-blended Elo on Hard: Nishesh Basavareddy p=0.535 vs Arthur Gea. Executable ask 0.4300 (aec-atp-artgea-nisbas-2026-08-27).</t>
        </is>
      </c>
      <c r="AF732" s="31" t="inlineStr">
        <is>
          <t>Surface-blended Elo model; singles only, WTA+ATP market coverage, not yet locked-holdout qualified -- promoted by explicit operator directive, not genuine walk-forward validation.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Nishesh Basavareddy</t>
        </is>
      </c>
      <c r="AQ732" s="24" t="inlineStr">
        <is>
          <t>Nishesh Basavareddy</t>
        </is>
      </c>
      <c r="AR732" s="24" t="inlineStr">
        <is>
          <t>Nishesh Basavareddy</t>
        </is>
      </c>
      <c r="AS732" s="24" t="inlineStr">
        <is>
          <t>Arthur Gea</t>
        </is>
      </c>
      <c r="AT732" s="24" t="inlineStr">
        <is>
          <t>Arthur Gea</t>
        </is>
      </c>
      <c r="AU732" s="24" t="inlineStr">
        <is>
          <t>Arthur Gea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d777da58446bc099047b154203518e2585ef1a678f613f2b430f2589f7bf5cff</t>
        </is>
      </c>
      <c r="BB732" s="24" t="inlineStr">
        <is>
          <t>surface_blended_elo</t>
        </is>
      </c>
      <c r="BC732" s="24" t="inlineStr">
        <is>
          <t>tennis-surface-elo-v1</t>
        </is>
      </c>
      <c r="BD732" s="24" t="inlineStr">
        <is>
          <t>d777da58446bc099047b154203518e2585ef1a678f613f2b430f2589f7bf5cff</t>
        </is>
      </c>
      <c r="BE732" s="24" t="inlineStr">
        <is>
          <t>tennis-surface-elo-v1</t>
        </is>
      </c>
      <c r="BF732" s="24" t="inlineStr">
        <is>
          <t>1</t>
        </is>
      </c>
      <c r="BG732" s="24" t="inlineStr">
        <is>
          <t>d777da58446bc099047b154203518e2585ef1a678f613f2b430f2589f7bf5cff</t>
        </is>
      </c>
      <c r="BH732" s="24" t="inlineStr">
        <is>
          <t>2026-08-27T13:56:40.467826Z</t>
        </is>
      </c>
      <c r="BI732" s="24" t="inlineStr">
        <is>
          <t>["same_event","same_team_same_day","same_league_same_day"]</t>
        </is>
      </c>
      <c r="BJ732" s="25" t="n"/>
      <c r="BK732" s="26" t="n">
        <v>133</v>
      </c>
      <c r="BL732" s="27" t="n">
        <v>2.33</v>
      </c>
      <c r="BM732" s="28" t="n">
        <v>0.429185</v>
      </c>
      <c r="BN732" s="28" t="n"/>
      <c r="BO732" s="28" t="n"/>
      <c r="BP732" s="25" t="n"/>
      <c r="BQ732" s="27" t="n">
        <v>2.33</v>
      </c>
      <c r="BR732" s="28" t="n">
        <v>0.43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inlineStr">
        <is>
          <t>002d2e1942ede9c4d22be53e886ea9b59cc6d017b5176288897cb5377d303bb0</t>
        </is>
      </c>
      <c r="DE732" s="24" t="inlineStr">
        <is>
          <t>/Users/vincentc9002/model-prediction/data/odds/tennis/2026-08-27/polymarket_snapshots.jsonl</t>
        </is>
      </c>
      <c r="DF732" s="24" t="inlineStr">
        <is>
          <t>533486:2026-08-27T13:56:40.467826Z</t>
        </is>
      </c>
      <c r="DG732" s="24" t="n"/>
      <c r="DH732" s="24" t="n"/>
      <c r="DI732" s="24" t="n"/>
      <c r="DJ732" s="24" t="inlineStr">
        <is>
          <t>0.429185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c78b210d46514858</t>
        </is>
      </c>
      <c r="B733" s="24" t="inlineStr">
        <is>
          <t>2026-08-27T13:58:24.220632Z</t>
        </is>
      </c>
      <c r="C733" s="24" t="inlineStr">
        <is>
          <t>2026-08-27T16:30Z</t>
        </is>
      </c>
      <c r="D733" s="24" t="inlineStr">
        <is>
          <t>189-2026:184769</t>
        </is>
      </c>
      <c r="E733" s="24" t="inlineStr">
        <is>
          <t>TENNIS</t>
        </is>
      </c>
      <c r="F733" s="24" t="inlineStr">
        <is>
          <t>Grigor Dimitrov</t>
        </is>
      </c>
      <c r="G733" s="24" t="inlineStr">
        <is>
          <t>Otto Virtanen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-270</v>
      </c>
      <c r="M733" s="27" t="n">
        <v>1.37037</v>
      </c>
      <c r="N733" s="28" t="n">
        <v>0.72973</v>
      </c>
      <c r="O733" s="28" t="n">
        <v>0.6366000000000001</v>
      </c>
      <c r="P733" s="28" t="n">
        <v>0.05</v>
      </c>
      <c r="Q733" s="28" t="n">
        <v>-0.09313</v>
      </c>
      <c r="R733" s="26" t="n">
        <v>0</v>
      </c>
      <c r="S733" s="29" t="n">
        <v>1</v>
      </c>
      <c r="T733" s="24" t="inlineStr">
        <is>
          <t>tennis-surface-elo-v1</t>
        </is>
      </c>
      <c r="U733" s="24" t="inlineStr">
        <is>
          <t>settled</t>
        </is>
      </c>
      <c r="V733" s="24" t="inlineStr">
        <is>
          <t>win</t>
        </is>
      </c>
      <c r="W733" s="26" t="n">
        <v>1</v>
      </c>
      <c r="X733" s="26" t="n">
        <v>0</v>
      </c>
      <c r="Y733" s="25" t="n"/>
      <c r="Z733" s="26" t="n">
        <v>-270</v>
      </c>
      <c r="AA733" s="28" t="n">
        <v>0.73</v>
      </c>
      <c r="AB733" s="28" t="n">
        <v>0.00027</v>
      </c>
      <c r="AC733" s="30" t="n">
        <v>0.3704</v>
      </c>
      <c r="AD733" s="24" t="inlineStr">
        <is>
          <t>2026-08-27T21:48:30.574107Z</t>
        </is>
      </c>
      <c r="AE733" s="31" t="inlineStr">
        <is>
          <t>Surface-blended Elo on Hard: Grigor Dimitrov p=0.637 vs Otto Virtanen. Executable ask 0.7300 (aec-atp-ottvir-gridim-2026-08-27).</t>
        </is>
      </c>
      <c r="AF733" s="31" t="inlineStr">
        <is>
          <t>Surface-blended Elo model; singles only, WTA+ATP market coverage, not yet locked-holdout qualified -- promoted by explicit operator directive, not genuine walk-forward validation.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Grigor Dimitrov</t>
        </is>
      </c>
      <c r="AQ733" s="24" t="inlineStr">
        <is>
          <t>Grigor Dimitrov</t>
        </is>
      </c>
      <c r="AR733" s="24" t="inlineStr">
        <is>
          <t>Grigor Dimitrov</t>
        </is>
      </c>
      <c r="AS733" s="24" t="inlineStr">
        <is>
          <t>Otto Virtanen</t>
        </is>
      </c>
      <c r="AT733" s="24" t="inlineStr">
        <is>
          <t>Otto Virtanen</t>
        </is>
      </c>
      <c r="AU733" s="24" t="inlineStr">
        <is>
          <t>Otto Virtanen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d777da58446bc099047b154203518e2585ef1a678f613f2b430f2589f7bf5cff</t>
        </is>
      </c>
      <c r="BB733" s="24" t="inlineStr">
        <is>
          <t>surface_blended_elo</t>
        </is>
      </c>
      <c r="BC733" s="24" t="inlineStr">
        <is>
          <t>tennis-surface-elo-v1</t>
        </is>
      </c>
      <c r="BD733" s="24" t="inlineStr">
        <is>
          <t>d777da58446bc099047b154203518e2585ef1a678f613f2b430f2589f7bf5cff</t>
        </is>
      </c>
      <c r="BE733" s="24" t="inlineStr">
        <is>
          <t>tennis-surface-elo-v1</t>
        </is>
      </c>
      <c r="BF733" s="24" t="inlineStr">
        <is>
          <t>1</t>
        </is>
      </c>
      <c r="BG733" s="24" t="inlineStr">
        <is>
          <t>d777da58446bc099047b154203518e2585ef1a678f613f2b430f2589f7bf5cff</t>
        </is>
      </c>
      <c r="BH733" s="24" t="inlineStr">
        <is>
          <t>2026-08-27T13:56:42.022952Z</t>
        </is>
      </c>
      <c r="BI733" s="24" t="inlineStr">
        <is>
          <t>["same_event","same_team_same_day","same_league_same_day"]</t>
        </is>
      </c>
      <c r="BJ733" s="25" t="n"/>
      <c r="BK733" s="26" t="n">
        <v>-270</v>
      </c>
      <c r="BL733" s="27" t="n">
        <v>1.37037</v>
      </c>
      <c r="BM733" s="28" t="n">
        <v>0.72973</v>
      </c>
      <c r="BN733" s="28" t="n"/>
      <c r="BO733" s="28" t="n"/>
      <c r="BP733" s="25" t="n"/>
      <c r="BQ733" s="27" t="n">
        <v>1.37037</v>
      </c>
      <c r="BR733" s="28" t="n">
        <v>0.73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inlineStr">
        <is>
          <t>3e7ba327bbb70a7b953b6a8a80183e85f82933faea8e493ea8d61997c29f5380</t>
        </is>
      </c>
      <c r="DE733" s="24" t="inlineStr">
        <is>
          <t>/Users/vincentc9002/model-prediction/data/odds/tennis/2026-08-27/polymarket_snapshots.jsonl</t>
        </is>
      </c>
      <c r="DF733" s="24" t="inlineStr">
        <is>
          <t>532493:2026-08-27T13:56:42.022952Z</t>
        </is>
      </c>
      <c r="DG733" s="24" t="n"/>
      <c r="DH733" s="24" t="n"/>
      <c r="DI733" s="24" t="n"/>
      <c r="DJ733" s="24" t="inlineStr">
        <is>
          <t>0.72973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b764c63b56b44136</t>
        </is>
      </c>
      <c r="B734" s="24" t="inlineStr">
        <is>
          <t>2026-08-27T13:58:24.220632Z</t>
        </is>
      </c>
      <c r="C734" s="24" t="inlineStr">
        <is>
          <t>2026-08-27T16:30Z</t>
        </is>
      </c>
      <c r="D734" s="24" t="inlineStr">
        <is>
          <t>189-2026:184770</t>
        </is>
      </c>
      <c r="E734" s="24" t="inlineStr">
        <is>
          <t>TENNIS</t>
        </is>
      </c>
      <c r="F734" s="24" t="inlineStr">
        <is>
          <t>Mackenzie McDonald</t>
        </is>
      </c>
      <c r="G734" s="24" t="inlineStr">
        <is>
          <t>Dalibor Svrcina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-122</v>
      </c>
      <c r="M734" s="27" t="n">
        <v>1.819672</v>
      </c>
      <c r="N734" s="28" t="n">
        <v>0.54955</v>
      </c>
      <c r="O734" s="28" t="n">
        <v>0.503</v>
      </c>
      <c r="P734" s="28" t="n">
        <v>0.05</v>
      </c>
      <c r="Q734" s="28" t="n">
        <v>-0.04655</v>
      </c>
      <c r="R734" s="26" t="n">
        <v>0</v>
      </c>
      <c r="S734" s="29" t="n">
        <v>1</v>
      </c>
      <c r="T734" s="24" t="inlineStr">
        <is>
          <t>tennis-surface-elo-v1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>
        <v>-122</v>
      </c>
      <c r="AA734" s="28" t="n">
        <v>0.55</v>
      </c>
      <c r="AB734" s="28" t="n">
        <v>0.00045</v>
      </c>
      <c r="AC734" s="30" t="n">
        <v>0.8197</v>
      </c>
      <c r="AD734" s="24" t="inlineStr">
        <is>
          <t>2026-08-29T12:33:34.370796Z</t>
        </is>
      </c>
      <c r="AE734" s="31" t="inlineStr">
        <is>
          <t>Surface-blended Elo on Hard: Mackenzie McDonald p=0.497 vs Dalibor Svrcina. Executable ask 0.5500 (aec-atp-dalsvr-macmcd-2026-08-27).</t>
        </is>
      </c>
      <c r="AF734" s="31" t="inlineStr">
        <is>
          <t>Surface-blended Elo model; singles only, WTA+ATP market coverage, not yet locked-holdout qualified -- promoted by explicit operator directive, not genuine walk-forward validation.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Mackenzie McDonald</t>
        </is>
      </c>
      <c r="AQ734" s="24" t="inlineStr">
        <is>
          <t>Mackenzie McDonald</t>
        </is>
      </c>
      <c r="AR734" s="24" t="inlineStr">
        <is>
          <t>Mackenzie McDonald</t>
        </is>
      </c>
      <c r="AS734" s="24" t="inlineStr">
        <is>
          <t>Dalibor Svrcina</t>
        </is>
      </c>
      <c r="AT734" s="24" t="inlineStr">
        <is>
          <t>Dalibor Svrcina</t>
        </is>
      </c>
      <c r="AU734" s="24" t="inlineStr">
        <is>
          <t>Dalibor Svrcina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d777da58446bc099047b154203518e2585ef1a678f613f2b430f2589f7bf5cff</t>
        </is>
      </c>
      <c r="BB734" s="24" t="inlineStr">
        <is>
          <t>surface_blended_elo</t>
        </is>
      </c>
      <c r="BC734" s="24" t="inlineStr">
        <is>
          <t>tennis-surface-elo-v1</t>
        </is>
      </c>
      <c r="BD734" s="24" t="inlineStr">
        <is>
          <t>d777da58446bc099047b154203518e2585ef1a678f613f2b430f2589f7bf5cff</t>
        </is>
      </c>
      <c r="BE734" s="24" t="inlineStr">
        <is>
          <t>tennis-surface-elo-v1</t>
        </is>
      </c>
      <c r="BF734" s="24" t="inlineStr">
        <is>
          <t>1</t>
        </is>
      </c>
      <c r="BG734" s="24" t="inlineStr">
        <is>
          <t>d777da58446bc099047b154203518e2585ef1a678f613f2b430f2589f7bf5cff</t>
        </is>
      </c>
      <c r="BH734" s="24" t="inlineStr">
        <is>
          <t>2026-08-27T13:56:40.580365Z</t>
        </is>
      </c>
      <c r="BI734" s="24" t="inlineStr">
        <is>
          <t>["same_event","same_team_same_day","same_league_same_day"]</t>
        </is>
      </c>
      <c r="BJ734" s="25" t="n"/>
      <c r="BK734" s="26" t="n">
        <v>-122</v>
      </c>
      <c r="BL734" s="27" t="n">
        <v>1.819672</v>
      </c>
      <c r="BM734" s="28" t="n">
        <v>0.54955</v>
      </c>
      <c r="BN734" s="28" t="n"/>
      <c r="BO734" s="28" t="n"/>
      <c r="BP734" s="25" t="n"/>
      <c r="BQ734" s="27" t="n">
        <v>1.819672</v>
      </c>
      <c r="BR734" s="28" t="n">
        <v>0.55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inlineStr">
        <is>
          <t>b2a1a888ddb4c8002a92065bc30b97a1cd846883adb131e4be54aed27b06f560</t>
        </is>
      </c>
      <c r="DE734" s="24" t="inlineStr">
        <is>
          <t>/Users/vincentc9002/model-prediction/data/odds/tennis/2026-08-27/polymarket_snapshots.jsonl</t>
        </is>
      </c>
      <c r="DF734" s="24" t="inlineStr">
        <is>
          <t>533481:2026-08-27T13:56:40.580365Z</t>
        </is>
      </c>
      <c r="DG734" s="24" t="n"/>
      <c r="DH734" s="24" t="n"/>
      <c r="DI734" s="24" t="n"/>
      <c r="DJ734" s="24" t="inlineStr">
        <is>
          <t>0.54955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3a3078e65bf74680</t>
        </is>
      </c>
      <c r="B735" s="24" t="inlineStr">
        <is>
          <t>2026-08-27T13:58:24.220632Z</t>
        </is>
      </c>
      <c r="C735" s="24" t="inlineStr">
        <is>
          <t>2026-08-27T17:00Z</t>
        </is>
      </c>
      <c r="D735" s="24" t="inlineStr">
        <is>
          <t>189-2026:184685</t>
        </is>
      </c>
      <c r="E735" s="24" t="inlineStr">
        <is>
          <t>TENNIS</t>
        </is>
      </c>
      <c r="F735" s="24" t="inlineStr">
        <is>
          <t>Christopher O'Connell</t>
        </is>
      </c>
      <c r="G735" s="24" t="inlineStr">
        <is>
          <t>Zsombor Piros</t>
        </is>
      </c>
      <c r="H735" s="24" t="inlineStr">
        <is>
          <t>moneyline</t>
        </is>
      </c>
      <c r="I735" s="24" t="inlineStr">
        <is>
          <t>away</t>
        </is>
      </c>
      <c r="J735" s="25" t="n"/>
      <c r="K735" s="24" t="inlineStr">
        <is>
          <t>polymarket_us</t>
        </is>
      </c>
      <c r="L735" s="26" t="n">
        <v>-163</v>
      </c>
      <c r="M735" s="27" t="n">
        <v>1.613497</v>
      </c>
      <c r="N735" s="28" t="n">
        <v>0.619772</v>
      </c>
      <c r="O735" s="28" t="n">
        <v>0.6953</v>
      </c>
      <c r="P735" s="28" t="n">
        <v>0.05</v>
      </c>
      <c r="Q735" s="28" t="n">
        <v>0.075528</v>
      </c>
      <c r="R735" s="26" t="n">
        <v>58</v>
      </c>
      <c r="S735" s="29" t="n">
        <v>1.25</v>
      </c>
      <c r="T735" s="24" t="inlineStr">
        <is>
          <t>tennis-surface-elo-v1</t>
        </is>
      </c>
      <c r="U735" s="24" t="inlineStr">
        <is>
          <t>settled</t>
        </is>
      </c>
      <c r="V735" s="24" t="inlineStr">
        <is>
          <t>loss</t>
        </is>
      </c>
      <c r="W735" s="26" t="n">
        <v>0</v>
      </c>
      <c r="X735" s="26" t="n">
        <v>1</v>
      </c>
      <c r="Y735" s="25" t="n"/>
      <c r="Z735" s="26" t="n">
        <v>-163</v>
      </c>
      <c r="AA735" s="28" t="n">
        <v>0.62</v>
      </c>
      <c r="AB735" s="28" t="n">
        <v>0.000228</v>
      </c>
      <c r="AC735" s="30" t="n">
        <v>-1.25</v>
      </c>
      <c r="AD735" s="24" t="inlineStr">
        <is>
          <t>2026-08-29T12:33:36.690598Z</t>
        </is>
      </c>
      <c r="AE735" s="31" t="inlineStr">
        <is>
          <t>Surface-blended Elo on Hard: Christopher O'Connell p=0.695 vs Zsombor Piros. Executable ask 0.6200 (aec-atp-zsopir-chroco-2026-08-27).</t>
        </is>
      </c>
      <c r="AF735" s="31" t="inlineStr">
        <is>
          <t>Surface-blended Elo model; singles only, WTA+ATP market coverage, not yet locked-holdout qualified -- promoted by explicit operator directive, not genuine walk-forward validation.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Christopher O'Connell</t>
        </is>
      </c>
      <c r="AQ735" s="24" t="inlineStr">
        <is>
          <t>Christopher O'Connell</t>
        </is>
      </c>
      <c r="AR735" s="24" t="inlineStr">
        <is>
          <t>Christopher O'Connell</t>
        </is>
      </c>
      <c r="AS735" s="24" t="inlineStr">
        <is>
          <t>Zsombor Piros</t>
        </is>
      </c>
      <c r="AT735" s="24" t="inlineStr">
        <is>
          <t>Zsombor Piros</t>
        </is>
      </c>
      <c r="AU735" s="24" t="inlineStr">
        <is>
          <t>Zsombor Piros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d777da58446bc099047b154203518e2585ef1a678f613f2b430f2589f7bf5cff</t>
        </is>
      </c>
      <c r="BB735" s="24" t="inlineStr">
        <is>
          <t>surface_blended_elo</t>
        </is>
      </c>
      <c r="BC735" s="24" t="inlineStr">
        <is>
          <t>tennis-surface-elo-v1</t>
        </is>
      </c>
      <c r="BD735" s="24" t="inlineStr">
        <is>
          <t>d777da58446bc099047b154203518e2585ef1a678f613f2b430f2589f7bf5cff</t>
        </is>
      </c>
      <c r="BE735" s="24" t="inlineStr">
        <is>
          <t>tennis-surface-elo-v1</t>
        </is>
      </c>
      <c r="BF735" s="24" t="inlineStr">
        <is>
          <t>1</t>
        </is>
      </c>
      <c r="BG735" s="24" t="inlineStr">
        <is>
          <t>d777da58446bc099047b154203518e2585ef1a678f613f2b430f2589f7bf5cff</t>
        </is>
      </c>
      <c r="BH735" s="24" t="inlineStr">
        <is>
          <t>2026-08-27T13:56:42.351188Z</t>
        </is>
      </c>
      <c r="BI735" s="24" t="inlineStr">
        <is>
          <t>["same_event","same_team_same_day","same_league_same_day"]</t>
        </is>
      </c>
      <c r="BJ735" s="25" t="n"/>
      <c r="BK735" s="26" t="n">
        <v>-163</v>
      </c>
      <c r="BL735" s="27" t="n">
        <v>1.613497</v>
      </c>
      <c r="BM735" s="28" t="n">
        <v>0.619772</v>
      </c>
      <c r="BN735" s="28" t="n"/>
      <c r="BO735" s="28" t="n"/>
      <c r="BP735" s="25" t="n"/>
      <c r="BQ735" s="27" t="n">
        <v>1.613497</v>
      </c>
      <c r="BR735" s="28" t="n">
        <v>0.62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inlineStr">
        <is>
          <t>a3b8b298c93937bcc76ec9f04716d7adbf51d662cbd95c6eebe948a1966857ab</t>
        </is>
      </c>
      <c r="DE735" s="24" t="inlineStr">
        <is>
          <t>/Users/vincentc9002/model-prediction/data/odds/tennis/2026-08-27/polymarket_snapshots.jsonl</t>
        </is>
      </c>
      <c r="DF735" s="24" t="inlineStr">
        <is>
          <t>534041:2026-08-27T13:56:42.351188Z</t>
        </is>
      </c>
      <c r="DG735" s="24" t="n"/>
      <c r="DH735" s="24" t="n"/>
      <c r="DI735" s="24" t="n"/>
      <c r="DJ735" s="24" t="inlineStr">
        <is>
          <t>0.619772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b17b76a307d14d20</t>
        </is>
      </c>
      <c r="B736" s="24" t="inlineStr">
        <is>
          <t>2026-08-27T13:58:24.220632Z</t>
        </is>
      </c>
      <c r="C736" s="24" t="inlineStr">
        <is>
          <t>2026-08-27T17:00Z</t>
        </is>
      </c>
      <c r="D736" s="24" t="inlineStr">
        <is>
          <t>189-2026:184689</t>
        </is>
      </c>
      <c r="E736" s="24" t="inlineStr">
        <is>
          <t>TENNIS</t>
        </is>
      </c>
      <c r="F736" s="24" t="inlineStr">
        <is>
          <t>Pablo Llamas Ruiz</t>
        </is>
      </c>
      <c r="G736" s="24" t="inlineStr">
        <is>
          <t>Lloyd Harris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-178</v>
      </c>
      <c r="M736" s="27" t="n">
        <v>1.561798</v>
      </c>
      <c r="N736" s="28" t="n">
        <v>0.640288</v>
      </c>
      <c r="O736" s="28" t="n">
        <v>0.515</v>
      </c>
      <c r="P736" s="28" t="n">
        <v>0.05</v>
      </c>
      <c r="Q736" s="28" t="n">
        <v>-0.125288</v>
      </c>
      <c r="R736" s="26" t="n">
        <v>0</v>
      </c>
      <c r="S736" s="29" t="n">
        <v>1</v>
      </c>
      <c r="T736" s="24" t="inlineStr">
        <is>
          <t>tennis-surface-elo-v1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-178</v>
      </c>
      <c r="AA736" s="28" t="n">
        <v>0.64</v>
      </c>
      <c r="AB736" s="28" t="n">
        <v>-0.000288</v>
      </c>
      <c r="AC736" s="30" t="n">
        <v>0.5618</v>
      </c>
      <c r="AD736" s="24" t="inlineStr">
        <is>
          <t>2026-08-29T12:33:38.974463Z</t>
        </is>
      </c>
      <c r="AE736" s="31" t="inlineStr">
        <is>
          <t>Surface-blended Elo on Hard: Pablo Llamas Ruiz p=0.485 vs Lloyd Harris. Executable ask 0.6400 (aec-atp-llohar-pabrui-2026-08-27).</t>
        </is>
      </c>
      <c r="AF736" s="31" t="inlineStr">
        <is>
          <t>Surface-blended Elo model; singles only, WTA+ATP market coverage, not yet locked-holdout qualified -- promoted by explicit operator directive, not genuine walk-forward validation.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Pablo Llamas Ruiz</t>
        </is>
      </c>
      <c r="AQ736" s="24" t="inlineStr">
        <is>
          <t>Pablo Llamas Ruiz</t>
        </is>
      </c>
      <c r="AR736" s="24" t="inlineStr">
        <is>
          <t>Pablo Llamas Ruiz</t>
        </is>
      </c>
      <c r="AS736" s="24" t="inlineStr">
        <is>
          <t>Lloyd Harris</t>
        </is>
      </c>
      <c r="AT736" s="24" t="inlineStr">
        <is>
          <t>Lloyd Harris</t>
        </is>
      </c>
      <c r="AU736" s="24" t="inlineStr">
        <is>
          <t>Lloyd Harris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d777da58446bc099047b154203518e2585ef1a678f613f2b430f2589f7bf5cff</t>
        </is>
      </c>
      <c r="BB736" s="24" t="inlineStr">
        <is>
          <t>surface_blended_elo</t>
        </is>
      </c>
      <c r="BC736" s="24" t="inlineStr">
        <is>
          <t>tennis-surface-elo-v1</t>
        </is>
      </c>
      <c r="BD736" s="24" t="inlineStr">
        <is>
          <t>d777da58446bc099047b154203518e2585ef1a678f613f2b430f2589f7bf5cff</t>
        </is>
      </c>
      <c r="BE736" s="24" t="inlineStr">
        <is>
          <t>tennis-surface-elo-v1</t>
        </is>
      </c>
      <c r="BF736" s="24" t="inlineStr">
        <is>
          <t>1</t>
        </is>
      </c>
      <c r="BG736" s="24" t="inlineStr">
        <is>
          <t>d777da58446bc099047b154203518e2585ef1a678f613f2b430f2589f7bf5cff</t>
        </is>
      </c>
      <c r="BH736" s="24" t="inlineStr">
        <is>
          <t>2026-08-27T13:56:42.136106Z</t>
        </is>
      </c>
      <c r="BI736" s="24" t="inlineStr">
        <is>
          <t>["same_event","same_team_same_day","same_league_same_day"]</t>
        </is>
      </c>
      <c r="BJ736" s="25" t="n"/>
      <c r="BK736" s="26" t="n">
        <v>-178</v>
      </c>
      <c r="BL736" s="27" t="n">
        <v>1.561798</v>
      </c>
      <c r="BM736" s="28" t="n">
        <v>0.640288</v>
      </c>
      <c r="BN736" s="28" t="n"/>
      <c r="BO736" s="28" t="n"/>
      <c r="BP736" s="25" t="n"/>
      <c r="BQ736" s="27" t="n">
        <v>1.561798</v>
      </c>
      <c r="BR736" s="28" t="n">
        <v>0.64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inlineStr">
        <is>
          <t>4d35d53fd27bec2bf3bea4182df6b4cfc5ad607be0779184cdd591d7fe10749c</t>
        </is>
      </c>
      <c r="DE736" s="24" t="inlineStr">
        <is>
          <t>/Users/vincentc9002/model-prediction/data/odds/tennis/2026-08-27/polymarket_snapshots.jsonl</t>
        </is>
      </c>
      <c r="DF736" s="24" t="inlineStr">
        <is>
          <t>535134:2026-08-27T13:56:42.136106Z</t>
        </is>
      </c>
      <c r="DG736" s="24" t="n"/>
      <c r="DH736" s="24" t="n"/>
      <c r="DI736" s="24" t="n"/>
      <c r="DJ736" s="24" t="inlineStr">
        <is>
          <t>0.640288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37d42a15e9094f3a</t>
        </is>
      </c>
      <c r="B737" s="24" t="inlineStr">
        <is>
          <t>2026-08-27T13:58:24.220632Z</t>
        </is>
      </c>
      <c r="C737" s="24" t="inlineStr">
        <is>
          <t>2026-08-27T18:00Z</t>
        </is>
      </c>
      <c r="D737" s="24" t="inlineStr">
        <is>
          <t>189-2026:184680</t>
        </is>
      </c>
      <c r="E737" s="24" t="inlineStr">
        <is>
          <t>TENNIS</t>
        </is>
      </c>
      <c r="F737" s="24" t="inlineStr">
        <is>
          <t>Tristan Schoolkate</t>
        </is>
      </c>
      <c r="G737" s="24" t="inlineStr">
        <is>
          <t>Liam Draxl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113</v>
      </c>
      <c r="M737" s="27" t="n">
        <v>2.13</v>
      </c>
      <c r="N737" s="28" t="n">
        <v>0.469484</v>
      </c>
      <c r="O737" s="28" t="n">
        <v>0.5042</v>
      </c>
      <c r="P737" s="28" t="n">
        <v>0.05</v>
      </c>
      <c r="Q737" s="28" t="n">
        <v>0.034716</v>
      </c>
      <c r="R737" s="26" t="n">
        <v>37</v>
      </c>
      <c r="S737" s="29" t="n">
        <v>1</v>
      </c>
      <c r="T737" s="24" t="inlineStr">
        <is>
          <t>tennis-surface-elo-v1</t>
        </is>
      </c>
      <c r="U737" s="24" t="inlineStr">
        <is>
          <t>settled</t>
        </is>
      </c>
      <c r="V737" s="24" t="inlineStr">
        <is>
          <t>win</t>
        </is>
      </c>
      <c r="W737" s="26" t="n">
        <v>1</v>
      </c>
      <c r="X737" s="26" t="n">
        <v>0</v>
      </c>
      <c r="Y737" s="25" t="n"/>
      <c r="Z737" s="26" t="n">
        <v>113</v>
      </c>
      <c r="AA737" s="28" t="n">
        <v>0.47</v>
      </c>
      <c r="AB737" s="28" t="n">
        <v>0.000516</v>
      </c>
      <c r="AC737" s="30" t="n">
        <v>1.13</v>
      </c>
      <c r="AD737" s="24" t="inlineStr">
        <is>
          <t>2026-08-29T12:33:41.240643Z</t>
        </is>
      </c>
      <c r="AE737" s="31" t="inlineStr">
        <is>
          <t>Surface-blended Elo on Hard: Tristan Schoolkate p=0.504 vs Liam Draxl. Executable ask 0.4700 (aec-atp-liadra-trisch-2026-08-27).</t>
        </is>
      </c>
      <c r="AF737" s="31" t="inlineStr">
        <is>
          <t>Surface-blended Elo model; singles only, WTA+ATP market coverage, not yet locked-holdout qualified -- promoted by explicit operator directive, not genuine walk-forward validation.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Tristan Schoolkate</t>
        </is>
      </c>
      <c r="AQ737" s="24" t="inlineStr">
        <is>
          <t>Tristan Schoolkate</t>
        </is>
      </c>
      <c r="AR737" s="24" t="inlineStr">
        <is>
          <t>Tristan Schoolkate</t>
        </is>
      </c>
      <c r="AS737" s="24" t="inlineStr">
        <is>
          <t>Liam Draxl</t>
        </is>
      </c>
      <c r="AT737" s="24" t="inlineStr">
        <is>
          <t>Liam Draxl</t>
        </is>
      </c>
      <c r="AU737" s="24" t="inlineStr">
        <is>
          <t>Liam Draxl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d777da58446bc099047b154203518e2585ef1a678f613f2b430f2589f7bf5cff</t>
        </is>
      </c>
      <c r="BB737" s="24" t="inlineStr">
        <is>
          <t>surface_blended_elo</t>
        </is>
      </c>
      <c r="BC737" s="24" t="inlineStr">
        <is>
          <t>tennis-surface-elo-v1</t>
        </is>
      </c>
      <c r="BD737" s="24" t="inlineStr">
        <is>
          <t>d777da58446bc099047b154203518e2585ef1a678f613f2b430f2589f7bf5cff</t>
        </is>
      </c>
      <c r="BE737" s="24" t="inlineStr">
        <is>
          <t>tennis-surface-elo-v1</t>
        </is>
      </c>
      <c r="BF737" s="24" t="inlineStr">
        <is>
          <t>1</t>
        </is>
      </c>
      <c r="BG737" s="24" t="inlineStr">
        <is>
          <t>d777da58446bc099047b154203518e2585ef1a678f613f2b430f2589f7bf5cff</t>
        </is>
      </c>
      <c r="BH737" s="24" t="inlineStr">
        <is>
          <t>2026-08-27T13:56:42.890276Z</t>
        </is>
      </c>
      <c r="BI737" s="24" t="inlineStr">
        <is>
          <t>["same_event","same_team_same_day","same_league_same_day"]</t>
        </is>
      </c>
      <c r="BJ737" s="25" t="n"/>
      <c r="BK737" s="26" t="n">
        <v>113</v>
      </c>
      <c r="BL737" s="27" t="n">
        <v>2.13</v>
      </c>
      <c r="BM737" s="28" t="n">
        <v>0.469484</v>
      </c>
      <c r="BN737" s="28" t="n"/>
      <c r="BO737" s="28" t="n"/>
      <c r="BP737" s="25" t="n"/>
      <c r="BQ737" s="27" t="n">
        <v>2.13</v>
      </c>
      <c r="BR737" s="28" t="n">
        <v>0.47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inlineStr">
        <is>
          <t>99a9876f59dc5d8e004a87706ebca081c642c76746f3517f28ca0490d340ef45</t>
        </is>
      </c>
      <c r="DE737" s="24" t="inlineStr">
        <is>
          <t>/Users/vincentc9002/model-prediction/data/odds/tennis/2026-08-27/polymarket_snapshots.jsonl</t>
        </is>
      </c>
      <c r="DF737" s="24" t="inlineStr">
        <is>
          <t>535133:2026-08-27T13:56:42.890276Z</t>
        </is>
      </c>
      <c r="DG737" s="24" t="n"/>
      <c r="DH737" s="24" t="n"/>
      <c r="DI737" s="24" t="n"/>
      <c r="DJ737" s="24" t="inlineStr">
        <is>
          <t>0.469484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e552dac5f9cb4690</t>
        </is>
      </c>
      <c r="B738" s="24" t="inlineStr">
        <is>
          <t>2026-08-27T13:58:24.220632Z</t>
        </is>
      </c>
      <c r="C738" s="24" t="inlineStr">
        <is>
          <t>2026-08-27T18:00Z</t>
        </is>
      </c>
      <c r="D738" s="24" t="inlineStr">
        <is>
          <t>189-2026:184684</t>
        </is>
      </c>
      <c r="E738" s="24" t="inlineStr">
        <is>
          <t>TENNIS</t>
        </is>
      </c>
      <c r="F738" s="24" t="inlineStr">
        <is>
          <t>Federico Cina</t>
        </is>
      </c>
      <c r="G738" s="24" t="inlineStr">
        <is>
          <t>Bu Yunchaokete</t>
        </is>
      </c>
      <c r="H738" s="24" t="inlineStr">
        <is>
          <t>moneyline</t>
        </is>
      </c>
      <c r="I738" s="24" t="inlineStr">
        <is>
          <t>away</t>
        </is>
      </c>
      <c r="J738" s="25" t="n"/>
      <c r="K738" s="24" t="inlineStr">
        <is>
          <t>polymarket_us</t>
        </is>
      </c>
      <c r="L738" s="26" t="n">
        <v>156</v>
      </c>
      <c r="M738" s="27" t="n">
        <v>2.56</v>
      </c>
      <c r="N738" s="28" t="n">
        <v>0.390625</v>
      </c>
      <c r="O738" s="28" t="n">
        <v>0.5329</v>
      </c>
      <c r="P738" s="28" t="n">
        <v>0.05</v>
      </c>
      <c r="Q738" s="28" t="n">
        <v>0.142275</v>
      </c>
      <c r="R738" s="26" t="n">
        <v>91</v>
      </c>
      <c r="S738" s="29" t="n">
        <v>1.5</v>
      </c>
      <c r="T738" s="24" t="inlineStr">
        <is>
          <t>tennis-surface-elo-v1</t>
        </is>
      </c>
      <c r="U738" s="24" t="inlineStr">
        <is>
          <t>settled</t>
        </is>
      </c>
      <c r="V738" s="24" t="inlineStr">
        <is>
          <t>win</t>
        </is>
      </c>
      <c r="W738" s="26" t="n">
        <v>1</v>
      </c>
      <c r="X738" s="26" t="n">
        <v>0</v>
      </c>
      <c r="Y738" s="25" t="n"/>
      <c r="Z738" s="26" t="n">
        <v>156</v>
      </c>
      <c r="AA738" s="28" t="n">
        <v>0.39</v>
      </c>
      <c r="AB738" s="28" t="n">
        <v>-0.000625</v>
      </c>
      <c r="AC738" s="30" t="n">
        <v>2.34</v>
      </c>
      <c r="AD738" s="24" t="inlineStr">
        <is>
          <t>2026-08-29T12:33:43.523633Z</t>
        </is>
      </c>
      <c r="AE738" s="31" t="inlineStr">
        <is>
          <t>Surface-blended Elo on Hard: Federico Cina p=0.533 vs Bu Yunchaokete. Executable ask 0.3900 (aec-atp-yunbu-fedcin-2026-08-27).</t>
        </is>
      </c>
      <c r="AF738" s="31" t="inlineStr">
        <is>
          <t>Surface-blended Elo model; singles only, WTA+ATP market coverage, not yet locked-holdout qualified -- promoted by explicit operator directive, not genuine walk-forward validation.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PAPER_CALL_LOW_EDGE</t>
        </is>
      </c>
      <c r="AP738" s="24" t="inlineStr">
        <is>
          <t>Federico Cina</t>
        </is>
      </c>
      <c r="AQ738" s="24" t="inlineStr">
        <is>
          <t>Federico Cina</t>
        </is>
      </c>
      <c r="AR738" s="24" t="inlineStr">
        <is>
          <t>Federico Cina</t>
        </is>
      </c>
      <c r="AS738" s="24" t="inlineStr">
        <is>
          <t>Bu Yunchaokete</t>
        </is>
      </c>
      <c r="AT738" s="24" t="inlineStr">
        <is>
          <t>Bu Yunchaokete</t>
        </is>
      </c>
      <c r="AU738" s="24" t="inlineStr">
        <is>
          <t>Bu Yunchaokete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d777da58446bc099047b154203518e2585ef1a678f613f2b430f2589f7bf5cff</t>
        </is>
      </c>
      <c r="BB738" s="24" t="inlineStr">
        <is>
          <t>surface_blended_elo</t>
        </is>
      </c>
      <c r="BC738" s="24" t="inlineStr">
        <is>
          <t>tennis-surface-elo-v1</t>
        </is>
      </c>
      <c r="BD738" s="24" t="inlineStr">
        <is>
          <t>d777da58446bc099047b154203518e2585ef1a678f613f2b430f2589f7bf5cff</t>
        </is>
      </c>
      <c r="BE738" s="24" t="inlineStr">
        <is>
          <t>tennis-surface-elo-v1</t>
        </is>
      </c>
      <c r="BF738" s="24" t="inlineStr">
        <is>
          <t>1</t>
        </is>
      </c>
      <c r="BG738" s="24" t="inlineStr">
        <is>
          <t>d777da58446bc099047b154203518e2585ef1a678f613f2b430f2589f7bf5cff</t>
        </is>
      </c>
      <c r="BH738" s="24" t="inlineStr">
        <is>
          <t>2026-08-27T13:56:43.326901Z</t>
        </is>
      </c>
      <c r="BI738" s="24" t="inlineStr">
        <is>
          <t>["same_event","same_team_same_day","same_league_same_day"]</t>
        </is>
      </c>
      <c r="BJ738" s="25" t="n"/>
      <c r="BK738" s="26" t="n">
        <v>156</v>
      </c>
      <c r="BL738" s="27" t="n">
        <v>2.56</v>
      </c>
      <c r="BM738" s="28" t="n">
        <v>0.390625</v>
      </c>
      <c r="BN738" s="28" t="n"/>
      <c r="BO738" s="28" t="n"/>
      <c r="BP738" s="25" t="n"/>
      <c r="BQ738" s="27" t="n">
        <v>2.56</v>
      </c>
      <c r="BR738" s="28" t="n">
        <v>0.39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inlineStr">
        <is>
          <t>78629ad2284b0f706c9ab4238a46a8d38821ec7500e2ecefd42f1358b9d4ddbb</t>
        </is>
      </c>
      <c r="DE738" s="24" t="inlineStr">
        <is>
          <t>/Users/vincentc9002/model-prediction/data/odds/tennis/2026-08-27/polymarket_snapshots.jsonl</t>
        </is>
      </c>
      <c r="DF738" s="24" t="inlineStr">
        <is>
          <t>535222:2026-08-27T13:56:43.326901Z</t>
        </is>
      </c>
      <c r="DG738" s="24" t="n"/>
      <c r="DH738" s="24" t="n"/>
      <c r="DI738" s="24" t="n"/>
      <c r="DJ738" s="24" t="inlineStr">
        <is>
          <t>0.390625</t>
        </is>
      </c>
      <c r="DK738" s="24" t="n"/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cb1dc6ca56fc42ff</t>
        </is>
      </c>
      <c r="B739" s="24" t="inlineStr">
        <is>
          <t>2026-08-27T13:58:24.220632Z</t>
        </is>
      </c>
      <c r="C739" s="24" t="inlineStr">
        <is>
          <t>2026-08-27T18:00Z</t>
        </is>
      </c>
      <c r="D739" s="24" t="inlineStr">
        <is>
          <t>189-2026:184767</t>
        </is>
      </c>
      <c r="E739" s="24" t="inlineStr">
        <is>
          <t>TENNIS</t>
        </is>
      </c>
      <c r="F739" s="24" t="inlineStr">
        <is>
          <t>Colton Smith</t>
        </is>
      </c>
      <c r="G739" s="24" t="inlineStr">
        <is>
          <t>Hugo Gaston</t>
        </is>
      </c>
      <c r="H739" s="24" t="inlineStr">
        <is>
          <t>moneyline</t>
        </is>
      </c>
      <c r="I739" s="24" t="inlineStr">
        <is>
          <t>away</t>
        </is>
      </c>
      <c r="J739" s="25" t="n"/>
      <c r="K739" s="24" t="inlineStr">
        <is>
          <t>polymarket_us</t>
        </is>
      </c>
      <c r="L739" s="26" t="n">
        <v>133</v>
      </c>
      <c r="M739" s="27" t="n">
        <v>2.33</v>
      </c>
      <c r="N739" s="28" t="n">
        <v>0.429185</v>
      </c>
      <c r="O739" s="28" t="n">
        <v>0.5665</v>
      </c>
      <c r="P739" s="28" t="n">
        <v>0.05</v>
      </c>
      <c r="Q739" s="28" t="n">
        <v>0.137315</v>
      </c>
      <c r="R739" s="26" t="n">
        <v>89</v>
      </c>
      <c r="S739" s="29" t="n">
        <v>1.5</v>
      </c>
      <c r="T739" s="24" t="inlineStr">
        <is>
          <t>tennis-surface-elo-v1</t>
        </is>
      </c>
      <c r="U739" s="24" t="inlineStr">
        <is>
          <t>settled</t>
        </is>
      </c>
      <c r="V739" s="24" t="inlineStr">
        <is>
          <t>loss</t>
        </is>
      </c>
      <c r="W739" s="26" t="n">
        <v>0</v>
      </c>
      <c r="X739" s="26" t="n">
        <v>1</v>
      </c>
      <c r="Y739" s="25" t="n"/>
      <c r="Z739" s="26" t="n">
        <v>133</v>
      </c>
      <c r="AA739" s="28" t="n">
        <v>0.43</v>
      </c>
      <c r="AB739" s="28" t="n">
        <v>0.000815</v>
      </c>
      <c r="AC739" s="30" t="n">
        <v>-1.5</v>
      </c>
      <c r="AD739" s="24" t="inlineStr">
        <is>
          <t>2026-08-29T12:33:45.794299Z</t>
        </is>
      </c>
      <c r="AE739" s="31" t="inlineStr">
        <is>
          <t>Surface-blended Elo on Hard: Colton Smith p=0.566 vs Hugo Gaston. Executable ask 0.4300 (aec-atp-huggas-colsmi-2026-08-28).</t>
        </is>
      </c>
      <c r="AF739" s="31" t="inlineStr">
        <is>
          <t>Surface-blended Elo model; singles only, WTA+ATP market coverage, not yet locked-holdout qualified -- promoted by explicit operator directive, not genuine walk-forward validation.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model_qualified</t>
        </is>
      </c>
      <c r="AL739" s="26" t="n">
        <v>4</v>
      </c>
      <c r="AM739" s="24" t="inlineStr">
        <is>
          <t>QUALIFIED_SHADOW_CALL</t>
        </is>
      </c>
      <c r="AN739" s="24" t="inlineStr">
        <is>
          <t>CALL</t>
        </is>
      </c>
      <c r="AO739" s="24" t="inlineStr">
        <is>
          <t>QUALIFIED</t>
        </is>
      </c>
      <c r="AP739" s="24" t="inlineStr">
        <is>
          <t>Colton Smith</t>
        </is>
      </c>
      <c r="AQ739" s="24" t="inlineStr">
        <is>
          <t>Colton Smith</t>
        </is>
      </c>
      <c r="AR739" s="24" t="inlineStr">
        <is>
          <t>Colton Smith</t>
        </is>
      </c>
      <c r="AS739" s="24" t="inlineStr">
        <is>
          <t>Hugo Gaston</t>
        </is>
      </c>
      <c r="AT739" s="24" t="inlineStr">
        <is>
          <t>Hugo Gaston</t>
        </is>
      </c>
      <c r="AU739" s="24" t="inlineStr">
        <is>
          <t>Hugo Gaston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d777da58446bc099047b154203518e2585ef1a678f613f2b430f2589f7bf5cff</t>
        </is>
      </c>
      <c r="BB739" s="24" t="inlineStr">
        <is>
          <t>surface_blended_elo</t>
        </is>
      </c>
      <c r="BC739" s="24" t="inlineStr">
        <is>
          <t>tennis-surface-elo-v1</t>
        </is>
      </c>
      <c r="BD739" s="24" t="inlineStr">
        <is>
          <t>d777da58446bc099047b154203518e2585ef1a678f613f2b430f2589f7bf5cff</t>
        </is>
      </c>
      <c r="BE739" s="24" t="inlineStr">
        <is>
          <t>tennis-surface-elo-v1</t>
        </is>
      </c>
      <c r="BF739" s="24" t="inlineStr">
        <is>
          <t>1</t>
        </is>
      </c>
      <c r="BG739" s="24" t="inlineStr">
        <is>
          <t>d777da58446bc099047b154203518e2585ef1a678f613f2b430f2589f7bf5cff</t>
        </is>
      </c>
      <c r="BH739" s="24" t="inlineStr">
        <is>
          <t>2026-08-27T13:56:42.661791Z</t>
        </is>
      </c>
      <c r="BI739" s="24" t="inlineStr">
        <is>
          <t>["same_event","same_team_same_day","same_league_same_day"]</t>
        </is>
      </c>
      <c r="BJ739" s="25" t="n"/>
      <c r="BK739" s="26" t="n">
        <v>133</v>
      </c>
      <c r="BL739" s="27" t="n">
        <v>2.33</v>
      </c>
      <c r="BM739" s="28" t="n">
        <v>0.429185</v>
      </c>
      <c r="BN739" s="28" t="n"/>
      <c r="BO739" s="28" t="n"/>
      <c r="BP739" s="25" t="n"/>
      <c r="BQ739" s="27" t="n">
        <v>2.33</v>
      </c>
      <c r="BR739" s="28" t="n">
        <v>0.43</v>
      </c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inlineStr">
        <is>
          <t>dac7b66cefc8ea3189da2f1b193da69d5791a84d9e4219dede038d6843cfb9cb</t>
        </is>
      </c>
      <c r="DE739" s="24" t="inlineStr">
        <is>
          <t>/Users/vincentc9002/model-prediction/data/odds/tennis/2026-08-27/polymarket_snapshots.jsonl</t>
        </is>
      </c>
      <c r="DF739" s="24" t="inlineStr">
        <is>
          <t>535245:2026-08-27T13:56:42.661791Z</t>
        </is>
      </c>
      <c r="DG739" s="24" t="n"/>
      <c r="DH739" s="24" t="n"/>
      <c r="DI739" s="24" t="n"/>
      <c r="DJ739" s="24" t="inlineStr">
        <is>
          <t>0.429185</t>
        </is>
      </c>
      <c r="DK739" s="24" t="n"/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0d3c75f3fe264104</t>
        </is>
      </c>
      <c r="B740" s="24" t="inlineStr">
        <is>
          <t>2026-08-27T13:58:24.220632Z</t>
        </is>
      </c>
      <c r="C740" s="24" t="inlineStr">
        <is>
          <t>2026-08-27T18:00Z</t>
        </is>
      </c>
      <c r="D740" s="24" t="inlineStr">
        <is>
          <t>189-2026:184806</t>
        </is>
      </c>
      <c r="E740" s="24" t="inlineStr">
        <is>
          <t>TENNIS</t>
        </is>
      </c>
      <c r="F740" s="24" t="inlineStr">
        <is>
          <t>Rei Sakamoto</t>
        </is>
      </c>
      <c r="G740" s="24" t="inlineStr">
        <is>
          <t>Kei Nishikori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150</v>
      </c>
      <c r="M740" s="27" t="n">
        <v>2.5</v>
      </c>
      <c r="N740" s="28" t="n">
        <v>0.4</v>
      </c>
      <c r="O740" s="28" t="n">
        <v>0.5232</v>
      </c>
      <c r="P740" s="28" t="n">
        <v>0.05</v>
      </c>
      <c r="Q740" s="28" t="n">
        <v>0.1232</v>
      </c>
      <c r="R740" s="26" t="n">
        <v>82</v>
      </c>
      <c r="S740" s="29" t="n">
        <v>1.5</v>
      </c>
      <c r="T740" s="24" t="inlineStr">
        <is>
          <t>tennis-surface-elo-v1</t>
        </is>
      </c>
      <c r="U740" s="24" t="inlineStr">
        <is>
          <t>settled</t>
        </is>
      </c>
      <c r="V740" s="24" t="inlineStr">
        <is>
          <t>loss</t>
        </is>
      </c>
      <c r="W740" s="26" t="n">
        <v>1</v>
      </c>
      <c r="X740" s="26" t="n">
        <v>0</v>
      </c>
      <c r="Y740" s="25" t="n"/>
      <c r="Z740" s="26" t="n">
        <v>150</v>
      </c>
      <c r="AA740" s="28" t="n">
        <v>0.4</v>
      </c>
      <c r="AB740" s="28" t="n">
        <v>0</v>
      </c>
      <c r="AC740" s="30" t="n">
        <v>-1.5</v>
      </c>
      <c r="AD740" s="24" t="inlineStr">
        <is>
          <t>2026-08-29T12:33:48.068203Z</t>
        </is>
      </c>
      <c r="AE740" s="31" t="inlineStr">
        <is>
          <t>Surface-blended Elo on Hard: Rei Sakamoto p=0.477 vs Kei Nishikori. Executable ask 0.4000 (aec-atp-keinis-reisak-2026-08-27).</t>
        </is>
      </c>
      <c r="AF740" s="31" t="inlineStr">
        <is>
          <t>Surface-blended Elo model; singles only, WTA+ATP market coverage, not yet locked-holdout qualified -- promoted by explicit operator directive, not genuine walk-forward validation.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Rei Sakamoto</t>
        </is>
      </c>
      <c r="AQ740" s="24" t="inlineStr">
        <is>
          <t>Rei Sakamoto</t>
        </is>
      </c>
      <c r="AR740" s="24" t="inlineStr">
        <is>
          <t>Rei Sakamoto</t>
        </is>
      </c>
      <c r="AS740" s="24" t="inlineStr">
        <is>
          <t>Kei Nishikori</t>
        </is>
      </c>
      <c r="AT740" s="24" t="inlineStr">
        <is>
          <t>Kei Nishikori</t>
        </is>
      </c>
      <c r="AU740" s="24" t="inlineStr">
        <is>
          <t>Kei Nishikori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d777da58446bc099047b154203518e2585ef1a678f613f2b430f2589f7bf5cff</t>
        </is>
      </c>
      <c r="BB740" s="24" t="inlineStr">
        <is>
          <t>surface_blended_elo</t>
        </is>
      </c>
      <c r="BC740" s="24" t="inlineStr">
        <is>
          <t>tennis-surface-elo-v1</t>
        </is>
      </c>
      <c r="BD740" s="24" t="inlineStr">
        <is>
          <t>d777da58446bc099047b154203518e2585ef1a678f613f2b430f2589f7bf5cff</t>
        </is>
      </c>
      <c r="BE740" s="24" t="inlineStr">
        <is>
          <t>tennis-surface-elo-v1</t>
        </is>
      </c>
      <c r="BF740" s="24" t="inlineStr">
        <is>
          <t>1</t>
        </is>
      </c>
      <c r="BG740" s="24" t="inlineStr">
        <is>
          <t>d777da58446bc099047b154203518e2585ef1a678f613f2b430f2589f7bf5cff</t>
        </is>
      </c>
      <c r="BH740" s="24" t="inlineStr">
        <is>
          <t>2026-08-27T13:56:44.224433Z</t>
        </is>
      </c>
      <c r="BI740" s="24" t="inlineStr">
        <is>
          <t>["same_event","same_team_same_day","same_league_same_day"]</t>
        </is>
      </c>
      <c r="BJ740" s="25" t="n"/>
      <c r="BK740" s="26" t="n">
        <v>150</v>
      </c>
      <c r="BL740" s="27" t="n">
        <v>2.5</v>
      </c>
      <c r="BM740" s="28" t="n">
        <v>0.4</v>
      </c>
      <c r="BN740" s="28" t="n"/>
      <c r="BO740" s="28" t="n"/>
      <c r="BP740" s="25" t="n"/>
      <c r="BQ740" s="27" t="n">
        <v>2.5</v>
      </c>
      <c r="BR740" s="28" t="n">
        <v>0.4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inlineStr">
        <is>
          <t>1158ce37aa17bdbf70a3c31da7bc8238289bba9f583edb84766ceb5ece4e35a5</t>
        </is>
      </c>
      <c r="DE740" s="24" t="inlineStr">
        <is>
          <t>/Users/vincentc9002/model-prediction/data/odds/tennis/2026-08-27/polymarket_snapshots.jsonl</t>
        </is>
      </c>
      <c r="DF740" s="24" t="inlineStr">
        <is>
          <t>533968:2026-08-27T13:56:44.224433Z</t>
        </is>
      </c>
      <c r="DG740" s="24" t="n"/>
      <c r="DH740" s="24" t="n"/>
      <c r="DI740" s="24" t="n"/>
      <c r="DJ740" s="24" t="inlineStr">
        <is>
          <t>0.4</t>
        </is>
      </c>
      <c r="DK740" s="24" t="n"/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bae07e96deb44f13</t>
        </is>
      </c>
      <c r="B741" s="24" t="inlineStr">
        <is>
          <t>2026-08-27T13:58:24.220632Z</t>
        </is>
      </c>
      <c r="C741" s="24" t="inlineStr">
        <is>
          <t>2026-08-27T18:00Z</t>
        </is>
      </c>
      <c r="D741" s="24" t="inlineStr">
        <is>
          <t>363-2026:182051</t>
        </is>
      </c>
      <c r="E741" s="24" t="inlineStr">
        <is>
          <t>TENNIS</t>
        </is>
      </c>
      <c r="F741" s="24" t="inlineStr">
        <is>
          <t>Botic Van De Zandschulp</t>
        </is>
      </c>
      <c r="G741" s="24" t="inlineStr">
        <is>
          <t>Benjamin Bonzi</t>
        </is>
      </c>
      <c r="H741" s="24" t="inlineStr">
        <is>
          <t>moneyline</t>
        </is>
      </c>
      <c r="I741" s="24" t="inlineStr">
        <is>
          <t>away</t>
        </is>
      </c>
      <c r="J741" s="25" t="n"/>
      <c r="K741" s="24" t="inlineStr">
        <is>
          <t>polymarket_us</t>
        </is>
      </c>
      <c r="L741" s="26" t="n">
        <v>-186</v>
      </c>
      <c r="M741" s="27" t="n">
        <v>1.537634</v>
      </c>
      <c r="N741" s="28" t="n">
        <v>0.65035</v>
      </c>
      <c r="O741" s="28" t="n">
        <v>0.5226</v>
      </c>
      <c r="P741" s="28" t="n">
        <v>0.05</v>
      </c>
      <c r="Q741" s="28" t="n">
        <v>-0.12775</v>
      </c>
      <c r="R741" s="26" t="n">
        <v>0</v>
      </c>
      <c r="S741" s="29" t="n">
        <v>1</v>
      </c>
      <c r="T741" s="24" t="inlineStr">
        <is>
          <t>tennis-surface-elo-v1</t>
        </is>
      </c>
      <c r="U741" s="24" t="inlineStr">
        <is>
          <t>settled</t>
        </is>
      </c>
      <c r="V741" s="24" t="inlineStr">
        <is>
          <t>loss</t>
        </is>
      </c>
      <c r="W741" s="26" t="n">
        <v>0</v>
      </c>
      <c r="X741" s="26" t="n">
        <v>1</v>
      </c>
      <c r="Y741" s="25" t="n"/>
      <c r="Z741" s="26" t="n">
        <v>-186</v>
      </c>
      <c r="AA741" s="28" t="n">
        <v>0.65</v>
      </c>
      <c r="AB741" s="28" t="n">
        <v>-0.00035</v>
      </c>
      <c r="AC741" s="30" t="n">
        <v>-1</v>
      </c>
      <c r="AD741" s="24" t="inlineStr">
        <is>
          <t>2026-08-27T21:48:35.119154Z</t>
        </is>
      </c>
      <c r="AE741" s="31" t="inlineStr">
        <is>
          <t>Surface-blended Elo on Hard: Botic Van De Zandschulp p=0.523 vs Benjamin Bonzi. Executable ask 0.6500 (aec-atp-benbon-botzan-2026-08-27).</t>
        </is>
      </c>
      <c r="AF741" s="31" t="inlineStr">
        <is>
          <t>Surface-blended Elo model; singles only, WTA+ATP market coverage, not yet locked-holdout qualified -- promoted by explicit operator directive, not genuine walk-forward validation.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Botic Van De Zandschulp</t>
        </is>
      </c>
      <c r="AQ741" s="24" t="inlineStr">
        <is>
          <t>Botic Van De Zandschulp</t>
        </is>
      </c>
      <c r="AR741" s="24" t="inlineStr">
        <is>
          <t>Botic Van De Zandschulp</t>
        </is>
      </c>
      <c r="AS741" s="24" t="inlineStr">
        <is>
          <t>Benjamin Bonzi</t>
        </is>
      </c>
      <c r="AT741" s="24" t="inlineStr">
        <is>
          <t>Benjamin Bonzi</t>
        </is>
      </c>
      <c r="AU741" s="24" t="inlineStr">
        <is>
          <t>Benjamin Bonzi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d777da58446bc099047b154203518e2585ef1a678f613f2b430f2589f7bf5cff</t>
        </is>
      </c>
      <c r="BB741" s="24" t="inlineStr">
        <is>
          <t>surface_blended_elo</t>
        </is>
      </c>
      <c r="BC741" s="24" t="inlineStr">
        <is>
          <t>tennis-surface-elo-v1</t>
        </is>
      </c>
      <c r="BD741" s="24" t="inlineStr">
        <is>
          <t>d777da58446bc099047b154203518e2585ef1a678f613f2b430f2589f7bf5cff</t>
        </is>
      </c>
      <c r="BE741" s="24" t="inlineStr">
        <is>
          <t>tennis-surface-elo-v1</t>
        </is>
      </c>
      <c r="BF741" s="24" t="inlineStr">
        <is>
          <t>1</t>
        </is>
      </c>
      <c r="BG741" s="24" t="inlineStr">
        <is>
          <t>d777da58446bc099047b154203518e2585ef1a678f613f2b430f2589f7bf5cff</t>
        </is>
      </c>
      <c r="BH741" s="24" t="inlineStr">
        <is>
          <t>2026-08-27T13:56:42.574675Z</t>
        </is>
      </c>
      <c r="BI741" s="24" t="inlineStr">
        <is>
          <t>["same_event","same_team_same_day","same_league_same_day"]</t>
        </is>
      </c>
      <c r="BJ741" s="25" t="n"/>
      <c r="BK741" s="26" t="n">
        <v>-186</v>
      </c>
      <c r="BL741" s="27" t="n">
        <v>1.537634</v>
      </c>
      <c r="BM741" s="28" t="n">
        <v>0.65035</v>
      </c>
      <c r="BN741" s="28" t="n"/>
      <c r="BO741" s="28" t="n"/>
      <c r="BP741" s="25" t="n"/>
      <c r="BQ741" s="27" t="n">
        <v>1.537634</v>
      </c>
      <c r="BR741" s="28" t="n">
        <v>0.65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inlineStr">
        <is>
          <t>b579752c42721d1eb92bdbf2d5ebacf8be2a74ce4380f47df17d8f7963677d40</t>
        </is>
      </c>
      <c r="DE741" s="24" t="inlineStr">
        <is>
          <t>/Users/vincentc9002/model-prediction/data/odds/tennis/2026-08-27/polymarket_snapshots.jsonl</t>
        </is>
      </c>
      <c r="DF741" s="24" t="inlineStr">
        <is>
          <t>532074:2026-08-27T13:56:42.574675Z</t>
        </is>
      </c>
      <c r="DG741" s="24" t="n"/>
      <c r="DH741" s="24" t="n"/>
      <c r="DI741" s="24" t="n"/>
      <c r="DJ741" s="24" t="inlineStr">
        <is>
          <t>0.65035</t>
        </is>
      </c>
      <c r="DK741" s="24" t="n"/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9358d9e5c6684616</t>
        </is>
      </c>
      <c r="B742" s="24" t="inlineStr">
        <is>
          <t>2026-08-27T13:58:24.220632Z</t>
        </is>
      </c>
      <c r="C742" s="24" t="inlineStr">
        <is>
          <t>2026-08-27T20:00Z</t>
        </is>
      </c>
      <c r="D742" s="24" t="inlineStr">
        <is>
          <t>363-2026:182043</t>
        </is>
      </c>
      <c r="E742" s="24" t="inlineStr">
        <is>
          <t>TENNIS</t>
        </is>
      </c>
      <c r="F742" s="24" t="inlineStr">
        <is>
          <t>Ignacio Buse</t>
        </is>
      </c>
      <c r="G742" s="24" t="inlineStr">
        <is>
          <t>Juan Manuel Cerundolo</t>
        </is>
      </c>
      <c r="H742" s="24" t="inlineStr">
        <is>
          <t>moneyline</t>
        </is>
      </c>
      <c r="I742" s="24" t="inlineStr">
        <is>
          <t>away</t>
        </is>
      </c>
      <c r="J742" s="25" t="n"/>
      <c r="K742" s="24" t="inlineStr">
        <is>
          <t>polymarket_us</t>
        </is>
      </c>
      <c r="L742" s="26" t="n">
        <v>117</v>
      </c>
      <c r="M742" s="27" t="n">
        <v>2.17</v>
      </c>
      <c r="N742" s="28" t="n">
        <v>0.460829</v>
      </c>
      <c r="O742" s="28" t="n">
        <v>0.5042</v>
      </c>
      <c r="P742" s="28" t="n">
        <v>0.05</v>
      </c>
      <c r="Q742" s="28" t="n">
        <v>0.043371</v>
      </c>
      <c r="R742" s="26" t="n">
        <v>42</v>
      </c>
      <c r="S742" s="29" t="n">
        <v>1</v>
      </c>
      <c r="T742" s="24" t="inlineStr">
        <is>
          <t>tennis-surface-elo-v1</t>
        </is>
      </c>
      <c r="U742" s="24" t="inlineStr">
        <is>
          <t>settled</t>
        </is>
      </c>
      <c r="V742" s="24" t="inlineStr">
        <is>
          <t>win</t>
        </is>
      </c>
      <c r="W742" s="26" t="n">
        <v>1</v>
      </c>
      <c r="X742" s="26" t="n">
        <v>0</v>
      </c>
      <c r="Y742" s="25" t="n"/>
      <c r="Z742" s="26" t="n">
        <v>117</v>
      </c>
      <c r="AA742" s="28" t="n">
        <v>0.46</v>
      </c>
      <c r="AB742" s="28" t="n">
        <v>-0.000829</v>
      </c>
      <c r="AC742" s="30" t="n">
        <v>1.17</v>
      </c>
      <c r="AD742" s="24" t="inlineStr">
        <is>
          <t>2026-08-28T02:37:50.152982Z</t>
        </is>
      </c>
      <c r="AE742" s="31" t="inlineStr">
        <is>
          <t>Surface-blended Elo on Hard: Ignacio Buse p=0.504 vs Juan Manuel Cerundolo. Executable ask 0.4600 (aec-atp-juacer-ignbus-2026-08-27).</t>
        </is>
      </c>
      <c r="AF742" s="31" t="inlineStr">
        <is>
          <t>Surface-blended Elo model; singles only, WTA+ATP market coverage, not yet locked-holdout qualified -- promoted by explicit operator directive, not genuine walk-forward validation.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Ignacio Buse</t>
        </is>
      </c>
      <c r="AQ742" s="24" t="inlineStr">
        <is>
          <t>Ignacio Buse</t>
        </is>
      </c>
      <c r="AR742" s="24" t="inlineStr">
        <is>
          <t>Ignacio Buse</t>
        </is>
      </c>
      <c r="AS742" s="24" t="inlineStr">
        <is>
          <t>Juan Manuel Cerundolo</t>
        </is>
      </c>
      <c r="AT742" s="24" t="inlineStr">
        <is>
          <t>Juan Manuel Cerundolo</t>
        </is>
      </c>
      <c r="AU742" s="24" t="inlineStr">
        <is>
          <t>Juan Manuel Cerundolo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d777da58446bc099047b154203518e2585ef1a678f613f2b430f2589f7bf5cff</t>
        </is>
      </c>
      <c r="BB742" s="24" t="inlineStr">
        <is>
          <t>surface_blended_elo</t>
        </is>
      </c>
      <c r="BC742" s="24" t="inlineStr">
        <is>
          <t>tennis-surface-elo-v1</t>
        </is>
      </c>
      <c r="BD742" s="24" t="inlineStr">
        <is>
          <t>d777da58446bc099047b154203518e2585ef1a678f613f2b430f2589f7bf5cff</t>
        </is>
      </c>
      <c r="BE742" s="24" t="inlineStr">
        <is>
          <t>tennis-surface-elo-v1</t>
        </is>
      </c>
      <c r="BF742" s="24" t="inlineStr">
        <is>
          <t>1</t>
        </is>
      </c>
      <c r="BG742" s="24" t="inlineStr">
        <is>
          <t>d777da58446bc099047b154203518e2585ef1a678f613f2b430f2589f7bf5cff</t>
        </is>
      </c>
      <c r="BH742" s="24" t="inlineStr">
        <is>
          <t>2026-08-27T13:56:44.525174Z</t>
        </is>
      </c>
      <c r="BI742" s="24" t="inlineStr">
        <is>
          <t>["same_event","same_team_same_day","same_league_same_day"]</t>
        </is>
      </c>
      <c r="BJ742" s="25" t="n"/>
      <c r="BK742" s="26" t="n">
        <v>117</v>
      </c>
      <c r="BL742" s="27" t="n">
        <v>2.17</v>
      </c>
      <c r="BM742" s="28" t="n">
        <v>0.460829</v>
      </c>
      <c r="BN742" s="28" t="n"/>
      <c r="BO742" s="28" t="n"/>
      <c r="BP742" s="25" t="n"/>
      <c r="BQ742" s="27" t="n">
        <v>2.17</v>
      </c>
      <c r="BR742" s="28" t="n">
        <v>0.46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inlineStr">
        <is>
          <t>5de4a418a90c4ac6b95c6bcf12231a410be146c41c816a111c2ba48510868f28</t>
        </is>
      </c>
      <c r="DE742" s="24" t="inlineStr">
        <is>
          <t>/Users/vincentc9002/model-prediction/data/odds/tennis/2026-08-27/polymarket_snapshots.jsonl</t>
        </is>
      </c>
      <c r="DF742" s="24" t="inlineStr">
        <is>
          <t>533473:2026-08-27T13:56:44.525174Z</t>
        </is>
      </c>
      <c r="DG742" s="24" t="n"/>
      <c r="DH742" s="24" t="n"/>
      <c r="DI742" s="24" t="n"/>
      <c r="DJ742" s="24" t="inlineStr">
        <is>
          <t>0.460829</t>
        </is>
      </c>
      <c r="DK742" s="24" t="n"/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7b7d2558f3a64467</t>
        </is>
      </c>
      <c r="B743" s="24" t="inlineStr">
        <is>
          <t>2026-08-27T21:55:36.911998Z</t>
        </is>
      </c>
      <c r="C743" s="24" t="inlineStr">
        <is>
          <t>2026-08-27T22:00Z</t>
        </is>
      </c>
      <c r="D743" s="24" t="inlineStr">
        <is>
          <t>1075-2026:182144</t>
        </is>
      </c>
      <c r="E743" s="24" t="inlineStr">
        <is>
          <t>TENNIS</t>
        </is>
      </c>
      <c r="F743" s="24" t="inlineStr">
        <is>
          <t>Katie Volynets</t>
        </is>
      </c>
      <c r="G743" s="24" t="inlineStr">
        <is>
          <t>Mananchaya Sawangkaew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polymarket_us</t>
        </is>
      </c>
      <c r="L743" s="26" t="n">
        <v>-194</v>
      </c>
      <c r="M743" s="27" t="n">
        <v>1.515464</v>
      </c>
      <c r="N743" s="28" t="n">
        <v>0.659864</v>
      </c>
      <c r="O743" s="28" t="n">
        <v>0.5409</v>
      </c>
      <c r="P743" s="28" t="n">
        <v>0.05</v>
      </c>
      <c r="Q743" s="28" t="n">
        <v>-0.118964</v>
      </c>
      <c r="R743" s="26" t="n">
        <v>0</v>
      </c>
      <c r="S743" s="29" t="n">
        <v>1</v>
      </c>
      <c r="T743" s="24" t="inlineStr">
        <is>
          <t>tennis-surface-elo-v1</t>
        </is>
      </c>
      <c r="U743" s="24" t="inlineStr">
        <is>
          <t>settled</t>
        </is>
      </c>
      <c r="V743" s="24" t="inlineStr">
        <is>
          <t>win</t>
        </is>
      </c>
      <c r="W743" s="26" t="n">
        <v>1</v>
      </c>
      <c r="X743" s="26" t="n">
        <v>0</v>
      </c>
      <c r="Y743" s="25" t="n"/>
      <c r="Z743" s="26" t="n">
        <v>-194</v>
      </c>
      <c r="AA743" s="28" t="n">
        <v>0.66</v>
      </c>
      <c r="AB743" s="28" t="n">
        <v>0.000136</v>
      </c>
      <c r="AC743" s="30" t="n">
        <v>0.5155</v>
      </c>
      <c r="AD743" s="24" t="inlineStr">
        <is>
          <t>2026-08-28T02:37:54.794571Z</t>
        </is>
      </c>
      <c r="AE743" s="31" t="inlineStr">
        <is>
          <t>Surface-blended Elo on Hard: Katie Volynets p=0.541 vs Mananchaya Sawangkaew. Executable ask 0.6600 (aec-wta-mansaw-katvol-2026-08-27).</t>
        </is>
      </c>
      <c r="AF743" s="31" t="inlineStr">
        <is>
          <t>Surface-blended Elo model; singles only, WTA+ATP market coverage, not yet locked-holdout qualified -- promoted by explicit operator directive, not genuine walk-forward validation.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PAPER_CALL_LOW_EDGE</t>
        </is>
      </c>
      <c r="AP743" s="24" t="inlineStr">
        <is>
          <t>Katie Volynets</t>
        </is>
      </c>
      <c r="AQ743" s="24" t="inlineStr">
        <is>
          <t>Katie Volynets</t>
        </is>
      </c>
      <c r="AR743" s="24" t="inlineStr">
        <is>
          <t>Katie Volynets</t>
        </is>
      </c>
      <c r="AS743" s="24" t="inlineStr">
        <is>
          <t>Mananchaya Sawangkaew</t>
        </is>
      </c>
      <c r="AT743" s="24" t="inlineStr">
        <is>
          <t>Mananchaya Sawangkaew</t>
        </is>
      </c>
      <c r="AU743" s="24" t="inlineStr">
        <is>
          <t>Mananchaya Sawangkaew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d777da58446bc099047b154203518e2585ef1a678f613f2b430f2589f7bf5cff</t>
        </is>
      </c>
      <c r="BB743" s="24" t="inlineStr">
        <is>
          <t>surface_blended_elo</t>
        </is>
      </c>
      <c r="BC743" s="24" t="inlineStr">
        <is>
          <t>tennis-surface-elo-v1</t>
        </is>
      </c>
      <c r="BD743" s="24" t="inlineStr">
        <is>
          <t>d777da58446bc099047b154203518e2585ef1a678f613f2b430f2589f7bf5cff</t>
        </is>
      </c>
      <c r="BE743" s="24" t="inlineStr">
        <is>
          <t>tennis-surface-elo-v1</t>
        </is>
      </c>
      <c r="BF743" s="24" t="inlineStr">
        <is>
          <t>1</t>
        </is>
      </c>
      <c r="BG743" s="24" t="inlineStr">
        <is>
          <t>d777da58446bc099047b154203518e2585ef1a678f613f2b430f2589f7bf5cff</t>
        </is>
      </c>
      <c r="BH743" s="24" t="inlineStr">
        <is>
          <t>2026-08-27T21:53:56.470564Z</t>
        </is>
      </c>
      <c r="BI743" s="24" t="inlineStr">
        <is>
          <t>["same_event","same_team_same_day","same_league_same_day"]</t>
        </is>
      </c>
      <c r="BJ743" s="25" t="n"/>
      <c r="BK743" s="26" t="n">
        <v>-194</v>
      </c>
      <c r="BL743" s="27" t="n">
        <v>1.515464</v>
      </c>
      <c r="BM743" s="28" t="n">
        <v>0.659864</v>
      </c>
      <c r="BN743" s="28" t="n"/>
      <c r="BO743" s="28" t="n"/>
      <c r="BP743" s="25" t="n"/>
      <c r="BQ743" s="27" t="n">
        <v>1.515464</v>
      </c>
      <c r="BR743" s="28" t="n">
        <v>0.66</v>
      </c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inlineStr">
        <is>
          <t>1661acf79d166f6a2b26f08e72d51863d1df25fc0f069b12b64c0eefb5656bcd</t>
        </is>
      </c>
      <c r="DE743" s="24" t="inlineStr">
        <is>
          <t>/Users/vincentc9002/model-prediction/data/odds/tennis/2026-08-27/polymarket_snapshots.jsonl</t>
        </is>
      </c>
      <c r="DF743" s="24" t="inlineStr">
        <is>
          <t>530132:2026-08-27T21:53:56.470564Z</t>
        </is>
      </c>
      <c r="DG743" s="24" t="n"/>
      <c r="DH743" s="24" t="n"/>
      <c r="DI743" s="24" t="n"/>
      <c r="DJ743" s="24" t="inlineStr">
        <is>
          <t>0.659864</t>
        </is>
      </c>
      <c r="DK743" s="24" t="n"/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9b75e66756874038</t>
        </is>
      </c>
      <c r="B744" s="24" t="inlineStr">
        <is>
          <t>2026-08-27T22:19:18.088226Z</t>
        </is>
      </c>
      <c r="C744" s="24" t="inlineStr">
        <is>
          <t>2026-08-27T22:30Z</t>
        </is>
      </c>
      <c r="D744" s="24" t="inlineStr">
        <is>
          <t>341-2026:182482</t>
        </is>
      </c>
      <c r="E744" s="24" t="inlineStr">
        <is>
          <t>TENNIS</t>
        </is>
      </c>
      <c r="F744" s="24" t="inlineStr">
        <is>
          <t>Nikola Bartunkova</t>
        </is>
      </c>
      <c r="G744" s="24" t="inlineStr">
        <is>
          <t>Darja Vidmanova</t>
        </is>
      </c>
      <c r="H744" s="24" t="inlineStr">
        <is>
          <t>moneyline</t>
        </is>
      </c>
      <c r="I744" s="24" t="inlineStr">
        <is>
          <t>away</t>
        </is>
      </c>
      <c r="J744" s="25" t="n"/>
      <c r="K744" s="24" t="inlineStr">
        <is>
          <t>polymarket_us</t>
        </is>
      </c>
      <c r="L744" s="26" t="n">
        <v>-170</v>
      </c>
      <c r="M744" s="27" t="n">
        <v>1.588235</v>
      </c>
      <c r="N744" s="28" t="n">
        <v>0.62963</v>
      </c>
      <c r="O744" s="28" t="n">
        <v>0.5335</v>
      </c>
      <c r="P744" s="28" t="n">
        <v>0.05</v>
      </c>
      <c r="Q744" s="28" t="n">
        <v>-0.09612999999999999</v>
      </c>
      <c r="R744" s="26" t="n">
        <v>0</v>
      </c>
      <c r="S744" s="29" t="n">
        <v>1</v>
      </c>
      <c r="T744" s="24" t="inlineStr">
        <is>
          <t>tennis-surface-elo-v1</t>
        </is>
      </c>
      <c r="U744" s="24" t="inlineStr">
        <is>
          <t>settled</t>
        </is>
      </c>
      <c r="V744" s="24" t="inlineStr">
        <is>
          <t>win</t>
        </is>
      </c>
      <c r="W744" s="26" t="n">
        <v>1</v>
      </c>
      <c r="X744" s="26" t="n">
        <v>0</v>
      </c>
      <c r="Y744" s="25" t="n"/>
      <c r="Z744" s="26" t="n">
        <v>-170</v>
      </c>
      <c r="AA744" s="28" t="n">
        <v>0.63</v>
      </c>
      <c r="AB744" s="28" t="n">
        <v>0.00037</v>
      </c>
      <c r="AC744" s="30" t="n">
        <v>0.5881999999999999</v>
      </c>
      <c r="AD744" s="24" t="inlineStr">
        <is>
          <t>2026-08-28T02:39:37.181786Z</t>
        </is>
      </c>
      <c r="AE744" s="31" t="inlineStr">
        <is>
          <t>Surface-blended Elo on Hard: Nikola Bartunkova p=0.533 vs Darja Vidmanova. Executable ask 0.6300 (aec-wta-darvid-nikbar-2026-08-27).</t>
        </is>
      </c>
      <c r="AF744" s="31" t="inlineStr">
        <is>
          <t>Surface-blended Elo model; singles only, WTA+ATP market coverage, not yet locked-holdout qualified -- promoted by explicit operator directive, not genuine walk-forward validation.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Nikola Bartunkova</t>
        </is>
      </c>
      <c r="AQ744" s="24" t="inlineStr">
        <is>
          <t>Nikola Bartunkova</t>
        </is>
      </c>
      <c r="AR744" s="24" t="inlineStr">
        <is>
          <t>Nikola Bartunkova</t>
        </is>
      </c>
      <c r="AS744" s="24" t="inlineStr">
        <is>
          <t>Darja Vidmanova</t>
        </is>
      </c>
      <c r="AT744" s="24" t="inlineStr">
        <is>
          <t>Darja Vidmanova</t>
        </is>
      </c>
      <c r="AU744" s="24" t="inlineStr">
        <is>
          <t>Darja Vidmanova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d777da58446bc099047b154203518e2585ef1a678f613f2b430f2589f7bf5cff</t>
        </is>
      </c>
      <c r="BB744" s="24" t="inlineStr">
        <is>
          <t>surface_blended_elo</t>
        </is>
      </c>
      <c r="BC744" s="24" t="inlineStr">
        <is>
          <t>tennis-surface-elo-v1</t>
        </is>
      </c>
      <c r="BD744" s="24" t="inlineStr">
        <is>
          <t>d777da58446bc099047b154203518e2585ef1a678f613f2b430f2589f7bf5cff</t>
        </is>
      </c>
      <c r="BE744" s="24" t="inlineStr">
        <is>
          <t>tennis-surface-elo-v1</t>
        </is>
      </c>
      <c r="BF744" s="24" t="inlineStr">
        <is>
          <t>1</t>
        </is>
      </c>
      <c r="BG744" s="24" t="inlineStr">
        <is>
          <t>d777da58446bc099047b154203518e2585ef1a678f613f2b430f2589f7bf5cff</t>
        </is>
      </c>
      <c r="BH744" s="24" t="inlineStr">
        <is>
          <t>2026-08-27T22:17:29.047365Z</t>
        </is>
      </c>
      <c r="BI744" s="24" t="inlineStr">
        <is>
          <t>["same_event","same_team_same_day","same_league_same_day"]</t>
        </is>
      </c>
      <c r="BJ744" s="25" t="n"/>
      <c r="BK744" s="26" t="n">
        <v>-170</v>
      </c>
      <c r="BL744" s="27" t="n">
        <v>1.588235</v>
      </c>
      <c r="BM744" s="28" t="n">
        <v>0.62963</v>
      </c>
      <c r="BN744" s="28" t="n"/>
      <c r="BO744" s="28" t="n"/>
      <c r="BP744" s="25" t="n"/>
      <c r="BQ744" s="27" t="n">
        <v>1.588235</v>
      </c>
      <c r="BR744" s="28" t="n">
        <v>0.63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inlineStr">
        <is>
          <t>f8f051632fc3ab62d533b13008869adcfd45675f6b1f4ee45cefda5948f8c3ee</t>
        </is>
      </c>
      <c r="DE744" s="24" t="inlineStr">
        <is>
          <t>/Users/vincentc9002/model-prediction/data/odds/tennis/2026-08-27/polymarket_snapshots.jsonl</t>
        </is>
      </c>
      <c r="DF744" s="24" t="inlineStr">
        <is>
          <t>534202:2026-08-27T22:17:29.047365Z</t>
        </is>
      </c>
      <c r="DG744" s="24" t="n"/>
      <c r="DH744" s="24" t="n"/>
      <c r="DI744" s="24" t="n"/>
      <c r="DJ744" s="24" t="inlineStr">
        <is>
          <t>0.62963</t>
        </is>
      </c>
      <c r="DK744" s="24" t="n"/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c79d3dd9830848f2</t>
        </is>
      </c>
      <c r="B745" s="24" t="inlineStr">
        <is>
          <t>2026-08-27T22:19:18.088226Z</t>
        </is>
      </c>
      <c r="C745" s="24" t="inlineStr">
        <is>
          <t>2026-08-28T01:30Z</t>
        </is>
      </c>
      <c r="D745" s="24" t="inlineStr">
        <is>
          <t>341-2026:182485</t>
        </is>
      </c>
      <c r="E745" s="24" t="inlineStr">
        <is>
          <t>TENNIS</t>
        </is>
      </c>
      <c r="F745" s="24" t="inlineStr">
        <is>
          <t>Diane Parry</t>
        </is>
      </c>
      <c r="G745" s="24" t="inlineStr">
        <is>
          <t>Clara Tauson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-178</v>
      </c>
      <c r="M745" s="27" t="n">
        <v>1.561798</v>
      </c>
      <c r="N745" s="28" t="n">
        <v>0.640288</v>
      </c>
      <c r="O745" s="28" t="n">
        <v>0.5251</v>
      </c>
      <c r="P745" s="28" t="n">
        <v>0.05</v>
      </c>
      <c r="Q745" s="28" t="n">
        <v>-0.115188</v>
      </c>
      <c r="R745" s="26" t="n">
        <v>0</v>
      </c>
      <c r="S745" s="29" t="n">
        <v>1</v>
      </c>
      <c r="T745" s="24" t="inlineStr">
        <is>
          <t>tennis-surface-elo-v1</t>
        </is>
      </c>
      <c r="U745" s="24" t="inlineStr">
        <is>
          <t>settled</t>
        </is>
      </c>
      <c r="V745" s="24" t="inlineStr">
        <is>
          <t>loss</t>
        </is>
      </c>
      <c r="W745" s="26" t="n">
        <v>1</v>
      </c>
      <c r="X745" s="26" t="n">
        <v>0</v>
      </c>
      <c r="Y745" s="25" t="n"/>
      <c r="Z745" s="26" t="n">
        <v>-178</v>
      </c>
      <c r="AA745" s="28" t="n">
        <v>0.64</v>
      </c>
      <c r="AB745" s="28" t="n">
        <v>-0.000288</v>
      </c>
      <c r="AC745" s="30" t="n">
        <v>-1</v>
      </c>
      <c r="AD745" s="24" t="inlineStr">
        <is>
          <t>2026-08-28T12:30:33.967364Z</t>
        </is>
      </c>
      <c r="AE745" s="31" t="inlineStr">
        <is>
          <t>Surface-blended Elo on Hard: Diane Parry p=0.475 vs Clara Tauson. Executable ask 0.6400 (aec-wta-clatau-diapar-2026-08-27).</t>
        </is>
      </c>
      <c r="AF745" s="31" t="inlineStr">
        <is>
          <t>Surface-blended Elo model; singles only, WTA+ATP market coverage, not yet locked-holdout qualified -- promoted by explicit operator directive, not genuine walk-forward validation.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Diane Parry</t>
        </is>
      </c>
      <c r="AQ745" s="24" t="inlineStr">
        <is>
          <t>Diane Parry</t>
        </is>
      </c>
      <c r="AR745" s="24" t="inlineStr">
        <is>
          <t>Diane Parry</t>
        </is>
      </c>
      <c r="AS745" s="24" t="inlineStr">
        <is>
          <t>Clara Tauson</t>
        </is>
      </c>
      <c r="AT745" s="24" t="inlineStr">
        <is>
          <t>Clara Tauson</t>
        </is>
      </c>
      <c r="AU745" s="24" t="inlineStr">
        <is>
          <t>Clara Tauson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d777da58446bc099047b154203518e2585ef1a678f613f2b430f2589f7bf5cff</t>
        </is>
      </c>
      <c r="BB745" s="24" t="inlineStr">
        <is>
          <t>surface_blended_elo</t>
        </is>
      </c>
      <c r="BC745" s="24" t="inlineStr">
        <is>
          <t>tennis-surface-elo-v1</t>
        </is>
      </c>
      <c r="BD745" s="24" t="inlineStr">
        <is>
          <t>d777da58446bc099047b154203518e2585ef1a678f613f2b430f2589f7bf5cff</t>
        </is>
      </c>
      <c r="BE745" s="24" t="inlineStr">
        <is>
          <t>tennis-surface-elo-v1</t>
        </is>
      </c>
      <c r="BF745" s="24" t="inlineStr">
        <is>
          <t>1</t>
        </is>
      </c>
      <c r="BG745" s="24" t="inlineStr">
        <is>
          <t>d777da58446bc099047b154203518e2585ef1a678f613f2b430f2589f7bf5cff</t>
        </is>
      </c>
      <c r="BH745" s="24" t="inlineStr">
        <is>
          <t>2026-08-27T22:17:29.065929Z</t>
        </is>
      </c>
      <c r="BI745" s="24" t="inlineStr">
        <is>
          <t>["same_event","same_team_same_day","same_league_same_day"]</t>
        </is>
      </c>
      <c r="BJ745" s="25" t="n"/>
      <c r="BK745" s="26" t="n">
        <v>-178</v>
      </c>
      <c r="BL745" s="27" t="n">
        <v>1.561798</v>
      </c>
      <c r="BM745" s="28" t="n">
        <v>0.640288</v>
      </c>
      <c r="BN745" s="28" t="n"/>
      <c r="BO745" s="28" t="n"/>
      <c r="BP745" s="25" t="n"/>
      <c r="BQ745" s="27" t="n">
        <v>1.561798</v>
      </c>
      <c r="BR745" s="28" t="n">
        <v>0.64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inlineStr">
        <is>
          <t>2b0251ac6389ab7d78fa0ff93f7f30a71279b3364c13118c9e3d4388c021e84c</t>
        </is>
      </c>
      <c r="DE745" s="24" t="inlineStr">
        <is>
          <t>/Users/vincentc9002/model-prediction/data/odds/tennis/2026-08-27/polymarket_snapshots.jsonl</t>
        </is>
      </c>
      <c r="DF745" s="24" t="inlineStr">
        <is>
          <t>538205:2026-08-27T22:17:29.065929Z</t>
        </is>
      </c>
      <c r="DG745" s="24" t="n"/>
      <c r="DH745" s="24" t="n"/>
      <c r="DI745" s="24" t="n"/>
      <c r="DJ745" s="24" t="inlineStr">
        <is>
          <t>0.640288</t>
        </is>
      </c>
      <c r="DK745" s="24" t="n"/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2c5981649465403a</t>
        </is>
      </c>
      <c r="B746" s="24" t="inlineStr">
        <is>
          <t>2026-08-27T22:19:18.088226Z</t>
        </is>
      </c>
      <c r="C746" s="24" t="inlineStr">
        <is>
          <t>2026-08-27T22:30Z</t>
        </is>
      </c>
      <c r="D746" s="24" t="inlineStr">
        <is>
          <t>363-2026:182041</t>
        </is>
      </c>
      <c r="E746" s="24" t="inlineStr">
        <is>
          <t>TENNIS</t>
        </is>
      </c>
      <c r="F746" s="24" t="inlineStr">
        <is>
          <t>Aleksandar Kovacevic</t>
        </is>
      </c>
      <c r="G746" s="24" t="inlineStr">
        <is>
          <t>Arthur Fery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-108</v>
      </c>
      <c r="M746" s="27" t="n">
        <v>1.925926</v>
      </c>
      <c r="N746" s="28" t="n">
        <v>0.519231</v>
      </c>
      <c r="O746" s="28" t="n">
        <v>0.6278</v>
      </c>
      <c r="P746" s="28" t="n">
        <v>0.05</v>
      </c>
      <c r="Q746" s="28" t="n">
        <v>0.108569</v>
      </c>
      <c r="R746" s="26" t="n">
        <v>74</v>
      </c>
      <c r="S746" s="29" t="n">
        <v>1.5</v>
      </c>
      <c r="T746" s="24" t="inlineStr">
        <is>
          <t>tennis-surface-elo-v1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/>
      <c r="Z746" s="26" t="n">
        <v>-108</v>
      </c>
      <c r="AA746" s="28" t="n">
        <v>0.52</v>
      </c>
      <c r="AB746" s="28" t="n">
        <v>0.000769</v>
      </c>
      <c r="AC746" s="30" t="n">
        <v>1.3889</v>
      </c>
      <c r="AD746" s="24" t="inlineStr">
        <is>
          <t>2026-08-28T02:39:43.570983Z</t>
        </is>
      </c>
      <c r="AE746" s="31" t="inlineStr">
        <is>
          <t>Surface-blended Elo on Hard: Aleksandar Kovacevic p=0.372 vs Arthur Fery. Executable ask 0.5200 (aec-atp-artfer-alekov-2026-08-27).</t>
        </is>
      </c>
      <c r="AF746" s="31" t="inlineStr">
        <is>
          <t>Surface-blended Elo model; singles only, WTA+ATP market coverage, not yet locked-holdout qualified -- promoted by explicit operator directive, not genuine walk-forward validation.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Aleksandar Kovacevic</t>
        </is>
      </c>
      <c r="AQ746" s="24" t="inlineStr">
        <is>
          <t>Aleksandar Kovacevic</t>
        </is>
      </c>
      <c r="AR746" s="24" t="inlineStr">
        <is>
          <t>Aleksandar Kovacevic</t>
        </is>
      </c>
      <c r="AS746" s="24" t="inlineStr">
        <is>
          <t>Arthur Fery</t>
        </is>
      </c>
      <c r="AT746" s="24" t="inlineStr">
        <is>
          <t>Arthur Fery</t>
        </is>
      </c>
      <c r="AU746" s="24" t="inlineStr">
        <is>
          <t>Arthur Fery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d777da58446bc099047b154203518e2585ef1a678f613f2b430f2589f7bf5cff</t>
        </is>
      </c>
      <c r="BB746" s="24" t="inlineStr">
        <is>
          <t>surface_blended_elo</t>
        </is>
      </c>
      <c r="BC746" s="24" t="inlineStr">
        <is>
          <t>tennis-surface-elo-v1</t>
        </is>
      </c>
      <c r="BD746" s="24" t="inlineStr">
        <is>
          <t>d777da58446bc099047b154203518e2585ef1a678f613f2b430f2589f7bf5cff</t>
        </is>
      </c>
      <c r="BE746" s="24" t="inlineStr">
        <is>
          <t>tennis-surface-elo-v1</t>
        </is>
      </c>
      <c r="BF746" s="24" t="inlineStr">
        <is>
          <t>1</t>
        </is>
      </c>
      <c r="BG746" s="24" t="inlineStr">
        <is>
          <t>d777da58446bc099047b154203518e2585ef1a678f613f2b430f2589f7bf5cff</t>
        </is>
      </c>
      <c r="BH746" s="24" t="inlineStr">
        <is>
          <t>2026-08-27T22:17:30.662347Z</t>
        </is>
      </c>
      <c r="BI746" s="24" t="inlineStr">
        <is>
          <t>["same_event","same_team_same_day","same_league_same_day"]</t>
        </is>
      </c>
      <c r="BJ746" s="25" t="n"/>
      <c r="BK746" s="26" t="n">
        <v>-108</v>
      </c>
      <c r="BL746" s="27" t="n">
        <v>1.925926</v>
      </c>
      <c r="BM746" s="28" t="n">
        <v>0.519231</v>
      </c>
      <c r="BN746" s="28" t="n"/>
      <c r="BO746" s="28" t="n"/>
      <c r="BP746" s="25" t="n"/>
      <c r="BQ746" s="27" t="n">
        <v>1.925926</v>
      </c>
      <c r="BR746" s="28" t="n">
        <v>0.52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inlineStr">
        <is>
          <t>125d9a1f5f1e8db0304a2e06a1d69ac17a002bebd585696612e16c7f7462b461</t>
        </is>
      </c>
      <c r="DE746" s="24" t="inlineStr">
        <is>
          <t>/Users/vincentc9002/model-prediction/data/odds/tennis/2026-08-27/polymarket_snapshots.jsonl</t>
        </is>
      </c>
      <c r="DF746" s="24" t="inlineStr">
        <is>
          <t>534549:2026-08-27T22:17:30.662347Z</t>
        </is>
      </c>
      <c r="DG746" s="24" t="n"/>
      <c r="DH746" s="24" t="n"/>
      <c r="DI746" s="24" t="n"/>
      <c r="DJ746" s="24" t="inlineStr">
        <is>
          <t>0.519231</t>
        </is>
      </c>
      <c r="DK746" s="24" t="n"/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73ec831eefe94970</t>
        </is>
      </c>
      <c r="B747" s="24" t="inlineStr">
        <is>
          <t>2026-08-28T02:43:25.101348Z</t>
        </is>
      </c>
      <c r="C747" s="24" t="inlineStr">
        <is>
          <t>2026-08-28T03:15Z</t>
        </is>
      </c>
      <c r="D747" s="24" t="inlineStr">
        <is>
          <t>341-2026:182484</t>
        </is>
      </c>
      <c r="E747" s="24" t="inlineStr">
        <is>
          <t>TENNIS</t>
        </is>
      </c>
      <c r="F747" s="24" t="inlineStr">
        <is>
          <t>Elise Mertens</t>
        </is>
      </c>
      <c r="G747" s="24" t="inlineStr">
        <is>
          <t>Yuliia Starodubtseva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-223</v>
      </c>
      <c r="M747" s="27" t="n">
        <v>1.44843</v>
      </c>
      <c r="N747" s="28" t="n">
        <v>0.690402</v>
      </c>
      <c r="O747" s="28" t="n">
        <v>0.5617</v>
      </c>
      <c r="P747" s="28" t="n">
        <v>0.05</v>
      </c>
      <c r="Q747" s="28" t="n">
        <v>-0.128702</v>
      </c>
      <c r="R747" s="26" t="n">
        <v>0</v>
      </c>
      <c r="S747" s="29" t="n">
        <v>1</v>
      </c>
      <c r="T747" s="24" t="inlineStr">
        <is>
          <t>tennis-surface-elo-v1</t>
        </is>
      </c>
      <c r="U747" s="24" t="inlineStr">
        <is>
          <t>settled</t>
        </is>
      </c>
      <c r="V747" s="24" t="inlineStr">
        <is>
          <t>win</t>
        </is>
      </c>
      <c r="W747" s="26" t="n">
        <v>1</v>
      </c>
      <c r="X747" s="26" t="n">
        <v>0</v>
      </c>
      <c r="Y747" s="25" t="n"/>
      <c r="Z747" s="26" t="n">
        <v>-223</v>
      </c>
      <c r="AA747" s="28" t="n">
        <v>0.6899999999999999</v>
      </c>
      <c r="AB747" s="28" t="n">
        <v>-0.000402</v>
      </c>
      <c r="AC747" s="30" t="n">
        <v>0.4484</v>
      </c>
      <c r="AD747" s="24" t="inlineStr">
        <is>
          <t>2026-08-28T12:30:36.083926Z</t>
        </is>
      </c>
      <c r="AE747" s="31" t="inlineStr">
        <is>
          <t>Surface-blended Elo on Hard: Elise Mertens p=0.562 vs Yuliia Starodubtseva. Executable ask 0.6900 (aec-wta-yulsta-elimer-2026-08-28).</t>
        </is>
      </c>
      <c r="AF747" s="31" t="inlineStr">
        <is>
          <t>Surface-blended Elo model; singles only, WTA+ATP market coverage, not yet locked-holdout qualified -- promoted by explicit operator directive, not genuine walk-forward validation.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Elise Mertens</t>
        </is>
      </c>
      <c r="AQ747" s="24" t="inlineStr">
        <is>
          <t>Elise Mertens</t>
        </is>
      </c>
      <c r="AR747" s="24" t="inlineStr">
        <is>
          <t>Elise Mertens</t>
        </is>
      </c>
      <c r="AS747" s="24" t="inlineStr">
        <is>
          <t>Yuliia Starodubtseva</t>
        </is>
      </c>
      <c r="AT747" s="24" t="inlineStr">
        <is>
          <t>Yuliia Starodubtseva</t>
        </is>
      </c>
      <c r="AU747" s="24" t="inlineStr">
        <is>
          <t>Yuliia Starodubtseva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d777da58446bc099047b154203518e2585ef1a678f613f2b430f2589f7bf5cff</t>
        </is>
      </c>
      <c r="BB747" s="24" t="inlineStr">
        <is>
          <t>surface_blended_elo</t>
        </is>
      </c>
      <c r="BC747" s="24" t="inlineStr">
        <is>
          <t>tennis-surface-elo-v1</t>
        </is>
      </c>
      <c r="BD747" s="24" t="inlineStr">
        <is>
          <t>d777da58446bc099047b154203518e2585ef1a678f613f2b430f2589f7bf5cff</t>
        </is>
      </c>
      <c r="BE747" s="24" t="inlineStr">
        <is>
          <t>tennis-surface-elo-v1</t>
        </is>
      </c>
      <c r="BF747" s="24" t="inlineStr">
        <is>
          <t>1</t>
        </is>
      </c>
      <c r="BG747" s="24" t="inlineStr">
        <is>
          <t>d777da58446bc099047b154203518e2585ef1a678f613f2b430f2589f7bf5cff</t>
        </is>
      </c>
      <c r="BH747" s="24" t="inlineStr">
        <is>
          <t>2026-08-28T02:42:43.408213Z</t>
        </is>
      </c>
      <c r="BI747" s="24" t="inlineStr">
        <is>
          <t>["same_event","same_team_same_day","same_league_same_day"]</t>
        </is>
      </c>
      <c r="BJ747" s="25" t="n"/>
      <c r="BK747" s="26" t="n">
        <v>-223</v>
      </c>
      <c r="BL747" s="27" t="n">
        <v>1.44843</v>
      </c>
      <c r="BM747" s="28" t="n">
        <v>0.690402</v>
      </c>
      <c r="BN747" s="28" t="n"/>
      <c r="BO747" s="28" t="n"/>
      <c r="BP747" s="25" t="n"/>
      <c r="BQ747" s="27" t="n">
        <v>1.44843</v>
      </c>
      <c r="BR747" s="28" t="n">
        <v>0.6899999999999999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inlineStr">
        <is>
          <t>8425c77bd468e08ec85950e7e603a11734ff34c7094cba830bb6ca713c3332c1</t>
        </is>
      </c>
      <c r="DE747" s="24" t="inlineStr">
        <is>
          <t>/Users/vincentc9002/model-prediction/data/odds/tennis/2026-08-27/polymarket_snapshots.jsonl</t>
        </is>
      </c>
      <c r="DF747" s="24" t="inlineStr">
        <is>
          <t>535244:2026-08-28T02:42:43.408213Z</t>
        </is>
      </c>
      <c r="DG747" s="24" t="n"/>
      <c r="DH747" s="24" t="n"/>
      <c r="DI747" s="24" t="n"/>
      <c r="DJ747" s="24" t="inlineStr">
        <is>
          <t>0.690402</t>
        </is>
      </c>
      <c r="DK747" s="24" t="n"/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2e85a69bce4f4f8f</t>
        </is>
      </c>
      <c r="B748" s="24" t="inlineStr">
        <is>
          <t>2026-08-28T12:35:00.632364Z</t>
        </is>
      </c>
      <c r="C748" s="24" t="inlineStr">
        <is>
          <t>2026-08-28T23:00Z</t>
        </is>
      </c>
      <c r="D748" s="24" t="inlineStr">
        <is>
          <t>341-2026:182489</t>
        </is>
      </c>
      <c r="E748" s="24" t="inlineStr">
        <is>
          <t>TENNIS</t>
        </is>
      </c>
      <c r="F748" s="24" t="inlineStr">
        <is>
          <t>Ann Li</t>
        </is>
      </c>
      <c r="G748" s="24" t="inlineStr">
        <is>
          <t>Diane Parry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-163</v>
      </c>
      <c r="M748" s="27" t="n">
        <v>1.613497</v>
      </c>
      <c r="N748" s="28" t="n">
        <v>0.619772</v>
      </c>
      <c r="O748" s="28" t="n">
        <v>0.5309</v>
      </c>
      <c r="P748" s="28" t="n">
        <v>0.05</v>
      </c>
      <c r="Q748" s="28" t="n">
        <v>-0.08887200000000001</v>
      </c>
      <c r="R748" s="26" t="n">
        <v>0</v>
      </c>
      <c r="S748" s="29" t="n">
        <v>1</v>
      </c>
      <c r="T748" s="24" t="inlineStr">
        <is>
          <t>tennis-surface-elo-v1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>
        <v>-163</v>
      </c>
      <c r="AA748" s="28" t="n">
        <v>0.62</v>
      </c>
      <c r="AB748" s="28" t="n">
        <v>0.000228</v>
      </c>
      <c r="AC748" s="30" t="n">
        <v>-1</v>
      </c>
      <c r="AD748" s="24" t="inlineStr">
        <is>
          <t>2026-08-29T12:36:38.650972Z</t>
        </is>
      </c>
      <c r="AE748" s="31" t="inlineStr">
        <is>
          <t>Surface-blended Elo on Hard: Ann Li p=0.531 vs Diane Parry. Executable ask 0.6200 (aec-wta-diapar-annli-2026-08-28).</t>
        </is>
      </c>
      <c r="AF748" s="31" t="inlineStr">
        <is>
          <t>Surface-blended Elo model; singles only, WTA+ATP market coverage, not yet locked-holdout qualified -- promoted by explicit operator directive, not genuine walk-forward validation.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Ann Li</t>
        </is>
      </c>
      <c r="AQ748" s="24" t="inlineStr">
        <is>
          <t>Ann Li</t>
        </is>
      </c>
      <c r="AR748" s="24" t="inlineStr">
        <is>
          <t>Ann Li</t>
        </is>
      </c>
      <c r="AS748" s="24" t="inlineStr">
        <is>
          <t>Diane Parry</t>
        </is>
      </c>
      <c r="AT748" s="24" t="inlineStr">
        <is>
          <t>Diane Parry</t>
        </is>
      </c>
      <c r="AU748" s="24" t="inlineStr">
        <is>
          <t>Diane Parry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d777da58446bc099047b154203518e2585ef1a678f613f2b430f2589f7bf5cff</t>
        </is>
      </c>
      <c r="BB748" s="24" t="inlineStr">
        <is>
          <t>surface_blended_elo</t>
        </is>
      </c>
      <c r="BC748" s="24" t="inlineStr">
        <is>
          <t>tennis-surface-elo-v1</t>
        </is>
      </c>
      <c r="BD748" s="24" t="inlineStr">
        <is>
          <t>d777da58446bc099047b154203518e2585ef1a678f613f2b430f2589f7bf5cff</t>
        </is>
      </c>
      <c r="BE748" s="24" t="inlineStr">
        <is>
          <t>tennis-surface-elo-v1</t>
        </is>
      </c>
      <c r="BF748" s="24" t="inlineStr">
        <is>
          <t>1</t>
        </is>
      </c>
      <c r="BG748" s="24" t="inlineStr">
        <is>
          <t>d777da58446bc099047b154203518e2585ef1a678f613f2b430f2589f7bf5cff</t>
        </is>
      </c>
      <c r="BH748" s="24" t="inlineStr">
        <is>
          <t>2026-08-28T12:33:31.909804Z</t>
        </is>
      </c>
      <c r="BI748" s="24" t="inlineStr">
        <is>
          <t>["same_event","same_team_same_day","same_league_same_day"]</t>
        </is>
      </c>
      <c r="BJ748" s="25" t="n"/>
      <c r="BK748" s="26" t="n">
        <v>-163</v>
      </c>
      <c r="BL748" s="27" t="n">
        <v>1.613497</v>
      </c>
      <c r="BM748" s="28" t="n">
        <v>0.619772</v>
      </c>
      <c r="BN748" s="28" t="n"/>
      <c r="BO748" s="28" t="n"/>
      <c r="BP748" s="25" t="n"/>
      <c r="BQ748" s="27" t="n">
        <v>1.613497</v>
      </c>
      <c r="BR748" s="28" t="n">
        <v>0.62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inlineStr">
        <is>
          <t>78320277fe6a71028d0b2ca120eb77ad9cd8e93e997bdbd8c5d95e26b033815e</t>
        </is>
      </c>
      <c r="DE748" s="24" t="inlineStr">
        <is>
          <t>/Users/vincentc9002/model-prediction/data/odds/tennis/2026-08-28/polymarket_snapshots.jsonl</t>
        </is>
      </c>
      <c r="DF748" s="24" t="inlineStr">
        <is>
          <t>543899:2026-08-28T12:33:31.909804Z</t>
        </is>
      </c>
      <c r="DG748" s="24" t="n"/>
      <c r="DH748" s="24" t="n"/>
      <c r="DI748" s="24" t="n"/>
      <c r="DJ748" s="24" t="inlineStr">
        <is>
          <t>0.619772</t>
        </is>
      </c>
      <c r="DK748" s="24" t="n"/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6c136604158d4220</t>
        </is>
      </c>
      <c r="B749" s="24" t="inlineStr">
        <is>
          <t>2026-08-28T12:35:00.632364Z</t>
        </is>
      </c>
      <c r="C749" s="24" t="inlineStr">
        <is>
          <t>2026-08-29T01:00Z</t>
        </is>
      </c>
      <c r="D749" s="24" t="inlineStr">
        <is>
          <t>341-2026:182491</t>
        </is>
      </c>
      <c r="E749" s="24" t="inlineStr">
        <is>
          <t>TENNIS</t>
        </is>
      </c>
      <c r="F749" s="24" t="inlineStr">
        <is>
          <t>Elise Mertens</t>
        </is>
      </c>
      <c r="G749" s="24" t="inlineStr">
        <is>
          <t>Nikola Bartunkova</t>
        </is>
      </c>
      <c r="H749" s="24" t="inlineStr">
        <is>
          <t>moneyline</t>
        </is>
      </c>
      <c r="I749" s="24" t="inlineStr">
        <is>
          <t>away</t>
        </is>
      </c>
      <c r="J749" s="25" t="n"/>
      <c r="K749" s="24" t="inlineStr">
        <is>
          <t>polymarket_us</t>
        </is>
      </c>
      <c r="L749" s="26" t="n">
        <v>-133</v>
      </c>
      <c r="M749" s="27" t="n">
        <v>1.75188</v>
      </c>
      <c r="N749" s="28" t="n">
        <v>0.570815</v>
      </c>
      <c r="O749" s="28" t="n">
        <v>0.529</v>
      </c>
      <c r="P749" s="28" t="n">
        <v>0.05</v>
      </c>
      <c r="Q749" s="28" t="n">
        <v>-0.041815</v>
      </c>
      <c r="R749" s="26" t="n">
        <v>0</v>
      </c>
      <c r="S749" s="29" t="n">
        <v>1</v>
      </c>
      <c r="T749" s="24" t="inlineStr">
        <is>
          <t>tennis-surface-elo-v1</t>
        </is>
      </c>
      <c r="U749" s="24" t="inlineStr">
        <is>
          <t>settled</t>
        </is>
      </c>
      <c r="V749" s="24" t="inlineStr">
        <is>
          <t>win</t>
        </is>
      </c>
      <c r="W749" s="26" t="n">
        <v>1</v>
      </c>
      <c r="X749" s="26" t="n">
        <v>0</v>
      </c>
      <c r="Y749" s="25" t="n"/>
      <c r="Z749" s="26" t="n">
        <v>-133</v>
      </c>
      <c r="AA749" s="28" t="n">
        <v>0.57</v>
      </c>
      <c r="AB749" s="28" t="n">
        <v>-0.000815</v>
      </c>
      <c r="AC749" s="30" t="n">
        <v>0.7519</v>
      </c>
      <c r="AD749" s="24" t="inlineStr">
        <is>
          <t>2026-08-29T12:36:40.948246Z</t>
        </is>
      </c>
      <c r="AE749" s="31" t="inlineStr">
        <is>
          <t>Surface-blended Elo on Hard: Elise Mertens p=0.529 vs Nikola Bartunkova. Executable ask 0.5700 (aec-wta-nikbar-elimer-2026-08-28).</t>
        </is>
      </c>
      <c r="AF749" s="31" t="inlineStr">
        <is>
          <t>Surface-blended Elo model; singles only, WTA+ATP market coverage, not yet locked-holdout qualified -- promoted by explicit operator directive, not genuine walk-forward validation.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Elise Mertens</t>
        </is>
      </c>
      <c r="AQ749" s="24" t="inlineStr">
        <is>
          <t>Elise Mertens</t>
        </is>
      </c>
      <c r="AR749" s="24" t="inlineStr">
        <is>
          <t>Elise Mertens</t>
        </is>
      </c>
      <c r="AS749" s="24" t="inlineStr">
        <is>
          <t>Nikola Bartunkova</t>
        </is>
      </c>
      <c r="AT749" s="24" t="inlineStr">
        <is>
          <t>Nikola Bartunkova</t>
        </is>
      </c>
      <c r="AU749" s="24" t="inlineStr">
        <is>
          <t>Nikola Bartunkova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d777da58446bc099047b154203518e2585ef1a678f613f2b430f2589f7bf5cff</t>
        </is>
      </c>
      <c r="BB749" s="24" t="inlineStr">
        <is>
          <t>surface_blended_elo</t>
        </is>
      </c>
      <c r="BC749" s="24" t="inlineStr">
        <is>
          <t>tennis-surface-elo-v1</t>
        </is>
      </c>
      <c r="BD749" s="24" t="inlineStr">
        <is>
          <t>d777da58446bc099047b154203518e2585ef1a678f613f2b430f2589f7bf5cff</t>
        </is>
      </c>
      <c r="BE749" s="24" t="inlineStr">
        <is>
          <t>tennis-surface-elo-v1</t>
        </is>
      </c>
      <c r="BF749" s="24" t="inlineStr">
        <is>
          <t>1</t>
        </is>
      </c>
      <c r="BG749" s="24" t="inlineStr">
        <is>
          <t>d777da58446bc099047b154203518e2585ef1a678f613f2b430f2589f7bf5cff</t>
        </is>
      </c>
      <c r="BH749" s="24" t="inlineStr">
        <is>
          <t>2026-08-28T12:33:31.927937Z</t>
        </is>
      </c>
      <c r="BI749" s="24" t="inlineStr">
        <is>
          <t>["same_event","same_team_same_day","same_league_same_day"]</t>
        </is>
      </c>
      <c r="BJ749" s="25" t="n"/>
      <c r="BK749" s="26" t="n">
        <v>-133</v>
      </c>
      <c r="BL749" s="27" t="n">
        <v>1.75188</v>
      </c>
      <c r="BM749" s="28" t="n">
        <v>0.570815</v>
      </c>
      <c r="BN749" s="28" t="n"/>
      <c r="BO749" s="28" t="n"/>
      <c r="BP749" s="25" t="n"/>
      <c r="BQ749" s="27" t="n">
        <v>1.75188</v>
      </c>
      <c r="BR749" s="28" t="n">
        <v>0.57</v>
      </c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inlineStr">
        <is>
          <t>5985cb1f7c5e71679bf44180b6f6a2c37160ea0937281057032cc4006b0c5309</t>
        </is>
      </c>
      <c r="DE749" s="24" t="inlineStr">
        <is>
          <t>/Users/vincentc9002/model-prediction/data/odds/tennis/2026-08-28/polymarket_snapshots.jsonl</t>
        </is>
      </c>
      <c r="DF749" s="24" t="inlineStr">
        <is>
          <t>544676:2026-08-28T12:33:31.927937Z</t>
        </is>
      </c>
      <c r="DG749" s="24" t="n"/>
      <c r="DH749" s="24" t="n"/>
      <c r="DI749" s="24" t="n"/>
      <c r="DJ749" s="24" t="inlineStr">
        <is>
          <t>0.570815</t>
        </is>
      </c>
      <c r="DK749" s="24" t="n"/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46473c0f8fec49cb</t>
        </is>
      </c>
      <c r="B750" s="24" t="inlineStr">
        <is>
          <t>2026-08-28T12:35:00.632364Z</t>
        </is>
      </c>
      <c r="C750" s="24" t="inlineStr">
        <is>
          <t>2026-08-28T22:00Z</t>
        </is>
      </c>
      <c r="D750" s="24" t="inlineStr">
        <is>
          <t>1075-2026:182149</t>
        </is>
      </c>
      <c r="E750" s="24" t="inlineStr">
        <is>
          <t>TENNIS</t>
        </is>
      </c>
      <c r="F750" s="24" t="inlineStr">
        <is>
          <t>Katie Volynets</t>
        </is>
      </c>
      <c r="G750" s="24" t="inlineStr">
        <is>
          <t>Oksana Selekhmeteva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-426</v>
      </c>
      <c r="M750" s="27" t="n">
        <v>1.234742</v>
      </c>
      <c r="N750" s="28" t="n">
        <v>0.809886</v>
      </c>
      <c r="O750" s="28" t="n">
        <v>0.6395</v>
      </c>
      <c r="P750" s="28" t="n">
        <v>0.05</v>
      </c>
      <c r="Q750" s="28" t="n">
        <v>-0.170386</v>
      </c>
      <c r="R750" s="26" t="n">
        <v>0</v>
      </c>
      <c r="S750" s="29" t="n">
        <v>1</v>
      </c>
      <c r="T750" s="24" t="inlineStr">
        <is>
          <t>tennis-surface-elo-v1</t>
        </is>
      </c>
      <c r="U750" s="24" t="inlineStr">
        <is>
          <t>settled</t>
        </is>
      </c>
      <c r="V750" s="24" t="inlineStr">
        <is>
          <t>win</t>
        </is>
      </c>
      <c r="W750" s="26" t="n">
        <v>1</v>
      </c>
      <c r="X750" s="26" t="n">
        <v>0</v>
      </c>
      <c r="Y750" s="25" t="n"/>
      <c r="Z750" s="26" t="n">
        <v>-426</v>
      </c>
      <c r="AA750" s="28" t="n">
        <v>0.8100000000000001</v>
      </c>
      <c r="AB750" s="28" t="n">
        <v>0.000114</v>
      </c>
      <c r="AC750" s="30" t="n">
        <v>0.2347</v>
      </c>
      <c r="AD750" s="24" t="inlineStr">
        <is>
          <t>2026-08-29T12:36:43.330987Z</t>
        </is>
      </c>
      <c r="AE750" s="31" t="inlineStr">
        <is>
          <t>Surface-blended Elo on Hard: Katie Volynets p=0.639 vs Oksana Selekhmeteva. Executable ask 0.8100 (aec-wta-okssel-katvol-2026-08-28).</t>
        </is>
      </c>
      <c r="AF750" s="31" t="inlineStr">
        <is>
          <t>Surface-blended Elo model; singles only, WTA+ATP market coverage, not yet locked-holdout qualified -- promoted by explicit operator directive, not genuine walk-forward validation.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Katie Volynets</t>
        </is>
      </c>
      <c r="AQ750" s="24" t="inlineStr">
        <is>
          <t>Katie Volynets</t>
        </is>
      </c>
      <c r="AR750" s="24" t="inlineStr">
        <is>
          <t>Katie Volynets</t>
        </is>
      </c>
      <c r="AS750" s="24" t="inlineStr">
        <is>
          <t>Oksana Selekhmeteva</t>
        </is>
      </c>
      <c r="AT750" s="24" t="inlineStr">
        <is>
          <t>Oksana Selekhmeteva</t>
        </is>
      </c>
      <c r="AU750" s="24" t="inlineStr">
        <is>
          <t>Oksana Selekhmeteva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d777da58446bc099047b154203518e2585ef1a678f613f2b430f2589f7bf5cff</t>
        </is>
      </c>
      <c r="BB750" s="24" t="inlineStr">
        <is>
          <t>surface_blended_elo</t>
        </is>
      </c>
      <c r="BC750" s="24" t="inlineStr">
        <is>
          <t>tennis-surface-elo-v1</t>
        </is>
      </c>
      <c r="BD750" s="24" t="inlineStr">
        <is>
          <t>d777da58446bc099047b154203518e2585ef1a678f613f2b430f2589f7bf5cff</t>
        </is>
      </c>
      <c r="BE750" s="24" t="inlineStr">
        <is>
          <t>tennis-surface-elo-v1</t>
        </is>
      </c>
      <c r="BF750" s="24" t="inlineStr">
        <is>
          <t>1</t>
        </is>
      </c>
      <c r="BG750" s="24" t="inlineStr">
        <is>
          <t>d777da58446bc099047b154203518e2585ef1a678f613f2b430f2589f7bf5cff</t>
        </is>
      </c>
      <c r="BH750" s="24" t="inlineStr">
        <is>
          <t>2026-08-28T12:33:31.805642Z</t>
        </is>
      </c>
      <c r="BI750" s="24" t="inlineStr">
        <is>
          <t>["same_event","same_team_same_day","same_league_same_day"]</t>
        </is>
      </c>
      <c r="BJ750" s="25" t="n"/>
      <c r="BK750" s="26" t="n">
        <v>-426</v>
      </c>
      <c r="BL750" s="27" t="n">
        <v>1.234742</v>
      </c>
      <c r="BM750" s="28" t="n">
        <v>0.809886</v>
      </c>
      <c r="BN750" s="28" t="n"/>
      <c r="BO750" s="28" t="n"/>
      <c r="BP750" s="25" t="n"/>
      <c r="BQ750" s="27" t="n">
        <v>1.234742</v>
      </c>
      <c r="BR750" s="28" t="n">
        <v>0.8100000000000001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inlineStr">
        <is>
          <t>70bd64cdfcbf7147900b611710f23e1ee89b13da251c13283db87b479fa38dc9</t>
        </is>
      </c>
      <c r="DE750" s="24" t="inlineStr">
        <is>
          <t>/Users/vincentc9002/model-prediction/data/odds/tennis/2026-08-28/polymarket_snapshots.jsonl</t>
        </is>
      </c>
      <c r="DF750" s="24" t="inlineStr">
        <is>
          <t>543655:2026-08-28T12:33:31.805642Z</t>
        </is>
      </c>
      <c r="DG750" s="24" t="n"/>
      <c r="DH750" s="24" t="n"/>
      <c r="DI750" s="24" t="n"/>
      <c r="DJ750" s="24" t="inlineStr">
        <is>
          <t>0.809886</t>
        </is>
      </c>
      <c r="DK750" s="24" t="n"/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93aa7a7e4a404b17</t>
        </is>
      </c>
      <c r="B751" s="24" t="inlineStr">
        <is>
          <t>2026-08-28T12:35:00.632364Z</t>
        </is>
      </c>
      <c r="C751" s="24" t="inlineStr">
        <is>
          <t>2026-08-28T20:00Z</t>
        </is>
      </c>
      <c r="D751" s="24" t="inlineStr">
        <is>
          <t>363-2026:182064</t>
        </is>
      </c>
      <c r="E751" s="24" t="inlineStr">
        <is>
          <t>TENNIS</t>
        </is>
      </c>
      <c r="F751" s="24" t="inlineStr">
        <is>
          <t>Benjamin Bonzi</t>
        </is>
      </c>
      <c r="G751" s="24" t="inlineStr">
        <is>
          <t>Ignacio Buse</t>
        </is>
      </c>
      <c r="H751" s="24" t="inlineStr">
        <is>
          <t>moneyline</t>
        </is>
      </c>
      <c r="I751" s="24" t="inlineStr">
        <is>
          <t>away</t>
        </is>
      </c>
      <c r="J751" s="25" t="n"/>
      <c r="K751" s="24" t="inlineStr">
        <is>
          <t>polymarket_us</t>
        </is>
      </c>
      <c r="L751" s="26" t="n">
        <v>-127</v>
      </c>
      <c r="M751" s="27" t="n">
        <v>1.787402</v>
      </c>
      <c r="N751" s="28" t="n">
        <v>0.5594710000000001</v>
      </c>
      <c r="O751" s="28" t="n">
        <v>0.5698</v>
      </c>
      <c r="P751" s="28" t="n">
        <v>0.05</v>
      </c>
      <c r="Q751" s="28" t="n">
        <v>0.010329</v>
      </c>
      <c r="R751" s="26" t="n">
        <v>25</v>
      </c>
      <c r="S751" s="29" t="n">
        <v>1</v>
      </c>
      <c r="T751" s="24" t="inlineStr">
        <is>
          <t>tennis-surface-elo-v1</t>
        </is>
      </c>
      <c r="U751" s="24" t="inlineStr">
        <is>
          <t>settled</t>
        </is>
      </c>
      <c r="V751" s="24" t="inlineStr">
        <is>
          <t>loss</t>
        </is>
      </c>
      <c r="W751" s="26" t="n">
        <v>0</v>
      </c>
      <c r="X751" s="26" t="n">
        <v>1</v>
      </c>
      <c r="Y751" s="25" t="n"/>
      <c r="Z751" s="26" t="n">
        <v>-127</v>
      </c>
      <c r="AA751" s="28" t="n">
        <v>0.5600000000000001</v>
      </c>
      <c r="AB751" s="28" t="n">
        <v>0.000529</v>
      </c>
      <c r="AC751" s="30" t="n">
        <v>-1</v>
      </c>
      <c r="AD751" s="24" t="inlineStr">
        <is>
          <t>2026-08-29T12:36:45.626789Z</t>
        </is>
      </c>
      <c r="AE751" s="31" t="inlineStr">
        <is>
          <t>Surface-blended Elo on Hard: Benjamin Bonzi p=0.570 vs Ignacio Buse. Executable ask 0.5600 (aec-atp-ignbus-benbon-2026-08-28).</t>
        </is>
      </c>
      <c r="AF751" s="31" t="inlineStr">
        <is>
          <t>Surface-blended Elo model; singles only, WTA+ATP market coverage, not yet locked-holdout qualified -- promoted by explicit operator directive, not genuine walk-forward validation.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Benjamin Bonzi</t>
        </is>
      </c>
      <c r="AQ751" s="24" t="inlineStr">
        <is>
          <t>Benjamin Bonzi</t>
        </is>
      </c>
      <c r="AR751" s="24" t="inlineStr">
        <is>
          <t>Benjamin Bonzi</t>
        </is>
      </c>
      <c r="AS751" s="24" t="inlineStr">
        <is>
          <t>Ignacio Buse</t>
        </is>
      </c>
      <c r="AT751" s="24" t="inlineStr">
        <is>
          <t>Ignacio Buse</t>
        </is>
      </c>
      <c r="AU751" s="24" t="inlineStr">
        <is>
          <t>Ignacio Buse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d777da58446bc099047b154203518e2585ef1a678f613f2b430f2589f7bf5cff</t>
        </is>
      </c>
      <c r="BB751" s="24" t="inlineStr">
        <is>
          <t>surface_blended_elo</t>
        </is>
      </c>
      <c r="BC751" s="24" t="inlineStr">
        <is>
          <t>tennis-surface-elo-v1</t>
        </is>
      </c>
      <c r="BD751" s="24" t="inlineStr">
        <is>
          <t>d777da58446bc099047b154203518e2585ef1a678f613f2b430f2589f7bf5cff</t>
        </is>
      </c>
      <c r="BE751" s="24" t="inlineStr">
        <is>
          <t>tennis-surface-elo-v1</t>
        </is>
      </c>
      <c r="BF751" s="24" t="inlineStr">
        <is>
          <t>1</t>
        </is>
      </c>
      <c r="BG751" s="24" t="inlineStr">
        <is>
          <t>d777da58446bc099047b154203518e2585ef1a678f613f2b430f2589f7bf5cff</t>
        </is>
      </c>
      <c r="BH751" s="24" t="inlineStr">
        <is>
          <t>2026-08-28T12:33:32.100359Z</t>
        </is>
      </c>
      <c r="BI751" s="24" t="inlineStr">
        <is>
          <t>["same_event","same_team_same_day","same_league_same_day"]</t>
        </is>
      </c>
      <c r="BJ751" s="25" t="n"/>
      <c r="BK751" s="26" t="n">
        <v>-127</v>
      </c>
      <c r="BL751" s="27" t="n">
        <v>1.787402</v>
      </c>
      <c r="BM751" s="28" t="n">
        <v>0.5594710000000001</v>
      </c>
      <c r="BN751" s="28" t="n"/>
      <c r="BO751" s="28" t="n"/>
      <c r="BP751" s="25" t="n"/>
      <c r="BQ751" s="27" t="n">
        <v>1.787402</v>
      </c>
      <c r="BR751" s="28" t="n">
        <v>0.5600000000000001</v>
      </c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inlineStr">
        <is>
          <t>c1713a1292ee47700a047554558ebc3fe437e0eea0d1472e3109ac786f620ec9</t>
        </is>
      </c>
      <c r="DE751" s="24" t="inlineStr">
        <is>
          <t>/Users/vincentc9002/model-prediction/data/odds/tennis/2026-08-28/polymarket_snapshots.jsonl</t>
        </is>
      </c>
      <c r="DF751" s="24" t="inlineStr">
        <is>
          <t>542681:2026-08-28T12:33:32.100359Z</t>
        </is>
      </c>
      <c r="DG751" s="24" t="n"/>
      <c r="DH751" s="24" t="n"/>
      <c r="DI751" s="24" t="n"/>
      <c r="DJ751" s="24" t="inlineStr">
        <is>
          <t>0.559471</t>
        </is>
      </c>
      <c r="DK751" s="24" t="n"/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959c5fcd6aaa41c4</t>
        </is>
      </c>
      <c r="B752" s="24" t="inlineStr">
        <is>
          <t>2026-08-28T12:35:00.632364Z</t>
        </is>
      </c>
      <c r="C752" s="24" t="inlineStr">
        <is>
          <t>2026-08-28T22:30Z</t>
        </is>
      </c>
      <c r="D752" s="24" t="inlineStr">
        <is>
          <t>363-2026:182063</t>
        </is>
      </c>
      <c r="E752" s="24" t="inlineStr">
        <is>
          <t>TENNIS</t>
        </is>
      </c>
      <c r="F752" s="24" t="inlineStr">
        <is>
          <t>Arthur Fery</t>
        </is>
      </c>
      <c r="G752" s="24" t="inlineStr">
        <is>
          <t>James Duckworth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-144</v>
      </c>
      <c r="M752" s="27" t="n">
        <v>1.694444</v>
      </c>
      <c r="N752" s="28" t="n">
        <v>0.590164</v>
      </c>
      <c r="O752" s="28" t="n">
        <v>0.6074000000000001</v>
      </c>
      <c r="P752" s="28" t="n">
        <v>0.05</v>
      </c>
      <c r="Q752" s="28" t="n">
        <v>0.017236</v>
      </c>
      <c r="R752" s="26" t="n">
        <v>29</v>
      </c>
      <c r="S752" s="29" t="n">
        <v>1</v>
      </c>
      <c r="T752" s="24" t="inlineStr">
        <is>
          <t>tennis-surface-elo-v1</t>
        </is>
      </c>
      <c r="U752" s="24" t="inlineStr">
        <is>
          <t>settled</t>
        </is>
      </c>
      <c r="V752" s="24" t="inlineStr">
        <is>
          <t>win</t>
        </is>
      </c>
      <c r="W752" s="26" t="n">
        <v>1</v>
      </c>
      <c r="X752" s="26" t="n">
        <v>0</v>
      </c>
      <c r="Y752" s="25" t="n"/>
      <c r="Z752" s="26" t="n">
        <v>-144</v>
      </c>
      <c r="AA752" s="28" t="n">
        <v>0.59</v>
      </c>
      <c r="AB752" s="28" t="n">
        <v>-0.000164</v>
      </c>
      <c r="AC752" s="30" t="n">
        <v>0.6944</v>
      </c>
      <c r="AD752" s="24" t="inlineStr">
        <is>
          <t>2026-08-29T12:36:47.909952Z</t>
        </is>
      </c>
      <c r="AE752" s="31" t="inlineStr">
        <is>
          <t>Surface-blended Elo on Hard: Arthur Fery p=0.607 vs James Duckworth. Executable ask 0.5900 (aec-atp-jamduc-artfer-2026-08-29).</t>
        </is>
      </c>
      <c r="AF752" s="31" t="inlineStr">
        <is>
          <t>Surface-blended Elo model; singles only, WTA+ATP market coverage, not yet locked-holdout qualified -- promoted by explicit operator directive, not genuine walk-forward validation.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Arthur Fery</t>
        </is>
      </c>
      <c r="AQ752" s="24" t="inlineStr">
        <is>
          <t>Arthur Fery</t>
        </is>
      </c>
      <c r="AR752" s="24" t="inlineStr">
        <is>
          <t>Arthur Fery</t>
        </is>
      </c>
      <c r="AS752" s="24" t="inlineStr">
        <is>
          <t>James Duckworth</t>
        </is>
      </c>
      <c r="AT752" s="24" t="inlineStr">
        <is>
          <t>James Duckworth</t>
        </is>
      </c>
      <c r="AU752" s="24" t="inlineStr">
        <is>
          <t>James Duckworth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d777da58446bc099047b154203518e2585ef1a678f613f2b430f2589f7bf5cff</t>
        </is>
      </c>
      <c r="BB752" s="24" t="inlineStr">
        <is>
          <t>surface_blended_elo</t>
        </is>
      </c>
      <c r="BC752" s="24" t="inlineStr">
        <is>
          <t>tennis-surface-elo-v1</t>
        </is>
      </c>
      <c r="BD752" s="24" t="inlineStr">
        <is>
          <t>d777da58446bc099047b154203518e2585ef1a678f613f2b430f2589f7bf5cff</t>
        </is>
      </c>
      <c r="BE752" s="24" t="inlineStr">
        <is>
          <t>tennis-surface-elo-v1</t>
        </is>
      </c>
      <c r="BF752" s="24" t="inlineStr">
        <is>
          <t>1</t>
        </is>
      </c>
      <c r="BG752" s="24" t="inlineStr">
        <is>
          <t>d777da58446bc099047b154203518e2585ef1a678f613f2b430f2589f7bf5cff</t>
        </is>
      </c>
      <c r="BH752" s="24" t="inlineStr">
        <is>
          <t>2026-08-28T12:33:32.213242Z</t>
        </is>
      </c>
      <c r="BI752" s="24" t="inlineStr">
        <is>
          <t>["same_event","same_team_same_day","same_league_same_day"]</t>
        </is>
      </c>
      <c r="BJ752" s="25" t="n"/>
      <c r="BK752" s="26" t="n">
        <v>-144</v>
      </c>
      <c r="BL752" s="27" t="n">
        <v>1.694444</v>
      </c>
      <c r="BM752" s="28" t="n">
        <v>0.590164</v>
      </c>
      <c r="BN752" s="28" t="n"/>
      <c r="BO752" s="28" t="n"/>
      <c r="BP752" s="25" t="n"/>
      <c r="BQ752" s="27" t="n">
        <v>1.694444</v>
      </c>
      <c r="BR752" s="28" t="n">
        <v>0.59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inlineStr">
        <is>
          <t>f0784aa9c99af2de1b339d30348c1a03805497a35528aeba88079a57676d783f</t>
        </is>
      </c>
      <c r="DE752" s="24" t="inlineStr">
        <is>
          <t>/Users/vincentc9002/model-prediction/data/odds/tennis/2026-08-28/polymarket_snapshots.jsonl</t>
        </is>
      </c>
      <c r="DF752" s="24" t="inlineStr">
        <is>
          <t>544349:2026-08-28T12:33:32.213242Z</t>
        </is>
      </c>
      <c r="DG752" s="24" t="n"/>
      <c r="DH752" s="24" t="n"/>
      <c r="DI752" s="24" t="n"/>
      <c r="DJ752" s="24" t="inlineStr">
        <is>
          <t>0.590164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d81dc3e35bb94ee2</t>
        </is>
      </c>
      <c r="B753" s="24" t="inlineStr">
        <is>
          <t>2026-08-29T16:04:47.713724Z</t>
        </is>
      </c>
      <c r="C753" s="24" t="inlineStr">
        <is>
          <t>2026-08-29T23:30Z</t>
        </is>
      </c>
      <c r="D753" s="24" t="inlineStr">
        <is>
          <t>341-2026:182511</t>
        </is>
      </c>
      <c r="E753" s="24" t="inlineStr">
        <is>
          <t>TENNIS</t>
        </is>
      </c>
      <c r="F753" s="24" t="inlineStr">
        <is>
          <t>Elise Mertens</t>
        </is>
      </c>
      <c r="G753" s="24" t="inlineStr">
        <is>
          <t>Diane Parry</t>
        </is>
      </c>
      <c r="H753" s="24" t="inlineStr">
        <is>
          <t>moneyline</t>
        </is>
      </c>
      <c r="I753" s="24" t="inlineStr">
        <is>
          <t>away</t>
        </is>
      </c>
      <c r="J753" s="25" t="n"/>
      <c r="K753" s="24" t="inlineStr">
        <is>
          <t>polymarket_us</t>
        </is>
      </c>
      <c r="L753" s="26" t="n">
        <v>-178</v>
      </c>
      <c r="M753" s="27" t="n">
        <v>1.561798</v>
      </c>
      <c r="N753" s="28" t="n">
        <v>0.640288</v>
      </c>
      <c r="O753" s="28" t="n">
        <v>0.5546</v>
      </c>
      <c r="P753" s="28" t="n">
        <v>0.05</v>
      </c>
      <c r="Q753" s="28" t="n">
        <v>-0.085688</v>
      </c>
      <c r="R753" s="26" t="n">
        <v>0</v>
      </c>
      <c r="S753" s="29" t="n">
        <v>1</v>
      </c>
      <c r="T753" s="24" t="inlineStr">
        <is>
          <t>tennis-surface-elo-v1</t>
        </is>
      </c>
      <c r="U753" s="24" t="inlineStr">
        <is>
          <t>settled</t>
        </is>
      </c>
      <c r="V753" s="24" t="inlineStr">
        <is>
          <t>loss</t>
        </is>
      </c>
      <c r="W753" s="26" t="n">
        <v>0</v>
      </c>
      <c r="X753" s="26" t="n">
        <v>1</v>
      </c>
      <c r="Y753" s="25" t="n"/>
      <c r="Z753" s="26" t="n">
        <v>-178</v>
      </c>
      <c r="AA753" s="28" t="n">
        <v>0.64</v>
      </c>
      <c r="AB753" s="28" t="n">
        <v>-0.000288</v>
      </c>
      <c r="AC753" s="30" t="n">
        <v>-1</v>
      </c>
      <c r="AD753" s="24" t="inlineStr">
        <is>
          <t>2026-08-30T03:29:39.210764Z</t>
        </is>
      </c>
      <c r="AE753" s="31" t="inlineStr">
        <is>
          <t>Surface-blended Elo on Hard: Elise Mertens p=0.555 vs Diane Parry. Executable ask 0.6400 (aec-wta-diapar-elimer-2026-08-30).</t>
        </is>
      </c>
      <c r="AF753" s="31" t="inlineStr">
        <is>
          <t>Surface-blended Elo model; singles only, WTA+ATP market coverage, not yet locked-holdout qualified -- promoted by explicit operator directive, not genuine walk-forward validation.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PAPER_CALL_LOW_EDGE</t>
        </is>
      </c>
      <c r="AP753" s="24" t="inlineStr">
        <is>
          <t>Elise Mertens</t>
        </is>
      </c>
      <c r="AQ753" s="24" t="inlineStr">
        <is>
          <t>Elise Mertens</t>
        </is>
      </c>
      <c r="AR753" s="24" t="inlineStr">
        <is>
          <t>Elise Mertens</t>
        </is>
      </c>
      <c r="AS753" s="24" t="inlineStr">
        <is>
          <t>Diane Parry</t>
        </is>
      </c>
      <c r="AT753" s="24" t="inlineStr">
        <is>
          <t>Diane Parry</t>
        </is>
      </c>
      <c r="AU753" s="24" t="inlineStr">
        <is>
          <t>Diane Parry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d777da58446bc099047b154203518e2585ef1a678f613f2b430f2589f7bf5cff</t>
        </is>
      </c>
      <c r="BB753" s="24" t="inlineStr">
        <is>
          <t>surface_blended_elo</t>
        </is>
      </c>
      <c r="BC753" s="24" t="inlineStr">
        <is>
          <t>tennis-surface-elo-v1</t>
        </is>
      </c>
      <c r="BD753" s="24" t="inlineStr">
        <is>
          <t>d777da58446bc099047b154203518e2585ef1a678f613f2b430f2589f7bf5cff</t>
        </is>
      </c>
      <c r="BE753" s="24" t="inlineStr">
        <is>
          <t>tennis-surface-elo-v1</t>
        </is>
      </c>
      <c r="BF753" s="24" t="inlineStr">
        <is>
          <t>1</t>
        </is>
      </c>
      <c r="BG753" s="24" t="inlineStr">
        <is>
          <t>d777da58446bc099047b154203518e2585ef1a678f613f2b430f2589f7bf5cff</t>
        </is>
      </c>
      <c r="BH753" s="24" t="inlineStr">
        <is>
          <t>2026-08-29T16:02:52.747836Z</t>
        </is>
      </c>
      <c r="BI753" s="24" t="inlineStr">
        <is>
          <t>["same_event","same_team_same_day","same_league_same_day"]</t>
        </is>
      </c>
      <c r="BJ753" s="25" t="n"/>
      <c r="BK753" s="26" t="n">
        <v>-178</v>
      </c>
      <c r="BL753" s="27" t="n">
        <v>1.561798</v>
      </c>
      <c r="BM753" s="28" t="n">
        <v>0.640288</v>
      </c>
      <c r="BN753" s="28" t="n"/>
      <c r="BO753" s="28" t="n"/>
      <c r="BP753" s="25" t="n"/>
      <c r="BQ753" s="27" t="n">
        <v>1.561798</v>
      </c>
      <c r="BR753" s="28" t="n">
        <v>0.64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inlineStr">
        <is>
          <t>e0fd242b1245d68c3ac767950cbd1032da9e2ddae3ec0ecb1f0445c7a22e0e3f</t>
        </is>
      </c>
      <c r="DE753" s="24" t="inlineStr">
        <is>
          <t>/Users/vincentc9002/model-prediction/data/odds/tennis/2026-08-29/polymarket_snapshots.jsonl</t>
        </is>
      </c>
      <c r="DF753" s="24" t="inlineStr">
        <is>
          <t>554199:2026-08-29T16:02:52.747836Z</t>
        </is>
      </c>
      <c r="DG753" s="24" t="n"/>
      <c r="DH753" s="24" t="n"/>
      <c r="DI753" s="24" t="n"/>
      <c r="DJ753" s="24" t="inlineStr">
        <is>
          <t>0.640288</t>
        </is>
      </c>
      <c r="DK753" s="24" t="n"/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6093c2da7f6d4b34</t>
        </is>
      </c>
      <c r="B754" s="24" t="inlineStr">
        <is>
          <t>2026-08-29T16:04:47.713724Z</t>
        </is>
      </c>
      <c r="C754" s="24" t="inlineStr">
        <is>
          <t>2026-08-29T18:00Z</t>
        </is>
      </c>
      <c r="D754" s="24" t="inlineStr">
        <is>
          <t>1075-2026:182147</t>
        </is>
      </c>
      <c r="E754" s="24" t="inlineStr">
        <is>
          <t>TENNIS</t>
        </is>
      </c>
      <c r="F754" s="24" t="inlineStr">
        <is>
          <t>Tereza Valentova</t>
        </is>
      </c>
      <c r="G754" s="24" t="inlineStr">
        <is>
          <t>Katie Volynets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-186</v>
      </c>
      <c r="M754" s="27" t="n">
        <v>1.537634</v>
      </c>
      <c r="N754" s="28" t="n">
        <v>0.65035</v>
      </c>
      <c r="O754" s="28" t="n">
        <v>0.5574</v>
      </c>
      <c r="P754" s="28" t="n">
        <v>0.05</v>
      </c>
      <c r="Q754" s="28" t="n">
        <v>-0.09295</v>
      </c>
      <c r="R754" s="26" t="n">
        <v>0</v>
      </c>
      <c r="S754" s="29" t="n">
        <v>1</v>
      </c>
      <c r="T754" s="24" t="inlineStr">
        <is>
          <t>tennis-surface-elo-v1</t>
        </is>
      </c>
      <c r="U754" s="24" t="inlineStr">
        <is>
          <t>settled</t>
        </is>
      </c>
      <c r="V754" s="24" t="inlineStr">
        <is>
          <t>loss</t>
        </is>
      </c>
      <c r="W754" s="26" t="n">
        <v>0</v>
      </c>
      <c r="X754" s="26" t="n">
        <v>1</v>
      </c>
      <c r="Y754" s="25" t="n"/>
      <c r="Z754" s="26" t="n">
        <v>-186</v>
      </c>
      <c r="AA754" s="28" t="n">
        <v>0.65</v>
      </c>
      <c r="AB754" s="28" t="n">
        <v>-0.00035</v>
      </c>
      <c r="AC754" s="30" t="n">
        <v>-1</v>
      </c>
      <c r="AD754" s="24" t="inlineStr">
        <is>
          <t>2026-08-30T03:29:41.528906Z</t>
        </is>
      </c>
      <c r="AE754" s="31" t="inlineStr">
        <is>
          <t>Surface-blended Elo on Hard: Tereza Valentova p=0.557 vs Katie Volynets. Executable ask 0.6500 (aec-wta-katvol-terval-2026-08-30).</t>
        </is>
      </c>
      <c r="AF754" s="31" t="inlineStr">
        <is>
          <t>Surface-blended Elo model; singles only, WTA+ATP market coverage, not yet locked-holdout qualified -- promoted by explicit operator directive, not genuine walk-forward validation.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Tereza Valentova</t>
        </is>
      </c>
      <c r="AQ754" s="24" t="inlineStr">
        <is>
          <t>Tereza Valentova</t>
        </is>
      </c>
      <c r="AR754" s="24" t="inlineStr">
        <is>
          <t>Tereza Valentova</t>
        </is>
      </c>
      <c r="AS754" s="24" t="inlineStr">
        <is>
          <t>Katie Volynets</t>
        </is>
      </c>
      <c r="AT754" s="24" t="inlineStr">
        <is>
          <t>Katie Volynets</t>
        </is>
      </c>
      <c r="AU754" s="24" t="inlineStr">
        <is>
          <t>Katie Volynets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d777da58446bc099047b154203518e2585ef1a678f613f2b430f2589f7bf5cff</t>
        </is>
      </c>
      <c r="BB754" s="24" t="inlineStr">
        <is>
          <t>surface_blended_elo</t>
        </is>
      </c>
      <c r="BC754" s="24" t="inlineStr">
        <is>
          <t>tennis-surface-elo-v1</t>
        </is>
      </c>
      <c r="BD754" s="24" t="inlineStr">
        <is>
          <t>d777da58446bc099047b154203518e2585ef1a678f613f2b430f2589f7bf5cff</t>
        </is>
      </c>
      <c r="BE754" s="24" t="inlineStr">
        <is>
          <t>tennis-surface-elo-v1</t>
        </is>
      </c>
      <c r="BF754" s="24" t="inlineStr">
        <is>
          <t>1</t>
        </is>
      </c>
      <c r="BG754" s="24" t="inlineStr">
        <is>
          <t>d777da58446bc099047b154203518e2585ef1a678f613f2b430f2589f7bf5cff</t>
        </is>
      </c>
      <c r="BH754" s="24" t="inlineStr">
        <is>
          <t>2026-08-29T16:02:52.742786Z</t>
        </is>
      </c>
      <c r="BI754" s="24" t="inlineStr">
        <is>
          <t>["same_event","same_team_same_day","same_league_same_day"]</t>
        </is>
      </c>
      <c r="BJ754" s="25" t="n"/>
      <c r="BK754" s="26" t="n">
        <v>-186</v>
      </c>
      <c r="BL754" s="27" t="n">
        <v>1.537634</v>
      </c>
      <c r="BM754" s="28" t="n">
        <v>0.65035</v>
      </c>
      <c r="BN754" s="28" t="n"/>
      <c r="BO754" s="28" t="n"/>
      <c r="BP754" s="25" t="n"/>
      <c r="BQ754" s="27" t="n">
        <v>1.537634</v>
      </c>
      <c r="BR754" s="28" t="n">
        <v>0.65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inlineStr">
        <is>
          <t>2d7719bc389b78a3a1ebbb02b5863aae1a9780c767471e4a9ea8c11bae2c5d7e</t>
        </is>
      </c>
      <c r="DE754" s="24" t="inlineStr">
        <is>
          <t>/Users/vincentc9002/model-prediction/data/odds/tennis/2026-08-29/polymarket_snapshots.jsonl</t>
        </is>
      </c>
      <c r="DF754" s="24" t="inlineStr">
        <is>
          <t>552700:2026-08-29T16:02:52.742786Z</t>
        </is>
      </c>
      <c r="DG754" s="24" t="n"/>
      <c r="DH754" s="24" t="n"/>
      <c r="DI754" s="24" t="n"/>
      <c r="DJ754" s="24" t="inlineStr">
        <is>
          <t>0.65035</t>
        </is>
      </c>
      <c r="DK754" s="24" t="n"/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206cb6dc478e44f9</t>
        </is>
      </c>
      <c r="B755" s="24" t="inlineStr">
        <is>
          <t>2026-08-29T16:04:47.713724Z</t>
        </is>
      </c>
      <c r="C755" s="24" t="inlineStr">
        <is>
          <t>2026-08-29T20:00Z</t>
        </is>
      </c>
      <c r="D755" s="24" t="inlineStr">
        <is>
          <t>363-2026:182065</t>
        </is>
      </c>
      <c r="E755" s="24" t="inlineStr">
        <is>
          <t>TENNIS</t>
        </is>
      </c>
      <c r="F755" s="24" t="inlineStr">
        <is>
          <t>Ignacio Buse</t>
        </is>
      </c>
      <c r="G755" s="24" t="inlineStr">
        <is>
          <t>Arthur Fery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polymarket_us</t>
        </is>
      </c>
      <c r="L755" s="26" t="n">
        <v>-122</v>
      </c>
      <c r="M755" s="27" t="n">
        <v>1.819672</v>
      </c>
      <c r="N755" s="28" t="n">
        <v>0.54955</v>
      </c>
      <c r="O755" s="28" t="n">
        <v>0.5614</v>
      </c>
      <c r="P755" s="28" t="n">
        <v>0.05</v>
      </c>
      <c r="Q755" s="28" t="n">
        <v>0.01185</v>
      </c>
      <c r="R755" s="26" t="n">
        <v>26</v>
      </c>
      <c r="S755" s="29" t="n">
        <v>1</v>
      </c>
      <c r="T755" s="24" t="inlineStr">
        <is>
          <t>tennis-surface-elo-v1</t>
        </is>
      </c>
      <c r="U755" s="24" t="inlineStr">
        <is>
          <t>settled</t>
        </is>
      </c>
      <c r="V755" s="24" t="inlineStr">
        <is>
          <t>loss</t>
        </is>
      </c>
      <c r="W755" s="26" t="n">
        <v>1</v>
      </c>
      <c r="X755" s="26" t="n">
        <v>0</v>
      </c>
      <c r="Y755" s="25" t="n"/>
      <c r="Z755" s="26" t="n">
        <v>-122</v>
      </c>
      <c r="AA755" s="28" t="n">
        <v>0.55</v>
      </c>
      <c r="AB755" s="28" t="n">
        <v>0.00045</v>
      </c>
      <c r="AC755" s="30" t="n">
        <v>-1</v>
      </c>
      <c r="AD755" s="24" t="inlineStr">
        <is>
          <t>2026-08-30T03:29:43.871846Z</t>
        </is>
      </c>
      <c r="AE755" s="31" t="inlineStr">
        <is>
          <t>Surface-blended Elo on Hard: Ignacio Buse p=0.439 vs Arthur Fery. Executable ask 0.5500 (aec-atp-artfer-ignbus-2026-08-30).</t>
        </is>
      </c>
      <c r="AF755" s="31" t="inlineStr">
        <is>
          <t>Surface-blended Elo model; singles only, WTA+ATP market coverage, not yet locked-holdout qualified -- promoted by explicit operator directive, not genuine walk-forward validation.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Ignacio Buse</t>
        </is>
      </c>
      <c r="AQ755" s="24" t="inlineStr">
        <is>
          <t>Ignacio Buse</t>
        </is>
      </c>
      <c r="AR755" s="24" t="inlineStr">
        <is>
          <t>Ignacio Buse</t>
        </is>
      </c>
      <c r="AS755" s="24" t="inlineStr">
        <is>
          <t>Arthur Fery</t>
        </is>
      </c>
      <c r="AT755" s="24" t="inlineStr">
        <is>
          <t>Arthur Fery</t>
        </is>
      </c>
      <c r="AU755" s="24" t="inlineStr">
        <is>
          <t>Arthur Fery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d777da58446bc099047b154203518e2585ef1a678f613f2b430f2589f7bf5cff</t>
        </is>
      </c>
      <c r="BB755" s="24" t="inlineStr">
        <is>
          <t>surface_blended_elo</t>
        </is>
      </c>
      <c r="BC755" s="24" t="inlineStr">
        <is>
          <t>tennis-surface-elo-v1</t>
        </is>
      </c>
      <c r="BD755" s="24" t="inlineStr">
        <is>
          <t>d777da58446bc099047b154203518e2585ef1a678f613f2b430f2589f7bf5cff</t>
        </is>
      </c>
      <c r="BE755" s="24" t="inlineStr">
        <is>
          <t>tennis-surface-elo-v1</t>
        </is>
      </c>
      <c r="BF755" s="24" t="inlineStr">
        <is>
          <t>1</t>
        </is>
      </c>
      <c r="BG755" s="24" t="inlineStr">
        <is>
          <t>d777da58446bc099047b154203518e2585ef1a678f613f2b430f2589f7bf5cff</t>
        </is>
      </c>
      <c r="BH755" s="24" t="inlineStr">
        <is>
          <t>2026-08-29T16:02:52.813044Z</t>
        </is>
      </c>
      <c r="BI755" s="24" t="inlineStr">
        <is>
          <t>["same_event","same_team_same_day","same_league_same_day"]</t>
        </is>
      </c>
      <c r="BJ755" s="25" t="n"/>
      <c r="BK755" s="26" t="n">
        <v>-122</v>
      </c>
      <c r="BL755" s="27" t="n">
        <v>1.819672</v>
      </c>
      <c r="BM755" s="28" t="n">
        <v>0.54955</v>
      </c>
      <c r="BN755" s="28" t="n"/>
      <c r="BO755" s="28" t="n"/>
      <c r="BP755" s="25" t="n"/>
      <c r="BQ755" s="27" t="n">
        <v>1.819672</v>
      </c>
      <c r="BR755" s="28" t="n">
        <v>0.55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inlineStr">
        <is>
          <t>fdc4bec91836b6e12925f076b24bf736d76b0ab9d560cb8ee705c45677da2344</t>
        </is>
      </c>
      <c r="DE755" s="24" t="inlineStr">
        <is>
          <t>/Users/vincentc9002/model-prediction/data/odds/tennis/2026-08-29/polymarket_snapshots.jsonl</t>
        </is>
      </c>
      <c r="DF755" s="24" t="inlineStr">
        <is>
          <t>552330:2026-08-29T16:02:52.813044Z</t>
        </is>
      </c>
      <c r="DG755" s="24" t="n"/>
      <c r="DH755" s="24" t="n"/>
      <c r="DI755" s="24" t="n"/>
      <c r="DJ755" s="24" t="inlineStr">
        <is>
          <t>0.54955</t>
        </is>
      </c>
      <c r="DK755" s="24" t="n"/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0510941faacf4fce</t>
        </is>
      </c>
      <c r="B756" s="24" t="inlineStr">
        <is>
          <t>2026-08-30T16:06:30.429692Z</t>
        </is>
      </c>
      <c r="C756" s="24" t="inlineStr">
        <is>
          <t>2026-08-30T16:10Z</t>
        </is>
      </c>
      <c r="D756" s="24" t="inlineStr">
        <is>
          <t>189-2026:182616</t>
        </is>
      </c>
      <c r="E756" s="24" t="inlineStr">
        <is>
          <t>TENNIS</t>
        </is>
      </c>
      <c r="F756" s="24" t="inlineStr">
        <is>
          <t>Elena-Gabriela Ruse</t>
        </is>
      </c>
      <c r="G756" s="24" t="inlineStr">
        <is>
          <t>Jessica Pegula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-900</v>
      </c>
      <c r="M756" s="27" t="n">
        <v>1.111111</v>
      </c>
      <c r="N756" s="28" t="n">
        <v>0.9</v>
      </c>
      <c r="O756" s="28" t="n">
        <v>0.8464</v>
      </c>
      <c r="P756" s="28" t="n">
        <v>0.05</v>
      </c>
      <c r="Q756" s="28" t="n">
        <v>-0.0536</v>
      </c>
      <c r="R756" s="26" t="n">
        <v>0</v>
      </c>
      <c r="S756" s="29" t="n">
        <v>1</v>
      </c>
      <c r="T756" s="24" t="inlineStr">
        <is>
          <t>tennis-surface-elo-v1</t>
        </is>
      </c>
      <c r="U756" s="24" t="inlineStr">
        <is>
          <t>settled</t>
        </is>
      </c>
      <c r="V756" s="24" t="inlineStr">
        <is>
          <t>win</t>
        </is>
      </c>
      <c r="W756" s="26" t="n">
        <v>0</v>
      </c>
      <c r="X756" s="26" t="n">
        <v>1</v>
      </c>
      <c r="Y756" s="25" t="n"/>
      <c r="Z756" s="26" t="n">
        <v>-1150</v>
      </c>
      <c r="AA756" s="28" t="n">
        <v>0.92</v>
      </c>
      <c r="AB756" s="28" t="n">
        <v>0.02</v>
      </c>
      <c r="AC756" s="30" t="n">
        <v>0.1111</v>
      </c>
      <c r="AD756" s="24" t="inlineStr">
        <is>
          <t>2026-08-31T04:37:16.174460Z</t>
        </is>
      </c>
      <c r="AE756" s="31" t="inlineStr">
        <is>
          <t>Surface-blended Elo on Hard: Elena-Gabriela Ruse p=0.154 vs Jessica Pegula. Executable ask 0.9000 (aec-wta-jespeg-gabrus-2026-08-30).</t>
        </is>
      </c>
      <c r="AF756" s="31" t="inlineStr">
        <is>
          <t>Surface-blended Elo model; singles only, WTA+ATP market coverage, not yet locked-holdout qualified -- promoted by explicit operator directive, not genuine walk-forward validation.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PAPER_CALL_LOW_EDGE</t>
        </is>
      </c>
      <c r="AP756" s="24" t="inlineStr">
        <is>
          <t>Elena-Gabriela Ruse</t>
        </is>
      </c>
      <c r="AQ756" s="24" t="inlineStr">
        <is>
          <t>Elena-Gabriela Ruse</t>
        </is>
      </c>
      <c r="AR756" s="24" t="inlineStr">
        <is>
          <t>Elena-Gabriela Ruse</t>
        </is>
      </c>
      <c r="AS756" s="24" t="inlineStr">
        <is>
          <t>Jessica Pegula</t>
        </is>
      </c>
      <c r="AT756" s="24" t="inlineStr">
        <is>
          <t>Jessica Pegula</t>
        </is>
      </c>
      <c r="AU756" s="24" t="inlineStr">
        <is>
          <t>Jessica Pegula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d777da58446bc099047b154203518e2585ef1a678f613f2b430f2589f7bf5cff</t>
        </is>
      </c>
      <c r="BB756" s="24" t="inlineStr">
        <is>
          <t>surface_blended_elo</t>
        </is>
      </c>
      <c r="BC756" s="24" t="inlineStr">
        <is>
          <t>tennis-surface-elo-v1</t>
        </is>
      </c>
      <c r="BD756" s="24" t="inlineStr">
        <is>
          <t>d777da58446bc099047b154203518e2585ef1a678f613f2b430f2589f7bf5cff</t>
        </is>
      </c>
      <c r="BE756" s="24" t="inlineStr">
        <is>
          <t>tennis-surface-elo-v1</t>
        </is>
      </c>
      <c r="BF756" s="24" t="inlineStr">
        <is>
          <t>1</t>
        </is>
      </c>
      <c r="BG756" s="24" t="inlineStr">
        <is>
          <t>d777da58446bc099047b154203518e2585ef1a678f613f2b430f2589f7bf5cff</t>
        </is>
      </c>
      <c r="BH756" s="24" t="inlineStr">
        <is>
          <t>2026-08-30T05:39:23.310937Z</t>
        </is>
      </c>
      <c r="BI756" s="24" t="inlineStr">
        <is>
          <t>["same_event","same_team_same_day","same_league_same_day"]</t>
        </is>
      </c>
      <c r="BJ756" s="25" t="n"/>
      <c r="BK756" s="26" t="n">
        <v>-900</v>
      </c>
      <c r="BL756" s="27" t="n">
        <v>1.111111</v>
      </c>
      <c r="BM756" s="28" t="n">
        <v>0.9</v>
      </c>
      <c r="BN756" s="28" t="n"/>
      <c r="BO756" s="28" t="n"/>
      <c r="BP756" s="25" t="n"/>
      <c r="BQ756" s="27" t="n">
        <v>1.086957</v>
      </c>
      <c r="BR756" s="28" t="n">
        <v>0.92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inlineStr">
        <is>
          <t>9f5f2a55105e107cecec85722f9929480b7786869f1e85720d1d6d458b53731d</t>
        </is>
      </c>
      <c r="DE756" s="24" t="inlineStr">
        <is>
          <t>/Users/vincentc9002/model-prediction/data/odds/tennis/2026-08-30/polymarket_snapshots.jsonl</t>
        </is>
      </c>
      <c r="DF756" s="24" t="inlineStr">
        <is>
          <t>547268:2026-08-30T05:39:23.310937Z</t>
        </is>
      </c>
      <c r="DG756" s="24" t="n"/>
      <c r="DH756" s="24" t="n"/>
      <c r="DI756" s="24" t="n"/>
      <c r="DJ756" s="24" t="inlineStr">
        <is>
          <t>0.9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72d99e447c8f40a3</t>
        </is>
      </c>
      <c r="B757" s="24" t="inlineStr">
        <is>
          <t>2026-08-30T16:06:30.429692Z</t>
        </is>
      </c>
      <c r="C757" s="24" t="inlineStr">
        <is>
          <t>2026-08-30T16:30Z</t>
        </is>
      </c>
      <c r="D757" s="24" t="inlineStr">
        <is>
          <t>189-2026:182633</t>
        </is>
      </c>
      <c r="E757" s="24" t="inlineStr">
        <is>
          <t>TENNIS</t>
        </is>
      </c>
      <c r="F757" s="24" t="inlineStr">
        <is>
          <t>Leylah Fernandez</t>
        </is>
      </c>
      <c r="G757" s="24" t="inlineStr">
        <is>
          <t>Zhang Shuai</t>
        </is>
      </c>
      <c r="H757" s="24" t="inlineStr">
        <is>
          <t>moneyline</t>
        </is>
      </c>
      <c r="I757" s="24" t="inlineStr">
        <is>
          <t>away</t>
        </is>
      </c>
      <c r="J757" s="25" t="n"/>
      <c r="K757" s="24" t="inlineStr">
        <is>
          <t>polymarket_us</t>
        </is>
      </c>
      <c r="L757" s="26" t="n">
        <v>-213</v>
      </c>
      <c r="M757" s="27" t="n">
        <v>1.469484</v>
      </c>
      <c r="N757" s="28" t="n">
        <v>0.680511</v>
      </c>
      <c r="O757" s="28" t="n">
        <v>0.5887</v>
      </c>
      <c r="P757" s="28" t="n">
        <v>0.05</v>
      </c>
      <c r="Q757" s="28" t="n">
        <v>-0.091811</v>
      </c>
      <c r="R757" s="26" t="n">
        <v>0</v>
      </c>
      <c r="S757" s="29" t="n">
        <v>1</v>
      </c>
      <c r="T757" s="24" t="inlineStr">
        <is>
          <t>tennis-surface-elo-v1</t>
        </is>
      </c>
      <c r="U757" s="24" t="inlineStr">
        <is>
          <t>settled</t>
        </is>
      </c>
      <c r="V757" s="24" t="inlineStr">
        <is>
          <t>win</t>
        </is>
      </c>
      <c r="W757" s="26" t="n">
        <v>1</v>
      </c>
      <c r="X757" s="26" t="n">
        <v>0</v>
      </c>
      <c r="Y757" s="25" t="n"/>
      <c r="Z757" s="26" t="n">
        <v>-213</v>
      </c>
      <c r="AA757" s="28" t="n">
        <v>0.68</v>
      </c>
      <c r="AB757" s="28" t="n">
        <v>-0.000511</v>
      </c>
      <c r="AC757" s="30" t="n">
        <v>0.4695</v>
      </c>
      <c r="AD757" s="24" t="inlineStr">
        <is>
          <t>2026-08-31T04:37:18.559792Z</t>
        </is>
      </c>
      <c r="AE757" s="31" t="inlineStr">
        <is>
          <t>Surface-blended Elo on Hard: Leylah Fernandez p=0.589 vs Zhang Shuai. Executable ask 0.6800 (aec-wta-shuzha-leyfer-2026-08-30).</t>
        </is>
      </c>
      <c r="AF757" s="31" t="inlineStr">
        <is>
          <t>Surface-blended Elo model; singles only, WTA+ATP market coverage, not yet locked-holdout qualified -- promoted by explicit operator directive, not genuine walk-forward validation.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Leylah Fernandez</t>
        </is>
      </c>
      <c r="AQ757" s="24" t="inlineStr">
        <is>
          <t>Leylah Fernandez</t>
        </is>
      </c>
      <c r="AR757" s="24" t="inlineStr">
        <is>
          <t>Leylah Fernandez</t>
        </is>
      </c>
      <c r="AS757" s="24" t="inlineStr">
        <is>
          <t>Zhang Shuai</t>
        </is>
      </c>
      <c r="AT757" s="24" t="inlineStr">
        <is>
          <t>Zhang Shuai</t>
        </is>
      </c>
      <c r="AU757" s="24" t="inlineStr">
        <is>
          <t>Zhang Shuai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d777da58446bc099047b154203518e2585ef1a678f613f2b430f2589f7bf5cff</t>
        </is>
      </c>
      <c r="BB757" s="24" t="inlineStr">
        <is>
          <t>surface_blended_elo</t>
        </is>
      </c>
      <c r="BC757" s="24" t="inlineStr">
        <is>
          <t>tennis-surface-elo-v1</t>
        </is>
      </c>
      <c r="BD757" s="24" t="inlineStr">
        <is>
          <t>d777da58446bc099047b154203518e2585ef1a678f613f2b430f2589f7bf5cff</t>
        </is>
      </c>
      <c r="BE757" s="24" t="inlineStr">
        <is>
          <t>tennis-surface-elo-v1</t>
        </is>
      </c>
      <c r="BF757" s="24" t="inlineStr">
        <is>
          <t>1</t>
        </is>
      </c>
      <c r="BG757" s="24" t="inlineStr">
        <is>
          <t>d777da58446bc099047b154203518e2585ef1a678f613f2b430f2589f7bf5cff</t>
        </is>
      </c>
      <c r="BH757" s="24" t="inlineStr">
        <is>
          <t>2026-08-30T16:04:55.679027Z</t>
        </is>
      </c>
      <c r="BI757" s="24" t="inlineStr">
        <is>
          <t>["same_event","same_team_same_day","same_league_same_day"]</t>
        </is>
      </c>
      <c r="BJ757" s="25" t="n"/>
      <c r="BK757" s="26" t="n">
        <v>-213</v>
      </c>
      <c r="BL757" s="27" t="n">
        <v>1.469484</v>
      </c>
      <c r="BM757" s="28" t="n">
        <v>0.680511</v>
      </c>
      <c r="BN757" s="28" t="n"/>
      <c r="BO757" s="28" t="n"/>
      <c r="BP757" s="25" t="n"/>
      <c r="BQ757" s="27" t="n">
        <v>1.469484</v>
      </c>
      <c r="BR757" s="28" t="n">
        <v>0.68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inlineStr">
        <is>
          <t>420d97d9d5a194f90cfe418e53f8c7e54a83ab4863f267e5715d0bbeea9f06ea</t>
        </is>
      </c>
      <c r="DE757" s="24" t="inlineStr">
        <is>
          <t>/Users/vincentc9002/model-prediction/data/odds/tennis/2026-08-30/polymarket_snapshots.jsonl</t>
        </is>
      </c>
      <c r="DF757" s="24" t="inlineStr">
        <is>
          <t>547273:2026-08-30T16:04:55.679027Z</t>
        </is>
      </c>
      <c r="DG757" s="24" t="n"/>
      <c r="DH757" s="24" t="n"/>
      <c r="DI757" s="24" t="n"/>
      <c r="DJ757" s="24" t="inlineStr">
        <is>
          <t>0.680511</t>
        </is>
      </c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93f8c3c54a704948</t>
        </is>
      </c>
      <c r="B758" s="24" t="inlineStr">
        <is>
          <t>2026-08-30T16:06:30.429692Z</t>
        </is>
      </c>
      <c r="C758" s="24" t="inlineStr">
        <is>
          <t>2026-08-30T16:30Z</t>
        </is>
      </c>
      <c r="D758" s="24" t="inlineStr">
        <is>
          <t>189-2026:182651</t>
        </is>
      </c>
      <c r="E758" s="24" t="inlineStr">
        <is>
          <t>TENNIS</t>
        </is>
      </c>
      <c r="F758" s="24" t="inlineStr">
        <is>
          <t>Wang Xinyu</t>
        </is>
      </c>
      <c r="G758" s="24" t="inlineStr">
        <is>
          <t>Emiliana Arango</t>
        </is>
      </c>
      <c r="H758" s="24" t="inlineStr">
        <is>
          <t>moneyline</t>
        </is>
      </c>
      <c r="I758" s="24" t="inlineStr">
        <is>
          <t>away</t>
        </is>
      </c>
      <c r="J758" s="25" t="n"/>
      <c r="K758" s="24" t="inlineStr">
        <is>
          <t>polymarket_us</t>
        </is>
      </c>
      <c r="L758" s="26" t="n">
        <v>-285</v>
      </c>
      <c r="M758" s="27" t="n">
        <v>1.350877</v>
      </c>
      <c r="N758" s="28" t="n">
        <v>0.74026</v>
      </c>
      <c r="O758" s="28" t="n">
        <v>0.6937</v>
      </c>
      <c r="P758" s="28" t="n">
        <v>0.05</v>
      </c>
      <c r="Q758" s="28" t="n">
        <v>-0.04656</v>
      </c>
      <c r="R758" s="26" t="n">
        <v>0</v>
      </c>
      <c r="S758" s="29" t="n">
        <v>1</v>
      </c>
      <c r="T758" s="24" t="inlineStr">
        <is>
          <t>tennis-surface-elo-v1</t>
        </is>
      </c>
      <c r="U758" s="24" t="inlineStr">
        <is>
          <t>settled</t>
        </is>
      </c>
      <c r="V758" s="24" t="inlineStr">
        <is>
          <t>win</t>
        </is>
      </c>
      <c r="W758" s="26" t="n">
        <v>1</v>
      </c>
      <c r="X758" s="26" t="n">
        <v>0</v>
      </c>
      <c r="Y758" s="25" t="n"/>
      <c r="Z758" s="26" t="n"/>
      <c r="AA758" s="28" t="n"/>
      <c r="AB758" s="28" t="n"/>
      <c r="AC758" s="30" t="n">
        <v>0.3509</v>
      </c>
      <c r="AD758" s="24" t="inlineStr">
        <is>
          <t>2026-08-31T04:37:20.947834Z</t>
        </is>
      </c>
      <c r="AE758" s="31" t="inlineStr">
        <is>
          <t>Surface-blended Elo on Hard: Wang Xinyu p=0.694 vs Emiliana Arango. Executable ask 0.7400 (aec-wta-emiara-xinwan-2026-08-30).</t>
        </is>
      </c>
      <c r="AF758" s="31" t="inlineStr">
        <is>
          <t>Surface-blended Elo model; singles only, WTA+ATP market coverage, not yet locked-holdout qualified -- promoted by explicit operator directive, not genuine walk-forward validation.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Wang Xinyu</t>
        </is>
      </c>
      <c r="AQ758" s="24" t="inlineStr">
        <is>
          <t>Wang Xinyu</t>
        </is>
      </c>
      <c r="AR758" s="24" t="inlineStr">
        <is>
          <t>Wang Xinyu</t>
        </is>
      </c>
      <c r="AS758" s="24" t="inlineStr">
        <is>
          <t>Emiliana Arango</t>
        </is>
      </c>
      <c r="AT758" s="24" t="inlineStr">
        <is>
          <t>Emiliana Arango</t>
        </is>
      </c>
      <c r="AU758" s="24" t="inlineStr">
        <is>
          <t>Emiliana Arango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d777da58446bc099047b154203518e2585ef1a678f613f2b430f2589f7bf5cff</t>
        </is>
      </c>
      <c r="BB758" s="24" t="inlineStr">
        <is>
          <t>surface_blended_elo</t>
        </is>
      </c>
      <c r="BC758" s="24" t="inlineStr">
        <is>
          <t>tennis-surface-elo-v1</t>
        </is>
      </c>
      <c r="BD758" s="24" t="inlineStr">
        <is>
          <t>d777da58446bc099047b154203518e2585ef1a678f613f2b430f2589f7bf5cff</t>
        </is>
      </c>
      <c r="BE758" s="24" t="inlineStr">
        <is>
          <t>tennis-surface-elo-v1</t>
        </is>
      </c>
      <c r="BF758" s="24" t="inlineStr">
        <is>
          <t>1</t>
        </is>
      </c>
      <c r="BG758" s="24" t="inlineStr">
        <is>
          <t>d777da58446bc099047b154203518e2585ef1a678f613f2b430f2589f7bf5cff</t>
        </is>
      </c>
      <c r="BH758" s="24" t="inlineStr">
        <is>
          <t>2026-08-30T16:04:55.669722Z</t>
        </is>
      </c>
      <c r="BI758" s="24" t="inlineStr">
        <is>
          <t>["same_event","same_team_same_day","same_league_same_day"]</t>
        </is>
      </c>
      <c r="BJ758" s="25" t="n"/>
      <c r="BK758" s="26" t="n">
        <v>-285</v>
      </c>
      <c r="BL758" s="27" t="n">
        <v>1.350877</v>
      </c>
      <c r="BM758" s="28" t="n">
        <v>0.74026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inlineStr">
        <is>
          <t>9e7d658e362a941f6702eb7059b0608dbb355671f458df418e457d3c34e3a36d</t>
        </is>
      </c>
      <c r="DE758" s="24" t="inlineStr">
        <is>
          <t>/Users/vincentc9002/model-prediction/data/odds/tennis/2026-08-30/polymarket_snapshots.jsonl</t>
        </is>
      </c>
      <c r="DF758" s="24" t="inlineStr">
        <is>
          <t>547284:2026-08-30T16:04:55.669722Z</t>
        </is>
      </c>
      <c r="DG758" s="24" t="n"/>
      <c r="DH758" s="24" t="n"/>
      <c r="DI758" s="24" t="n"/>
      <c r="DJ758" s="24" t="inlineStr">
        <is>
          <t>0.74026</t>
        </is>
      </c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249add7f8fe94f26</t>
        </is>
      </c>
      <c r="B759" s="24" t="inlineStr">
        <is>
          <t>2026-08-30T16:06:30.429692Z</t>
        </is>
      </c>
      <c r="C759" s="24" t="inlineStr">
        <is>
          <t>2026-08-30T17:00Z</t>
        </is>
      </c>
      <c r="D759" s="24" t="inlineStr">
        <is>
          <t>189-2026:182605</t>
        </is>
      </c>
      <c r="E759" s="24" t="inlineStr">
        <is>
          <t>TENNIS</t>
        </is>
      </c>
      <c r="F759" s="24" t="inlineStr">
        <is>
          <t>Storm Hunter</t>
        </is>
      </c>
      <c r="G759" s="24" t="inlineStr">
        <is>
          <t>Marta Kostyuk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-900</v>
      </c>
      <c r="M759" s="27" t="n">
        <v>1.111111</v>
      </c>
      <c r="N759" s="28" t="n">
        <v>0.9</v>
      </c>
      <c r="O759" s="28" t="n">
        <v>0.7902</v>
      </c>
      <c r="P759" s="28" t="n">
        <v>0.05</v>
      </c>
      <c r="Q759" s="28" t="n">
        <v>-0.1098</v>
      </c>
      <c r="R759" s="26" t="n">
        <v>0</v>
      </c>
      <c r="S759" s="29" t="n">
        <v>1</v>
      </c>
      <c r="T759" s="24" t="inlineStr">
        <is>
          <t>tennis-surface-elo-v1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-900</v>
      </c>
      <c r="AA759" s="28" t="n">
        <v>0.9</v>
      </c>
      <c r="AB759" s="28" t="n">
        <v>0</v>
      </c>
      <c r="AC759" s="30" t="n">
        <v>0.1111</v>
      </c>
      <c r="AD759" s="24" t="inlineStr">
        <is>
          <t>2026-08-31T04:37:23.409610Z</t>
        </is>
      </c>
      <c r="AE759" s="31" t="inlineStr">
        <is>
          <t>Surface-blended Elo on Hard: Storm Hunter p=0.210 vs Marta Kostyuk. Executable ask 0.9000 (aec-wta-markos-stohun-2026-08-30).</t>
        </is>
      </c>
      <c r="AF759" s="31" t="inlineStr">
        <is>
          <t>Surface-blended Elo model; singles only, WTA+ATP market coverage, not yet locked-holdout qualified -- promoted by explicit operator directive, not genuine walk-forward validation.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Storm Hunter</t>
        </is>
      </c>
      <c r="AQ759" s="24" t="inlineStr">
        <is>
          <t>Storm Hunter</t>
        </is>
      </c>
      <c r="AR759" s="24" t="inlineStr">
        <is>
          <t>Storm Hunter</t>
        </is>
      </c>
      <c r="AS759" s="24" t="inlineStr">
        <is>
          <t>Marta Kostyuk</t>
        </is>
      </c>
      <c r="AT759" s="24" t="inlineStr">
        <is>
          <t>Marta Kostyuk</t>
        </is>
      </c>
      <c r="AU759" s="24" t="inlineStr">
        <is>
          <t>Marta Kostyuk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d777da58446bc099047b154203518e2585ef1a678f613f2b430f2589f7bf5cff</t>
        </is>
      </c>
      <c r="BB759" s="24" t="inlineStr">
        <is>
          <t>surface_blended_elo</t>
        </is>
      </c>
      <c r="BC759" s="24" t="inlineStr">
        <is>
          <t>tennis-surface-elo-v1</t>
        </is>
      </c>
      <c r="BD759" s="24" t="inlineStr">
        <is>
          <t>d777da58446bc099047b154203518e2585ef1a678f613f2b430f2589f7bf5cff</t>
        </is>
      </c>
      <c r="BE759" s="24" t="inlineStr">
        <is>
          <t>tennis-surface-elo-v1</t>
        </is>
      </c>
      <c r="BF759" s="24" t="inlineStr">
        <is>
          <t>1</t>
        </is>
      </c>
      <c r="BG759" s="24" t="inlineStr">
        <is>
          <t>d777da58446bc099047b154203518e2585ef1a678f613f2b430f2589f7bf5cff</t>
        </is>
      </c>
      <c r="BH759" s="24" t="inlineStr">
        <is>
          <t>2026-08-30T16:04:55.681163Z</t>
        </is>
      </c>
      <c r="BI759" s="24" t="inlineStr">
        <is>
          <t>["same_event","same_team_same_day","same_league_same_day"]</t>
        </is>
      </c>
      <c r="BJ759" s="25" t="n"/>
      <c r="BK759" s="26" t="n">
        <v>-900</v>
      </c>
      <c r="BL759" s="27" t="n">
        <v>1.111111</v>
      </c>
      <c r="BM759" s="28" t="n">
        <v>0.9</v>
      </c>
      <c r="BN759" s="28" t="n"/>
      <c r="BO759" s="28" t="n"/>
      <c r="BP759" s="25" t="n"/>
      <c r="BQ759" s="27" t="n">
        <v>1.111111</v>
      </c>
      <c r="BR759" s="28" t="n">
        <v>0.9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False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inlineStr">
        <is>
          <t>333d360b1f4a33120b1cc0186822c5675f7b24d1ee843ad9b27c78b608cfb329</t>
        </is>
      </c>
      <c r="DE759" s="24" t="inlineStr">
        <is>
          <t>/Users/vincentc9002/model-prediction/data/odds/tennis/2026-08-30/polymarket_snapshots.jsonl</t>
        </is>
      </c>
      <c r="DF759" s="24" t="inlineStr">
        <is>
          <t>550626:2026-08-30T16:04:55.681163Z</t>
        </is>
      </c>
      <c r="DG759" s="24" t="n"/>
      <c r="DH759" s="24" t="n"/>
      <c r="DI759" s="24" t="n"/>
      <c r="DJ759" s="24" t="inlineStr">
        <is>
          <t>0.9</t>
        </is>
      </c>
      <c r="DK759" s="24" t="n"/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75d01b45ea0144d2</t>
        </is>
      </c>
      <c r="B760" s="24" t="inlineStr">
        <is>
          <t>2026-08-30T16:06:30.429692Z</t>
        </is>
      </c>
      <c r="C760" s="24" t="inlineStr">
        <is>
          <t>2026-08-30T17:00Z</t>
        </is>
      </c>
      <c r="D760" s="24" t="inlineStr">
        <is>
          <t>189-2026:182623</t>
        </is>
      </c>
      <c r="E760" s="24" t="inlineStr">
        <is>
          <t>TENNIS</t>
        </is>
      </c>
      <c r="F760" s="24" t="inlineStr">
        <is>
          <t>Lanlana Tararudee</t>
        </is>
      </c>
      <c r="G760" s="24" t="inlineStr">
        <is>
          <t>Elvina Kalieva</t>
        </is>
      </c>
      <c r="H760" s="24" t="inlineStr">
        <is>
          <t>moneyline</t>
        </is>
      </c>
      <c r="I760" s="24" t="inlineStr">
        <is>
          <t>away</t>
        </is>
      </c>
      <c r="J760" s="25" t="n"/>
      <c r="K760" s="24" t="inlineStr">
        <is>
          <t>polymarket_us</t>
        </is>
      </c>
      <c r="L760" s="26" t="n">
        <v>-203</v>
      </c>
      <c r="M760" s="27" t="n">
        <v>1.492611</v>
      </c>
      <c r="N760" s="28" t="n">
        <v>0.669967</v>
      </c>
      <c r="O760" s="28" t="n">
        <v>0.6567</v>
      </c>
      <c r="P760" s="28" t="n">
        <v>0.05</v>
      </c>
      <c r="Q760" s="28" t="n">
        <v>-0.013267</v>
      </c>
      <c r="R760" s="26" t="n">
        <v>13</v>
      </c>
      <c r="S760" s="29" t="n">
        <v>1</v>
      </c>
      <c r="T760" s="24" t="inlineStr">
        <is>
          <t>tennis-surface-elo-v1</t>
        </is>
      </c>
      <c r="U760" s="24" t="inlineStr">
        <is>
          <t>settled</t>
        </is>
      </c>
      <c r="V760" s="24" t="inlineStr">
        <is>
          <t>win</t>
        </is>
      </c>
      <c r="W760" s="26" t="n">
        <v>1</v>
      </c>
      <c r="X760" s="26" t="n">
        <v>0</v>
      </c>
      <c r="Y760" s="25" t="n"/>
      <c r="Z760" s="26" t="n">
        <v>-203</v>
      </c>
      <c r="AA760" s="28" t="n">
        <v>0.67</v>
      </c>
      <c r="AB760" s="28" t="n">
        <v>3.3e-05</v>
      </c>
      <c r="AC760" s="30" t="n">
        <v>0.4926</v>
      </c>
      <c r="AD760" s="24" t="inlineStr">
        <is>
          <t>2026-08-31T04:37:25.825537Z</t>
        </is>
      </c>
      <c r="AE760" s="31" t="inlineStr">
        <is>
          <t>Surface-blended Elo on Hard: Lanlana Tararudee p=0.657 vs Elvina Kalieva. Executable ask 0.6700 (aec-wta-elvkal-lantar-2026-08-30).</t>
        </is>
      </c>
      <c r="AF760" s="31" t="inlineStr">
        <is>
          <t>Surface-blended Elo model; singles only, WTA+ATP market coverage, not yet locked-holdout qualified -- promoted by explicit operator directive, not genuine walk-forward validation.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Lanlana Tararudee</t>
        </is>
      </c>
      <c r="AQ760" s="24" t="inlineStr">
        <is>
          <t>Lanlana Tararudee</t>
        </is>
      </c>
      <c r="AR760" s="24" t="inlineStr">
        <is>
          <t>Lanlana Tararudee</t>
        </is>
      </c>
      <c r="AS760" s="24" t="inlineStr">
        <is>
          <t>Elvina Kalieva</t>
        </is>
      </c>
      <c r="AT760" s="24" t="inlineStr">
        <is>
          <t>Elvina Kalieva</t>
        </is>
      </c>
      <c r="AU760" s="24" t="inlineStr">
        <is>
          <t>Elvina Kalieva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d777da58446bc099047b154203518e2585ef1a678f613f2b430f2589f7bf5cff</t>
        </is>
      </c>
      <c r="BB760" s="24" t="inlineStr">
        <is>
          <t>surface_blended_elo</t>
        </is>
      </c>
      <c r="BC760" s="24" t="inlineStr">
        <is>
          <t>tennis-surface-elo-v1</t>
        </is>
      </c>
      <c r="BD760" s="24" t="inlineStr">
        <is>
          <t>d777da58446bc099047b154203518e2585ef1a678f613f2b430f2589f7bf5cff</t>
        </is>
      </c>
      <c r="BE760" s="24" t="inlineStr">
        <is>
          <t>tennis-surface-elo-v1</t>
        </is>
      </c>
      <c r="BF760" s="24" t="inlineStr">
        <is>
          <t>1</t>
        </is>
      </c>
      <c r="BG760" s="24" t="inlineStr">
        <is>
          <t>d777da58446bc099047b154203518e2585ef1a678f613f2b430f2589f7bf5cff</t>
        </is>
      </c>
      <c r="BH760" s="24" t="inlineStr">
        <is>
          <t>2026-08-30T16:04:55.673609Z</t>
        </is>
      </c>
      <c r="BI760" s="24" t="inlineStr">
        <is>
          <t>["same_event","same_team_same_day","same_league_same_day"]</t>
        </is>
      </c>
      <c r="BJ760" s="25" t="n"/>
      <c r="BK760" s="26" t="n">
        <v>-203</v>
      </c>
      <c r="BL760" s="27" t="n">
        <v>1.492611</v>
      </c>
      <c r="BM760" s="28" t="n">
        <v>0.669967</v>
      </c>
      <c r="BN760" s="28" t="n"/>
      <c r="BO760" s="28" t="n"/>
      <c r="BP760" s="25" t="n"/>
      <c r="BQ760" s="27" t="n">
        <v>1.492611</v>
      </c>
      <c r="BR760" s="28" t="n">
        <v>0.67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False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inlineStr">
        <is>
          <t>f9a05eae883f0b2decaafbf7c7fd43bd1cd2760cfae4beff888576d79697e0df</t>
        </is>
      </c>
      <c r="DE760" s="24" t="inlineStr">
        <is>
          <t>/Users/vincentc9002/model-prediction/data/odds/tennis/2026-08-30/polymarket_snapshots.jsonl</t>
        </is>
      </c>
      <c r="DF760" s="24" t="inlineStr">
        <is>
          <t>550510:2026-08-30T16:04:55.673609Z</t>
        </is>
      </c>
      <c r="DG760" s="24" t="n"/>
      <c r="DH760" s="24" t="n"/>
      <c r="DI760" s="24" t="n"/>
      <c r="DJ760" s="24" t="inlineStr">
        <is>
          <t>0.669967</t>
        </is>
      </c>
      <c r="DK760" s="24" t="n"/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6c0d0d03f388406a</t>
        </is>
      </c>
      <c r="B761" s="24" t="inlineStr">
        <is>
          <t>2026-08-30T16:06:30.429692Z</t>
        </is>
      </c>
      <c r="C761" s="24" t="inlineStr">
        <is>
          <t>2026-08-30T17:00Z</t>
        </is>
      </c>
      <c r="D761" s="24" t="inlineStr">
        <is>
          <t>189-2026:182634</t>
        </is>
      </c>
      <c r="E761" s="24" t="inlineStr">
        <is>
          <t>TENNIS</t>
        </is>
      </c>
      <c r="F761" s="24" t="inlineStr">
        <is>
          <t>Dayana Yastremska</t>
        </is>
      </c>
      <c r="G761" s="24" t="inlineStr">
        <is>
          <t>Lucrezia Stefanini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117</v>
      </c>
      <c r="M761" s="27" t="n">
        <v>2.17</v>
      </c>
      <c r="N761" s="28" t="n">
        <v>0.460829</v>
      </c>
      <c r="O761" s="28" t="n">
        <v>0.5391</v>
      </c>
      <c r="P761" s="28" t="n">
        <v>0.05</v>
      </c>
      <c r="Q761" s="28" t="n">
        <v>0.07827099999999999</v>
      </c>
      <c r="R761" s="26" t="n">
        <v>59</v>
      </c>
      <c r="S761" s="29" t="n">
        <v>1.25</v>
      </c>
      <c r="T761" s="24" t="inlineStr">
        <is>
          <t>tennis-surface-elo-v1</t>
        </is>
      </c>
      <c r="U761" s="24" t="inlineStr">
        <is>
          <t>settled</t>
        </is>
      </c>
      <c r="V761" s="24" t="inlineStr">
        <is>
          <t>win</t>
        </is>
      </c>
      <c r="W761" s="26" t="n">
        <v>0</v>
      </c>
      <c r="X761" s="26" t="n">
        <v>1</v>
      </c>
      <c r="Y761" s="25" t="n"/>
      <c r="Z761" s="26" t="n">
        <v>117</v>
      </c>
      <c r="AA761" s="28" t="n">
        <v>0.46</v>
      </c>
      <c r="AB761" s="28" t="n">
        <v>-0.000829</v>
      </c>
      <c r="AC761" s="30" t="n">
        <v>1.4625</v>
      </c>
      <c r="AD761" s="24" t="inlineStr">
        <is>
          <t>2026-08-31T04:37:28.223088Z</t>
        </is>
      </c>
      <c r="AE761" s="31" t="inlineStr">
        <is>
          <t>Surface-blended Elo on Hard: Dayana Yastremska p=0.461 vs Lucrezia Stefanini. Executable ask 0.4600 (aec-wta-lucste-dayyas-2026-08-30).</t>
        </is>
      </c>
      <c r="AF761" s="31" t="inlineStr">
        <is>
          <t>Surface-blended Elo model; singles only, WTA+ATP market coverage, not yet locked-holdout qualified -- promoted by explicit operator directive, not genuine walk-forward validation.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model_qualified</t>
        </is>
      </c>
      <c r="AL761" s="26" t="n">
        <v>4</v>
      </c>
      <c r="AM761" s="24" t="inlineStr">
        <is>
          <t>QUALIFIED_SHADOW_CALL</t>
        </is>
      </c>
      <c r="AN761" s="24" t="inlineStr">
        <is>
          <t>CALL</t>
        </is>
      </c>
      <c r="AO761" s="24" t="inlineStr">
        <is>
          <t>QUALIFIED</t>
        </is>
      </c>
      <c r="AP761" s="24" t="inlineStr">
        <is>
          <t>Dayana Yastremska</t>
        </is>
      </c>
      <c r="AQ761" s="24" t="inlineStr">
        <is>
          <t>Dayana Yastremska</t>
        </is>
      </c>
      <c r="AR761" s="24" t="inlineStr">
        <is>
          <t>Dayana Yastremska</t>
        </is>
      </c>
      <c r="AS761" s="24" t="inlineStr">
        <is>
          <t>Lucrezia Stefanini</t>
        </is>
      </c>
      <c r="AT761" s="24" t="inlineStr">
        <is>
          <t>Lucrezia Stefanini</t>
        </is>
      </c>
      <c r="AU761" s="24" t="inlineStr">
        <is>
          <t>Lucrezia Stefanini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d777da58446bc099047b154203518e2585ef1a678f613f2b430f2589f7bf5cff</t>
        </is>
      </c>
      <c r="BB761" s="24" t="inlineStr">
        <is>
          <t>surface_blended_elo</t>
        </is>
      </c>
      <c r="BC761" s="24" t="inlineStr">
        <is>
          <t>tennis-surface-elo-v1</t>
        </is>
      </c>
      <c r="BD761" s="24" t="inlineStr">
        <is>
          <t>d777da58446bc099047b154203518e2585ef1a678f613f2b430f2589f7bf5cff</t>
        </is>
      </c>
      <c r="BE761" s="24" t="inlineStr">
        <is>
          <t>tennis-surface-elo-v1</t>
        </is>
      </c>
      <c r="BF761" s="24" t="inlineStr">
        <is>
          <t>1</t>
        </is>
      </c>
      <c r="BG761" s="24" t="inlineStr">
        <is>
          <t>d777da58446bc099047b154203518e2585ef1a678f613f2b430f2589f7bf5cff</t>
        </is>
      </c>
      <c r="BH761" s="24" t="inlineStr">
        <is>
          <t>2026-08-30T16:04:55.683052Z</t>
        </is>
      </c>
      <c r="BI761" s="24" t="inlineStr">
        <is>
          <t>["same_event","same_team_same_day","same_league_same_day"]</t>
        </is>
      </c>
      <c r="BJ761" s="25" t="n"/>
      <c r="BK761" s="26" t="n">
        <v>117</v>
      </c>
      <c r="BL761" s="27" t="n">
        <v>2.17</v>
      </c>
      <c r="BM761" s="28" t="n">
        <v>0.460829</v>
      </c>
      <c r="BN761" s="28" t="n"/>
      <c r="BO761" s="28" t="n"/>
      <c r="BP761" s="25" t="n"/>
      <c r="BQ761" s="27" t="n">
        <v>2.17</v>
      </c>
      <c r="BR761" s="28" t="n">
        <v>0.46</v>
      </c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inlineStr">
        <is>
          <t>7feee36dfea81dd65e88d86f5cea0f8313fa8a1f884d7e5d4f9e6b1fc3352408</t>
        </is>
      </c>
      <c r="DE761" s="24" t="inlineStr">
        <is>
          <t>/Users/vincentc9002/model-prediction/data/odds/tennis/2026-08-30/polymarket_snapshots.jsonl</t>
        </is>
      </c>
      <c r="DF761" s="24" t="inlineStr">
        <is>
          <t>550512:2026-08-30T16:04:55.683052Z</t>
        </is>
      </c>
      <c r="DG761" s="24" t="n"/>
      <c r="DH761" s="24" t="n"/>
      <c r="DI761" s="24" t="n"/>
      <c r="DJ761" s="24" t="inlineStr">
        <is>
          <t>0.460829</t>
        </is>
      </c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3cf1071482c44dc2</t>
        </is>
      </c>
      <c r="B762" s="24" t="inlineStr">
        <is>
          <t>2026-08-30T16:06:30.429692Z</t>
        </is>
      </c>
      <c r="C762" s="24" t="inlineStr">
        <is>
          <t>2026-08-30T18:30Z</t>
        </is>
      </c>
      <c r="D762" s="24" t="inlineStr">
        <is>
          <t>189-2026:182620</t>
        </is>
      </c>
      <c r="E762" s="24" t="inlineStr">
        <is>
          <t>TENNIS</t>
        </is>
      </c>
      <c r="F762" s="24" t="inlineStr">
        <is>
          <t>Ekaterina Alexandrova</t>
        </is>
      </c>
      <c r="G762" s="24" t="inlineStr">
        <is>
          <t>McCartney Kessler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-138</v>
      </c>
      <c r="M762" s="27" t="n">
        <v>1.724638</v>
      </c>
      <c r="N762" s="28" t="n">
        <v>0.579832</v>
      </c>
      <c r="O762" s="28" t="n">
        <v>0.5578</v>
      </c>
      <c r="P762" s="28" t="n">
        <v>0.05</v>
      </c>
      <c r="Q762" s="28" t="n">
        <v>-0.022032</v>
      </c>
      <c r="R762" s="26" t="n">
        <v>9</v>
      </c>
      <c r="S762" s="29" t="n">
        <v>1</v>
      </c>
      <c r="T762" s="24" t="inlineStr">
        <is>
          <t>tennis-surface-elo-v1</t>
        </is>
      </c>
      <c r="U762" s="24" t="inlineStr">
        <is>
          <t>settled</t>
        </is>
      </c>
      <c r="V762" s="24" t="inlineStr">
        <is>
          <t>win</t>
        </is>
      </c>
      <c r="W762" s="26" t="n">
        <v>1</v>
      </c>
      <c r="X762" s="26" t="n">
        <v>0</v>
      </c>
      <c r="Y762" s="25" t="n"/>
      <c r="Z762" s="26" t="n">
        <v>-138</v>
      </c>
      <c r="AA762" s="28" t="n">
        <v>0.58</v>
      </c>
      <c r="AB762" s="28" t="n">
        <v>0.000168</v>
      </c>
      <c r="AC762" s="30" t="n">
        <v>0.7246</v>
      </c>
      <c r="AD762" s="24" t="inlineStr">
        <is>
          <t>2026-08-31T04:37:30.627335Z</t>
        </is>
      </c>
      <c r="AE762" s="31" t="inlineStr">
        <is>
          <t>Surface-blended Elo on Hard: Ekaterina Alexandrova p=0.558 vs McCartney Kessler. Executable ask 0.5800 (aec-wta-mcckes-ekaale-2026-08-30).</t>
        </is>
      </c>
      <c r="AF762" s="31" t="inlineStr">
        <is>
          <t>Surface-blended Elo model; singles only, WTA+ATP market coverage, not yet locked-holdout qualified -- promoted by explicit operator directive, not genuine walk-forward validation.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Ekaterina Alexandrova</t>
        </is>
      </c>
      <c r="AQ762" s="24" t="inlineStr">
        <is>
          <t>Ekaterina Alexandrova</t>
        </is>
      </c>
      <c r="AR762" s="24" t="inlineStr">
        <is>
          <t>Ekaterina Alexandrova</t>
        </is>
      </c>
      <c r="AS762" s="24" t="inlineStr">
        <is>
          <t>McCartney Kessler</t>
        </is>
      </c>
      <c r="AT762" s="24" t="inlineStr">
        <is>
          <t>McCartney Kessler</t>
        </is>
      </c>
      <c r="AU762" s="24" t="inlineStr">
        <is>
          <t>McCartney Kessler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d777da58446bc099047b154203518e2585ef1a678f613f2b430f2589f7bf5cff</t>
        </is>
      </c>
      <c r="BB762" s="24" t="inlineStr">
        <is>
          <t>surface_blended_elo</t>
        </is>
      </c>
      <c r="BC762" s="24" t="inlineStr">
        <is>
          <t>tennis-surface-elo-v1</t>
        </is>
      </c>
      <c r="BD762" s="24" t="inlineStr">
        <is>
          <t>d777da58446bc099047b154203518e2585ef1a678f613f2b430f2589f7bf5cff</t>
        </is>
      </c>
      <c r="BE762" s="24" t="inlineStr">
        <is>
          <t>tennis-surface-elo-v1</t>
        </is>
      </c>
      <c r="BF762" s="24" t="inlineStr">
        <is>
          <t>1</t>
        </is>
      </c>
      <c r="BG762" s="24" t="inlineStr">
        <is>
          <t>d777da58446bc099047b154203518e2585ef1a678f613f2b430f2589f7bf5cff</t>
        </is>
      </c>
      <c r="BH762" s="24" t="inlineStr">
        <is>
          <t>2026-08-30T16:04:55.701215Z</t>
        </is>
      </c>
      <c r="BI762" s="24" t="inlineStr">
        <is>
          <t>["same_event","same_team_same_day","same_league_same_day"]</t>
        </is>
      </c>
      <c r="BJ762" s="25" t="n"/>
      <c r="BK762" s="26" t="n">
        <v>-138</v>
      </c>
      <c r="BL762" s="27" t="n">
        <v>1.724638</v>
      </c>
      <c r="BM762" s="28" t="n">
        <v>0.579832</v>
      </c>
      <c r="BN762" s="28" t="n"/>
      <c r="BO762" s="28" t="n"/>
      <c r="BP762" s="25" t="n"/>
      <c r="BQ762" s="27" t="n">
        <v>1.724638</v>
      </c>
      <c r="BR762" s="28" t="n">
        <v>0.58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inlineStr">
        <is>
          <t>07f25a21de2a05b936048ee758d7c9db484e3e7d526fc96e194966bb31eb2453</t>
        </is>
      </c>
      <c r="DE762" s="24" t="inlineStr">
        <is>
          <t>/Users/vincentc9002/model-prediction/data/odds/tennis/2026-08-30/polymarket_snapshots.jsonl</t>
        </is>
      </c>
      <c r="DF762" s="24" t="inlineStr">
        <is>
          <t>547261:2026-08-30T16:04:55.701215Z</t>
        </is>
      </c>
      <c r="DG762" s="24" t="n"/>
      <c r="DH762" s="24" t="n"/>
      <c r="DI762" s="24" t="n"/>
      <c r="DJ762" s="24" t="inlineStr">
        <is>
          <t>0.579832</t>
        </is>
      </c>
      <c r="DK762" s="24" t="n"/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61ff4ae356534cba</t>
        </is>
      </c>
      <c r="B763" s="24" t="inlineStr">
        <is>
          <t>2026-08-30T16:06:30.429692Z</t>
        </is>
      </c>
      <c r="C763" s="24" t="inlineStr">
        <is>
          <t>2026-08-30T18:30Z</t>
        </is>
      </c>
      <c r="D763" s="24" t="inlineStr">
        <is>
          <t>189-2026:182646</t>
        </is>
      </c>
      <c r="E763" s="24" t="inlineStr">
        <is>
          <t>TENNIS</t>
        </is>
      </c>
      <c r="F763" s="24" t="inlineStr">
        <is>
          <t>Katie Boulter</t>
        </is>
      </c>
      <c r="G763" s="24" t="inlineStr">
        <is>
          <t>Carol Young Suh Lee</t>
        </is>
      </c>
      <c r="H763" s="24" t="inlineStr">
        <is>
          <t>moneyline</t>
        </is>
      </c>
      <c r="I763" s="24" t="inlineStr">
        <is>
          <t>away</t>
        </is>
      </c>
      <c r="J763" s="25" t="n"/>
      <c r="K763" s="24" t="inlineStr">
        <is>
          <t>polymarket_us</t>
        </is>
      </c>
      <c r="L763" s="26" t="n">
        <v>-133</v>
      </c>
      <c r="M763" s="27" t="n">
        <v>1.75188</v>
      </c>
      <c r="N763" s="28" t="n">
        <v>0.570815</v>
      </c>
      <c r="O763" s="28" t="n">
        <v>0.6772</v>
      </c>
      <c r="P763" s="28" t="n">
        <v>0.05</v>
      </c>
      <c r="Q763" s="28" t="n">
        <v>0.106385</v>
      </c>
      <c r="R763" s="26" t="n">
        <v>73</v>
      </c>
      <c r="S763" s="29" t="n">
        <v>1.5</v>
      </c>
      <c r="T763" s="24" t="inlineStr">
        <is>
          <t>tennis-surface-elo-v1</t>
        </is>
      </c>
      <c r="U763" s="24" t="inlineStr">
        <is>
          <t>settled</t>
        </is>
      </c>
      <c r="V763" s="24" t="inlineStr">
        <is>
          <t>win</t>
        </is>
      </c>
      <c r="W763" s="26" t="n">
        <v>1</v>
      </c>
      <c r="X763" s="26" t="n">
        <v>0</v>
      </c>
      <c r="Y763" s="25" t="n"/>
      <c r="Z763" s="26" t="n">
        <v>-133</v>
      </c>
      <c r="AA763" s="28" t="n">
        <v>0.57</v>
      </c>
      <c r="AB763" s="28" t="n">
        <v>-0.000815</v>
      </c>
      <c r="AC763" s="30" t="n">
        <v>1.1278</v>
      </c>
      <c r="AD763" s="24" t="inlineStr">
        <is>
          <t>2026-08-31T04:37:33.060290Z</t>
        </is>
      </c>
      <c r="AE763" s="31" t="inlineStr">
        <is>
          <t>Surface-blended Elo on Hard: Katie Boulter p=0.677 vs Carol Young Suh Lee. Executable ask 0.5700 (aec-wta-carlee-katbou-2026-08-30).</t>
        </is>
      </c>
      <c r="AF763" s="31" t="inlineStr">
        <is>
          <t>Surface-blended Elo model; singles only, WTA+ATP market coverage, not yet locked-holdout qualified -- promoted by explicit operator directive, not genuine walk-forward validation.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model_qualified</t>
        </is>
      </c>
      <c r="AL763" s="26" t="n">
        <v>4</v>
      </c>
      <c r="AM763" s="24" t="inlineStr">
        <is>
          <t>QUALIFIED_SHADOW_CALL</t>
        </is>
      </c>
      <c r="AN763" s="24" t="inlineStr">
        <is>
          <t>CALL</t>
        </is>
      </c>
      <c r="AO763" s="24" t="inlineStr">
        <is>
          <t>QUALIFIED</t>
        </is>
      </c>
      <c r="AP763" s="24" t="inlineStr">
        <is>
          <t>Katie Boulter</t>
        </is>
      </c>
      <c r="AQ763" s="24" t="inlineStr">
        <is>
          <t>Katie Boulter</t>
        </is>
      </c>
      <c r="AR763" s="24" t="inlineStr">
        <is>
          <t>Katie Boulter</t>
        </is>
      </c>
      <c r="AS763" s="24" t="inlineStr">
        <is>
          <t>Carol Young Suh Lee</t>
        </is>
      </c>
      <c r="AT763" s="24" t="inlineStr">
        <is>
          <t>Carol Young Suh Lee</t>
        </is>
      </c>
      <c r="AU763" s="24" t="inlineStr">
        <is>
          <t>Carol Young Suh Lee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d777da58446bc099047b154203518e2585ef1a678f613f2b430f2589f7bf5cff</t>
        </is>
      </c>
      <c r="BB763" s="24" t="inlineStr">
        <is>
          <t>surface_blended_elo</t>
        </is>
      </c>
      <c r="BC763" s="24" t="inlineStr">
        <is>
          <t>tennis-surface-elo-v1</t>
        </is>
      </c>
      <c r="BD763" s="24" t="inlineStr">
        <is>
          <t>d777da58446bc099047b154203518e2585ef1a678f613f2b430f2589f7bf5cff</t>
        </is>
      </c>
      <c r="BE763" s="24" t="inlineStr">
        <is>
          <t>tennis-surface-elo-v1</t>
        </is>
      </c>
      <c r="BF763" s="24" t="inlineStr">
        <is>
          <t>1</t>
        </is>
      </c>
      <c r="BG763" s="24" t="inlineStr">
        <is>
          <t>d777da58446bc099047b154203518e2585ef1a678f613f2b430f2589f7bf5cff</t>
        </is>
      </c>
      <c r="BH763" s="24" t="inlineStr">
        <is>
          <t>2026-08-30T16:04:55.694793Z</t>
        </is>
      </c>
      <c r="BI763" s="24" t="inlineStr">
        <is>
          <t>["same_event","same_team_same_day","same_league_same_day"]</t>
        </is>
      </c>
      <c r="BJ763" s="25" t="n"/>
      <c r="BK763" s="26" t="n">
        <v>-133</v>
      </c>
      <c r="BL763" s="27" t="n">
        <v>1.75188</v>
      </c>
      <c r="BM763" s="28" t="n">
        <v>0.570815</v>
      </c>
      <c r="BN763" s="28" t="n"/>
      <c r="BO763" s="28" t="n"/>
      <c r="BP763" s="25" t="n"/>
      <c r="BQ763" s="27" t="n">
        <v>1.75188</v>
      </c>
      <c r="BR763" s="28" t="n">
        <v>0.57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inlineStr">
        <is>
          <t>5a334b7bfe26498d8ae68e88686ad9093e45338b7a34aebf2932a7a9fef56914</t>
        </is>
      </c>
      <c r="DE763" s="24" t="inlineStr">
        <is>
          <t>/Users/vincentc9002/model-prediction/data/odds/tennis/2026-08-30/polymarket_snapshots.jsonl</t>
        </is>
      </c>
      <c r="DF763" s="24" t="inlineStr">
        <is>
          <t>547290:2026-08-30T16:04:55.694793Z</t>
        </is>
      </c>
      <c r="DG763" s="24" t="n"/>
      <c r="DH763" s="24" t="n"/>
      <c r="DI763" s="24" t="n"/>
      <c r="DJ763" s="24" t="inlineStr">
        <is>
          <t>0.570815</t>
        </is>
      </c>
      <c r="DK763" s="24" t="n"/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49c85e4aca6a4e3a</t>
        </is>
      </c>
      <c r="B764" s="24" t="inlineStr">
        <is>
          <t>2026-08-30T16:06:30.429692Z</t>
        </is>
      </c>
      <c r="C764" s="24" t="inlineStr">
        <is>
          <t>2026-08-30T19:00Z</t>
        </is>
      </c>
      <c r="D764" s="24" t="inlineStr">
        <is>
          <t>189-2026:182594</t>
        </is>
      </c>
      <c r="E764" s="24" t="inlineStr">
        <is>
          <t>TENNIS</t>
        </is>
      </c>
      <c r="F764" s="24" t="inlineStr">
        <is>
          <t>Karolina Pliskova</t>
        </is>
      </c>
      <c r="G764" s="24" t="inlineStr">
        <is>
          <t>Hanne Vandewinkel</t>
        </is>
      </c>
      <c r="H764" s="24" t="inlineStr">
        <is>
          <t>moneyline</t>
        </is>
      </c>
      <c r="I764" s="24" t="inlineStr">
        <is>
          <t>away</t>
        </is>
      </c>
      <c r="J764" s="25" t="n"/>
      <c r="K764" s="24" t="inlineStr">
        <is>
          <t>polymarket_us</t>
        </is>
      </c>
      <c r="L764" s="26" t="n">
        <v>100</v>
      </c>
      <c r="M764" s="27" t="n">
        <v>2</v>
      </c>
      <c r="N764" s="28" t="n">
        <v>0.5</v>
      </c>
      <c r="O764" s="28" t="n">
        <v>0.5505</v>
      </c>
      <c r="P764" s="28" t="n">
        <v>0.05</v>
      </c>
      <c r="Q764" s="28" t="n">
        <v>0.0505</v>
      </c>
      <c r="R764" s="26" t="n">
        <v>45</v>
      </c>
      <c r="S764" s="29" t="n">
        <v>1</v>
      </c>
      <c r="T764" s="24" t="inlineStr">
        <is>
          <t>tennis-surface-elo-v1</t>
        </is>
      </c>
      <c r="U764" s="24" t="inlineStr">
        <is>
          <t>settled</t>
        </is>
      </c>
      <c r="V764" s="24" t="inlineStr">
        <is>
          <t>win</t>
        </is>
      </c>
      <c r="W764" s="26" t="n">
        <v>1</v>
      </c>
      <c r="X764" s="26" t="n">
        <v>0</v>
      </c>
      <c r="Y764" s="25" t="n"/>
      <c r="Z764" s="26" t="n">
        <v>100</v>
      </c>
      <c r="AA764" s="28" t="n">
        <v>0.5</v>
      </c>
      <c r="AB764" s="28" t="n">
        <v>0</v>
      </c>
      <c r="AC764" s="30" t="n">
        <v>1</v>
      </c>
      <c r="AD764" s="24" t="inlineStr">
        <is>
          <t>2026-08-31T04:37:35.533895Z</t>
        </is>
      </c>
      <c r="AE764" s="31" t="inlineStr">
        <is>
          <t>Surface-blended Elo on Hard: Karolina Pliskova p=0.550 vs Hanne Vandewinkel. Executable ask 0.5000 (aec-wta-hanvan-karpli-2026-08-30).</t>
        </is>
      </c>
      <c r="AF764" s="31" t="inlineStr">
        <is>
          <t>Surface-blended Elo model; singles only, WTA+ATP market coverage, not yet locked-holdout qualified -- promoted by explicit operator directive, not genuine walk-forward validation.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Karolina Pliskova</t>
        </is>
      </c>
      <c r="AQ764" s="24" t="inlineStr">
        <is>
          <t>Karolina Pliskova</t>
        </is>
      </c>
      <c r="AR764" s="24" t="inlineStr">
        <is>
          <t>Karolina Pliskova</t>
        </is>
      </c>
      <c r="AS764" s="24" t="inlineStr">
        <is>
          <t>Hanne Vandewinkel</t>
        </is>
      </c>
      <c r="AT764" s="24" t="inlineStr">
        <is>
          <t>Hanne Vandewinkel</t>
        </is>
      </c>
      <c r="AU764" s="24" t="inlineStr">
        <is>
          <t>Hanne Vandewinkel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d777da58446bc099047b154203518e2585ef1a678f613f2b430f2589f7bf5cff</t>
        </is>
      </c>
      <c r="BB764" s="24" t="inlineStr">
        <is>
          <t>surface_blended_elo</t>
        </is>
      </c>
      <c r="BC764" s="24" t="inlineStr">
        <is>
          <t>tennis-surface-elo-v1</t>
        </is>
      </c>
      <c r="BD764" s="24" t="inlineStr">
        <is>
          <t>d777da58446bc099047b154203518e2585ef1a678f613f2b430f2589f7bf5cff</t>
        </is>
      </c>
      <c r="BE764" s="24" t="inlineStr">
        <is>
          <t>tennis-surface-elo-v1</t>
        </is>
      </c>
      <c r="BF764" s="24" t="inlineStr">
        <is>
          <t>1</t>
        </is>
      </c>
      <c r="BG764" s="24" t="inlineStr">
        <is>
          <t>d777da58446bc099047b154203518e2585ef1a678f613f2b430f2589f7bf5cff</t>
        </is>
      </c>
      <c r="BH764" s="24" t="inlineStr">
        <is>
          <t>2026-08-30T16:04:55.685291Z</t>
        </is>
      </c>
      <c r="BI764" s="24" t="inlineStr">
        <is>
          <t>["same_event","same_team_same_day","same_league_same_day"]</t>
        </is>
      </c>
      <c r="BJ764" s="25" t="n"/>
      <c r="BK764" s="26" t="n">
        <v>100</v>
      </c>
      <c r="BL764" s="27" t="n">
        <v>2</v>
      </c>
      <c r="BM764" s="28" t="n">
        <v>0.5</v>
      </c>
      <c r="BN764" s="28" t="n"/>
      <c r="BO764" s="28" t="n"/>
      <c r="BP764" s="25" t="n"/>
      <c r="BQ764" s="27" t="n">
        <v>2</v>
      </c>
      <c r="BR764" s="28" t="n">
        <v>0.5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inlineStr">
        <is>
          <t>60d85c5c50631e936ca95e3642daf4251935095c099d2e21e16134d6ef9fbc39</t>
        </is>
      </c>
      <c r="DE764" s="24" t="inlineStr">
        <is>
          <t>/Users/vincentc9002/model-prediction/data/odds/tennis/2026-08-30/polymarket_snapshots.jsonl</t>
        </is>
      </c>
      <c r="DF764" s="24" t="inlineStr">
        <is>
          <t>547253:2026-08-30T16:04:55.685291Z</t>
        </is>
      </c>
      <c r="DG764" s="24" t="n"/>
      <c r="DH764" s="24" t="n"/>
      <c r="DI764" s="24" t="n"/>
      <c r="DJ764" s="24" t="inlineStr">
        <is>
          <t>0.5</t>
        </is>
      </c>
      <c r="DK764" s="24" t="n"/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63a5b8ae7d594bed</t>
        </is>
      </c>
      <c r="B765" s="24" t="inlineStr">
        <is>
          <t>2026-08-30T16:06:30.429692Z</t>
        </is>
      </c>
      <c r="C765" s="24" t="inlineStr">
        <is>
          <t>2026-08-30T20:30Z</t>
        </is>
      </c>
      <c r="D765" s="24" t="inlineStr">
        <is>
          <t>189-2026:182596</t>
        </is>
      </c>
      <c r="E765" s="24" t="inlineStr">
        <is>
          <t>TENNIS</t>
        </is>
      </c>
      <c r="F765" s="24" t="inlineStr">
        <is>
          <t>Alycia Parks</t>
        </is>
      </c>
      <c r="G765" s="24" t="inlineStr">
        <is>
          <t>Taylah Preston</t>
        </is>
      </c>
      <c r="H765" s="24" t="inlineStr">
        <is>
          <t>moneyline</t>
        </is>
      </c>
      <c r="I765" s="24" t="inlineStr">
        <is>
          <t>away</t>
        </is>
      </c>
      <c r="J765" s="25" t="n"/>
      <c r="K765" s="24" t="inlineStr">
        <is>
          <t>polymarket_us</t>
        </is>
      </c>
      <c r="L765" s="26" t="n">
        <v>-104</v>
      </c>
      <c r="M765" s="27" t="n">
        <v>1.961538</v>
      </c>
      <c r="N765" s="28" t="n">
        <v>0.509804</v>
      </c>
      <c r="O765" s="28" t="n">
        <v>0.6473</v>
      </c>
      <c r="P765" s="28" t="n">
        <v>0.05</v>
      </c>
      <c r="Q765" s="28" t="n">
        <v>0.137496</v>
      </c>
      <c r="R765" s="26" t="n">
        <v>89</v>
      </c>
      <c r="S765" s="29" t="n">
        <v>1.5</v>
      </c>
      <c r="T765" s="24" t="inlineStr">
        <is>
          <t>tennis-surface-elo-v1</t>
        </is>
      </c>
      <c r="U765" s="24" t="inlineStr">
        <is>
          <t>settled</t>
        </is>
      </c>
      <c r="V765" s="24" t="inlineStr">
        <is>
          <t>loss</t>
        </is>
      </c>
      <c r="W765" s="26" t="n">
        <v>0</v>
      </c>
      <c r="X765" s="26" t="n">
        <v>1</v>
      </c>
      <c r="Y765" s="25" t="n"/>
      <c r="Z765" s="26" t="n">
        <v>-104</v>
      </c>
      <c r="AA765" s="28" t="n">
        <v>0.51</v>
      </c>
      <c r="AB765" s="28" t="n">
        <v>0.000196</v>
      </c>
      <c r="AC765" s="30" t="n">
        <v>-1.5</v>
      </c>
      <c r="AD765" s="24" t="inlineStr">
        <is>
          <t>2026-08-31T04:37:37.911347Z</t>
        </is>
      </c>
      <c r="AE765" s="31" t="inlineStr">
        <is>
          <t>Surface-blended Elo on Hard: Alycia Parks p=0.647 vs Taylah Preston. Executable ask 0.5100 (aec-wta-taypre-alypar-2026-08-30).</t>
        </is>
      </c>
      <c r="AF765" s="31" t="inlineStr">
        <is>
          <t>Surface-blended Elo model; singles only, WTA+ATP market coverage, not yet locked-holdout qualified -- promoted by explicit operator directive, not genuine walk-forward validation.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Alycia Parks</t>
        </is>
      </c>
      <c r="AQ765" s="24" t="inlineStr">
        <is>
          <t>Alycia Parks</t>
        </is>
      </c>
      <c r="AR765" s="24" t="inlineStr">
        <is>
          <t>Alycia Parks</t>
        </is>
      </c>
      <c r="AS765" s="24" t="inlineStr">
        <is>
          <t>Taylah Preston</t>
        </is>
      </c>
      <c r="AT765" s="24" t="inlineStr">
        <is>
          <t>Taylah Preston</t>
        </is>
      </c>
      <c r="AU765" s="24" t="inlineStr">
        <is>
          <t>Taylah Preston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d777da58446bc099047b154203518e2585ef1a678f613f2b430f2589f7bf5cff</t>
        </is>
      </c>
      <c r="BB765" s="24" t="inlineStr">
        <is>
          <t>surface_blended_elo</t>
        </is>
      </c>
      <c r="BC765" s="24" t="inlineStr">
        <is>
          <t>tennis-surface-elo-v1</t>
        </is>
      </c>
      <c r="BD765" s="24" t="inlineStr">
        <is>
          <t>d777da58446bc099047b154203518e2585ef1a678f613f2b430f2589f7bf5cff</t>
        </is>
      </c>
      <c r="BE765" s="24" t="inlineStr">
        <is>
          <t>tennis-surface-elo-v1</t>
        </is>
      </c>
      <c r="BF765" s="24" t="inlineStr">
        <is>
          <t>1</t>
        </is>
      </c>
      <c r="BG765" s="24" t="inlineStr">
        <is>
          <t>d777da58446bc099047b154203518e2585ef1a678f613f2b430f2589f7bf5cff</t>
        </is>
      </c>
      <c r="BH765" s="24" t="inlineStr">
        <is>
          <t>2026-08-30T16:04:55.711255Z</t>
        </is>
      </c>
      <c r="BI765" s="24" t="inlineStr">
        <is>
          <t>["same_event","same_team_same_day","same_league_same_day"]</t>
        </is>
      </c>
      <c r="BJ765" s="25" t="n"/>
      <c r="BK765" s="26" t="n">
        <v>-104</v>
      </c>
      <c r="BL765" s="27" t="n">
        <v>1.961538</v>
      </c>
      <c r="BM765" s="28" t="n">
        <v>0.509804</v>
      </c>
      <c r="BN765" s="28" t="n"/>
      <c r="BO765" s="28" t="n"/>
      <c r="BP765" s="25" t="n"/>
      <c r="BQ765" s="27" t="n">
        <v>1.961538</v>
      </c>
      <c r="BR765" s="28" t="n">
        <v>0.51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inlineStr">
        <is>
          <t>fd2f3d6918310dae8c33d2be3d382d3266c169baa81a0f592df89cf3f929a69a</t>
        </is>
      </c>
      <c r="DE765" s="24" t="inlineStr">
        <is>
          <t>/Users/vincentc9002/model-prediction/data/odds/tennis/2026-08-30/polymarket_snapshots.jsonl</t>
        </is>
      </c>
      <c r="DF765" s="24" t="inlineStr">
        <is>
          <t>547252:2026-08-30T16:04:55.711255Z</t>
        </is>
      </c>
      <c r="DG765" s="24" t="n"/>
      <c r="DH765" s="24" t="n"/>
      <c r="DI765" s="24" t="n"/>
      <c r="DJ765" s="24" t="inlineStr">
        <is>
          <t>0.509804</t>
        </is>
      </c>
      <c r="DK765" s="24" t="n"/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f979f8fd59a74b56</t>
        </is>
      </c>
      <c r="B766" s="24" t="inlineStr">
        <is>
          <t>2026-08-30T16:06:30.429692Z</t>
        </is>
      </c>
      <c r="C766" s="24" t="inlineStr">
        <is>
          <t>2026-08-30T20:30Z</t>
        </is>
      </c>
      <c r="D766" s="24" t="inlineStr">
        <is>
          <t>189-2026:182621</t>
        </is>
      </c>
      <c r="E766" s="24" t="inlineStr">
        <is>
          <t>TENNIS</t>
        </is>
      </c>
      <c r="F766" s="24" t="inlineStr">
        <is>
          <t>Petra Marcinko</t>
        </is>
      </c>
      <c r="G766" s="24" t="inlineStr">
        <is>
          <t>Kimberly Birrell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-104</v>
      </c>
      <c r="M766" s="27" t="n">
        <v>1.961538</v>
      </c>
      <c r="N766" s="28" t="n">
        <v>0.509804</v>
      </c>
      <c r="O766" s="28" t="n">
        <v>0.5659</v>
      </c>
      <c r="P766" s="28" t="n">
        <v>0.05</v>
      </c>
      <c r="Q766" s="28" t="n">
        <v>0.056096</v>
      </c>
      <c r="R766" s="26" t="n">
        <v>48</v>
      </c>
      <c r="S766" s="29" t="n">
        <v>1</v>
      </c>
      <c r="T766" s="24" t="inlineStr">
        <is>
          <t>tennis-surface-elo-v1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-104</v>
      </c>
      <c r="AA766" s="28" t="n">
        <v>0.51</v>
      </c>
      <c r="AB766" s="28" t="n">
        <v>0.000196</v>
      </c>
      <c r="AC766" s="30" t="n">
        <v>0.9615</v>
      </c>
      <c r="AD766" s="24" t="inlineStr">
        <is>
          <t>2026-09-01T04:33:40.231564Z</t>
        </is>
      </c>
      <c r="AE766" s="31" t="inlineStr">
        <is>
          <t>Surface-blended Elo on Hard: Petra Marcinko p=0.434 vs Kimberly Birrell. Executable ask 0.5100 (aec-wta-kimbir-petmar-2026-08-30).</t>
        </is>
      </c>
      <c r="AF766" s="31" t="inlineStr">
        <is>
          <t>Surface-blended Elo model; singles only, WTA+ATP market coverage, not yet locked-holdout qualified -- promoted by explicit operator directive, not genuine walk-forward validation.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Petra Marcinko</t>
        </is>
      </c>
      <c r="AQ766" s="24" t="inlineStr">
        <is>
          <t>Petra Marcinko</t>
        </is>
      </c>
      <c r="AR766" s="24" t="inlineStr">
        <is>
          <t>Petra Marcinko</t>
        </is>
      </c>
      <c r="AS766" s="24" t="inlineStr">
        <is>
          <t>Kimberly Birrell</t>
        </is>
      </c>
      <c r="AT766" s="24" t="inlineStr">
        <is>
          <t>Kimberly Birrell</t>
        </is>
      </c>
      <c r="AU766" s="24" t="inlineStr">
        <is>
          <t>Kimberly Birrell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d777da58446bc099047b154203518e2585ef1a678f613f2b430f2589f7bf5cff</t>
        </is>
      </c>
      <c r="BB766" s="24" t="inlineStr">
        <is>
          <t>surface_blended_elo</t>
        </is>
      </c>
      <c r="BC766" s="24" t="inlineStr">
        <is>
          <t>tennis-surface-elo-v1</t>
        </is>
      </c>
      <c r="BD766" s="24" t="inlineStr">
        <is>
          <t>d777da58446bc099047b154203518e2585ef1a678f613f2b430f2589f7bf5cff</t>
        </is>
      </c>
      <c r="BE766" s="24" t="inlineStr">
        <is>
          <t>tennis-surface-elo-v1</t>
        </is>
      </c>
      <c r="BF766" s="24" t="inlineStr">
        <is>
          <t>1</t>
        </is>
      </c>
      <c r="BG766" s="24" t="inlineStr">
        <is>
          <t>d777da58446bc099047b154203518e2585ef1a678f613f2b430f2589f7bf5cff</t>
        </is>
      </c>
      <c r="BH766" s="24" t="inlineStr">
        <is>
          <t>2026-08-30T16:04:55.695628Z</t>
        </is>
      </c>
      <c r="BI766" s="24" t="inlineStr">
        <is>
          <t>["same_event","same_team_same_day","same_league_same_day"]</t>
        </is>
      </c>
      <c r="BJ766" s="25" t="n"/>
      <c r="BK766" s="26" t="n">
        <v>-104</v>
      </c>
      <c r="BL766" s="27" t="n">
        <v>1.961538</v>
      </c>
      <c r="BM766" s="28" t="n">
        <v>0.509804</v>
      </c>
      <c r="BN766" s="28" t="n"/>
      <c r="BO766" s="28" t="n"/>
      <c r="BP766" s="25" t="n"/>
      <c r="BQ766" s="27" t="n">
        <v>1.961538</v>
      </c>
      <c r="BR766" s="28" t="n">
        <v>0.51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inlineStr">
        <is>
          <t>946c094aa001490f0e418e926acb372c3e8296aa092e81cc053743fbf9fb01a6</t>
        </is>
      </c>
      <c r="DE766" s="24" t="inlineStr">
        <is>
          <t>/Users/vincentc9002/model-prediction/data/odds/tennis/2026-08-30/polymarket_snapshots.jsonl</t>
        </is>
      </c>
      <c r="DF766" s="24" t="inlineStr">
        <is>
          <t>547259:2026-08-30T16:04:55.695628Z</t>
        </is>
      </c>
      <c r="DG766" s="24" t="n"/>
      <c r="DH766" s="24" t="n"/>
      <c r="DI766" s="24" t="n"/>
      <c r="DJ766" s="24" t="inlineStr">
        <is>
          <t>0.509804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fb7136cb3f5042c5</t>
        </is>
      </c>
      <c r="B767" s="24" t="inlineStr">
        <is>
          <t>2026-08-30T16:06:30.429692Z</t>
        </is>
      </c>
      <c r="C767" s="24" t="inlineStr">
        <is>
          <t>2026-08-30T21:00Z</t>
        </is>
      </c>
      <c r="D767" s="24" t="inlineStr">
        <is>
          <t>189-2026:182637</t>
        </is>
      </c>
      <c r="E767" s="24" t="inlineStr">
        <is>
          <t>TENNIS</t>
        </is>
      </c>
      <c r="F767" s="24" t="inlineStr">
        <is>
          <t>Lois Boisson</t>
        </is>
      </c>
      <c r="G767" s="24" t="inlineStr">
        <is>
          <t>Emma Navarro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-270</v>
      </c>
      <c r="M767" s="27" t="n">
        <v>1.37037</v>
      </c>
      <c r="N767" s="28" t="n">
        <v>0.72973</v>
      </c>
      <c r="O767" s="28" t="n">
        <v>0.6544</v>
      </c>
      <c r="P767" s="28" t="n">
        <v>0.05</v>
      </c>
      <c r="Q767" s="28" t="n">
        <v>-0.07532999999999999</v>
      </c>
      <c r="R767" s="26" t="n">
        <v>0</v>
      </c>
      <c r="S767" s="29" t="n">
        <v>1</v>
      </c>
      <c r="T767" s="24" t="inlineStr">
        <is>
          <t>tennis-surface-elo-v1</t>
        </is>
      </c>
      <c r="U767" s="24" t="inlineStr">
        <is>
          <t>settled</t>
        </is>
      </c>
      <c r="V767" s="24" t="inlineStr">
        <is>
          <t>win</t>
        </is>
      </c>
      <c r="W767" s="26" t="n">
        <v>0</v>
      </c>
      <c r="X767" s="26" t="n">
        <v>1</v>
      </c>
      <c r="Y767" s="25" t="n"/>
      <c r="Z767" s="26" t="n">
        <v>-270</v>
      </c>
      <c r="AA767" s="28" t="n">
        <v>0.73</v>
      </c>
      <c r="AB767" s="28" t="n">
        <v>0.00027</v>
      </c>
      <c r="AC767" s="30" t="n">
        <v>0.3704</v>
      </c>
      <c r="AD767" s="24" t="inlineStr">
        <is>
          <t>2026-09-01T04:33:42.732278Z</t>
        </is>
      </c>
      <c r="AE767" s="31" t="inlineStr">
        <is>
          <t>Surface-blended Elo on Hard: Lois Boisson p=0.346 vs Emma Navarro. Executable ask 0.7300 (aec-wta-emmnav-loiboi-2026-08-30).</t>
        </is>
      </c>
      <c r="AF767" s="31" t="inlineStr">
        <is>
          <t>Surface-blended Elo model; singles only, WTA+ATP market coverage, not yet locked-holdout qualified -- promoted by explicit operator directive, not genuine walk-forward validation.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Lois Boisson</t>
        </is>
      </c>
      <c r="AQ767" s="24" t="inlineStr">
        <is>
          <t>Lois Boisson</t>
        </is>
      </c>
      <c r="AR767" s="24" t="inlineStr">
        <is>
          <t>Lois Boisson</t>
        </is>
      </c>
      <c r="AS767" s="24" t="inlineStr">
        <is>
          <t>Emma Navarro</t>
        </is>
      </c>
      <c r="AT767" s="24" t="inlineStr">
        <is>
          <t>Emma Navarro</t>
        </is>
      </c>
      <c r="AU767" s="24" t="inlineStr">
        <is>
          <t>Emma Navarro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d777da58446bc099047b154203518e2585ef1a678f613f2b430f2589f7bf5cff</t>
        </is>
      </c>
      <c r="BB767" s="24" t="inlineStr">
        <is>
          <t>surface_blended_elo</t>
        </is>
      </c>
      <c r="BC767" s="24" t="inlineStr">
        <is>
          <t>tennis-surface-elo-v1</t>
        </is>
      </c>
      <c r="BD767" s="24" t="inlineStr">
        <is>
          <t>d777da58446bc099047b154203518e2585ef1a678f613f2b430f2589f7bf5cff</t>
        </is>
      </c>
      <c r="BE767" s="24" t="inlineStr">
        <is>
          <t>tennis-surface-elo-v1</t>
        </is>
      </c>
      <c r="BF767" s="24" t="inlineStr">
        <is>
          <t>1</t>
        </is>
      </c>
      <c r="BG767" s="24" t="inlineStr">
        <is>
          <t>d777da58446bc099047b154203518e2585ef1a678f613f2b430f2589f7bf5cff</t>
        </is>
      </c>
      <c r="BH767" s="24" t="inlineStr">
        <is>
          <t>2026-08-30T16:04:55.712670Z</t>
        </is>
      </c>
      <c r="BI767" s="24" t="inlineStr">
        <is>
          <t>["same_event","same_team_same_day","same_league_same_day"]</t>
        </is>
      </c>
      <c r="BJ767" s="25" t="n"/>
      <c r="BK767" s="26" t="n">
        <v>-270</v>
      </c>
      <c r="BL767" s="27" t="n">
        <v>1.37037</v>
      </c>
      <c r="BM767" s="28" t="n">
        <v>0.72973</v>
      </c>
      <c r="BN767" s="28" t="n"/>
      <c r="BO767" s="28" t="n"/>
      <c r="BP767" s="25" t="n"/>
      <c r="BQ767" s="27" t="n">
        <v>1.37037</v>
      </c>
      <c r="BR767" s="28" t="n">
        <v>0.73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inlineStr">
        <is>
          <t>54793ca30cb6d60245dfd22832cff4fdc40ac654066b3b63b7bfd2e917881e7b</t>
        </is>
      </c>
      <c r="DE767" s="24" t="inlineStr">
        <is>
          <t>/Users/vincentc9002/model-prediction/data/odds/tennis/2026-08-30/polymarket_snapshots.jsonl</t>
        </is>
      </c>
      <c r="DF767" s="24" t="inlineStr">
        <is>
          <t>547288:2026-08-30T16:04:55.712670Z</t>
        </is>
      </c>
      <c r="DG767" s="24" t="n"/>
      <c r="DH767" s="24" t="n"/>
      <c r="DI767" s="24" t="n"/>
      <c r="DJ767" s="24" t="inlineStr">
        <is>
          <t>0.72973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4853d16a99d8454b</t>
        </is>
      </c>
      <c r="B768" s="24" t="inlineStr">
        <is>
          <t>2026-08-30T16:06:30.429692Z</t>
        </is>
      </c>
      <c r="C768" s="24" t="inlineStr">
        <is>
          <t>2026-08-30T23:00Z</t>
        </is>
      </c>
      <c r="D768" s="24" t="inlineStr">
        <is>
          <t>189-2026:182629</t>
        </is>
      </c>
      <c r="E768" s="24" t="inlineStr">
        <is>
          <t>TENNIS</t>
        </is>
      </c>
      <c r="F768" s="24" t="inlineStr">
        <is>
          <t>Solana Sierra</t>
        </is>
      </c>
      <c r="G768" s="24" t="inlineStr">
        <is>
          <t>Elina Svitolina</t>
        </is>
      </c>
      <c r="H768" s="24" t="inlineStr">
        <is>
          <t>moneyline</t>
        </is>
      </c>
      <c r="I768" s="24" t="inlineStr">
        <is>
          <t>home</t>
        </is>
      </c>
      <c r="J768" s="25" t="n"/>
      <c r="K768" s="24" t="inlineStr">
        <is>
          <t>polymarket_us</t>
        </is>
      </c>
      <c r="L768" s="26" t="n">
        <v>-1150</v>
      </c>
      <c r="M768" s="27" t="n">
        <v>1.086957</v>
      </c>
      <c r="N768" s="28" t="n">
        <v>0.92</v>
      </c>
      <c r="O768" s="28" t="n">
        <v>0.8557</v>
      </c>
      <c r="P768" s="28" t="n">
        <v>0.05</v>
      </c>
      <c r="Q768" s="28" t="n">
        <v>-0.0643</v>
      </c>
      <c r="R768" s="26" t="n">
        <v>0</v>
      </c>
      <c r="S768" s="29" t="n">
        <v>1</v>
      </c>
      <c r="T768" s="24" t="inlineStr">
        <is>
          <t>tennis-surface-elo-v1</t>
        </is>
      </c>
      <c r="U768" s="24" t="inlineStr">
        <is>
          <t>settled</t>
        </is>
      </c>
      <c r="V768" s="24" t="inlineStr">
        <is>
          <t>win</t>
        </is>
      </c>
      <c r="W768" s="26" t="n">
        <v>0</v>
      </c>
      <c r="X768" s="26" t="n">
        <v>1</v>
      </c>
      <c r="Y768" s="25" t="n"/>
      <c r="Z768" s="26" t="n">
        <v>-1150</v>
      </c>
      <c r="AA768" s="28" t="n">
        <v>0.92</v>
      </c>
      <c r="AB768" s="28" t="n">
        <v>0</v>
      </c>
      <c r="AC768" s="30" t="n">
        <v>0.08699999999999999</v>
      </c>
      <c r="AD768" s="24" t="inlineStr">
        <is>
          <t>2026-08-31T04:37:40.302051Z</t>
        </is>
      </c>
      <c r="AE768" s="31" t="inlineStr">
        <is>
          <t>Surface-blended Elo on Hard: Solana Sierra p=0.144 vs Elina Svitolina. Executable ask 0.9200 (aec-wta-elisvi-solsie-2026-08-30).</t>
        </is>
      </c>
      <c r="AF768" s="31" t="inlineStr">
        <is>
          <t>Surface-blended Elo model; singles only, WTA+ATP market coverage, not yet locked-holdout qualified -- promoted by explicit operator directive, not genuine walk-forward validation.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PAPER_CALL_LOW_EDGE</t>
        </is>
      </c>
      <c r="AP768" s="24" t="inlineStr">
        <is>
          <t>Solana Sierra</t>
        </is>
      </c>
      <c r="AQ768" s="24" t="inlineStr">
        <is>
          <t>Solana Sierra</t>
        </is>
      </c>
      <c r="AR768" s="24" t="inlineStr">
        <is>
          <t>Solana Sierra</t>
        </is>
      </c>
      <c r="AS768" s="24" t="inlineStr">
        <is>
          <t>Elina Svitolina</t>
        </is>
      </c>
      <c r="AT768" s="24" t="inlineStr">
        <is>
          <t>Elina Svitolina</t>
        </is>
      </c>
      <c r="AU768" s="24" t="inlineStr">
        <is>
          <t>Elina Svitolina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d777da58446bc099047b154203518e2585ef1a678f613f2b430f2589f7bf5cff</t>
        </is>
      </c>
      <c r="BB768" s="24" t="inlineStr">
        <is>
          <t>surface_blended_elo</t>
        </is>
      </c>
      <c r="BC768" s="24" t="inlineStr">
        <is>
          <t>tennis-surface-elo-v1</t>
        </is>
      </c>
      <c r="BD768" s="24" t="inlineStr">
        <is>
          <t>d777da58446bc099047b154203518e2585ef1a678f613f2b430f2589f7bf5cff</t>
        </is>
      </c>
      <c r="BE768" s="24" t="inlineStr">
        <is>
          <t>tennis-surface-elo-v1</t>
        </is>
      </c>
      <c r="BF768" s="24" t="inlineStr">
        <is>
          <t>1</t>
        </is>
      </c>
      <c r="BG768" s="24" t="inlineStr">
        <is>
          <t>d777da58446bc099047b154203518e2585ef1a678f613f2b430f2589f7bf5cff</t>
        </is>
      </c>
      <c r="BH768" s="24" t="inlineStr">
        <is>
          <t>2026-08-30T16:04:55.740081Z</t>
        </is>
      </c>
      <c r="BI768" s="24" t="inlineStr">
        <is>
          <t>["same_event","same_team_same_day","same_league_same_day"]</t>
        </is>
      </c>
      <c r="BJ768" s="25" t="n"/>
      <c r="BK768" s="26" t="n">
        <v>-1150</v>
      </c>
      <c r="BL768" s="27" t="n">
        <v>1.086957</v>
      </c>
      <c r="BM768" s="28" t="n">
        <v>0.92</v>
      </c>
      <c r="BN768" s="28" t="n"/>
      <c r="BO768" s="28" t="n"/>
      <c r="BP768" s="25" t="n"/>
      <c r="BQ768" s="27" t="n">
        <v>1.086957</v>
      </c>
      <c r="BR768" s="28" t="n">
        <v>0.92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inlineStr">
        <is>
          <t>4b90192aa9e0e06bb51ad4112a24e45cbf66a850e27cc545f5126b89f5316935</t>
        </is>
      </c>
      <c r="DE768" s="24" t="inlineStr">
        <is>
          <t>/Users/vincentc9002/model-prediction/data/odds/tennis/2026-08-30/polymarket_snapshots.jsonl</t>
        </is>
      </c>
      <c r="DF768" s="24" t="inlineStr">
        <is>
          <t>547280:2026-08-30T16:04:55.740081Z</t>
        </is>
      </c>
      <c r="DG768" s="24" t="n"/>
      <c r="DH768" s="24" t="n"/>
      <c r="DI768" s="24" t="n"/>
      <c r="DJ768" s="24" t="inlineStr">
        <is>
          <t>0.92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efad84c475944ccf</t>
        </is>
      </c>
      <c r="B769" s="24" t="inlineStr">
        <is>
          <t>2026-08-30T16:06:30.429692Z</t>
        </is>
      </c>
      <c r="C769" s="24" t="inlineStr">
        <is>
          <t>2026-08-31T01:00Z</t>
        </is>
      </c>
      <c r="D769" s="24" t="inlineStr">
        <is>
          <t>189-2026:182618</t>
        </is>
      </c>
      <c r="E769" s="24" t="inlineStr">
        <is>
          <t>TENNIS</t>
        </is>
      </c>
      <c r="F769" s="24" t="inlineStr">
        <is>
          <t>Sofia Kenin</t>
        </is>
      </c>
      <c r="G769" s="24" t="inlineStr">
        <is>
          <t>Venus Williams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-669</v>
      </c>
      <c r="M769" s="27" t="n">
        <v>1.149477</v>
      </c>
      <c r="N769" s="28" t="n">
        <v>0.869961</v>
      </c>
      <c r="O769" s="28" t="n">
        <v>0.6857</v>
      </c>
      <c r="P769" s="28" t="n">
        <v>0.05</v>
      </c>
      <c r="Q769" s="28" t="n">
        <v>-0.184261</v>
      </c>
      <c r="R769" s="26" t="n">
        <v>0</v>
      </c>
      <c r="S769" s="29" t="n">
        <v>1</v>
      </c>
      <c r="T769" s="24" t="inlineStr">
        <is>
          <t>tennis-surface-elo-v1</t>
        </is>
      </c>
      <c r="U769" s="24" t="inlineStr">
        <is>
          <t>settled</t>
        </is>
      </c>
      <c r="V769" s="24" t="inlineStr">
        <is>
          <t>win</t>
        </is>
      </c>
      <c r="W769" s="26" t="n">
        <v>1</v>
      </c>
      <c r="X769" s="26" t="n">
        <v>0</v>
      </c>
      <c r="Y769" s="25" t="n"/>
      <c r="Z769" s="26" t="n">
        <v>-669</v>
      </c>
      <c r="AA769" s="28" t="n">
        <v>0.87</v>
      </c>
      <c r="AB769" s="28" t="n">
        <v>3.9e-05</v>
      </c>
      <c r="AC769" s="30" t="n">
        <v>0.1495</v>
      </c>
      <c r="AD769" s="24" t="inlineStr">
        <is>
          <t>2026-08-31T16:00:14.280302Z</t>
        </is>
      </c>
      <c r="AE769" s="31" t="inlineStr">
        <is>
          <t>Surface-blended Elo on Hard: Sofia Kenin p=0.686 vs Venus Williams. Executable ask 0.8700 (aec-wta-venwil-sofken-2026-08-30).</t>
        </is>
      </c>
      <c r="AF769" s="31" t="inlineStr">
        <is>
          <t>Surface-blended Elo model; singles only, WTA+ATP market coverage, not yet locked-holdout qualified -- promoted by explicit operator directive, not genuine walk-forward validation.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Sofia Kenin</t>
        </is>
      </c>
      <c r="AQ769" s="24" t="inlineStr">
        <is>
          <t>Sofia Kenin</t>
        </is>
      </c>
      <c r="AR769" s="24" t="inlineStr">
        <is>
          <t>Sofia Kenin</t>
        </is>
      </c>
      <c r="AS769" s="24" t="inlineStr">
        <is>
          <t>Venus Williams</t>
        </is>
      </c>
      <c r="AT769" s="24" t="inlineStr">
        <is>
          <t>Venus Williams</t>
        </is>
      </c>
      <c r="AU769" s="24" t="inlineStr">
        <is>
          <t>Venus Williams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d777da58446bc099047b154203518e2585ef1a678f613f2b430f2589f7bf5cff</t>
        </is>
      </c>
      <c r="BB769" s="24" t="inlineStr">
        <is>
          <t>surface_blended_elo</t>
        </is>
      </c>
      <c r="BC769" s="24" t="inlineStr">
        <is>
          <t>tennis-surface-elo-v1</t>
        </is>
      </c>
      <c r="BD769" s="24" t="inlineStr">
        <is>
          <t>d777da58446bc099047b154203518e2585ef1a678f613f2b430f2589f7bf5cff</t>
        </is>
      </c>
      <c r="BE769" s="24" t="inlineStr">
        <is>
          <t>tennis-surface-elo-v1</t>
        </is>
      </c>
      <c r="BF769" s="24" t="inlineStr">
        <is>
          <t>1</t>
        </is>
      </c>
      <c r="BG769" s="24" t="inlineStr">
        <is>
          <t>d777da58446bc099047b154203518e2585ef1a678f613f2b430f2589f7bf5cff</t>
        </is>
      </c>
      <c r="BH769" s="24" t="inlineStr">
        <is>
          <t>2026-08-30T16:04:55.727045Z</t>
        </is>
      </c>
      <c r="BI769" s="24" t="inlineStr">
        <is>
          <t>["same_event","same_team_same_day","same_league_same_day"]</t>
        </is>
      </c>
      <c r="BJ769" s="25" t="n"/>
      <c r="BK769" s="26" t="n">
        <v>-669</v>
      </c>
      <c r="BL769" s="27" t="n">
        <v>1.149477</v>
      </c>
      <c r="BM769" s="28" t="n">
        <v>0.869961</v>
      </c>
      <c r="BN769" s="28" t="n"/>
      <c r="BO769" s="28" t="n"/>
      <c r="BP769" s="25" t="n"/>
      <c r="BQ769" s="27" t="n">
        <v>1.149477</v>
      </c>
      <c r="BR769" s="28" t="n">
        <v>0.87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inlineStr">
        <is>
          <t>ae4004fc1fe5d6d8fc74fad3e21232fb15875c48250a0ad02590f1f455d35535</t>
        </is>
      </c>
      <c r="DE769" s="24" t="inlineStr">
        <is>
          <t>/Users/vincentc9002/model-prediction/data/odds/tennis/2026-08-30/polymarket_snapshots.jsonl</t>
        </is>
      </c>
      <c r="DF769" s="24" t="inlineStr">
        <is>
          <t>547270:2026-08-30T16:04:55.727045Z</t>
        </is>
      </c>
      <c r="DG769" s="24" t="n"/>
      <c r="DH769" s="24" t="n"/>
      <c r="DI769" s="24" t="n"/>
      <c r="DJ769" s="24" t="inlineStr">
        <is>
          <t>0.869961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ef2f3207c7514d0d</t>
        </is>
      </c>
      <c r="B770" s="24" t="inlineStr">
        <is>
          <t>2026-08-30T16:06:30.429692Z</t>
        </is>
      </c>
      <c r="C770" s="24" t="inlineStr">
        <is>
          <t>2026-08-30T16:30Z</t>
        </is>
      </c>
      <c r="D770" s="24" t="inlineStr">
        <is>
          <t>189-2026:182667</t>
        </is>
      </c>
      <c r="E770" s="24" t="inlineStr">
        <is>
          <t>TENNIS</t>
        </is>
      </c>
      <c r="F770" s="24" t="inlineStr">
        <is>
          <t>Tommy Paul</t>
        </is>
      </c>
      <c r="G770" s="24" t="inlineStr">
        <is>
          <t>Chak Lam Coleman Wong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-525</v>
      </c>
      <c r="M770" s="27" t="n">
        <v>1.190476</v>
      </c>
      <c r="N770" s="28" t="n">
        <v>0.84</v>
      </c>
      <c r="O770" s="28" t="n">
        <v>0.785</v>
      </c>
      <c r="P770" s="28" t="n">
        <v>0.05</v>
      </c>
      <c r="Q770" s="28" t="n">
        <v>-0.055</v>
      </c>
      <c r="R770" s="26" t="n">
        <v>0</v>
      </c>
      <c r="S770" s="29" t="n">
        <v>1</v>
      </c>
      <c r="T770" s="24" t="inlineStr">
        <is>
          <t>tennis-surface-elo-v1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-525</v>
      </c>
      <c r="AA770" s="28" t="n">
        <v>0.84</v>
      </c>
      <c r="AB770" s="28" t="n">
        <v>0</v>
      </c>
      <c r="AC770" s="30" t="n">
        <v>0.1905</v>
      </c>
      <c r="AD770" s="24" t="inlineStr">
        <is>
          <t>2026-08-31T04:37:42.695789Z</t>
        </is>
      </c>
      <c r="AE770" s="31" t="inlineStr">
        <is>
          <t>Surface-blended Elo on Hard: Tommy Paul p=0.785 vs Chak Lam Coleman Wong. Executable ask 0.8400 (aec-atp-colwon-tompau-2026-08-30).</t>
        </is>
      </c>
      <c r="AF770" s="31" t="inlineStr">
        <is>
          <t>Surface-blended Elo model; singles only, WTA+ATP market coverage, not yet locked-holdout qualified -- promoted by explicit operator directive, not genuine walk-forward validation.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PAPER_CALL_LOW_EDGE</t>
        </is>
      </c>
      <c r="AP770" s="24" t="inlineStr">
        <is>
          <t>Tommy Paul</t>
        </is>
      </c>
      <c r="AQ770" s="24" t="inlineStr">
        <is>
          <t>Tommy Paul</t>
        </is>
      </c>
      <c r="AR770" s="24" t="inlineStr">
        <is>
          <t>Tommy Paul</t>
        </is>
      </c>
      <c r="AS770" s="24" t="inlineStr">
        <is>
          <t>Chak Lam Coleman Wong</t>
        </is>
      </c>
      <c r="AT770" s="24" t="inlineStr">
        <is>
          <t>Chak Lam Coleman Wong</t>
        </is>
      </c>
      <c r="AU770" s="24" t="inlineStr">
        <is>
          <t>Chak Lam Coleman Wong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d777da58446bc099047b154203518e2585ef1a678f613f2b430f2589f7bf5cff</t>
        </is>
      </c>
      <c r="BB770" s="24" t="inlineStr">
        <is>
          <t>surface_blended_elo</t>
        </is>
      </c>
      <c r="BC770" s="24" t="inlineStr">
        <is>
          <t>tennis-surface-elo-v1</t>
        </is>
      </c>
      <c r="BD770" s="24" t="inlineStr">
        <is>
          <t>d777da58446bc099047b154203518e2585ef1a678f613f2b430f2589f7bf5cff</t>
        </is>
      </c>
      <c r="BE770" s="24" t="inlineStr">
        <is>
          <t>tennis-surface-elo-v1</t>
        </is>
      </c>
      <c r="BF770" s="24" t="inlineStr">
        <is>
          <t>1</t>
        </is>
      </c>
      <c r="BG770" s="24" t="inlineStr">
        <is>
          <t>d777da58446bc099047b154203518e2585ef1a678f613f2b430f2589f7bf5cff</t>
        </is>
      </c>
      <c r="BH770" s="24" t="inlineStr">
        <is>
          <t>2026-08-30T16:04:56.290924Z</t>
        </is>
      </c>
      <c r="BI770" s="24" t="inlineStr">
        <is>
          <t>["same_event","same_team_same_day","same_league_same_day"]</t>
        </is>
      </c>
      <c r="BJ770" s="25" t="n"/>
      <c r="BK770" s="26" t="n">
        <v>-525</v>
      </c>
      <c r="BL770" s="27" t="n">
        <v>1.190476</v>
      </c>
      <c r="BM770" s="28" t="n">
        <v>0.84</v>
      </c>
      <c r="BN770" s="28" t="n"/>
      <c r="BO770" s="28" t="n"/>
      <c r="BP770" s="25" t="n"/>
      <c r="BQ770" s="27" t="n">
        <v>1.190476</v>
      </c>
      <c r="BR770" s="28" t="n">
        <v>0.84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False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inlineStr">
        <is>
          <t>c211d3962da64fd9195a990701a87b07cade8fd68eb7ea016db8bb5cc245b30e</t>
        </is>
      </c>
      <c r="DE770" s="24" t="inlineStr">
        <is>
          <t>/Users/vincentc9002/model-prediction/data/odds/tennis/2026-08-30/polymarket_snapshots.jsonl</t>
        </is>
      </c>
      <c r="DF770" s="24" t="inlineStr">
        <is>
          <t>550523:2026-08-30T16:04:56.290924Z</t>
        </is>
      </c>
      <c r="DG770" s="24" t="n"/>
      <c r="DH770" s="24" t="n"/>
      <c r="DI770" s="24" t="n"/>
      <c r="DJ770" s="24" t="inlineStr">
        <is>
          <t>0.84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bdf968bb113649d2</t>
        </is>
      </c>
      <c r="B771" s="24" t="inlineStr">
        <is>
          <t>2026-08-30T16:06:30.429692Z</t>
        </is>
      </c>
      <c r="C771" s="24" t="inlineStr">
        <is>
          <t>2026-08-30T16:30Z</t>
        </is>
      </c>
      <c r="D771" s="24" t="inlineStr">
        <is>
          <t>189-2026:182678</t>
        </is>
      </c>
      <c r="E771" s="24" t="inlineStr">
        <is>
          <t>TENNIS</t>
        </is>
      </c>
      <c r="F771" s="24" t="inlineStr">
        <is>
          <t>Cameron Norrie</t>
        </is>
      </c>
      <c r="G771" s="24" t="inlineStr">
        <is>
          <t>Luca Van Assche</t>
        </is>
      </c>
      <c r="H771" s="24" t="inlineStr">
        <is>
          <t>moneyline</t>
        </is>
      </c>
      <c r="I771" s="24" t="inlineStr">
        <is>
          <t>away</t>
        </is>
      </c>
      <c r="J771" s="25" t="n"/>
      <c r="K771" s="24" t="inlineStr">
        <is>
          <t>polymarket_us</t>
        </is>
      </c>
      <c r="L771" s="26" t="n">
        <v>-203</v>
      </c>
      <c r="M771" s="27" t="n">
        <v>1.492611</v>
      </c>
      <c r="N771" s="28" t="n">
        <v>0.669967</v>
      </c>
      <c r="O771" s="28" t="n">
        <v>0.7139</v>
      </c>
      <c r="P771" s="28" t="n">
        <v>0.05</v>
      </c>
      <c r="Q771" s="28" t="n">
        <v>0.043933</v>
      </c>
      <c r="R771" s="26" t="n">
        <v>42</v>
      </c>
      <c r="S771" s="29" t="n">
        <v>1</v>
      </c>
      <c r="T771" s="24" t="inlineStr">
        <is>
          <t>tennis-surface-elo-v1</t>
        </is>
      </c>
      <c r="U771" s="24" t="inlineStr">
        <is>
          <t>settled</t>
        </is>
      </c>
      <c r="V771" s="24" t="inlineStr">
        <is>
          <t>loss</t>
        </is>
      </c>
      <c r="W771" s="26" t="n">
        <v>0</v>
      </c>
      <c r="X771" s="26" t="n">
        <v>1</v>
      </c>
      <c r="Y771" s="25" t="n"/>
      <c r="Z771" s="26" t="n">
        <v>-203</v>
      </c>
      <c r="AA771" s="28" t="n">
        <v>0.67</v>
      </c>
      <c r="AB771" s="28" t="n">
        <v>3.3e-05</v>
      </c>
      <c r="AC771" s="30" t="n">
        <v>-1</v>
      </c>
      <c r="AD771" s="24" t="inlineStr">
        <is>
          <t>2026-08-31T04:37:45.095330Z</t>
        </is>
      </c>
      <c r="AE771" s="31" t="inlineStr">
        <is>
          <t>Surface-blended Elo on Hard: Cameron Norrie p=0.714 vs Luca Van Assche. Executable ask 0.6700 (aec-atp-lucass-camnor-2026-08-30).</t>
        </is>
      </c>
      <c r="AF771" s="31" t="inlineStr">
        <is>
          <t>Surface-blended Elo model; singles only, WTA+ATP market coverage, not yet locked-holdout qualified -- promoted by explicit operator directive, not genuine walk-forward validation.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Cameron Norrie</t>
        </is>
      </c>
      <c r="AQ771" s="24" t="inlineStr">
        <is>
          <t>Cameron Norrie</t>
        </is>
      </c>
      <c r="AR771" s="24" t="inlineStr">
        <is>
          <t>Cameron Norrie</t>
        </is>
      </c>
      <c r="AS771" s="24" t="inlineStr">
        <is>
          <t>Luca Van Assche</t>
        </is>
      </c>
      <c r="AT771" s="24" t="inlineStr">
        <is>
          <t>Luca Van Assche</t>
        </is>
      </c>
      <c r="AU771" s="24" t="inlineStr">
        <is>
          <t>Luca Van Assche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d777da58446bc099047b154203518e2585ef1a678f613f2b430f2589f7bf5cff</t>
        </is>
      </c>
      <c r="BB771" s="24" t="inlineStr">
        <is>
          <t>surface_blended_elo</t>
        </is>
      </c>
      <c r="BC771" s="24" t="inlineStr">
        <is>
          <t>tennis-surface-elo-v1</t>
        </is>
      </c>
      <c r="BD771" s="24" t="inlineStr">
        <is>
          <t>d777da58446bc099047b154203518e2585ef1a678f613f2b430f2589f7bf5cff</t>
        </is>
      </c>
      <c r="BE771" s="24" t="inlineStr">
        <is>
          <t>tennis-surface-elo-v1</t>
        </is>
      </c>
      <c r="BF771" s="24" t="inlineStr">
        <is>
          <t>1</t>
        </is>
      </c>
      <c r="BG771" s="24" t="inlineStr">
        <is>
          <t>d777da58446bc099047b154203518e2585ef1a678f613f2b430f2589f7bf5cff</t>
        </is>
      </c>
      <c r="BH771" s="24" t="inlineStr">
        <is>
          <t>2026-08-30T16:04:56.394413Z</t>
        </is>
      </c>
      <c r="BI771" s="24" t="inlineStr">
        <is>
          <t>["same_event","same_team_same_day","same_league_same_day"]</t>
        </is>
      </c>
      <c r="BJ771" s="25" t="n"/>
      <c r="BK771" s="26" t="n">
        <v>-203</v>
      </c>
      <c r="BL771" s="27" t="n">
        <v>1.492611</v>
      </c>
      <c r="BM771" s="28" t="n">
        <v>0.669967</v>
      </c>
      <c r="BN771" s="28" t="n"/>
      <c r="BO771" s="28" t="n"/>
      <c r="BP771" s="25" t="n"/>
      <c r="BQ771" s="27" t="n">
        <v>1.492611</v>
      </c>
      <c r="BR771" s="28" t="n">
        <v>0.67</v>
      </c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inlineStr">
        <is>
          <t>a9dbc06b562bb1a745811018b565c68209502cfaa2e656c5b08c0e037cf33e99</t>
        </is>
      </c>
      <c r="DE771" s="24" t="inlineStr">
        <is>
          <t>/Users/vincentc9002/model-prediction/data/odds/tennis/2026-08-30/polymarket_snapshots.jsonl</t>
        </is>
      </c>
      <c r="DF771" s="24" t="inlineStr">
        <is>
          <t>547327:2026-08-30T16:04:56.394413Z</t>
        </is>
      </c>
      <c r="DG771" s="24" t="n"/>
      <c r="DH771" s="24" t="n"/>
      <c r="DI771" s="24" t="n"/>
      <c r="DJ771" s="24" t="inlineStr">
        <is>
          <t>0.669967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03e6cbdc1af04a9f</t>
        </is>
      </c>
      <c r="B772" s="24" t="inlineStr">
        <is>
          <t>2026-08-30T16:06:30.429692Z</t>
        </is>
      </c>
      <c r="C772" s="24" t="inlineStr">
        <is>
          <t>2026-08-30T17:00Z</t>
        </is>
      </c>
      <c r="D772" s="24" t="inlineStr">
        <is>
          <t>189-2026:182654</t>
        </is>
      </c>
      <c r="E772" s="24" t="inlineStr">
        <is>
          <t>TENNIS</t>
        </is>
      </c>
      <c r="F772" s="24" t="inlineStr">
        <is>
          <t>Jack Kennedy</t>
        </is>
      </c>
      <c r="G772" s="24" t="inlineStr">
        <is>
          <t>Lloyd Harris</t>
        </is>
      </c>
      <c r="H772" s="24" t="inlineStr">
        <is>
          <t>moneyline</t>
        </is>
      </c>
      <c r="I772" s="24" t="inlineStr">
        <is>
          <t>home</t>
        </is>
      </c>
      <c r="J772" s="25" t="n"/>
      <c r="K772" s="24" t="inlineStr">
        <is>
          <t>polymarket_us</t>
        </is>
      </c>
      <c r="L772" s="26" t="n">
        <v>-567</v>
      </c>
      <c r="M772" s="27" t="n">
        <v>1.176367</v>
      </c>
      <c r="N772" s="28" t="n">
        <v>0.850075</v>
      </c>
      <c r="O772" s="28" t="n">
        <v>0.6683</v>
      </c>
      <c r="P772" s="28" t="n">
        <v>0.05</v>
      </c>
      <c r="Q772" s="28" t="n">
        <v>-0.181775</v>
      </c>
      <c r="R772" s="26" t="n">
        <v>0</v>
      </c>
      <c r="S772" s="29" t="n">
        <v>1</v>
      </c>
      <c r="T772" s="24" t="inlineStr">
        <is>
          <t>tennis-surface-elo-v1</t>
        </is>
      </c>
      <c r="U772" s="24" t="inlineStr">
        <is>
          <t>settled</t>
        </is>
      </c>
      <c r="V772" s="24" t="inlineStr">
        <is>
          <t>win</t>
        </is>
      </c>
      <c r="W772" s="26" t="n">
        <v>0</v>
      </c>
      <c r="X772" s="26" t="n">
        <v>1</v>
      </c>
      <c r="Y772" s="25" t="n"/>
      <c r="Z772" s="26" t="n">
        <v>-567</v>
      </c>
      <c r="AA772" s="28" t="n">
        <v>0.85</v>
      </c>
      <c r="AB772" s="28" t="n">
        <v>-7.499999999999999e-05</v>
      </c>
      <c r="AC772" s="30" t="n">
        <v>0.1764</v>
      </c>
      <c r="AD772" s="24" t="inlineStr">
        <is>
          <t>2026-08-31T04:37:47.482793Z</t>
        </is>
      </c>
      <c r="AE772" s="31" t="inlineStr">
        <is>
          <t>Surface-blended Elo on Hard: Jack Kennedy p=0.332 vs Lloyd Harris. Executable ask 0.8500 (aec-atp-llohar-jacken-2026-08-30).</t>
        </is>
      </c>
      <c r="AF772" s="31" t="inlineStr">
        <is>
          <t>Surface-blended Elo model; singles only, WTA+ATP market coverage, not yet locked-holdout qualified -- promoted by explicit operator directive, not genuine walk-forward validation.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Jack Kennedy</t>
        </is>
      </c>
      <c r="AQ772" s="24" t="inlineStr">
        <is>
          <t>Jack Kennedy</t>
        </is>
      </c>
      <c r="AR772" s="24" t="inlineStr">
        <is>
          <t>Jack Kennedy</t>
        </is>
      </c>
      <c r="AS772" s="24" t="inlineStr">
        <is>
          <t>Lloyd Harris</t>
        </is>
      </c>
      <c r="AT772" s="24" t="inlineStr">
        <is>
          <t>Lloyd Harris</t>
        </is>
      </c>
      <c r="AU772" s="24" t="inlineStr">
        <is>
          <t>Lloyd Harris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d777da58446bc099047b154203518e2585ef1a678f613f2b430f2589f7bf5cff</t>
        </is>
      </c>
      <c r="BB772" s="24" t="inlineStr">
        <is>
          <t>surface_blended_elo</t>
        </is>
      </c>
      <c r="BC772" s="24" t="inlineStr">
        <is>
          <t>tennis-surface-elo-v1</t>
        </is>
      </c>
      <c r="BD772" s="24" t="inlineStr">
        <is>
          <t>d777da58446bc099047b154203518e2585ef1a678f613f2b430f2589f7bf5cff</t>
        </is>
      </c>
      <c r="BE772" s="24" t="inlineStr">
        <is>
          <t>tennis-surface-elo-v1</t>
        </is>
      </c>
      <c r="BF772" s="24" t="inlineStr">
        <is>
          <t>1</t>
        </is>
      </c>
      <c r="BG772" s="24" t="inlineStr">
        <is>
          <t>d777da58446bc099047b154203518e2585ef1a678f613f2b430f2589f7bf5cff</t>
        </is>
      </c>
      <c r="BH772" s="24" t="inlineStr">
        <is>
          <t>2026-08-30T16:04:56.667892Z</t>
        </is>
      </c>
      <c r="BI772" s="24" t="inlineStr">
        <is>
          <t>["same_event","same_team_same_day","same_league_same_day"]</t>
        </is>
      </c>
      <c r="BJ772" s="25" t="n"/>
      <c r="BK772" s="26" t="n">
        <v>-567</v>
      </c>
      <c r="BL772" s="27" t="n">
        <v>1.176367</v>
      </c>
      <c r="BM772" s="28" t="n">
        <v>0.850075</v>
      </c>
      <c r="BN772" s="28" t="n"/>
      <c r="BO772" s="28" t="n"/>
      <c r="BP772" s="25" t="n"/>
      <c r="BQ772" s="27" t="n">
        <v>1.176367</v>
      </c>
      <c r="BR772" s="28" t="n">
        <v>0.85</v>
      </c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inlineStr">
        <is>
          <t>cea6f31495758a56b64a3893bfba9ada01a55598230d9bbb9ff2fd22887a4d73</t>
        </is>
      </c>
      <c r="DE772" s="24" t="inlineStr">
        <is>
          <t>/Users/vincentc9002/model-prediction/data/odds/tennis/2026-08-30/polymarket_snapshots.jsonl</t>
        </is>
      </c>
      <c r="DF772" s="24" t="inlineStr">
        <is>
          <t>550521:2026-08-30T16:04:56.667892Z</t>
        </is>
      </c>
      <c r="DG772" s="24" t="n"/>
      <c r="DH772" s="24" t="n"/>
      <c r="DI772" s="24" t="n"/>
      <c r="DJ772" s="24" t="inlineStr">
        <is>
          <t>0.850075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3b0ab8ada9214d6c</t>
        </is>
      </c>
      <c r="B773" s="24" t="inlineStr">
        <is>
          <t>2026-08-30T16:06:30.429692Z</t>
        </is>
      </c>
      <c r="C773" s="24" t="inlineStr">
        <is>
          <t>2026-08-30T17:00Z</t>
        </is>
      </c>
      <c r="D773" s="24" t="inlineStr">
        <is>
          <t>189-2026:182657</t>
        </is>
      </c>
      <c r="E773" s="24" t="inlineStr">
        <is>
          <t>TENNIS</t>
        </is>
      </c>
      <c r="F773" s="24" t="inlineStr">
        <is>
          <t>Tomas Machac</t>
        </is>
      </c>
      <c r="G773" s="24" t="inlineStr">
        <is>
          <t>Toby Samuel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133</v>
      </c>
      <c r="M773" s="27" t="n">
        <v>2.33</v>
      </c>
      <c r="N773" s="28" t="n">
        <v>0.429185</v>
      </c>
      <c r="O773" s="28" t="n">
        <v>0.5571</v>
      </c>
      <c r="P773" s="28" t="n">
        <v>0.05</v>
      </c>
      <c r="Q773" s="28" t="n">
        <v>0.127915</v>
      </c>
      <c r="R773" s="26" t="n">
        <v>84</v>
      </c>
      <c r="S773" s="29" t="n">
        <v>1.5</v>
      </c>
      <c r="T773" s="24" t="inlineStr">
        <is>
          <t>tennis-surface-elo-v1</t>
        </is>
      </c>
      <c r="U773" s="24" t="inlineStr">
        <is>
          <t>settled</t>
        </is>
      </c>
      <c r="V773" s="24" t="inlineStr">
        <is>
          <t>loss</t>
        </is>
      </c>
      <c r="W773" s="26" t="n">
        <v>0</v>
      </c>
      <c r="X773" s="26" t="n">
        <v>1</v>
      </c>
      <c r="Y773" s="25" t="n"/>
      <c r="Z773" s="26" t="n">
        <v>133</v>
      </c>
      <c r="AA773" s="28" t="n">
        <v>0.43</v>
      </c>
      <c r="AB773" s="28" t="n">
        <v>0.000815</v>
      </c>
      <c r="AC773" s="30" t="n">
        <v>-1.5</v>
      </c>
      <c r="AD773" s="24" t="inlineStr">
        <is>
          <t>2026-08-31T04:37:49.936957Z</t>
        </is>
      </c>
      <c r="AE773" s="31" t="inlineStr">
        <is>
          <t>Surface-blended Elo on Hard: Tomas Machac p=0.557 vs Toby Samuel. Executable ask 0.4300 (aec-atp-tobsam-tommac-2026-08-30).</t>
        </is>
      </c>
      <c r="AF773" s="31" t="inlineStr">
        <is>
          <t>Surface-blended Elo model; singles only, WTA+ATP market coverage, not yet locked-holdout qualified -- promoted by explicit operator directive, not genuine walk-forward validation.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Tomas Machac</t>
        </is>
      </c>
      <c r="AQ773" s="24" t="inlineStr">
        <is>
          <t>Tomas Machac</t>
        </is>
      </c>
      <c r="AR773" s="24" t="inlineStr">
        <is>
          <t>Tomas Machac</t>
        </is>
      </c>
      <c r="AS773" s="24" t="inlineStr">
        <is>
          <t>Toby Samuel</t>
        </is>
      </c>
      <c r="AT773" s="24" t="inlineStr">
        <is>
          <t>Toby Samuel</t>
        </is>
      </c>
      <c r="AU773" s="24" t="inlineStr">
        <is>
          <t>Toby Samuel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d777da58446bc099047b154203518e2585ef1a678f613f2b430f2589f7bf5cff</t>
        </is>
      </c>
      <c r="BB773" s="24" t="inlineStr">
        <is>
          <t>surface_blended_elo</t>
        </is>
      </c>
      <c r="BC773" s="24" t="inlineStr">
        <is>
          <t>tennis-surface-elo-v1</t>
        </is>
      </c>
      <c r="BD773" s="24" t="inlineStr">
        <is>
          <t>d777da58446bc099047b154203518e2585ef1a678f613f2b430f2589f7bf5cff</t>
        </is>
      </c>
      <c r="BE773" s="24" t="inlineStr">
        <is>
          <t>tennis-surface-elo-v1</t>
        </is>
      </c>
      <c r="BF773" s="24" t="inlineStr">
        <is>
          <t>1</t>
        </is>
      </c>
      <c r="BG773" s="24" t="inlineStr">
        <is>
          <t>d777da58446bc099047b154203518e2585ef1a678f613f2b430f2589f7bf5cff</t>
        </is>
      </c>
      <c r="BH773" s="24" t="inlineStr">
        <is>
          <t>2026-08-30T16:04:56.572111Z</t>
        </is>
      </c>
      <c r="BI773" s="24" t="inlineStr">
        <is>
          <t>["same_event","same_team_same_day","same_league_same_day"]</t>
        </is>
      </c>
      <c r="BJ773" s="25" t="n"/>
      <c r="BK773" s="26" t="n">
        <v>133</v>
      </c>
      <c r="BL773" s="27" t="n">
        <v>2.33</v>
      </c>
      <c r="BM773" s="28" t="n">
        <v>0.429185</v>
      </c>
      <c r="BN773" s="28" t="n"/>
      <c r="BO773" s="28" t="n"/>
      <c r="BP773" s="25" t="n"/>
      <c r="BQ773" s="27" t="n">
        <v>2.33</v>
      </c>
      <c r="BR773" s="28" t="n">
        <v>0.43</v>
      </c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inlineStr">
        <is>
          <t>9f0af9159806403cbd937c3fdb3609cbb13e3dece113b793d3f366f81e91bb83</t>
        </is>
      </c>
      <c r="DE773" s="24" t="inlineStr">
        <is>
          <t>/Users/vincentc9002/model-prediction/data/odds/tennis/2026-08-30/polymarket_snapshots.jsonl</t>
        </is>
      </c>
      <c r="DF773" s="24" t="inlineStr">
        <is>
          <t>550519:2026-08-30T16:04:56.572111Z</t>
        </is>
      </c>
      <c r="DG773" s="24" t="n"/>
      <c r="DH773" s="24" t="n"/>
      <c r="DI773" s="24" t="n"/>
      <c r="DJ773" s="24" t="inlineStr">
        <is>
          <t>0.429185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0f698d8169074ccd</t>
        </is>
      </c>
      <c r="B774" s="24" t="inlineStr">
        <is>
          <t>2026-08-30T16:06:30.429692Z</t>
        </is>
      </c>
      <c r="C774" s="24" t="inlineStr">
        <is>
          <t>2026-08-30T17:00Z</t>
        </is>
      </c>
      <c r="D774" s="24" t="inlineStr">
        <is>
          <t>189-2026:182774</t>
        </is>
      </c>
      <c r="E774" s="24" t="inlineStr">
        <is>
          <t>TENNIS</t>
        </is>
      </c>
      <c r="F774" s="24" t="inlineStr">
        <is>
          <t>Terence Atmane</t>
        </is>
      </c>
      <c r="G774" s="24" t="inlineStr">
        <is>
          <t>Jaume Munar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163</v>
      </c>
      <c r="M774" s="27" t="n">
        <v>2.63</v>
      </c>
      <c r="N774" s="28" t="n">
        <v>0.380228</v>
      </c>
      <c r="O774" s="28" t="n">
        <v>0.5177</v>
      </c>
      <c r="P774" s="28" t="n">
        <v>0.05</v>
      </c>
      <c r="Q774" s="28" t="n">
        <v>0.137472</v>
      </c>
      <c r="R774" s="26" t="n">
        <v>89</v>
      </c>
      <c r="S774" s="29" t="n">
        <v>1.5</v>
      </c>
      <c r="T774" s="24" t="inlineStr">
        <is>
          <t>tennis-surface-elo-v1</t>
        </is>
      </c>
      <c r="U774" s="24" t="inlineStr">
        <is>
          <t>settled</t>
        </is>
      </c>
      <c r="V774" s="24" t="inlineStr">
        <is>
          <t>win</t>
        </is>
      </c>
      <c r="W774" s="26" t="n">
        <v>0</v>
      </c>
      <c r="X774" s="26" t="n">
        <v>1</v>
      </c>
      <c r="Y774" s="25" t="n"/>
      <c r="Z774" s="26" t="n">
        <v>163</v>
      </c>
      <c r="AA774" s="28" t="n">
        <v>0.38</v>
      </c>
      <c r="AB774" s="28" t="n">
        <v>-0.000228</v>
      </c>
      <c r="AC774" s="30" t="n">
        <v>2.445</v>
      </c>
      <c r="AD774" s="24" t="inlineStr">
        <is>
          <t>2026-08-31T04:37:52.336794Z</t>
        </is>
      </c>
      <c r="AE774" s="31" t="inlineStr">
        <is>
          <t>Surface-blended Elo on Hard: Terence Atmane p=0.482 vs Jaume Munar. Executable ask 0.3800 (aec-atp-jaumun-teratm-2026-08-30).</t>
        </is>
      </c>
      <c r="AF774" s="31" t="inlineStr">
        <is>
          <t>Surface-blended Elo model; singles only, WTA+ATP market coverage, not yet locked-holdout qualified -- promoted by explicit operator directive, not genuine walk-forward validation.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Terence Atmane</t>
        </is>
      </c>
      <c r="AQ774" s="24" t="inlineStr">
        <is>
          <t>Terence Atmane</t>
        </is>
      </c>
      <c r="AR774" s="24" t="inlineStr">
        <is>
          <t>Terence Atmane</t>
        </is>
      </c>
      <c r="AS774" s="24" t="inlineStr">
        <is>
          <t>Jaume Munar</t>
        </is>
      </c>
      <c r="AT774" s="24" t="inlineStr">
        <is>
          <t>Jaume Munar</t>
        </is>
      </c>
      <c r="AU774" s="24" t="inlineStr">
        <is>
          <t>Jaume Munar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d777da58446bc099047b154203518e2585ef1a678f613f2b430f2589f7bf5cff</t>
        </is>
      </c>
      <c r="BB774" s="24" t="inlineStr">
        <is>
          <t>surface_blended_elo</t>
        </is>
      </c>
      <c r="BC774" s="24" t="inlineStr">
        <is>
          <t>tennis-surface-elo-v1</t>
        </is>
      </c>
      <c r="BD774" s="24" t="inlineStr">
        <is>
          <t>d777da58446bc099047b154203518e2585ef1a678f613f2b430f2589f7bf5cff</t>
        </is>
      </c>
      <c r="BE774" s="24" t="inlineStr">
        <is>
          <t>tennis-surface-elo-v1</t>
        </is>
      </c>
      <c r="BF774" s="24" t="inlineStr">
        <is>
          <t>1</t>
        </is>
      </c>
      <c r="BG774" s="24" t="inlineStr">
        <is>
          <t>d777da58446bc099047b154203518e2585ef1a678f613f2b430f2589f7bf5cff</t>
        </is>
      </c>
      <c r="BH774" s="24" t="inlineStr">
        <is>
          <t>2026-08-30T16:04:56.504679Z</t>
        </is>
      </c>
      <c r="BI774" s="24" t="inlineStr">
        <is>
          <t>["same_event","same_team_same_day","same_league_same_day"]</t>
        </is>
      </c>
      <c r="BJ774" s="25" t="n"/>
      <c r="BK774" s="26" t="n">
        <v>163</v>
      </c>
      <c r="BL774" s="27" t="n">
        <v>2.63</v>
      </c>
      <c r="BM774" s="28" t="n">
        <v>0.380228</v>
      </c>
      <c r="BN774" s="28" t="n"/>
      <c r="BO774" s="28" t="n"/>
      <c r="BP774" s="25" t="n"/>
      <c r="BQ774" s="27" t="n">
        <v>2.63</v>
      </c>
      <c r="BR774" s="28" t="n">
        <v>0.38</v>
      </c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inlineStr">
        <is>
          <t>caef5ea7a5dd66053f1c57c5bae2d131926b45cc81ea7fd3882375fe27eaac13</t>
        </is>
      </c>
      <c r="DE774" s="24" t="inlineStr">
        <is>
          <t>/Users/vincentc9002/model-prediction/data/odds/tennis/2026-08-30/polymarket_snapshots.jsonl</t>
        </is>
      </c>
      <c r="DF774" s="24" t="inlineStr">
        <is>
          <t>547297:2026-08-30T16:04:56.504679Z</t>
        </is>
      </c>
      <c r="DG774" s="24" t="n"/>
      <c r="DH774" s="24" t="n"/>
      <c r="DI774" s="24" t="n"/>
      <c r="DJ774" s="24" t="inlineStr">
        <is>
          <t>0.380228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b662540987bd4d1f</t>
        </is>
      </c>
      <c r="B775" s="24" t="inlineStr">
        <is>
          <t>2026-08-30T16:06:30.429692Z</t>
        </is>
      </c>
      <c r="C775" s="24" t="inlineStr">
        <is>
          <t>2026-08-30T17:30Z</t>
        </is>
      </c>
      <c r="D775" s="24" t="inlineStr">
        <is>
          <t>189-2026:182733</t>
        </is>
      </c>
      <c r="E775" s="24" t="inlineStr">
        <is>
          <t>TENNIS</t>
        </is>
      </c>
      <c r="F775" s="24" t="inlineStr">
        <is>
          <t>Hugo Gaston</t>
        </is>
      </c>
      <c r="G775" s="24" t="inlineStr">
        <is>
          <t>Daniil Medvedev</t>
        </is>
      </c>
      <c r="H775" s="24" t="inlineStr">
        <is>
          <t>moneyline</t>
        </is>
      </c>
      <c r="I775" s="24" t="inlineStr">
        <is>
          <t>home</t>
        </is>
      </c>
      <c r="J775" s="25" t="n"/>
      <c r="K775" s="24" t="inlineStr">
        <is>
          <t>polymarket_us</t>
        </is>
      </c>
      <c r="L775" s="26" t="n">
        <v>-669</v>
      </c>
      <c r="M775" s="27" t="n">
        <v>1.149477</v>
      </c>
      <c r="N775" s="28" t="n">
        <v>0.869961</v>
      </c>
      <c r="O775" s="28" t="n">
        <v>0.8364</v>
      </c>
      <c r="P775" s="28" t="n">
        <v>0.05</v>
      </c>
      <c r="Q775" s="28" t="n">
        <v>-0.033561</v>
      </c>
      <c r="R775" s="26" t="n">
        <v>3</v>
      </c>
      <c r="S775" s="29" t="n">
        <v>1</v>
      </c>
      <c r="T775" s="24" t="inlineStr">
        <is>
          <t>tennis-surface-elo-v1</t>
        </is>
      </c>
      <c r="U775" s="24" t="inlineStr">
        <is>
          <t>settled</t>
        </is>
      </c>
      <c r="V775" s="24" t="inlineStr">
        <is>
          <t>win</t>
        </is>
      </c>
      <c r="W775" s="26" t="n">
        <v>0</v>
      </c>
      <c r="X775" s="26" t="n">
        <v>1</v>
      </c>
      <c r="Y775" s="25" t="n"/>
      <c r="Z775" s="26" t="n">
        <v>-669</v>
      </c>
      <c r="AA775" s="28" t="n">
        <v>0.87</v>
      </c>
      <c r="AB775" s="28" t="n">
        <v>3.9e-05</v>
      </c>
      <c r="AC775" s="30" t="n">
        <v>0.1495</v>
      </c>
      <c r="AD775" s="24" t="inlineStr">
        <is>
          <t>2026-08-31T04:37:54.732395Z</t>
        </is>
      </c>
      <c r="AE775" s="31" t="inlineStr">
        <is>
          <t>Surface-blended Elo on Hard: Hugo Gaston p=0.164 vs Daniil Medvedev. Executable ask 0.8700 (aec-atp-danmed-huggas-2026-08-30).</t>
        </is>
      </c>
      <c r="AF775" s="31" t="inlineStr">
        <is>
          <t>Surface-blended Elo model; singles only, WTA+ATP market coverage, not yet locked-holdout qualified -- promoted by explicit operator directive, not genuine walk-forward validation.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Hugo Gaston</t>
        </is>
      </c>
      <c r="AQ775" s="24" t="inlineStr">
        <is>
          <t>Hugo Gaston</t>
        </is>
      </c>
      <c r="AR775" s="24" t="inlineStr">
        <is>
          <t>Hugo Gaston</t>
        </is>
      </c>
      <c r="AS775" s="24" t="inlineStr">
        <is>
          <t>Daniil Medvedev</t>
        </is>
      </c>
      <c r="AT775" s="24" t="inlineStr">
        <is>
          <t>Daniil Medvedev</t>
        </is>
      </c>
      <c r="AU775" s="24" t="inlineStr">
        <is>
          <t>Daniil Medvedev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d777da58446bc099047b154203518e2585ef1a678f613f2b430f2589f7bf5cff</t>
        </is>
      </c>
      <c r="BB775" s="24" t="inlineStr">
        <is>
          <t>surface_blended_elo</t>
        </is>
      </c>
      <c r="BC775" s="24" t="inlineStr">
        <is>
          <t>tennis-surface-elo-v1</t>
        </is>
      </c>
      <c r="BD775" s="24" t="inlineStr">
        <is>
          <t>d777da58446bc099047b154203518e2585ef1a678f613f2b430f2589f7bf5cff</t>
        </is>
      </c>
      <c r="BE775" s="24" t="inlineStr">
        <is>
          <t>tennis-surface-elo-v1</t>
        </is>
      </c>
      <c r="BF775" s="24" t="inlineStr">
        <is>
          <t>1</t>
        </is>
      </c>
      <c r="BG775" s="24" t="inlineStr">
        <is>
          <t>d777da58446bc099047b154203518e2585ef1a678f613f2b430f2589f7bf5cff</t>
        </is>
      </c>
      <c r="BH775" s="24" t="inlineStr">
        <is>
          <t>2026-08-30T16:04:56.823923Z</t>
        </is>
      </c>
      <c r="BI775" s="24" t="inlineStr">
        <is>
          <t>["same_event","same_team_same_day","same_league_same_day"]</t>
        </is>
      </c>
      <c r="BJ775" s="25" t="n"/>
      <c r="BK775" s="26" t="n">
        <v>-669</v>
      </c>
      <c r="BL775" s="27" t="n">
        <v>1.149477</v>
      </c>
      <c r="BM775" s="28" t="n">
        <v>0.869961</v>
      </c>
      <c r="BN775" s="28" t="n"/>
      <c r="BO775" s="28" t="n"/>
      <c r="BP775" s="25" t="n"/>
      <c r="BQ775" s="27" t="n">
        <v>1.149477</v>
      </c>
      <c r="BR775" s="28" t="n">
        <v>0.87</v>
      </c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inlineStr">
        <is>
          <t>7377554ee369592005644fb918ae03dede27532e31e8551b4fa9af68c923fc96</t>
        </is>
      </c>
      <c r="DE775" s="24" t="inlineStr">
        <is>
          <t>/Users/vincentc9002/model-prediction/data/odds/tennis/2026-08-30/polymarket_snapshots.jsonl</t>
        </is>
      </c>
      <c r="DF775" s="24" t="inlineStr">
        <is>
          <t>550511:2026-08-30T16:04:56.823923Z</t>
        </is>
      </c>
      <c r="DG775" s="24" t="n"/>
      <c r="DH775" s="24" t="n"/>
      <c r="DI775" s="24" t="n"/>
      <c r="DJ775" s="24" t="inlineStr">
        <is>
          <t>0.869961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62ca259e2d17409f</t>
        </is>
      </c>
      <c r="B776" s="24" t="inlineStr">
        <is>
          <t>2026-08-30T16:06:30.429692Z</t>
        </is>
      </c>
      <c r="C776" s="24" t="inlineStr">
        <is>
          <t>2026-08-30T18:00Z</t>
        </is>
      </c>
      <c r="D776" s="24" t="inlineStr">
        <is>
          <t>189-2026:182659</t>
        </is>
      </c>
      <c r="E776" s="24" t="inlineStr">
        <is>
          <t>TENNIS</t>
        </is>
      </c>
      <c r="F776" s="24" t="inlineStr">
        <is>
          <t>Adrian Mannarino</t>
        </is>
      </c>
      <c r="G776" s="24" t="inlineStr">
        <is>
          <t>Thiago Agustin Tirante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-257</v>
      </c>
      <c r="M776" s="27" t="n">
        <v>1.389105</v>
      </c>
      <c r="N776" s="28" t="n">
        <v>0.719888</v>
      </c>
      <c r="O776" s="28" t="n">
        <v>0.7214</v>
      </c>
      <c r="P776" s="28" t="n">
        <v>0.05</v>
      </c>
      <c r="Q776" s="28" t="n">
        <v>0.001512</v>
      </c>
      <c r="R776" s="26" t="n">
        <v>21</v>
      </c>
      <c r="S776" s="29" t="n">
        <v>1</v>
      </c>
      <c r="T776" s="24" t="inlineStr">
        <is>
          <t>tennis-surface-elo-v1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-257</v>
      </c>
      <c r="AA776" s="28" t="n">
        <v>0.72</v>
      </c>
      <c r="AB776" s="28" t="n">
        <v>0.000112</v>
      </c>
      <c r="AC776" s="30" t="n">
        <v>-1</v>
      </c>
      <c r="AD776" s="24" t="inlineStr">
        <is>
          <t>2026-09-01T04:33:45.310983Z</t>
        </is>
      </c>
      <c r="AE776" s="31" t="inlineStr">
        <is>
          <t>Surface-blended Elo on Hard: Adrian Mannarino p=0.279 vs Thiago Agustin Tirante. Executable ask 0.7200 (aec-atp-thitir-adrman-2026-08-30).</t>
        </is>
      </c>
      <c r="AF776" s="31" t="inlineStr">
        <is>
          <t>Surface-blended Elo model; singles only, WTA+ATP market coverage, not yet locked-holdout qualified -- promoted by explicit operator directive, not genuine walk-forward validation.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Adrian Mannarino</t>
        </is>
      </c>
      <c r="AQ776" s="24" t="inlineStr">
        <is>
          <t>Adrian Mannarino</t>
        </is>
      </c>
      <c r="AR776" s="24" t="inlineStr">
        <is>
          <t>Adrian Mannarino</t>
        </is>
      </c>
      <c r="AS776" s="24" t="inlineStr">
        <is>
          <t>Thiago Agustin Tirante</t>
        </is>
      </c>
      <c r="AT776" s="24" t="inlineStr">
        <is>
          <t>Thiago Agustin Tirante</t>
        </is>
      </c>
      <c r="AU776" s="24" t="inlineStr">
        <is>
          <t>Thiago Agustin Tirante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d777da58446bc099047b154203518e2585ef1a678f613f2b430f2589f7bf5cff</t>
        </is>
      </c>
      <c r="BB776" s="24" t="inlineStr">
        <is>
          <t>surface_blended_elo</t>
        </is>
      </c>
      <c r="BC776" s="24" t="inlineStr">
        <is>
          <t>tennis-surface-elo-v1</t>
        </is>
      </c>
      <c r="BD776" s="24" t="inlineStr">
        <is>
          <t>d777da58446bc099047b154203518e2585ef1a678f613f2b430f2589f7bf5cff</t>
        </is>
      </c>
      <c r="BE776" s="24" t="inlineStr">
        <is>
          <t>tennis-surface-elo-v1</t>
        </is>
      </c>
      <c r="BF776" s="24" t="inlineStr">
        <is>
          <t>1</t>
        </is>
      </c>
      <c r="BG776" s="24" t="inlineStr">
        <is>
          <t>d777da58446bc099047b154203518e2585ef1a678f613f2b430f2589f7bf5cff</t>
        </is>
      </c>
      <c r="BH776" s="24" t="inlineStr">
        <is>
          <t>2026-08-30T16:04:56.981928Z</t>
        </is>
      </c>
      <c r="BI776" s="24" t="inlineStr">
        <is>
          <t>["same_event","same_team_same_day","same_league_same_day"]</t>
        </is>
      </c>
      <c r="BJ776" s="25" t="n"/>
      <c r="BK776" s="26" t="n">
        <v>-257</v>
      </c>
      <c r="BL776" s="27" t="n">
        <v>1.389105</v>
      </c>
      <c r="BM776" s="28" t="n">
        <v>0.719888</v>
      </c>
      <c r="BN776" s="28" t="n"/>
      <c r="BO776" s="28" t="n"/>
      <c r="BP776" s="25" t="n"/>
      <c r="BQ776" s="27" t="n">
        <v>1.389105</v>
      </c>
      <c r="BR776" s="28" t="n">
        <v>0.72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inlineStr">
        <is>
          <t>4536894541deae834b66e0fd89a7296d4643e68c464bce13b120296459a4c6aa</t>
        </is>
      </c>
      <c r="DE776" s="24" t="inlineStr">
        <is>
          <t>/Users/vincentc9002/model-prediction/data/odds/tennis/2026-08-30/polymarket_snapshots.jsonl</t>
        </is>
      </c>
      <c r="DF776" s="24" t="inlineStr">
        <is>
          <t>547355:2026-08-30T16:04:56.981928Z</t>
        </is>
      </c>
      <c r="DG776" s="24" t="n"/>
      <c r="DH776" s="24" t="n"/>
      <c r="DI776" s="24" t="n"/>
      <c r="DJ776" s="24" t="inlineStr">
        <is>
          <t>0.719888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16eba92e5057487f</t>
        </is>
      </c>
      <c r="B777" s="24" t="inlineStr">
        <is>
          <t>2026-08-30T16:06:30.429692Z</t>
        </is>
      </c>
      <c r="C777" s="24" t="inlineStr">
        <is>
          <t>2026-08-30T18:00Z</t>
        </is>
      </c>
      <c r="D777" s="24" t="inlineStr">
        <is>
          <t>189-2026:182665</t>
        </is>
      </c>
      <c r="E777" s="24" t="inlineStr">
        <is>
          <t>TENNIS</t>
        </is>
      </c>
      <c r="F777" s="24" t="inlineStr">
        <is>
          <t>Jenson Brooksby</t>
        </is>
      </c>
      <c r="G777" s="24" t="inlineStr">
        <is>
          <t>Jaime Faria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108</v>
      </c>
      <c r="M777" s="27" t="n">
        <v>2.08</v>
      </c>
      <c r="N777" s="28" t="n">
        <v>0.480769</v>
      </c>
      <c r="O777" s="28" t="n">
        <v>0.611</v>
      </c>
      <c r="P777" s="28" t="n">
        <v>0.05</v>
      </c>
      <c r="Q777" s="28" t="n">
        <v>0.130231</v>
      </c>
      <c r="R777" s="26" t="n">
        <v>85</v>
      </c>
      <c r="S777" s="29" t="n">
        <v>1.5</v>
      </c>
      <c r="T777" s="24" t="inlineStr">
        <is>
          <t>tennis-surface-elo-v1</t>
        </is>
      </c>
      <c r="U777" s="24" t="inlineStr">
        <is>
          <t>settled</t>
        </is>
      </c>
      <c r="V777" s="24" t="inlineStr">
        <is>
          <t>win</t>
        </is>
      </c>
      <c r="W777" s="26" t="n">
        <v>0</v>
      </c>
      <c r="X777" s="26" t="n">
        <v>1</v>
      </c>
      <c r="Y777" s="25" t="n"/>
      <c r="Z777" s="26" t="n">
        <v>108</v>
      </c>
      <c r="AA777" s="28" t="n">
        <v>0.48</v>
      </c>
      <c r="AB777" s="28" t="n">
        <v>-0.000769</v>
      </c>
      <c r="AC777" s="30" t="n">
        <v>1.62</v>
      </c>
      <c r="AD777" s="24" t="inlineStr">
        <is>
          <t>2026-08-31T04:37:57.118894Z</t>
        </is>
      </c>
      <c r="AE777" s="31" t="inlineStr">
        <is>
          <t>Surface-blended Elo on Hard: Jenson Brooksby p=0.389 vs Jaime Faria. Executable ask 0.4800 (aec-atp-jaifar-jenbro-2026-08-30).</t>
        </is>
      </c>
      <c r="AF777" s="31" t="inlineStr">
        <is>
          <t>Surface-blended Elo model; singles only, WTA+ATP market coverage, not yet locked-holdout qualified -- promoted by explicit operator directive, not genuine walk-forward validation.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Jenson Brooksby</t>
        </is>
      </c>
      <c r="AQ777" s="24" t="inlineStr">
        <is>
          <t>Jenson Brooksby</t>
        </is>
      </c>
      <c r="AR777" s="24" t="inlineStr">
        <is>
          <t>Jenson Brooksby</t>
        </is>
      </c>
      <c r="AS777" s="24" t="inlineStr">
        <is>
          <t>Jaime Faria</t>
        </is>
      </c>
      <c r="AT777" s="24" t="inlineStr">
        <is>
          <t>Jaime Faria</t>
        </is>
      </c>
      <c r="AU777" s="24" t="inlineStr">
        <is>
          <t>Jaime Faria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d777da58446bc099047b154203518e2585ef1a678f613f2b430f2589f7bf5cff</t>
        </is>
      </c>
      <c r="BB777" s="24" t="inlineStr">
        <is>
          <t>surface_blended_elo</t>
        </is>
      </c>
      <c r="BC777" s="24" t="inlineStr">
        <is>
          <t>tennis-surface-elo-v1</t>
        </is>
      </c>
      <c r="BD777" s="24" t="inlineStr">
        <is>
          <t>d777da58446bc099047b154203518e2585ef1a678f613f2b430f2589f7bf5cff</t>
        </is>
      </c>
      <c r="BE777" s="24" t="inlineStr">
        <is>
          <t>tennis-surface-elo-v1</t>
        </is>
      </c>
      <c r="BF777" s="24" t="inlineStr">
        <is>
          <t>1</t>
        </is>
      </c>
      <c r="BG777" s="24" t="inlineStr">
        <is>
          <t>d777da58446bc099047b154203518e2585ef1a678f613f2b430f2589f7bf5cff</t>
        </is>
      </c>
      <c r="BH777" s="24" t="inlineStr">
        <is>
          <t>2026-08-30T16:04:56.886087Z</t>
        </is>
      </c>
      <c r="BI777" s="24" t="inlineStr">
        <is>
          <t>["same_event","same_team_same_day","same_league_same_day"]</t>
        </is>
      </c>
      <c r="BJ777" s="25" t="n"/>
      <c r="BK777" s="26" t="n">
        <v>108</v>
      </c>
      <c r="BL777" s="27" t="n">
        <v>2.08</v>
      </c>
      <c r="BM777" s="28" t="n">
        <v>0.480769</v>
      </c>
      <c r="BN777" s="28" t="n"/>
      <c r="BO777" s="28" t="n"/>
      <c r="BP777" s="25" t="n"/>
      <c r="BQ777" s="27" t="n">
        <v>2.08</v>
      </c>
      <c r="BR777" s="28" t="n">
        <v>0.48</v>
      </c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inlineStr">
        <is>
          <t>791e554653fcae509646e7b17844c8d75b8188f4f540e7e666824416a39654a8</t>
        </is>
      </c>
      <c r="DE777" s="24" t="inlineStr">
        <is>
          <t>/Users/vincentc9002/model-prediction/data/odds/tennis/2026-08-30/polymarket_snapshots.jsonl</t>
        </is>
      </c>
      <c r="DF777" s="24" t="inlineStr">
        <is>
          <t>547367:2026-08-30T16:04:56.886087Z</t>
        </is>
      </c>
      <c r="DG777" s="24" t="n"/>
      <c r="DH777" s="24" t="n"/>
      <c r="DI777" s="24" t="n"/>
      <c r="DJ777" s="24" t="inlineStr">
        <is>
          <t>0.480769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fa7a449653944000</t>
        </is>
      </c>
      <c r="B778" s="24" t="inlineStr">
        <is>
          <t>2026-08-30T16:06:30.429692Z</t>
        </is>
      </c>
      <c r="C778" s="24" t="inlineStr">
        <is>
          <t>2026-08-30T18:30Z</t>
        </is>
      </c>
      <c r="D778" s="24" t="inlineStr">
        <is>
          <t>189-2026:182680</t>
        </is>
      </c>
      <c r="E778" s="24" t="inlineStr">
        <is>
          <t>TENNIS</t>
        </is>
      </c>
      <c r="F778" s="24" t="inlineStr">
        <is>
          <t>Denis Shapovalov</t>
        </is>
      </c>
      <c r="G778" s="24" t="inlineStr">
        <is>
          <t>Miomir Kecmanovic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-127</v>
      </c>
      <c r="M778" s="27" t="n">
        <v>1.787402</v>
      </c>
      <c r="N778" s="28" t="n">
        <v>0.5594710000000001</v>
      </c>
      <c r="O778" s="28" t="n">
        <v>0.5821</v>
      </c>
      <c r="P778" s="28" t="n">
        <v>0.05</v>
      </c>
      <c r="Q778" s="28" t="n">
        <v>0.022629</v>
      </c>
      <c r="R778" s="26" t="n">
        <v>31</v>
      </c>
      <c r="S778" s="29" t="n">
        <v>1</v>
      </c>
      <c r="T778" s="24" t="inlineStr">
        <is>
          <t>tennis-surface-elo-v1</t>
        </is>
      </c>
      <c r="U778" s="24" t="inlineStr">
        <is>
          <t>settled</t>
        </is>
      </c>
      <c r="V778" s="24" t="inlineStr">
        <is>
          <t>win</t>
        </is>
      </c>
      <c r="W778" s="26" t="n">
        <v>1</v>
      </c>
      <c r="X778" s="26" t="n">
        <v>0</v>
      </c>
      <c r="Y778" s="25" t="n"/>
      <c r="Z778" s="26" t="n">
        <v>-127</v>
      </c>
      <c r="AA778" s="28" t="n">
        <v>0.5600000000000001</v>
      </c>
      <c r="AB778" s="28" t="n">
        <v>0.000529</v>
      </c>
      <c r="AC778" s="30" t="n">
        <v>0.7874</v>
      </c>
      <c r="AD778" s="24" t="inlineStr">
        <is>
          <t>2026-08-31T04:37:59.510790Z</t>
        </is>
      </c>
      <c r="AE778" s="31" t="inlineStr">
        <is>
          <t>Surface-blended Elo on Hard: Denis Shapovalov p=0.582 vs Miomir Kecmanovic. Executable ask 0.5600 (aec-atp-miokec-densha-2026-08-30).</t>
        </is>
      </c>
      <c r="AF778" s="31" t="inlineStr">
        <is>
          <t>Surface-blended Elo model; singles only, WTA+ATP market coverage, not yet locked-holdout qualified -- promoted by explicit operator directive, not genuine walk-forward validation.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Denis Shapovalov</t>
        </is>
      </c>
      <c r="AQ778" s="24" t="inlineStr">
        <is>
          <t>Denis Shapovalov</t>
        </is>
      </c>
      <c r="AR778" s="24" t="inlineStr">
        <is>
          <t>Denis Shapovalov</t>
        </is>
      </c>
      <c r="AS778" s="24" t="inlineStr">
        <is>
          <t>Miomir Kecmanovic</t>
        </is>
      </c>
      <c r="AT778" s="24" t="inlineStr">
        <is>
          <t>Miomir Kecmanovic</t>
        </is>
      </c>
      <c r="AU778" s="24" t="inlineStr">
        <is>
          <t>Miomir Kecmanovic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d777da58446bc099047b154203518e2585ef1a678f613f2b430f2589f7bf5cff</t>
        </is>
      </c>
      <c r="BB778" s="24" t="inlineStr">
        <is>
          <t>surface_blended_elo</t>
        </is>
      </c>
      <c r="BC778" s="24" t="inlineStr">
        <is>
          <t>tennis-surface-elo-v1</t>
        </is>
      </c>
      <c r="BD778" s="24" t="inlineStr">
        <is>
          <t>d777da58446bc099047b154203518e2585ef1a678f613f2b430f2589f7bf5cff</t>
        </is>
      </c>
      <c r="BE778" s="24" t="inlineStr">
        <is>
          <t>tennis-surface-elo-v1</t>
        </is>
      </c>
      <c r="BF778" s="24" t="inlineStr">
        <is>
          <t>1</t>
        </is>
      </c>
      <c r="BG778" s="24" t="inlineStr">
        <is>
          <t>d777da58446bc099047b154203518e2585ef1a678f613f2b430f2589f7bf5cff</t>
        </is>
      </c>
      <c r="BH778" s="24" t="inlineStr">
        <is>
          <t>2026-08-30T16:05:01.097156Z</t>
        </is>
      </c>
      <c r="BI778" s="24" t="inlineStr">
        <is>
          <t>["same_event","same_team_same_day","same_league_same_day"]</t>
        </is>
      </c>
      <c r="BJ778" s="25" t="n"/>
      <c r="BK778" s="26" t="n">
        <v>-127</v>
      </c>
      <c r="BL778" s="27" t="n">
        <v>1.787402</v>
      </c>
      <c r="BM778" s="28" t="n">
        <v>0.5594710000000001</v>
      </c>
      <c r="BN778" s="28" t="n"/>
      <c r="BO778" s="28" t="n"/>
      <c r="BP778" s="25" t="n"/>
      <c r="BQ778" s="27" t="n">
        <v>1.787402</v>
      </c>
      <c r="BR778" s="28" t="n">
        <v>0.5600000000000001</v>
      </c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inlineStr">
        <is>
          <t>33c527b4e6d6f89a89ed35d2fafc5483237cb55b73fb70feb2a987cb4950ca67</t>
        </is>
      </c>
      <c r="DE778" s="24" t="inlineStr">
        <is>
          <t>/Users/vincentc9002/model-prediction/data/odds/tennis/2026-08-30/polymarket_snapshots.jsonl</t>
        </is>
      </c>
      <c r="DF778" s="24" t="inlineStr">
        <is>
          <t>547325:2026-08-30T16:05:01.097156Z</t>
        </is>
      </c>
      <c r="DG778" s="24" t="n"/>
      <c r="DH778" s="24" t="n"/>
      <c r="DI778" s="24" t="n"/>
      <c r="DJ778" s="24" t="inlineStr">
        <is>
          <t>0.559471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d2a3cac1b8aa4957</t>
        </is>
      </c>
      <c r="B779" s="24" t="inlineStr">
        <is>
          <t>2026-08-30T16:06:30.429692Z</t>
        </is>
      </c>
      <c r="C779" s="24" t="inlineStr">
        <is>
          <t>2026-08-30T18:30Z</t>
        </is>
      </c>
      <c r="D779" s="24" t="inlineStr">
        <is>
          <t>189-2026:182763</t>
        </is>
      </c>
      <c r="E779" s="24" t="inlineStr">
        <is>
          <t>TENNIS</t>
        </is>
      </c>
      <c r="F779" s="24" t="inlineStr">
        <is>
          <t>Rei Sakamoto</t>
        </is>
      </c>
      <c r="G779" s="24" t="inlineStr">
        <is>
          <t>Aleksandar Vukic</t>
        </is>
      </c>
      <c r="H779" s="24" t="inlineStr">
        <is>
          <t>moneyline</t>
        </is>
      </c>
      <c r="I779" s="24" t="inlineStr">
        <is>
          <t>away</t>
        </is>
      </c>
      <c r="J779" s="25" t="n"/>
      <c r="K779" s="24" t="inlineStr">
        <is>
          <t>polymarket_us</t>
        </is>
      </c>
      <c r="L779" s="26" t="n">
        <v>-144</v>
      </c>
      <c r="M779" s="27" t="n">
        <v>1.694444</v>
      </c>
      <c r="N779" s="28" t="n">
        <v>0.590164</v>
      </c>
      <c r="O779" s="28" t="n">
        <v>0.5531</v>
      </c>
      <c r="P779" s="28" t="n">
        <v>0.05</v>
      </c>
      <c r="Q779" s="28" t="n">
        <v>-0.037064</v>
      </c>
      <c r="R779" s="26" t="n">
        <v>1</v>
      </c>
      <c r="S779" s="29" t="n">
        <v>1</v>
      </c>
      <c r="T779" s="24" t="inlineStr">
        <is>
          <t>tennis-surface-elo-v1</t>
        </is>
      </c>
      <c r="U779" s="24" t="inlineStr">
        <is>
          <t>settled</t>
        </is>
      </c>
      <c r="V779" s="24" t="inlineStr">
        <is>
          <t>win</t>
        </is>
      </c>
      <c r="W779" s="26" t="n">
        <v>1</v>
      </c>
      <c r="X779" s="26" t="n">
        <v>0</v>
      </c>
      <c r="Y779" s="25" t="n"/>
      <c r="Z779" s="26" t="n">
        <v>-144</v>
      </c>
      <c r="AA779" s="28" t="n">
        <v>0.59</v>
      </c>
      <c r="AB779" s="28" t="n">
        <v>-0.000164</v>
      </c>
      <c r="AC779" s="30" t="n">
        <v>0.6944</v>
      </c>
      <c r="AD779" s="24" t="inlineStr">
        <is>
          <t>2026-09-01T04:33:48.000145Z</t>
        </is>
      </c>
      <c r="AE779" s="31" t="inlineStr">
        <is>
          <t>Surface-blended Elo on Hard: Rei Sakamoto p=0.553 vs Aleksandar Vukic. Executable ask 0.5900 (aec-atp-alevuk-reisak-2026-08-30).</t>
        </is>
      </c>
      <c r="AF779" s="31" t="inlineStr">
        <is>
          <t>Surface-blended Elo model; singles only, WTA+ATP market coverage, not yet locked-holdout qualified -- promoted by explicit operator directive, not genuine walk-forward validation.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Rei Sakamoto</t>
        </is>
      </c>
      <c r="AQ779" s="24" t="inlineStr">
        <is>
          <t>Rei Sakamoto</t>
        </is>
      </c>
      <c r="AR779" s="24" t="inlineStr">
        <is>
          <t>Rei Sakamoto</t>
        </is>
      </c>
      <c r="AS779" s="24" t="inlineStr">
        <is>
          <t>Aleksandar Vukic</t>
        </is>
      </c>
      <c r="AT779" s="24" t="inlineStr">
        <is>
          <t>Aleksandar Vukic</t>
        </is>
      </c>
      <c r="AU779" s="24" t="inlineStr">
        <is>
          <t>Aleksandar Vukic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d777da58446bc099047b154203518e2585ef1a678f613f2b430f2589f7bf5cff</t>
        </is>
      </c>
      <c r="BB779" s="24" t="inlineStr">
        <is>
          <t>surface_blended_elo</t>
        </is>
      </c>
      <c r="BC779" s="24" t="inlineStr">
        <is>
          <t>tennis-surface-elo-v1</t>
        </is>
      </c>
      <c r="BD779" s="24" t="inlineStr">
        <is>
          <t>d777da58446bc099047b154203518e2585ef1a678f613f2b430f2589f7bf5cff</t>
        </is>
      </c>
      <c r="BE779" s="24" t="inlineStr">
        <is>
          <t>tennis-surface-elo-v1</t>
        </is>
      </c>
      <c r="BF779" s="24" t="inlineStr">
        <is>
          <t>1</t>
        </is>
      </c>
      <c r="BG779" s="24" t="inlineStr">
        <is>
          <t>d777da58446bc099047b154203518e2585ef1a678f613f2b430f2589f7bf5cff</t>
        </is>
      </c>
      <c r="BH779" s="24" t="inlineStr">
        <is>
          <t>2026-08-30T16:05:01.058670Z</t>
        </is>
      </c>
      <c r="BI779" s="24" t="inlineStr">
        <is>
          <t>["same_event","same_team_same_day","same_league_same_day"]</t>
        </is>
      </c>
      <c r="BJ779" s="25" t="n"/>
      <c r="BK779" s="26" t="n">
        <v>-144</v>
      </c>
      <c r="BL779" s="27" t="n">
        <v>1.694444</v>
      </c>
      <c r="BM779" s="28" t="n">
        <v>0.590164</v>
      </c>
      <c r="BN779" s="28" t="n"/>
      <c r="BO779" s="28" t="n"/>
      <c r="BP779" s="25" t="n"/>
      <c r="BQ779" s="27" t="n">
        <v>1.694444</v>
      </c>
      <c r="BR779" s="28" t="n">
        <v>0.59</v>
      </c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inlineStr">
        <is>
          <t>18584594285a832ff979809724c2d248f60906fb57b8bcbc0c3cd71327fa7f6a</t>
        </is>
      </c>
      <c r="DE779" s="24" t="inlineStr">
        <is>
          <t>/Users/vincentc9002/model-prediction/data/odds/tennis/2026-08-30/polymarket_snapshots.jsonl</t>
        </is>
      </c>
      <c r="DF779" s="24" t="inlineStr">
        <is>
          <t>550513:2026-08-30T16:05:01.058670Z</t>
        </is>
      </c>
      <c r="DG779" s="24" t="n"/>
      <c r="DH779" s="24" t="n"/>
      <c r="DI779" s="24" t="n"/>
      <c r="DJ779" s="24" t="inlineStr">
        <is>
          <t>0.590164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43bb5c0305414b85</t>
        </is>
      </c>
      <c r="B780" s="24" t="inlineStr">
        <is>
          <t>2026-08-30T16:06:30.429692Z</t>
        </is>
      </c>
      <c r="C780" s="24" t="inlineStr">
        <is>
          <t>2026-08-30T20:00Z</t>
        </is>
      </c>
      <c r="D780" s="24" t="inlineStr">
        <is>
          <t>189-2026:182670</t>
        </is>
      </c>
      <c r="E780" s="24" t="inlineStr">
        <is>
          <t>TENNIS</t>
        </is>
      </c>
      <c r="F780" s="24" t="inlineStr">
        <is>
          <t>Vit Kopriva</t>
        </is>
      </c>
      <c r="G780" s="24" t="inlineStr">
        <is>
          <t>Tomas Martin Etcheverry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-170</v>
      </c>
      <c r="M780" s="27" t="n">
        <v>1.588235</v>
      </c>
      <c r="N780" s="28" t="n">
        <v>0.62963</v>
      </c>
      <c r="O780" s="28" t="n">
        <v>0.6202</v>
      </c>
      <c r="P780" s="28" t="n">
        <v>0.05</v>
      </c>
      <c r="Q780" s="28" t="n">
        <v>-0.009429999999999999</v>
      </c>
      <c r="R780" s="26" t="n">
        <v>15</v>
      </c>
      <c r="S780" s="29" t="n">
        <v>1</v>
      </c>
      <c r="T780" s="24" t="inlineStr">
        <is>
          <t>tennis-surface-elo-v1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/>
      <c r="AA780" s="28" t="n"/>
      <c r="AB780" s="28" t="n"/>
      <c r="AC780" s="30" t="n">
        <v>0.5881999999999999</v>
      </c>
      <c r="AD780" s="24" t="inlineStr">
        <is>
          <t>2026-08-31T04:38:01.989478Z</t>
        </is>
      </c>
      <c r="AE780" s="31" t="inlineStr">
        <is>
          <t>Surface-blended Elo on Hard: Vit Kopriva p=0.380 vs Tomas Martin Etcheverry. Executable ask 0.6300 (aec-atp-tometc-vitkop-2026-08-30).</t>
        </is>
      </c>
      <c r="AF780" s="31" t="inlineStr">
        <is>
          <t>Surface-blended Elo model; singles only, WTA+ATP market coverage, not yet locked-holdout qualified -- promoted by explicit operator directive, not genuine walk-forward validation.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PAPER_CALL_LOW_EDGE</t>
        </is>
      </c>
      <c r="AP780" s="24" t="inlineStr">
        <is>
          <t>Vit Kopriva</t>
        </is>
      </c>
      <c r="AQ780" s="24" t="inlineStr">
        <is>
          <t>Vit Kopriva</t>
        </is>
      </c>
      <c r="AR780" s="24" t="inlineStr">
        <is>
          <t>Vit Kopriva</t>
        </is>
      </c>
      <c r="AS780" s="24" t="inlineStr">
        <is>
          <t>Tomas Martin Etcheverry</t>
        </is>
      </c>
      <c r="AT780" s="24" t="inlineStr">
        <is>
          <t>Tomas Martin Etcheverry</t>
        </is>
      </c>
      <c r="AU780" s="24" t="inlineStr">
        <is>
          <t>Tomas Martin Etcheverry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d777da58446bc099047b154203518e2585ef1a678f613f2b430f2589f7bf5cff</t>
        </is>
      </c>
      <c r="BB780" s="24" t="inlineStr">
        <is>
          <t>surface_blended_elo</t>
        </is>
      </c>
      <c r="BC780" s="24" t="inlineStr">
        <is>
          <t>tennis-surface-elo-v1</t>
        </is>
      </c>
      <c r="BD780" s="24" t="inlineStr">
        <is>
          <t>d777da58446bc099047b154203518e2585ef1a678f613f2b430f2589f7bf5cff</t>
        </is>
      </c>
      <c r="BE780" s="24" t="inlineStr">
        <is>
          <t>tennis-surface-elo-v1</t>
        </is>
      </c>
      <c r="BF780" s="24" t="inlineStr">
        <is>
          <t>1</t>
        </is>
      </c>
      <c r="BG780" s="24" t="inlineStr">
        <is>
          <t>d777da58446bc099047b154203518e2585ef1a678f613f2b430f2589f7bf5cff</t>
        </is>
      </c>
      <c r="BH780" s="24" t="inlineStr">
        <is>
          <t>2026-08-30T16:05:01.452807Z</t>
        </is>
      </c>
      <c r="BI780" s="24" t="inlineStr">
        <is>
          <t>["same_event","same_team_same_day","same_league_same_day"]</t>
        </is>
      </c>
      <c r="BJ780" s="25" t="n"/>
      <c r="BK780" s="26" t="n">
        <v>-170</v>
      </c>
      <c r="BL780" s="27" t="n">
        <v>1.588235</v>
      </c>
      <c r="BM780" s="28" t="n">
        <v>0.62963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inlineStr">
        <is>
          <t>547f056b368993e9054dba81c7fdb1d12f09048525f54cb75224c38d5213fcea</t>
        </is>
      </c>
      <c r="DE780" s="24" t="inlineStr">
        <is>
          <t>/Users/vincentc9002/model-prediction/data/odds/tennis/2026-08-30/polymarket_snapshots.jsonl</t>
        </is>
      </c>
      <c r="DF780" s="24" t="inlineStr">
        <is>
          <t>547312:2026-08-30T16:05:01.452807Z</t>
        </is>
      </c>
      <c r="DG780" s="24" t="n"/>
      <c r="DH780" s="24" t="n"/>
      <c r="DI780" s="24" t="n"/>
      <c r="DJ780" s="24" t="inlineStr">
        <is>
          <t>0.62963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7612f1547f4f4a1b</t>
        </is>
      </c>
      <c r="B781" s="24" t="inlineStr">
        <is>
          <t>2026-08-30T16:06:30.429692Z</t>
        </is>
      </c>
      <c r="C781" s="24" t="inlineStr">
        <is>
          <t>2026-08-30T20:00Z</t>
        </is>
      </c>
      <c r="D781" s="24" t="inlineStr">
        <is>
          <t>189-2026:182671</t>
        </is>
      </c>
      <c r="E781" s="24" t="inlineStr">
        <is>
          <t>TENNIS</t>
        </is>
      </c>
      <c r="F781" s="24" t="inlineStr">
        <is>
          <t>Jacob Fearnley</t>
        </is>
      </c>
      <c r="G781" s="24" t="inlineStr">
        <is>
          <t>Martin Landaluce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-108</v>
      </c>
      <c r="M781" s="27" t="n">
        <v>1.925926</v>
      </c>
      <c r="N781" s="28" t="n">
        <v>0.519231</v>
      </c>
      <c r="O781" s="28" t="n">
        <v>0.5375</v>
      </c>
      <c r="P781" s="28" t="n">
        <v>0.05</v>
      </c>
      <c r="Q781" s="28" t="n">
        <v>0.018269</v>
      </c>
      <c r="R781" s="26" t="n">
        <v>29</v>
      </c>
      <c r="S781" s="29" t="n">
        <v>1</v>
      </c>
      <c r="T781" s="24" t="inlineStr">
        <is>
          <t>tennis-surface-elo-v1</t>
        </is>
      </c>
      <c r="U781" s="24" t="inlineStr">
        <is>
          <t>settled</t>
        </is>
      </c>
      <c r="V781" s="24" t="inlineStr">
        <is>
          <t>loss</t>
        </is>
      </c>
      <c r="W781" s="26" t="n">
        <v>1</v>
      </c>
      <c r="X781" s="26" t="n">
        <v>0</v>
      </c>
      <c r="Y781" s="25" t="n"/>
      <c r="Z781" s="26" t="n">
        <v>-108</v>
      </c>
      <c r="AA781" s="28" t="n">
        <v>0.52</v>
      </c>
      <c r="AB781" s="28" t="n">
        <v>0.000769</v>
      </c>
      <c r="AC781" s="30" t="n">
        <v>-1</v>
      </c>
      <c r="AD781" s="24" t="inlineStr">
        <is>
          <t>2026-09-01T04:33:50.516186Z</t>
        </is>
      </c>
      <c r="AE781" s="31" t="inlineStr">
        <is>
          <t>Surface-blended Elo on Hard: Jacob Fearnley p=0.462 vs Martin Landaluce. Executable ask 0.5200 (aec-atp-marlan-jacfea-2026-08-30).</t>
        </is>
      </c>
      <c r="AF781" s="31" t="inlineStr">
        <is>
          <t>Surface-blended Elo model; singles only, WTA+ATP market coverage, not yet locked-holdout qualified -- promoted by explicit operator directive, not genuine walk-forward validation.</t>
        </is>
      </c>
      <c r="AG781" s="24" t="inlineStr">
        <is>
          <t>review_required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Jacob Fearnley</t>
        </is>
      </c>
      <c r="AQ781" s="24" t="inlineStr">
        <is>
          <t>Jacob Fearnley</t>
        </is>
      </c>
      <c r="AR781" s="24" t="inlineStr">
        <is>
          <t>Jacob Fearnley</t>
        </is>
      </c>
      <c r="AS781" s="24" t="inlineStr">
        <is>
          <t>Martin Landaluce</t>
        </is>
      </c>
      <c r="AT781" s="24" t="inlineStr">
        <is>
          <t>Martin Landaluce</t>
        </is>
      </c>
      <c r="AU781" s="24" t="inlineStr">
        <is>
          <t>Martin Landaluce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d777da58446bc099047b154203518e2585ef1a678f613f2b430f2589f7bf5cff</t>
        </is>
      </c>
      <c r="BB781" s="24" t="inlineStr">
        <is>
          <t>surface_blended_elo</t>
        </is>
      </c>
      <c r="BC781" s="24" t="inlineStr">
        <is>
          <t>tennis-surface-elo-v1</t>
        </is>
      </c>
      <c r="BD781" s="24" t="inlineStr">
        <is>
          <t>d777da58446bc099047b154203518e2585ef1a678f613f2b430f2589f7bf5cff</t>
        </is>
      </c>
      <c r="BE781" s="24" t="inlineStr">
        <is>
          <t>tennis-surface-elo-v1</t>
        </is>
      </c>
      <c r="BF781" s="24" t="inlineStr">
        <is>
          <t>1</t>
        </is>
      </c>
      <c r="BG781" s="24" t="inlineStr">
        <is>
          <t>d777da58446bc099047b154203518e2585ef1a678f613f2b430f2589f7bf5cff</t>
        </is>
      </c>
      <c r="BH781" s="24" t="inlineStr">
        <is>
          <t>2026-08-30T16:05:01.301642Z</t>
        </is>
      </c>
      <c r="BI781" s="24" t="inlineStr">
        <is>
          <t>["same_event","same_team_same_day","same_league_same_day"]</t>
        </is>
      </c>
      <c r="BJ781" s="25" t="n"/>
      <c r="BK781" s="26" t="n">
        <v>-108</v>
      </c>
      <c r="BL781" s="27" t="n">
        <v>1.925926</v>
      </c>
      <c r="BM781" s="28" t="n">
        <v>0.519231</v>
      </c>
      <c r="BN781" s="28" t="n"/>
      <c r="BO781" s="28" t="n"/>
      <c r="BP781" s="25" t="n"/>
      <c r="BQ781" s="27" t="n">
        <v>1.925926</v>
      </c>
      <c r="BR781" s="28" t="n">
        <v>0.52</v>
      </c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inlineStr">
        <is>
          <t>5c242674abb21faecf0067737ae71f7396ce8d5d6a2384158d170fbf75d0a677</t>
        </is>
      </c>
      <c r="DE781" s="24" t="inlineStr">
        <is>
          <t>/Users/vincentc9002/model-prediction/data/odds/tennis/2026-08-30/polymarket_snapshots.jsonl</t>
        </is>
      </c>
      <c r="DF781" s="24" t="inlineStr">
        <is>
          <t>550517:2026-08-30T16:05:01.301642Z</t>
        </is>
      </c>
      <c r="DG781" s="24" t="n"/>
      <c r="DH781" s="24" t="n"/>
      <c r="DI781" s="24" t="n"/>
      <c r="DJ781" s="24" t="inlineStr">
        <is>
          <t>0.519231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22918d6ba9724260</t>
        </is>
      </c>
      <c r="B782" s="24" t="inlineStr">
        <is>
          <t>2026-08-30T16:06:30.429692Z</t>
        </is>
      </c>
      <c r="C782" s="24" t="inlineStr">
        <is>
          <t>2026-08-30T20:00Z</t>
        </is>
      </c>
      <c r="D782" s="24" t="inlineStr">
        <is>
          <t>189-2026:182769</t>
        </is>
      </c>
      <c r="E782" s="24" t="inlineStr">
        <is>
          <t>TENNIS</t>
        </is>
      </c>
      <c r="F782" s="24" t="inlineStr">
        <is>
          <t>Raphael Collignon</t>
        </is>
      </c>
      <c r="G782" s="24" t="inlineStr">
        <is>
          <t>Sebastian Gorzny</t>
        </is>
      </c>
      <c r="H782" s="24" t="inlineStr">
        <is>
          <t>moneyline</t>
        </is>
      </c>
      <c r="I782" s="24" t="inlineStr">
        <is>
          <t>away</t>
        </is>
      </c>
      <c r="J782" s="25" t="n"/>
      <c r="K782" s="24" t="inlineStr">
        <is>
          <t>polymarket_us</t>
        </is>
      </c>
      <c r="L782" s="26" t="n">
        <v>-669</v>
      </c>
      <c r="M782" s="27" t="n">
        <v>1.149477</v>
      </c>
      <c r="N782" s="28" t="n">
        <v>0.869961</v>
      </c>
      <c r="O782" s="28" t="n">
        <v>0.5832000000000001</v>
      </c>
      <c r="P782" s="28" t="n">
        <v>0.05</v>
      </c>
      <c r="Q782" s="28" t="n">
        <v>-0.286761</v>
      </c>
      <c r="R782" s="26" t="n">
        <v>0</v>
      </c>
      <c r="S782" s="29" t="n">
        <v>1</v>
      </c>
      <c r="T782" s="24" t="inlineStr">
        <is>
          <t>tennis-surface-elo-v1</t>
        </is>
      </c>
      <c r="U782" s="24" t="inlineStr">
        <is>
          <t>settled</t>
        </is>
      </c>
      <c r="V782" s="24" t="inlineStr">
        <is>
          <t>loss</t>
        </is>
      </c>
      <c r="W782" s="26" t="n">
        <v>0</v>
      </c>
      <c r="X782" s="26" t="n">
        <v>1</v>
      </c>
      <c r="Y782" s="25" t="n"/>
      <c r="Z782" s="26" t="n">
        <v>-669</v>
      </c>
      <c r="AA782" s="28" t="n">
        <v>0.87</v>
      </c>
      <c r="AB782" s="28" t="n">
        <v>3.9e-05</v>
      </c>
      <c r="AC782" s="30" t="n">
        <v>-1</v>
      </c>
      <c r="AD782" s="24" t="inlineStr">
        <is>
          <t>2026-09-01T04:33:53.022811Z</t>
        </is>
      </c>
      <c r="AE782" s="31" t="inlineStr">
        <is>
          <t>Surface-blended Elo on Hard: Raphael Collignon p=0.583 vs Sebastian Gorzny. Executable ask 0.8700 (aec-atp-sebgor-rapcol-2026-08-30).</t>
        </is>
      </c>
      <c r="AF782" s="31" t="inlineStr">
        <is>
          <t>Surface-blended Elo model; singles only, WTA+ATP market coverage, not yet locked-holdout qualified -- promoted by explicit operator directive, not genuine walk-forward validation.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PAPER_CALL_MODEL_UNVALIDATED</t>
        </is>
      </c>
      <c r="AP782" s="24" t="inlineStr">
        <is>
          <t>Raphael Collignon</t>
        </is>
      </c>
      <c r="AQ782" s="24" t="inlineStr">
        <is>
          <t>Raphael Collignon</t>
        </is>
      </c>
      <c r="AR782" s="24" t="inlineStr">
        <is>
          <t>Raphael Collignon</t>
        </is>
      </c>
      <c r="AS782" s="24" t="inlineStr">
        <is>
          <t>Sebastian Gorzny</t>
        </is>
      </c>
      <c r="AT782" s="24" t="inlineStr">
        <is>
          <t>Sebastian Gorzny</t>
        </is>
      </c>
      <c r="AU782" s="24" t="inlineStr">
        <is>
          <t>Sebastian Gorzny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d777da58446bc099047b154203518e2585ef1a678f613f2b430f2589f7bf5cff</t>
        </is>
      </c>
      <c r="BB782" s="24" t="inlineStr">
        <is>
          <t>surface_blended_elo</t>
        </is>
      </c>
      <c r="BC782" s="24" t="inlineStr">
        <is>
          <t>tennis-surface-elo-v1</t>
        </is>
      </c>
      <c r="BD782" s="24" t="inlineStr">
        <is>
          <t>d777da58446bc099047b154203518e2585ef1a678f613f2b430f2589f7bf5cff</t>
        </is>
      </c>
      <c r="BE782" s="24" t="inlineStr">
        <is>
          <t>tennis-surface-elo-v1</t>
        </is>
      </c>
      <c r="BF782" s="24" t="inlineStr">
        <is>
          <t>1</t>
        </is>
      </c>
      <c r="BG782" s="24" t="inlineStr">
        <is>
          <t>d777da58446bc099047b154203518e2585ef1a678f613f2b430f2589f7bf5cff</t>
        </is>
      </c>
      <c r="BH782" s="24" t="inlineStr">
        <is>
          <t>2026-08-30T16:05:01.225918Z</t>
        </is>
      </c>
      <c r="BI782" s="24" t="inlineStr">
        <is>
          <t>["same_event","same_team_same_day","same_league_same_day"]</t>
        </is>
      </c>
      <c r="BJ782" s="25" t="n"/>
      <c r="BK782" s="26" t="n">
        <v>-669</v>
      </c>
      <c r="BL782" s="27" t="n">
        <v>1.149477</v>
      </c>
      <c r="BM782" s="28" t="n">
        <v>0.869961</v>
      </c>
      <c r="BN782" s="28" t="n"/>
      <c r="BO782" s="28" t="n"/>
      <c r="BP782" s="25" t="n"/>
      <c r="BQ782" s="27" t="n">
        <v>1.149477</v>
      </c>
      <c r="BR782" s="28" t="n">
        <v>0.87</v>
      </c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inlineStr">
        <is>
          <t>b30db24013a28a06c80474630a6922ac94bedf23c661dfa12b37c2636b82fac8</t>
        </is>
      </c>
      <c r="DE782" s="24" t="inlineStr">
        <is>
          <t>/Users/vincentc9002/model-prediction/data/odds/tennis/2026-08-30/polymarket_snapshots.jsonl</t>
        </is>
      </c>
      <c r="DF782" s="24" t="inlineStr">
        <is>
          <t>547295:2026-08-30T16:05:01.225918Z</t>
        </is>
      </c>
      <c r="DG782" s="24" t="n"/>
      <c r="DH782" s="24" t="n"/>
      <c r="DI782" s="24" t="n"/>
      <c r="DJ782" s="24" t="inlineStr">
        <is>
          <t>0.869961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f391e3ea07d84b7f</t>
        </is>
      </c>
      <c r="B783" s="24" t="inlineStr">
        <is>
          <t>2026-08-30T16:06:30.429692Z</t>
        </is>
      </c>
      <c r="C783" s="24" t="inlineStr">
        <is>
          <t>2026-08-30T21:00Z</t>
        </is>
      </c>
      <c r="D783" s="24" t="inlineStr">
        <is>
          <t>189-2026:182765</t>
        </is>
      </c>
      <c r="E783" s="24" t="inlineStr">
        <is>
          <t>TENNIS</t>
        </is>
      </c>
      <c r="F783" s="24" t="inlineStr">
        <is>
          <t>Federico Cina</t>
        </is>
      </c>
      <c r="G783" s="24" t="inlineStr">
        <is>
          <t>Alex Michelsen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-426</v>
      </c>
      <c r="M783" s="27" t="n">
        <v>1.234742</v>
      </c>
      <c r="N783" s="28" t="n">
        <v>0.809886</v>
      </c>
      <c r="O783" s="28" t="n">
        <v>0.6702</v>
      </c>
      <c r="P783" s="28" t="n">
        <v>0.05</v>
      </c>
      <c r="Q783" s="28" t="n">
        <v>-0.139686</v>
      </c>
      <c r="R783" s="26" t="n">
        <v>0</v>
      </c>
      <c r="S783" s="29" t="n">
        <v>1</v>
      </c>
      <c r="T783" s="24" t="inlineStr">
        <is>
          <t>tennis-surface-elo-v1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-426</v>
      </c>
      <c r="AA783" s="28" t="n">
        <v>0.8100000000000001</v>
      </c>
      <c r="AB783" s="28" t="n">
        <v>0.000114</v>
      </c>
      <c r="AC783" s="30" t="n">
        <v>0.2347</v>
      </c>
      <c r="AD783" s="24" t="inlineStr">
        <is>
          <t>2026-09-01T04:33:55.640207Z</t>
        </is>
      </c>
      <c r="AE783" s="31" t="inlineStr">
        <is>
          <t>Surface-blended Elo on Hard: Federico Cina p=0.330 vs Alex Michelsen. Executable ask 0.8100 (aec-atp-alemic-fedcin-2026-08-30).</t>
        </is>
      </c>
      <c r="AF783" s="31" t="inlineStr">
        <is>
          <t>Surface-blended Elo model; singles only, WTA+ATP market coverage, not yet locked-holdout qualified -- promoted by explicit operator directive, not genuine walk-forward validation.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Federico Cina</t>
        </is>
      </c>
      <c r="AQ783" s="24" t="inlineStr">
        <is>
          <t>Federico Cina</t>
        </is>
      </c>
      <c r="AR783" s="24" t="inlineStr">
        <is>
          <t>Federico Cina</t>
        </is>
      </c>
      <c r="AS783" s="24" t="inlineStr">
        <is>
          <t>Alex Michelsen</t>
        </is>
      </c>
      <c r="AT783" s="24" t="inlineStr">
        <is>
          <t>Alex Michelsen</t>
        </is>
      </c>
      <c r="AU783" s="24" t="inlineStr">
        <is>
          <t>Alex Michelsen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d777da58446bc099047b154203518e2585ef1a678f613f2b430f2589f7bf5cff</t>
        </is>
      </c>
      <c r="BB783" s="24" t="inlineStr">
        <is>
          <t>surface_blended_elo</t>
        </is>
      </c>
      <c r="BC783" s="24" t="inlineStr">
        <is>
          <t>tennis-surface-elo-v1</t>
        </is>
      </c>
      <c r="BD783" s="24" t="inlineStr">
        <is>
          <t>d777da58446bc099047b154203518e2585ef1a678f613f2b430f2589f7bf5cff</t>
        </is>
      </c>
      <c r="BE783" s="24" t="inlineStr">
        <is>
          <t>tennis-surface-elo-v1</t>
        </is>
      </c>
      <c r="BF783" s="24" t="inlineStr">
        <is>
          <t>1</t>
        </is>
      </c>
      <c r="BG783" s="24" t="inlineStr">
        <is>
          <t>d777da58446bc099047b154203518e2585ef1a678f613f2b430f2589f7bf5cff</t>
        </is>
      </c>
      <c r="BH783" s="24" t="inlineStr">
        <is>
          <t>2026-08-30T16:05:01.614883Z</t>
        </is>
      </c>
      <c r="BI783" s="24" t="inlineStr">
        <is>
          <t>["same_event","same_team_same_day","same_league_same_day"]</t>
        </is>
      </c>
      <c r="BJ783" s="25" t="n"/>
      <c r="BK783" s="26" t="n">
        <v>-426</v>
      </c>
      <c r="BL783" s="27" t="n">
        <v>1.234742</v>
      </c>
      <c r="BM783" s="28" t="n">
        <v>0.809886</v>
      </c>
      <c r="BN783" s="28" t="n"/>
      <c r="BO783" s="28" t="n"/>
      <c r="BP783" s="25" t="n"/>
      <c r="BQ783" s="27" t="n">
        <v>1.234742</v>
      </c>
      <c r="BR783" s="28" t="n">
        <v>0.8100000000000001</v>
      </c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inlineStr">
        <is>
          <t>69ab89e3e39de4c851fe1ccce26c7bc090c1fcebe614dcf1c3e8b178d3d6afec</t>
        </is>
      </c>
      <c r="DE783" s="24" t="inlineStr">
        <is>
          <t>/Users/vincentc9002/model-prediction/data/odds/tennis/2026-08-30/polymarket_snapshots.jsonl</t>
        </is>
      </c>
      <c r="DF783" s="24" t="inlineStr">
        <is>
          <t>550514:2026-08-30T16:05:01.614883Z</t>
        </is>
      </c>
      <c r="DG783" s="24" t="n"/>
      <c r="DH783" s="24" t="n"/>
      <c r="DI783" s="24" t="n"/>
      <c r="DJ783" s="24" t="inlineStr">
        <is>
          <t>0.809886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c95262403a2845f6</t>
        </is>
      </c>
      <c r="B784" s="24" t="inlineStr">
        <is>
          <t>2026-08-30T16:06:30.429692Z</t>
        </is>
      </c>
      <c r="C784" s="24" t="inlineStr">
        <is>
          <t>2026-08-30T23:00Z</t>
        </is>
      </c>
      <c r="D784" s="24" t="inlineStr">
        <is>
          <t>189-2026:182675</t>
        </is>
      </c>
      <c r="E784" s="24" t="inlineStr">
        <is>
          <t>TENNIS</t>
        </is>
      </c>
      <c r="F784" s="24" t="inlineStr">
        <is>
          <t>Novak Djokovic</t>
        </is>
      </c>
      <c r="G784" s="24" t="inlineStr">
        <is>
          <t>Mariano Navone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-488</v>
      </c>
      <c r="M784" s="27" t="n">
        <v>1.204918</v>
      </c>
      <c r="N784" s="28" t="n">
        <v>0.829932</v>
      </c>
      <c r="O784" s="28" t="n">
        <v>0.8407</v>
      </c>
      <c r="P784" s="28" t="n">
        <v>0.05</v>
      </c>
      <c r="Q784" s="28" t="n">
        <v>0.010768</v>
      </c>
      <c r="R784" s="26" t="n">
        <v>25</v>
      </c>
      <c r="S784" s="29" t="n">
        <v>1</v>
      </c>
      <c r="T784" s="24" t="inlineStr">
        <is>
          <t>tennis-surface-elo-v1</t>
        </is>
      </c>
      <c r="U784" s="24" t="inlineStr">
        <is>
          <t>settled</t>
        </is>
      </c>
      <c r="V784" s="24" t="inlineStr">
        <is>
          <t>loss</t>
        </is>
      </c>
      <c r="W784" s="26" t="n">
        <v>0</v>
      </c>
      <c r="X784" s="26" t="n">
        <v>1</v>
      </c>
      <c r="Y784" s="25" t="n"/>
      <c r="Z784" s="26" t="n">
        <v>-488</v>
      </c>
      <c r="AA784" s="28" t="n">
        <v>0.83</v>
      </c>
      <c r="AB784" s="28" t="n">
        <v>6.8e-05</v>
      </c>
      <c r="AC784" s="30" t="n">
        <v>-1</v>
      </c>
      <c r="AD784" s="24" t="inlineStr">
        <is>
          <t>2026-08-31T04:38:04.368184Z</t>
        </is>
      </c>
      <c r="AE784" s="31" t="inlineStr">
        <is>
          <t>Surface-blended Elo on Hard: Novak Djokovic p=0.841 vs Mariano Navone. Executable ask 0.8300 (aec-atp-marnav-novdjo-2026-08-30).</t>
        </is>
      </c>
      <c r="AF784" s="31" t="inlineStr">
        <is>
          <t>Surface-blended Elo model; singles only, WTA+ATP market coverage, not yet locked-holdout qualified -- promoted by explicit operator directive, not genuine walk-forward validation.</t>
        </is>
      </c>
      <c r="AG784" s="24" t="inlineStr">
        <is>
          <t>review_required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Novak Djokovic</t>
        </is>
      </c>
      <c r="AQ784" s="24" t="inlineStr">
        <is>
          <t>Novak Djokovic</t>
        </is>
      </c>
      <c r="AR784" s="24" t="inlineStr">
        <is>
          <t>Novak Djokovic</t>
        </is>
      </c>
      <c r="AS784" s="24" t="inlineStr">
        <is>
          <t>Mariano Navone</t>
        </is>
      </c>
      <c r="AT784" s="24" t="inlineStr">
        <is>
          <t>Mariano Navone</t>
        </is>
      </c>
      <c r="AU784" s="24" t="inlineStr">
        <is>
          <t>Mariano Navone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d777da58446bc099047b154203518e2585ef1a678f613f2b430f2589f7bf5cff</t>
        </is>
      </c>
      <c r="BB784" s="24" t="inlineStr">
        <is>
          <t>surface_blended_elo</t>
        </is>
      </c>
      <c r="BC784" s="24" t="inlineStr">
        <is>
          <t>tennis-surface-elo-v1</t>
        </is>
      </c>
      <c r="BD784" s="24" t="inlineStr">
        <is>
          <t>d777da58446bc099047b154203518e2585ef1a678f613f2b430f2589f7bf5cff</t>
        </is>
      </c>
      <c r="BE784" s="24" t="inlineStr">
        <is>
          <t>tennis-surface-elo-v1</t>
        </is>
      </c>
      <c r="BF784" s="24" t="inlineStr">
        <is>
          <t>1</t>
        </is>
      </c>
      <c r="BG784" s="24" t="inlineStr">
        <is>
          <t>d777da58446bc099047b154203518e2585ef1a678f613f2b430f2589f7bf5cff</t>
        </is>
      </c>
      <c r="BH784" s="24" t="inlineStr">
        <is>
          <t>2026-08-30T16:05:02.483364Z</t>
        </is>
      </c>
      <c r="BI784" s="24" t="inlineStr">
        <is>
          <t>["same_event","same_team_same_day","same_league_same_day"]</t>
        </is>
      </c>
      <c r="BJ784" s="25" t="n"/>
      <c r="BK784" s="26" t="n">
        <v>-488</v>
      </c>
      <c r="BL784" s="27" t="n">
        <v>1.204918</v>
      </c>
      <c r="BM784" s="28" t="n">
        <v>0.829932</v>
      </c>
      <c r="BN784" s="28" t="n"/>
      <c r="BO784" s="28" t="n"/>
      <c r="BP784" s="25" t="n"/>
      <c r="BQ784" s="27" t="n">
        <v>1.204918</v>
      </c>
      <c r="BR784" s="28" t="n">
        <v>0.83</v>
      </c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inlineStr">
        <is>
          <t>ab13f1dbe56d25f73b79b81b5f581c38ed573a1c0653ae642f7c87ea77833e26</t>
        </is>
      </c>
      <c r="DE784" s="24" t="inlineStr">
        <is>
          <t>/Users/vincentc9002/model-prediction/data/odds/tennis/2026-08-30/polymarket_snapshots.jsonl</t>
        </is>
      </c>
      <c r="DF784" s="24" t="inlineStr">
        <is>
          <t>547318:2026-08-30T16:05:02.483364Z</t>
        </is>
      </c>
      <c r="DG784" s="24" t="n"/>
      <c r="DH784" s="24" t="n"/>
      <c r="DI784" s="24" t="n"/>
      <c r="DJ784" s="24" t="inlineStr">
        <is>
          <t>0.829932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cccb8ed6cf084cee</t>
        </is>
      </c>
      <c r="B785" s="24" t="inlineStr">
        <is>
          <t>2026-08-30T16:06:30.429692Z</t>
        </is>
      </c>
      <c r="C785" s="24" t="inlineStr">
        <is>
          <t>2026-08-31T00:30Z</t>
        </is>
      </c>
      <c r="D785" s="24" t="inlineStr">
        <is>
          <t>189-2026:182658</t>
        </is>
      </c>
      <c r="E785" s="24" t="inlineStr">
        <is>
          <t>TENNIS</t>
        </is>
      </c>
      <c r="F785" s="24" t="inlineStr">
        <is>
          <t>J.J. Wolf</t>
        </is>
      </c>
      <c r="G785" s="24" t="inlineStr">
        <is>
          <t>Alexander Bublik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-223</v>
      </c>
      <c r="M785" s="27" t="n">
        <v>1.44843</v>
      </c>
      <c r="N785" s="28" t="n">
        <v>0.690402</v>
      </c>
      <c r="O785" s="28" t="n">
        <v>0.8061</v>
      </c>
      <c r="P785" s="28" t="n">
        <v>0.05</v>
      </c>
      <c r="Q785" s="28" t="n">
        <v>0.115698</v>
      </c>
      <c r="R785" s="26" t="n">
        <v>78</v>
      </c>
      <c r="S785" s="29" t="n">
        <v>1.5</v>
      </c>
      <c r="T785" s="24" t="inlineStr">
        <is>
          <t>tennis-surface-elo-v1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-223</v>
      </c>
      <c r="AA785" s="28" t="n">
        <v>0.6899999999999999</v>
      </c>
      <c r="AB785" s="28" t="n">
        <v>-0.000402</v>
      </c>
      <c r="AC785" s="30" t="n">
        <v>0.6726</v>
      </c>
      <c r="AD785" s="24" t="inlineStr">
        <is>
          <t>2026-08-31T04:38:06.768203Z</t>
        </is>
      </c>
      <c r="AE785" s="31" t="inlineStr">
        <is>
          <t>Surface-blended Elo on Hard: J.J. Wolf p=0.194 vs Alexander Bublik. Executable ask 0.6900 (aec-atp-alebub-jjwol-2026-08-30).</t>
        </is>
      </c>
      <c r="AF785" s="31" t="inlineStr">
        <is>
          <t>Surface-blended Elo model; singles only, WTA+ATP market coverage, not yet locked-holdout qualified -- promoted by explicit operator directive, not genuine walk-forward validation.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J.J. Wolf</t>
        </is>
      </c>
      <c r="AQ785" s="24" t="inlineStr">
        <is>
          <t>J.J. Wolf</t>
        </is>
      </c>
      <c r="AR785" s="24" t="inlineStr">
        <is>
          <t>J.J. Wolf</t>
        </is>
      </c>
      <c r="AS785" s="24" t="inlineStr">
        <is>
          <t>Alexander Bublik</t>
        </is>
      </c>
      <c r="AT785" s="24" t="inlineStr">
        <is>
          <t>Alexander Bublik</t>
        </is>
      </c>
      <c r="AU785" s="24" t="inlineStr">
        <is>
          <t>Alexander Bublik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d777da58446bc099047b154203518e2585ef1a678f613f2b430f2589f7bf5cff</t>
        </is>
      </c>
      <c r="BB785" s="24" t="inlineStr">
        <is>
          <t>surface_blended_elo</t>
        </is>
      </c>
      <c r="BC785" s="24" t="inlineStr">
        <is>
          <t>tennis-surface-elo-v1</t>
        </is>
      </c>
      <c r="BD785" s="24" t="inlineStr">
        <is>
          <t>d777da58446bc099047b154203518e2585ef1a678f613f2b430f2589f7bf5cff</t>
        </is>
      </c>
      <c r="BE785" s="24" t="inlineStr">
        <is>
          <t>tennis-surface-elo-v1</t>
        </is>
      </c>
      <c r="BF785" s="24" t="inlineStr">
        <is>
          <t>1</t>
        </is>
      </c>
      <c r="BG785" s="24" t="inlineStr">
        <is>
          <t>d777da58446bc099047b154203518e2585ef1a678f613f2b430f2589f7bf5cff</t>
        </is>
      </c>
      <c r="BH785" s="24" t="inlineStr">
        <is>
          <t>2026-08-30T16:05:02.476773Z</t>
        </is>
      </c>
      <c r="BI785" s="24" t="inlineStr">
        <is>
          <t>["same_event","same_team_same_day","same_league_same_day"]</t>
        </is>
      </c>
      <c r="BJ785" s="25" t="n"/>
      <c r="BK785" s="26" t="n">
        <v>-223</v>
      </c>
      <c r="BL785" s="27" t="n">
        <v>1.44843</v>
      </c>
      <c r="BM785" s="28" t="n">
        <v>0.690402</v>
      </c>
      <c r="BN785" s="28" t="n"/>
      <c r="BO785" s="28" t="n"/>
      <c r="BP785" s="25" t="n"/>
      <c r="BQ785" s="27" t="n">
        <v>1.44843</v>
      </c>
      <c r="BR785" s="28" t="n">
        <v>0.6899999999999999</v>
      </c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inlineStr">
        <is>
          <t>dabc5ee15a62ffce9ed0c01b6af8264fc8e6e773bdf76f32482b62d32711b809</t>
        </is>
      </c>
      <c r="DE785" s="24" t="inlineStr">
        <is>
          <t>/Users/vincentc9002/model-prediction/data/odds/tennis/2026-08-30/polymarket_snapshots.jsonl</t>
        </is>
      </c>
      <c r="DF785" s="24" t="inlineStr">
        <is>
          <t>547346:2026-08-30T16:05:02.476773Z</t>
        </is>
      </c>
      <c r="DG785" s="24" t="n"/>
      <c r="DH785" s="24" t="n"/>
      <c r="DI785" s="24" t="n"/>
      <c r="DJ785" s="24" t="inlineStr">
        <is>
          <t>0.690402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ce8019346e0c42c0</t>
        </is>
      </c>
      <c r="B786" s="24" t="inlineStr">
        <is>
          <t>2026-08-31T04:42:52.714206Z</t>
        </is>
      </c>
      <c r="C786" s="24" t="inlineStr">
        <is>
          <t>2026-08-31T15:00Z</t>
        </is>
      </c>
      <c r="D786" s="24" t="inlineStr">
        <is>
          <t>189-2026:182606</t>
        </is>
      </c>
      <c r="E786" s="24" t="inlineStr">
        <is>
          <t>TENNIS</t>
        </is>
      </c>
      <c r="F786" s="24" t="inlineStr">
        <is>
          <t>Peyton Stearns</t>
        </is>
      </c>
      <c r="G786" s="24" t="inlineStr">
        <is>
          <t>Harriet Dart</t>
        </is>
      </c>
      <c r="H786" s="24" t="inlineStr">
        <is>
          <t>moneyline</t>
        </is>
      </c>
      <c r="I786" s="24" t="inlineStr">
        <is>
          <t>away</t>
        </is>
      </c>
      <c r="J786" s="25" t="n"/>
      <c r="K786" s="24" t="inlineStr">
        <is>
          <t>polymarket_us</t>
        </is>
      </c>
      <c r="L786" s="26" t="n">
        <v>-257</v>
      </c>
      <c r="M786" s="27" t="n">
        <v>1.389105</v>
      </c>
      <c r="N786" s="28" t="n">
        <v>0.719888</v>
      </c>
      <c r="O786" s="28" t="n">
        <v>0.5782</v>
      </c>
      <c r="P786" s="28" t="n">
        <v>0.05</v>
      </c>
      <c r="Q786" s="28" t="n">
        <v>-0.141688</v>
      </c>
      <c r="R786" s="26" t="n">
        <v>0</v>
      </c>
      <c r="S786" s="29" t="n">
        <v>1</v>
      </c>
      <c r="T786" s="24" t="inlineStr">
        <is>
          <t>tennis-surface-elo-v1</t>
        </is>
      </c>
      <c r="U786" s="24" t="inlineStr">
        <is>
          <t>settled</t>
        </is>
      </c>
      <c r="V786" s="24" t="inlineStr">
        <is>
          <t>loss</t>
        </is>
      </c>
      <c r="W786" s="26" t="n">
        <v>0</v>
      </c>
      <c r="X786" s="26" t="n">
        <v>1</v>
      </c>
      <c r="Y786" s="25" t="n"/>
      <c r="Z786" s="26" t="n">
        <v>-257</v>
      </c>
      <c r="AA786" s="28" t="n">
        <v>0.72</v>
      </c>
      <c r="AB786" s="28" t="n">
        <v>0.000112</v>
      </c>
      <c r="AC786" s="30" t="n">
        <v>-1</v>
      </c>
      <c r="AD786" s="24" t="inlineStr">
        <is>
          <t>2026-09-01T04:33:58.408421Z</t>
        </is>
      </c>
      <c r="AE786" s="31" t="inlineStr">
        <is>
          <t>Surface-blended Elo on Hard: Peyton Stearns p=0.578 vs Harriet Dart. Executable ask 0.7200 (aec-wta-hardar-peyste-2026-08-30).</t>
        </is>
      </c>
      <c r="AF786" s="31" t="inlineStr">
        <is>
          <t>Surface-blended Elo model; singles only, WTA+ATP market coverage, not yet locked-holdout qualified -- promoted by explicit operator directive, not genuine walk-forward validation.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Peyton Stearns</t>
        </is>
      </c>
      <c r="AQ786" s="24" t="inlineStr">
        <is>
          <t>Peyton Stearns</t>
        </is>
      </c>
      <c r="AR786" s="24" t="inlineStr">
        <is>
          <t>Peyton Stearns</t>
        </is>
      </c>
      <c r="AS786" s="24" t="inlineStr">
        <is>
          <t>Harriet Dart</t>
        </is>
      </c>
      <c r="AT786" s="24" t="inlineStr">
        <is>
          <t>Harriet Dart</t>
        </is>
      </c>
      <c r="AU786" s="24" t="inlineStr">
        <is>
          <t>Harriet Dart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d777da58446bc099047b154203518e2585ef1a678f613f2b430f2589f7bf5cff</t>
        </is>
      </c>
      <c r="BB786" s="24" t="inlineStr">
        <is>
          <t>surface_blended_elo</t>
        </is>
      </c>
      <c r="BC786" s="24" t="inlineStr">
        <is>
          <t>tennis-surface-elo-v1</t>
        </is>
      </c>
      <c r="BD786" s="24" t="inlineStr">
        <is>
          <t>d777da58446bc099047b154203518e2585ef1a678f613f2b430f2589f7bf5cff</t>
        </is>
      </c>
      <c r="BE786" s="24" t="inlineStr">
        <is>
          <t>tennis-surface-elo-v1</t>
        </is>
      </c>
      <c r="BF786" s="24" t="inlineStr">
        <is>
          <t>1</t>
        </is>
      </c>
      <c r="BG786" s="24" t="inlineStr">
        <is>
          <t>d777da58446bc099047b154203518e2585ef1a678f613f2b430f2589f7bf5cff</t>
        </is>
      </c>
      <c r="BH786" s="24" t="inlineStr">
        <is>
          <t>2026-08-31T04:41:24.631598Z</t>
        </is>
      </c>
      <c r="BI786" s="24" t="inlineStr">
        <is>
          <t>["same_event","same_team_same_day","same_league_same_day"]</t>
        </is>
      </c>
      <c r="BJ786" s="25" t="n"/>
      <c r="BK786" s="26" t="n">
        <v>-257</v>
      </c>
      <c r="BL786" s="27" t="n">
        <v>1.389105</v>
      </c>
      <c r="BM786" s="28" t="n">
        <v>0.719888</v>
      </c>
      <c r="BN786" s="28" t="n"/>
      <c r="BO786" s="28" t="n"/>
      <c r="BP786" s="25" t="n"/>
      <c r="BQ786" s="27" t="n">
        <v>1.389105</v>
      </c>
      <c r="BR786" s="28" t="n">
        <v>0.72</v>
      </c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inlineStr">
        <is>
          <t>7513faf42d23edfabea7a92837747e76576ed349c5ba19ef5be8a727a1b44fa3</t>
        </is>
      </c>
      <c r="DE786" s="24" t="inlineStr">
        <is>
          <t>/Users/vincentc9002/model-prediction/data/odds/tennis/2026-08-31/polymarket_snapshots.jsonl</t>
        </is>
      </c>
      <c r="DF786" s="24" t="inlineStr">
        <is>
          <t>550527:2026-08-31T04:41:24.631598Z</t>
        </is>
      </c>
      <c r="DG786" s="24" t="n"/>
      <c r="DH786" s="24" t="n"/>
      <c r="DI786" s="24" t="n"/>
      <c r="DJ786" s="24" t="inlineStr">
        <is>
          <t>0.719888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78b61c112d724fd4</t>
        </is>
      </c>
      <c r="B787" s="24" t="inlineStr">
        <is>
          <t>2026-08-31T04:42:52.714206Z</t>
        </is>
      </c>
      <c r="C787" s="24" t="inlineStr">
        <is>
          <t>2026-08-31T15:00Z</t>
        </is>
      </c>
      <c r="D787" s="24" t="inlineStr">
        <is>
          <t>189-2026:182610</t>
        </is>
      </c>
      <c r="E787" s="24" t="inlineStr">
        <is>
          <t>TENNIS</t>
        </is>
      </c>
      <c r="F787" s="24" t="inlineStr">
        <is>
          <t>Marie Bouzkova</t>
        </is>
      </c>
      <c r="G787" s="24" t="inlineStr">
        <is>
          <t>Elsa Jacquemot</t>
        </is>
      </c>
      <c r="H787" s="24" t="inlineStr">
        <is>
          <t>moneyline</t>
        </is>
      </c>
      <c r="I787" s="24" t="inlineStr">
        <is>
          <t>away</t>
        </is>
      </c>
      <c r="J787" s="25" t="n"/>
      <c r="K787" s="24" t="inlineStr">
        <is>
          <t>polymarket_us</t>
        </is>
      </c>
      <c r="L787" s="26" t="n">
        <v>-809</v>
      </c>
      <c r="M787" s="27" t="n">
        <v>1.123609</v>
      </c>
      <c r="N787" s="28" t="n">
        <v>0.889989</v>
      </c>
      <c r="O787" s="28" t="n">
        <v>0.8181</v>
      </c>
      <c r="P787" s="28" t="n">
        <v>0.05</v>
      </c>
      <c r="Q787" s="28" t="n">
        <v>-0.07188899999999999</v>
      </c>
      <c r="R787" s="26" t="n">
        <v>0</v>
      </c>
      <c r="S787" s="29" t="n">
        <v>1</v>
      </c>
      <c r="T787" s="24" t="inlineStr">
        <is>
          <t>tennis-surface-elo-v1</t>
        </is>
      </c>
      <c r="U787" s="24" t="inlineStr">
        <is>
          <t>settled</t>
        </is>
      </c>
      <c r="V787" s="24" t="inlineStr">
        <is>
          <t>win</t>
        </is>
      </c>
      <c r="W787" s="26" t="n">
        <v>1</v>
      </c>
      <c r="X787" s="26" t="n">
        <v>0</v>
      </c>
      <c r="Y787" s="25" t="n"/>
      <c r="Z787" s="26" t="n">
        <v>-809</v>
      </c>
      <c r="AA787" s="28" t="n">
        <v>0.89</v>
      </c>
      <c r="AB787" s="28" t="n">
        <v>1.1e-05</v>
      </c>
      <c r="AC787" s="30" t="n">
        <v>0.1236</v>
      </c>
      <c r="AD787" s="24" t="inlineStr">
        <is>
          <t>2026-09-01T04:34:00.923920Z</t>
        </is>
      </c>
      <c r="AE787" s="31" t="inlineStr">
        <is>
          <t>Surface-blended Elo on Hard: Marie Bouzkova p=0.818 vs Elsa Jacquemot. Executable ask 0.8900 (aec-wta-elsjac-marbou-2026-08-30).</t>
        </is>
      </c>
      <c r="AF787" s="31" t="inlineStr">
        <is>
          <t>Surface-blended Elo model; singles only, WTA+ATP market coverage, not yet locked-holdout qualified -- promoted by explicit operator directive, not genuine walk-forward validation.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Marie Bouzkova</t>
        </is>
      </c>
      <c r="AQ787" s="24" t="inlineStr">
        <is>
          <t>Marie Bouzkova</t>
        </is>
      </c>
      <c r="AR787" s="24" t="inlineStr">
        <is>
          <t>Marie Bouzkova</t>
        </is>
      </c>
      <c r="AS787" s="24" t="inlineStr">
        <is>
          <t>Elsa Jacquemot</t>
        </is>
      </c>
      <c r="AT787" s="24" t="inlineStr">
        <is>
          <t>Elsa Jacquemot</t>
        </is>
      </c>
      <c r="AU787" s="24" t="inlineStr">
        <is>
          <t>Elsa Jacquemot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d777da58446bc099047b154203518e2585ef1a678f613f2b430f2589f7bf5cff</t>
        </is>
      </c>
      <c r="BB787" s="24" t="inlineStr">
        <is>
          <t>surface_blended_elo</t>
        </is>
      </c>
      <c r="BC787" s="24" t="inlineStr">
        <is>
          <t>tennis-surface-elo-v1</t>
        </is>
      </c>
      <c r="BD787" s="24" t="inlineStr">
        <is>
          <t>d777da58446bc099047b154203518e2585ef1a678f613f2b430f2589f7bf5cff</t>
        </is>
      </c>
      <c r="BE787" s="24" t="inlineStr">
        <is>
          <t>tennis-surface-elo-v1</t>
        </is>
      </c>
      <c r="BF787" s="24" t="inlineStr">
        <is>
          <t>1</t>
        </is>
      </c>
      <c r="BG787" s="24" t="inlineStr">
        <is>
          <t>d777da58446bc099047b154203518e2585ef1a678f613f2b430f2589f7bf5cff</t>
        </is>
      </c>
      <c r="BH787" s="24" t="inlineStr">
        <is>
          <t>2026-08-31T04:41:24.850646Z</t>
        </is>
      </c>
      <c r="BI787" s="24" t="inlineStr">
        <is>
          <t>["same_event","same_team_same_day","same_league_same_day"]</t>
        </is>
      </c>
      <c r="BJ787" s="25" t="n"/>
      <c r="BK787" s="26" t="n">
        <v>-809</v>
      </c>
      <c r="BL787" s="27" t="n">
        <v>1.123609</v>
      </c>
      <c r="BM787" s="28" t="n">
        <v>0.889989</v>
      </c>
      <c r="BN787" s="28" t="n"/>
      <c r="BO787" s="28" t="n"/>
      <c r="BP787" s="25" t="n"/>
      <c r="BQ787" s="27" t="n">
        <v>1.123609</v>
      </c>
      <c r="BR787" s="28" t="n">
        <v>0.89</v>
      </c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inlineStr">
        <is>
          <t>b3e7f6972ae7e732e739150a95be1be3d63df7d7d32f37398e50e0c10104a82f</t>
        </is>
      </c>
      <c r="DE787" s="24" t="inlineStr">
        <is>
          <t>/Users/vincentc9002/model-prediction/data/odds/tennis/2026-08-31/polymarket_snapshots.jsonl</t>
        </is>
      </c>
      <c r="DF787" s="24" t="inlineStr">
        <is>
          <t>547319:2026-08-31T04:41:24.850646Z</t>
        </is>
      </c>
      <c r="DG787" s="24" t="n"/>
      <c r="DH787" s="24" t="n"/>
      <c r="DI787" s="24" t="n"/>
      <c r="DJ787" s="24" t="inlineStr">
        <is>
          <t>0.889989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ca1174e1c58b4d2c</t>
        </is>
      </c>
      <c r="B788" s="24" t="inlineStr">
        <is>
          <t>2026-08-31T04:42:52.714206Z</t>
        </is>
      </c>
      <c r="C788" s="24" t="inlineStr">
        <is>
          <t>2026-08-31T15:00Z</t>
        </is>
      </c>
      <c r="D788" s="24" t="inlineStr">
        <is>
          <t>189-2026:182614</t>
        </is>
      </c>
      <c r="E788" s="24" t="inlineStr">
        <is>
          <t>TENNIS</t>
        </is>
      </c>
      <c r="F788" s="24" t="inlineStr">
        <is>
          <t>Kristina Liutova</t>
        </is>
      </c>
      <c r="G788" s="24" t="inlineStr">
        <is>
          <t>Zheng Qinwen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-170</v>
      </c>
      <c r="M788" s="27" t="n">
        <v>1.588235</v>
      </c>
      <c r="N788" s="28" t="n">
        <v>0.62963</v>
      </c>
      <c r="O788" s="28" t="n">
        <v>0.7319</v>
      </c>
      <c r="P788" s="28" t="n">
        <v>0.05</v>
      </c>
      <c r="Q788" s="28" t="n">
        <v>0.10227</v>
      </c>
      <c r="R788" s="26" t="n">
        <v>71</v>
      </c>
      <c r="S788" s="29" t="n">
        <v>1.25</v>
      </c>
      <c r="T788" s="24" t="inlineStr">
        <is>
          <t>tennis-surface-elo-v1</t>
        </is>
      </c>
      <c r="U788" s="24" t="inlineStr">
        <is>
          <t>settled</t>
        </is>
      </c>
      <c r="V788" s="24" t="inlineStr">
        <is>
          <t>win</t>
        </is>
      </c>
      <c r="W788" s="26" t="n">
        <v>0</v>
      </c>
      <c r="X788" s="26" t="n">
        <v>1</v>
      </c>
      <c r="Y788" s="25" t="n"/>
      <c r="Z788" s="26" t="n"/>
      <c r="AA788" s="28" t="n"/>
      <c r="AB788" s="28" t="n"/>
      <c r="AC788" s="30" t="n">
        <v>0.7353</v>
      </c>
      <c r="AD788" s="24" t="inlineStr">
        <is>
          <t>2026-09-01T04:34:03.509926Z</t>
        </is>
      </c>
      <c r="AE788" s="31" t="inlineStr">
        <is>
          <t>Surface-blended Elo on Hard: Kristina Liutova p=0.268 vs Zheng Qinwen. Executable ask 0.6300 (aec-wta-qinzhe-kriliu-2026-08-30).</t>
        </is>
      </c>
      <c r="AF788" s="31" t="inlineStr">
        <is>
          <t>Surface-blended Elo model; singles only, WTA+ATP market coverage, not yet locked-holdout qualified -- promoted by explicit operator directive, not genuine walk-forward validation.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PAPER_CALL_MODEL_UNVALIDATED</t>
        </is>
      </c>
      <c r="AP788" s="24" t="inlineStr">
        <is>
          <t>Kristina Liutova</t>
        </is>
      </c>
      <c r="AQ788" s="24" t="inlineStr">
        <is>
          <t>Kristina Liutova</t>
        </is>
      </c>
      <c r="AR788" s="24" t="inlineStr">
        <is>
          <t>Kristina Liutova</t>
        </is>
      </c>
      <c r="AS788" s="24" t="inlineStr">
        <is>
          <t>Zheng Qinwen</t>
        </is>
      </c>
      <c r="AT788" s="24" t="inlineStr">
        <is>
          <t>Zheng Qinwen</t>
        </is>
      </c>
      <c r="AU788" s="24" t="inlineStr">
        <is>
          <t>Zheng Qinwen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d777da58446bc099047b154203518e2585ef1a678f613f2b430f2589f7bf5cff</t>
        </is>
      </c>
      <c r="BB788" s="24" t="inlineStr">
        <is>
          <t>surface_blended_elo</t>
        </is>
      </c>
      <c r="BC788" s="24" t="inlineStr">
        <is>
          <t>tennis-surface-elo-v1</t>
        </is>
      </c>
      <c r="BD788" s="24" t="inlineStr">
        <is>
          <t>d777da58446bc099047b154203518e2585ef1a678f613f2b430f2589f7bf5cff</t>
        </is>
      </c>
      <c r="BE788" s="24" t="inlineStr">
        <is>
          <t>tennis-surface-elo-v1</t>
        </is>
      </c>
      <c r="BF788" s="24" t="inlineStr">
        <is>
          <t>1</t>
        </is>
      </c>
      <c r="BG788" s="24" t="inlineStr">
        <is>
          <t>d777da58446bc099047b154203518e2585ef1a678f613f2b430f2589f7bf5cff</t>
        </is>
      </c>
      <c r="BH788" s="24" t="inlineStr">
        <is>
          <t>2026-08-31T04:41:24.751481Z</t>
        </is>
      </c>
      <c r="BI788" s="24" t="inlineStr">
        <is>
          <t>["same_event","same_team_same_day","same_league_same_day"]</t>
        </is>
      </c>
      <c r="BJ788" s="25" t="n"/>
      <c r="BK788" s="26" t="n">
        <v>-170</v>
      </c>
      <c r="BL788" s="27" t="n">
        <v>1.588235</v>
      </c>
      <c r="BM788" s="28" t="n">
        <v>0.62963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inlineStr">
        <is>
          <t>6c73f805f9c7e960f591a1a809aac21ab5ebff39613d8e421daa2b6b26e011d4</t>
        </is>
      </c>
      <c r="DE788" s="24" t="inlineStr">
        <is>
          <t>/Users/vincentc9002/model-prediction/data/odds/tennis/2026-08-31/polymarket_snapshots.jsonl</t>
        </is>
      </c>
      <c r="DF788" s="24" t="inlineStr">
        <is>
          <t>550529:2026-08-31T04:41:24.751481Z</t>
        </is>
      </c>
      <c r="DG788" s="24" t="n"/>
      <c r="DH788" s="24" t="n"/>
      <c r="DI788" s="24" t="n"/>
      <c r="DJ788" s="24" t="inlineStr">
        <is>
          <t>0.62963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23d9bf9d7d9d49ca</t>
        </is>
      </c>
      <c r="B789" s="24" t="inlineStr">
        <is>
          <t>2026-08-31T04:42:52.714206Z</t>
        </is>
      </c>
      <c r="C789" s="24" t="inlineStr">
        <is>
          <t>2026-08-31T15:00Z</t>
        </is>
      </c>
      <c r="D789" s="24" t="inlineStr">
        <is>
          <t>189-2026:182619</t>
        </is>
      </c>
      <c r="E789" s="24" t="inlineStr">
        <is>
          <t>TENNIS</t>
        </is>
      </c>
      <c r="F789" s="24" t="inlineStr">
        <is>
          <t>Panna Udvardy</t>
        </is>
      </c>
      <c r="G789" s="24" t="inlineStr">
        <is>
          <t>Mananchaya Sawangkaew</t>
        </is>
      </c>
      <c r="H789" s="24" t="inlineStr">
        <is>
          <t>moneyline</t>
        </is>
      </c>
      <c r="I789" s="24" t="inlineStr">
        <is>
          <t>away</t>
        </is>
      </c>
      <c r="J789" s="25" t="n"/>
      <c r="K789" s="24" t="inlineStr">
        <is>
          <t>polymarket_us</t>
        </is>
      </c>
      <c r="L789" s="26" t="n">
        <v>156</v>
      </c>
      <c r="M789" s="27" t="n">
        <v>2.56</v>
      </c>
      <c r="N789" s="28" t="n">
        <v>0.390625</v>
      </c>
      <c r="O789" s="28" t="n">
        <v>0.5028</v>
      </c>
      <c r="P789" s="28" t="n">
        <v>0.05</v>
      </c>
      <c r="Q789" s="28" t="n">
        <v>0.112175</v>
      </c>
      <c r="R789" s="26" t="n">
        <v>76</v>
      </c>
      <c r="S789" s="29" t="n">
        <v>1.5</v>
      </c>
      <c r="T789" s="24" t="inlineStr">
        <is>
          <t>tennis-surface-elo-v1</t>
        </is>
      </c>
      <c r="U789" s="24" t="inlineStr">
        <is>
          <t>settled</t>
        </is>
      </c>
      <c r="V789" s="24" t="inlineStr">
        <is>
          <t>loss</t>
        </is>
      </c>
      <c r="W789" s="26" t="n">
        <v>0</v>
      </c>
      <c r="X789" s="26" t="n">
        <v>1</v>
      </c>
      <c r="Y789" s="25" t="n"/>
      <c r="Z789" s="26" t="n">
        <v>156</v>
      </c>
      <c r="AA789" s="28" t="n">
        <v>0.39</v>
      </c>
      <c r="AB789" s="28" t="n">
        <v>-0.000625</v>
      </c>
      <c r="AC789" s="30" t="n">
        <v>-1.5</v>
      </c>
      <c r="AD789" s="24" t="inlineStr">
        <is>
          <t>2026-09-01T04:34:06.106554Z</t>
        </is>
      </c>
      <c r="AE789" s="31" t="inlineStr">
        <is>
          <t>Surface-blended Elo on Hard: Panna Udvardy p=0.503 vs Mananchaya Sawangkaew. Executable ask 0.3900 (aec-wta-mansaw-panudv-2026-08-30).</t>
        </is>
      </c>
      <c r="AF789" s="31" t="inlineStr">
        <is>
          <t>Surface-blended Elo model; singles only, WTA+ATP market coverage, not yet locked-holdout qualified -- promoted by explicit operator directive, not genuine walk-forward validation.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PAPER_CALL_LOW_EDGE</t>
        </is>
      </c>
      <c r="AP789" s="24" t="inlineStr">
        <is>
          <t>Panna Udvardy</t>
        </is>
      </c>
      <c r="AQ789" s="24" t="inlineStr">
        <is>
          <t>Panna Udvardy</t>
        </is>
      </c>
      <c r="AR789" s="24" t="inlineStr">
        <is>
          <t>Panna Udvardy</t>
        </is>
      </c>
      <c r="AS789" s="24" t="inlineStr">
        <is>
          <t>Mananchaya Sawangkaew</t>
        </is>
      </c>
      <c r="AT789" s="24" t="inlineStr">
        <is>
          <t>Mananchaya Sawangkaew</t>
        </is>
      </c>
      <c r="AU789" s="24" t="inlineStr">
        <is>
          <t>Mananchaya Sawangkaew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d777da58446bc099047b154203518e2585ef1a678f613f2b430f2589f7bf5cff</t>
        </is>
      </c>
      <c r="BB789" s="24" t="inlineStr">
        <is>
          <t>surface_blended_elo</t>
        </is>
      </c>
      <c r="BC789" s="24" t="inlineStr">
        <is>
          <t>tennis-surface-elo-v1</t>
        </is>
      </c>
      <c r="BD789" s="24" t="inlineStr">
        <is>
          <t>d777da58446bc099047b154203518e2585ef1a678f613f2b430f2589f7bf5cff</t>
        </is>
      </c>
      <c r="BE789" s="24" t="inlineStr">
        <is>
          <t>tennis-surface-elo-v1</t>
        </is>
      </c>
      <c r="BF789" s="24" t="inlineStr">
        <is>
          <t>1</t>
        </is>
      </c>
      <c r="BG789" s="24" t="inlineStr">
        <is>
          <t>d777da58446bc099047b154203518e2585ef1a678f613f2b430f2589f7bf5cff</t>
        </is>
      </c>
      <c r="BH789" s="24" t="inlineStr">
        <is>
          <t>2026-08-31T04:41:24.759328Z</t>
        </is>
      </c>
      <c r="BI789" s="24" t="inlineStr">
        <is>
          <t>["same_event","same_team_same_day","same_league_same_day"]</t>
        </is>
      </c>
      <c r="BJ789" s="25" t="n"/>
      <c r="BK789" s="26" t="n">
        <v>156</v>
      </c>
      <c r="BL789" s="27" t="n">
        <v>2.56</v>
      </c>
      <c r="BM789" s="28" t="n">
        <v>0.390625</v>
      </c>
      <c r="BN789" s="28" t="n"/>
      <c r="BO789" s="28" t="n"/>
      <c r="BP789" s="25" t="n"/>
      <c r="BQ789" s="27" t="n">
        <v>2.56</v>
      </c>
      <c r="BR789" s="28" t="n">
        <v>0.39</v>
      </c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inlineStr">
        <is>
          <t>e7b31332bcc78864e2cc18697e3c9250d21e62d6680dbcba03e9b7892efd83bf</t>
        </is>
      </c>
      <c r="DE789" s="24" t="inlineStr">
        <is>
          <t>/Users/vincentc9002/model-prediction/data/odds/tennis/2026-08-31/polymarket_snapshots.jsonl</t>
        </is>
      </c>
      <c r="DF789" s="24" t="inlineStr">
        <is>
          <t>547442:2026-08-31T04:41:24.759328Z</t>
        </is>
      </c>
      <c r="DG789" s="24" t="n"/>
      <c r="DH789" s="24" t="n"/>
      <c r="DI789" s="24" t="n"/>
      <c r="DJ789" s="24" t="inlineStr">
        <is>
          <t>0.390625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8b7acebecc204a09</t>
        </is>
      </c>
      <c r="B790" s="24" t="inlineStr">
        <is>
          <t>2026-08-31T04:42:52.714206Z</t>
        </is>
      </c>
      <c r="C790" s="24" t="inlineStr">
        <is>
          <t>2026-08-31T15:00Z</t>
        </is>
      </c>
      <c r="D790" s="24" t="inlineStr">
        <is>
          <t>189-2026:182626</t>
        </is>
      </c>
      <c r="E790" s="24" t="inlineStr">
        <is>
          <t>TENNIS</t>
        </is>
      </c>
      <c r="F790" s="24" t="inlineStr">
        <is>
          <t>Karolina Muchova</t>
        </is>
      </c>
      <c r="G790" s="24" t="inlineStr">
        <is>
          <t>Sinja Kraus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-809</v>
      </c>
      <c r="M790" s="27" t="n">
        <v>1.123609</v>
      </c>
      <c r="N790" s="28" t="n">
        <v>0.889989</v>
      </c>
      <c r="O790" s="28" t="n">
        <v>0.8351</v>
      </c>
      <c r="P790" s="28" t="n">
        <v>0.05</v>
      </c>
      <c r="Q790" s="28" t="n">
        <v>-0.054889</v>
      </c>
      <c r="R790" s="26" t="n">
        <v>0</v>
      </c>
      <c r="S790" s="29" t="n">
        <v>1</v>
      </c>
      <c r="T790" s="24" t="inlineStr">
        <is>
          <t>tennis-surface-elo-v1</t>
        </is>
      </c>
      <c r="U790" s="24" t="inlineStr">
        <is>
          <t>settled</t>
        </is>
      </c>
      <c r="V790" s="24" t="inlineStr">
        <is>
          <t>win</t>
        </is>
      </c>
      <c r="W790" s="26" t="n">
        <v>1</v>
      </c>
      <c r="X790" s="26" t="n">
        <v>0</v>
      </c>
      <c r="Y790" s="25" t="n"/>
      <c r="Z790" s="26" t="n">
        <v>-809</v>
      </c>
      <c r="AA790" s="28" t="n">
        <v>0.89</v>
      </c>
      <c r="AB790" s="28" t="n">
        <v>1.1e-05</v>
      </c>
      <c r="AC790" s="30" t="n">
        <v>0.1236</v>
      </c>
      <c r="AD790" s="24" t="inlineStr">
        <is>
          <t>2026-09-01T04:34:08.593246Z</t>
        </is>
      </c>
      <c r="AE790" s="31" t="inlineStr">
        <is>
          <t>Surface-blended Elo on Hard: Karolina Muchova p=0.835 vs Sinja Kraus. Executable ask 0.8900 (aec-wta-sinkra-karmuc-2026-08-30).</t>
        </is>
      </c>
      <c r="AF790" s="31" t="inlineStr">
        <is>
          <t>Surface-blended Elo model; singles only, WTA+ATP market coverage, not yet locked-holdout qualified -- promoted by explicit operator directive, not genuine walk-forward validation.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Karolina Muchova</t>
        </is>
      </c>
      <c r="AQ790" s="24" t="inlineStr">
        <is>
          <t>Karolina Muchova</t>
        </is>
      </c>
      <c r="AR790" s="24" t="inlineStr">
        <is>
          <t>Karolina Muchova</t>
        </is>
      </c>
      <c r="AS790" s="24" t="inlineStr">
        <is>
          <t>Sinja Kraus</t>
        </is>
      </c>
      <c r="AT790" s="24" t="inlineStr">
        <is>
          <t>Sinja Kraus</t>
        </is>
      </c>
      <c r="AU790" s="24" t="inlineStr">
        <is>
          <t>Sinja Kraus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d777da58446bc099047b154203518e2585ef1a678f613f2b430f2589f7bf5cff</t>
        </is>
      </c>
      <c r="BB790" s="24" t="inlineStr">
        <is>
          <t>surface_blended_elo</t>
        </is>
      </c>
      <c r="BC790" s="24" t="inlineStr">
        <is>
          <t>tennis-surface-elo-v1</t>
        </is>
      </c>
      <c r="BD790" s="24" t="inlineStr">
        <is>
          <t>d777da58446bc099047b154203518e2585ef1a678f613f2b430f2589f7bf5cff</t>
        </is>
      </c>
      <c r="BE790" s="24" t="inlineStr">
        <is>
          <t>tennis-surface-elo-v1</t>
        </is>
      </c>
      <c r="BF790" s="24" t="inlineStr">
        <is>
          <t>1</t>
        </is>
      </c>
      <c r="BG790" s="24" t="inlineStr">
        <is>
          <t>d777da58446bc099047b154203518e2585ef1a678f613f2b430f2589f7bf5cff</t>
        </is>
      </c>
      <c r="BH790" s="24" t="inlineStr">
        <is>
          <t>2026-08-31T04:41:24.589678Z</t>
        </is>
      </c>
      <c r="BI790" s="24" t="inlineStr">
        <is>
          <t>["same_event","same_team_same_day","same_league_same_day"]</t>
        </is>
      </c>
      <c r="BJ790" s="25" t="n"/>
      <c r="BK790" s="26" t="n">
        <v>-809</v>
      </c>
      <c r="BL790" s="27" t="n">
        <v>1.123609</v>
      </c>
      <c r="BM790" s="28" t="n">
        <v>0.889989</v>
      </c>
      <c r="BN790" s="28" t="n"/>
      <c r="BO790" s="28" t="n"/>
      <c r="BP790" s="25" t="n"/>
      <c r="BQ790" s="27" t="n">
        <v>1.123609</v>
      </c>
      <c r="BR790" s="28" t="n">
        <v>0.89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inlineStr">
        <is>
          <t>6e58fe772165d73633daf0b5a3f56f95bb501373f5ef351ee804ce753bcbf3c8</t>
        </is>
      </c>
      <c r="DE790" s="24" t="inlineStr">
        <is>
          <t>/Users/vincentc9002/model-prediction/data/odds/tennis/2026-08-31/polymarket_snapshots.jsonl</t>
        </is>
      </c>
      <c r="DF790" s="24" t="inlineStr">
        <is>
          <t>547292:2026-08-31T04:41:24.589678Z</t>
        </is>
      </c>
      <c r="DG790" s="24" t="n"/>
      <c r="DH790" s="24" t="n"/>
      <c r="DI790" s="24" t="n"/>
      <c r="DJ790" s="24" t="inlineStr">
        <is>
          <t>0.889989</t>
        </is>
      </c>
      <c r="DK790" s="24" t="n"/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0b4535630b904665</t>
        </is>
      </c>
      <c r="B791" s="24" t="inlineStr">
        <is>
          <t>2026-08-31T04:42:52.714206Z</t>
        </is>
      </c>
      <c r="C791" s="24" t="inlineStr">
        <is>
          <t>2026-08-31T15:00Z</t>
        </is>
      </c>
      <c r="D791" s="24" t="inlineStr">
        <is>
          <t>189-2026:182640</t>
        </is>
      </c>
      <c r="E791" s="24" t="inlineStr">
        <is>
          <t>TENNIS</t>
        </is>
      </c>
      <c r="F791" s="24" t="inlineStr">
        <is>
          <t>Cristina Bucsa</t>
        </is>
      </c>
      <c r="G791" s="24" t="inlineStr">
        <is>
          <t>Sara Bejlek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-335</v>
      </c>
      <c r="M791" s="27" t="n">
        <v>1.298507</v>
      </c>
      <c r="N791" s="28" t="n">
        <v>0.770115</v>
      </c>
      <c r="O791" s="28" t="n">
        <v>0.6773</v>
      </c>
      <c r="P791" s="28" t="n">
        <v>0.05</v>
      </c>
      <c r="Q791" s="28" t="n">
        <v>-0.09281499999999999</v>
      </c>
      <c r="R791" s="26" t="n">
        <v>0</v>
      </c>
      <c r="S791" s="29" t="n">
        <v>1</v>
      </c>
      <c r="T791" s="24" t="inlineStr">
        <is>
          <t>tennis-surface-elo-v1</t>
        </is>
      </c>
      <c r="U791" s="24" t="inlineStr">
        <is>
          <t>settled</t>
        </is>
      </c>
      <c r="V791" s="24" t="inlineStr">
        <is>
          <t>loss</t>
        </is>
      </c>
      <c r="W791" s="26" t="n">
        <v>1</v>
      </c>
      <c r="X791" s="26" t="n">
        <v>0</v>
      </c>
      <c r="Y791" s="25" t="n"/>
      <c r="Z791" s="26" t="n">
        <v>-335</v>
      </c>
      <c r="AA791" s="28" t="n">
        <v>0.77</v>
      </c>
      <c r="AB791" s="28" t="n">
        <v>-0.000115</v>
      </c>
      <c r="AC791" s="30" t="n">
        <v>-1</v>
      </c>
      <c r="AD791" s="24" t="inlineStr">
        <is>
          <t>2026-09-01T04:34:11.104482Z</t>
        </is>
      </c>
      <c r="AE791" s="31" t="inlineStr">
        <is>
          <t>Surface-blended Elo on Hard: Cristina Bucsa p=0.323 vs Sara Bejlek. Executable ask 0.7700 (aec-wta-sarbej-cribuc-2026-08-30).</t>
        </is>
      </c>
      <c r="AF791" s="31" t="inlineStr">
        <is>
          <t>Surface-blended Elo model; singles only, WTA+ATP market coverage, not yet locked-holdout qualified -- promoted by explicit operator directive, not genuine walk-forward validation.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Cristina Bucsa</t>
        </is>
      </c>
      <c r="AQ791" s="24" t="inlineStr">
        <is>
          <t>Cristina Bucsa</t>
        </is>
      </c>
      <c r="AR791" s="24" t="inlineStr">
        <is>
          <t>Cristina Bucsa</t>
        </is>
      </c>
      <c r="AS791" s="24" t="inlineStr">
        <is>
          <t>Sara Bejlek</t>
        </is>
      </c>
      <c r="AT791" s="24" t="inlineStr">
        <is>
          <t>Sara Bejlek</t>
        </is>
      </c>
      <c r="AU791" s="24" t="inlineStr">
        <is>
          <t>Sara Bejlek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d777da58446bc099047b154203518e2585ef1a678f613f2b430f2589f7bf5cff</t>
        </is>
      </c>
      <c r="BB791" s="24" t="inlineStr">
        <is>
          <t>surface_blended_elo</t>
        </is>
      </c>
      <c r="BC791" s="24" t="inlineStr">
        <is>
          <t>tennis-surface-elo-v1</t>
        </is>
      </c>
      <c r="BD791" s="24" t="inlineStr">
        <is>
          <t>d777da58446bc099047b154203518e2585ef1a678f613f2b430f2589f7bf5cff</t>
        </is>
      </c>
      <c r="BE791" s="24" t="inlineStr">
        <is>
          <t>tennis-surface-elo-v1</t>
        </is>
      </c>
      <c r="BF791" s="24" t="inlineStr">
        <is>
          <t>1</t>
        </is>
      </c>
      <c r="BG791" s="24" t="inlineStr">
        <is>
          <t>d777da58446bc099047b154203518e2585ef1a678f613f2b430f2589f7bf5cff</t>
        </is>
      </c>
      <c r="BH791" s="24" t="inlineStr">
        <is>
          <t>2026-08-31T04:41:24.835372Z</t>
        </is>
      </c>
      <c r="BI791" s="24" t="inlineStr">
        <is>
          <t>["same_event","same_team_same_day","same_league_same_day"]</t>
        </is>
      </c>
      <c r="BJ791" s="25" t="n"/>
      <c r="BK791" s="26" t="n">
        <v>-335</v>
      </c>
      <c r="BL791" s="27" t="n">
        <v>1.298507</v>
      </c>
      <c r="BM791" s="28" t="n">
        <v>0.770115</v>
      </c>
      <c r="BN791" s="28" t="n"/>
      <c r="BO791" s="28" t="n"/>
      <c r="BP791" s="25" t="n"/>
      <c r="BQ791" s="27" t="n">
        <v>1.298507</v>
      </c>
      <c r="BR791" s="28" t="n">
        <v>0.77</v>
      </c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inlineStr">
        <is>
          <t>3dafd80684733af1cebd0d6166ea304fef50cfc9111a9c7c683ad9613d9c8ddb</t>
        </is>
      </c>
      <c r="DE791" s="24" t="inlineStr">
        <is>
          <t>/Users/vincentc9002/model-prediction/data/odds/tennis/2026-08-31/polymarket_snapshots.jsonl</t>
        </is>
      </c>
      <c r="DF791" s="24" t="inlineStr">
        <is>
          <t>547308:2026-08-31T04:41:24.835372Z</t>
        </is>
      </c>
      <c r="DG791" s="24" t="n"/>
      <c r="DH791" s="24" t="n"/>
      <c r="DI791" s="24" t="n"/>
      <c r="DJ791" s="24" t="inlineStr">
        <is>
          <t>0.770115</t>
        </is>
      </c>
      <c r="DK791" s="24" t="n"/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b3e79130bda64661</t>
        </is>
      </c>
      <c r="B792" s="24" t="inlineStr">
        <is>
          <t>2026-08-31T04:42:52.714206Z</t>
        </is>
      </c>
      <c r="C792" s="24" t="inlineStr">
        <is>
          <t>2026-08-31T15:00Z</t>
        </is>
      </c>
      <c r="D792" s="24" t="inlineStr">
        <is>
          <t>189-2026:182647</t>
        </is>
      </c>
      <c r="E792" s="24" t="inlineStr">
        <is>
          <t>TENNIS</t>
        </is>
      </c>
      <c r="F792" s="24" t="inlineStr">
        <is>
          <t>Himeno Sakatsume</t>
        </is>
      </c>
      <c r="G792" s="24" t="inlineStr">
        <is>
          <t>Anhelina Kalinina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-285</v>
      </c>
      <c r="M792" s="27" t="n">
        <v>1.350877</v>
      </c>
      <c r="N792" s="28" t="n">
        <v>0.74026</v>
      </c>
      <c r="O792" s="28" t="n">
        <v>0.6639</v>
      </c>
      <c r="P792" s="28" t="n">
        <v>0.05</v>
      </c>
      <c r="Q792" s="28" t="n">
        <v>-0.07636</v>
      </c>
      <c r="R792" s="26" t="n">
        <v>0</v>
      </c>
      <c r="S792" s="29" t="n">
        <v>1</v>
      </c>
      <c r="T792" s="24" t="inlineStr">
        <is>
          <t>tennis-surface-elo-v1</t>
        </is>
      </c>
      <c r="U792" s="24" t="inlineStr">
        <is>
          <t>settled</t>
        </is>
      </c>
      <c r="V792" s="24" t="inlineStr">
        <is>
          <t>loss</t>
        </is>
      </c>
      <c r="W792" s="26" t="n">
        <v>1</v>
      </c>
      <c r="X792" s="26" t="n">
        <v>0</v>
      </c>
      <c r="Y792" s="25" t="n"/>
      <c r="Z792" s="26" t="n">
        <v>-285</v>
      </c>
      <c r="AA792" s="28" t="n">
        <v>0.74</v>
      </c>
      <c r="AB792" s="28" t="n">
        <v>-0.00026</v>
      </c>
      <c r="AC792" s="30" t="n">
        <v>-1</v>
      </c>
      <c r="AD792" s="24" t="inlineStr">
        <is>
          <t>2026-09-01T04:34:13.712537Z</t>
        </is>
      </c>
      <c r="AE792" s="31" t="inlineStr">
        <is>
          <t>Surface-blended Elo on Hard: Himeno Sakatsume p=0.336 vs Anhelina Kalinina. Executable ask 0.7400 (aec-wta-anhkal-himsak-2026-08-30).</t>
        </is>
      </c>
      <c r="AF792" s="31" t="inlineStr">
        <is>
          <t>Surface-blended Elo model; singles only, WTA+ATP market coverage, not yet locked-holdout qualified -- promoted by explicit operator directive, not genuine walk-forward validation.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Himeno Sakatsume</t>
        </is>
      </c>
      <c r="AQ792" s="24" t="inlineStr">
        <is>
          <t>Himeno Sakatsume</t>
        </is>
      </c>
      <c r="AR792" s="24" t="inlineStr">
        <is>
          <t>Himeno Sakatsume</t>
        </is>
      </c>
      <c r="AS792" s="24" t="inlineStr">
        <is>
          <t>Anhelina Kalinina</t>
        </is>
      </c>
      <c r="AT792" s="24" t="inlineStr">
        <is>
          <t>Anhelina Kalinina</t>
        </is>
      </c>
      <c r="AU792" s="24" t="inlineStr">
        <is>
          <t>Anhelina Kalinina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d777da58446bc099047b154203518e2585ef1a678f613f2b430f2589f7bf5cff</t>
        </is>
      </c>
      <c r="BB792" s="24" t="inlineStr">
        <is>
          <t>surface_blended_elo</t>
        </is>
      </c>
      <c r="BC792" s="24" t="inlineStr">
        <is>
          <t>tennis-surface-elo-v1</t>
        </is>
      </c>
      <c r="BD792" s="24" t="inlineStr">
        <is>
          <t>d777da58446bc099047b154203518e2585ef1a678f613f2b430f2589f7bf5cff</t>
        </is>
      </c>
      <c r="BE792" s="24" t="inlineStr">
        <is>
          <t>tennis-surface-elo-v1</t>
        </is>
      </c>
      <c r="BF792" s="24" t="inlineStr">
        <is>
          <t>1</t>
        </is>
      </c>
      <c r="BG792" s="24" t="inlineStr">
        <is>
          <t>d777da58446bc099047b154203518e2585ef1a678f613f2b430f2589f7bf5cff</t>
        </is>
      </c>
      <c r="BH792" s="24" t="inlineStr">
        <is>
          <t>2026-08-31T04:41:24.648127Z</t>
        </is>
      </c>
      <c r="BI792" s="24" t="inlineStr">
        <is>
          <t>["same_event","same_team_same_day","same_league_same_day"]</t>
        </is>
      </c>
      <c r="BJ792" s="25" t="n"/>
      <c r="BK792" s="26" t="n">
        <v>-285</v>
      </c>
      <c r="BL792" s="27" t="n">
        <v>1.350877</v>
      </c>
      <c r="BM792" s="28" t="n">
        <v>0.74026</v>
      </c>
      <c r="BN792" s="28" t="n"/>
      <c r="BO792" s="28" t="n"/>
      <c r="BP792" s="25" t="n"/>
      <c r="BQ792" s="27" t="n">
        <v>1.350877</v>
      </c>
      <c r="BR792" s="28" t="n">
        <v>0.74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inlineStr">
        <is>
          <t>3d0e93193ba0b4c06efb68f11e5290386157ed3ebf4da478dc1a4da7fe1c7f87</t>
        </is>
      </c>
      <c r="DE792" s="24" t="inlineStr">
        <is>
          <t>/Users/vincentc9002/model-prediction/data/odds/tennis/2026-08-31/polymarket_snapshots.jsonl</t>
        </is>
      </c>
      <c r="DF792" s="24" t="inlineStr">
        <is>
          <t>550524:2026-08-31T04:41:24.648127Z</t>
        </is>
      </c>
      <c r="DG792" s="24" t="n"/>
      <c r="DH792" s="24" t="n"/>
      <c r="DI792" s="24" t="n"/>
      <c r="DJ792" s="24" t="inlineStr">
        <is>
          <t>0.74026</t>
        </is>
      </c>
      <c r="DK792" s="24" t="n"/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ac91628dbb7e48b2</t>
        </is>
      </c>
      <c r="B793" s="24" t="inlineStr">
        <is>
          <t>2026-08-31T04:42:52.714206Z</t>
        </is>
      </c>
      <c r="C793" s="24" t="inlineStr">
        <is>
          <t>2026-08-31T15:00Z</t>
        </is>
      </c>
      <c r="D793" s="24" t="inlineStr">
        <is>
          <t>189-2026:182652</t>
        </is>
      </c>
      <c r="E793" s="24" t="inlineStr">
        <is>
          <t>TENNIS</t>
        </is>
      </c>
      <c r="F793" s="24" t="inlineStr">
        <is>
          <t>Tamara Korpatsch</t>
        </is>
      </c>
      <c r="G793" s="24" t="inlineStr">
        <is>
          <t>Lilli Tagger</t>
        </is>
      </c>
      <c r="H793" s="24" t="inlineStr">
        <is>
          <t>moneyline</t>
        </is>
      </c>
      <c r="I793" s="24" t="inlineStr">
        <is>
          <t>home</t>
        </is>
      </c>
      <c r="J793" s="25" t="n"/>
      <c r="K793" s="24" t="inlineStr">
        <is>
          <t>polymarket_us</t>
        </is>
      </c>
      <c r="L793" s="26" t="n">
        <v>-376</v>
      </c>
      <c r="M793" s="27" t="n">
        <v>1.265957</v>
      </c>
      <c r="N793" s="28" t="n">
        <v>0.789916</v>
      </c>
      <c r="O793" s="28" t="n">
        <v>0.6107</v>
      </c>
      <c r="P793" s="28" t="n">
        <v>0.05</v>
      </c>
      <c r="Q793" s="28" t="n">
        <v>-0.179216</v>
      </c>
      <c r="R793" s="26" t="n">
        <v>0</v>
      </c>
      <c r="S793" s="29" t="n">
        <v>1</v>
      </c>
      <c r="T793" s="24" t="inlineStr">
        <is>
          <t>tennis-surface-elo-v1</t>
        </is>
      </c>
      <c r="U793" s="24" t="inlineStr">
        <is>
          <t>settled</t>
        </is>
      </c>
      <c r="V793" s="24" t="inlineStr">
        <is>
          <t>win</t>
        </is>
      </c>
      <c r="W793" s="26" t="n">
        <v>0</v>
      </c>
      <c r="X793" s="26" t="n">
        <v>1</v>
      </c>
      <c r="Y793" s="25" t="n"/>
      <c r="Z793" s="26" t="n">
        <v>-376</v>
      </c>
      <c r="AA793" s="28" t="n">
        <v>0.79</v>
      </c>
      <c r="AB793" s="28" t="n">
        <v>8.4e-05</v>
      </c>
      <c r="AC793" s="30" t="n">
        <v>0.266</v>
      </c>
      <c r="AD793" s="24" t="inlineStr">
        <is>
          <t>2026-09-01T04:34:16.312066Z</t>
        </is>
      </c>
      <c r="AE793" s="31" t="inlineStr">
        <is>
          <t>Surface-blended Elo on Hard: Tamara Korpatsch p=0.389 vs Lilli Tagger. Executable ask 0.7900 (aec-wta-liltag-tamkor-2026-08-30).</t>
        </is>
      </c>
      <c r="AF793" s="31" t="inlineStr">
        <is>
          <t>Surface-blended Elo model; singles only, WTA+ATP market coverage, not yet locked-holdout qualified -- promoted by explicit operator directive, not genuine walk-forward validation.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Tamara Korpatsch</t>
        </is>
      </c>
      <c r="AQ793" s="24" t="inlineStr">
        <is>
          <t>Tamara Korpatsch</t>
        </is>
      </c>
      <c r="AR793" s="24" t="inlineStr">
        <is>
          <t>Tamara Korpatsch</t>
        </is>
      </c>
      <c r="AS793" s="24" t="inlineStr">
        <is>
          <t>Lilli Tagger</t>
        </is>
      </c>
      <c r="AT793" s="24" t="inlineStr">
        <is>
          <t>Lilli Tagger</t>
        </is>
      </c>
      <c r="AU793" s="24" t="inlineStr">
        <is>
          <t>Lilli Tagger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d777da58446bc099047b154203518e2585ef1a678f613f2b430f2589f7bf5cff</t>
        </is>
      </c>
      <c r="BB793" s="24" t="inlineStr">
        <is>
          <t>surface_blended_elo</t>
        </is>
      </c>
      <c r="BC793" s="24" t="inlineStr">
        <is>
          <t>tennis-surface-elo-v1</t>
        </is>
      </c>
      <c r="BD793" s="24" t="inlineStr">
        <is>
          <t>d777da58446bc099047b154203518e2585ef1a678f613f2b430f2589f7bf5cff</t>
        </is>
      </c>
      <c r="BE793" s="24" t="inlineStr">
        <is>
          <t>tennis-surface-elo-v1</t>
        </is>
      </c>
      <c r="BF793" s="24" t="inlineStr">
        <is>
          <t>1</t>
        </is>
      </c>
      <c r="BG793" s="24" t="inlineStr">
        <is>
          <t>d777da58446bc099047b154203518e2585ef1a678f613f2b430f2589f7bf5cff</t>
        </is>
      </c>
      <c r="BH793" s="24" t="inlineStr">
        <is>
          <t>2026-08-31T04:41:24.692193Z</t>
        </is>
      </c>
      <c r="BI793" s="24" t="inlineStr">
        <is>
          <t>["same_event","same_team_same_day","same_league_same_day"]</t>
        </is>
      </c>
      <c r="BJ793" s="25" t="n"/>
      <c r="BK793" s="26" t="n">
        <v>-376</v>
      </c>
      <c r="BL793" s="27" t="n">
        <v>1.265957</v>
      </c>
      <c r="BM793" s="28" t="n">
        <v>0.789916</v>
      </c>
      <c r="BN793" s="28" t="n"/>
      <c r="BO793" s="28" t="n"/>
      <c r="BP793" s="25" t="n"/>
      <c r="BQ793" s="27" t="n">
        <v>1.265957</v>
      </c>
      <c r="BR793" s="28" t="n">
        <v>0.79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inlineStr">
        <is>
          <t>0236b54a7ebe61ff0de061d81a6e17ed09e0eb0b156aa7241ac34ee94a6a8392</t>
        </is>
      </c>
      <c r="DE793" s="24" t="inlineStr">
        <is>
          <t>/Users/vincentc9002/model-prediction/data/odds/tennis/2026-08-31/polymarket_snapshots.jsonl</t>
        </is>
      </c>
      <c r="DF793" s="24" t="inlineStr">
        <is>
          <t>547301:2026-08-31T04:41:24.692193Z</t>
        </is>
      </c>
      <c r="DG793" s="24" t="n"/>
      <c r="DH793" s="24" t="n"/>
      <c r="DI793" s="24" t="n"/>
      <c r="DJ793" s="24" t="inlineStr">
        <is>
          <t>0.789916</t>
        </is>
      </c>
      <c r="DK793" s="24" t="n"/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7e11dee30fe846f9</t>
        </is>
      </c>
      <c r="B794" s="24" t="inlineStr">
        <is>
          <t>2026-08-31T04:42:52.714206Z</t>
        </is>
      </c>
      <c r="C794" s="24" t="inlineStr">
        <is>
          <t>2026-08-31T15:30Z</t>
        </is>
      </c>
      <c r="D794" s="24" t="inlineStr">
        <is>
          <t>189-2026:182592</t>
        </is>
      </c>
      <c r="E794" s="24" t="inlineStr">
        <is>
          <t>TENNIS</t>
        </is>
      </c>
      <c r="F794" s="24" t="inlineStr">
        <is>
          <t>Camila Osorio</t>
        </is>
      </c>
      <c r="G794" s="24" t="inlineStr">
        <is>
          <t>Aryna Sabalenka</t>
        </is>
      </c>
      <c r="H794" s="24" t="inlineStr">
        <is>
          <t>moneyline</t>
        </is>
      </c>
      <c r="I794" s="24" t="inlineStr">
        <is>
          <t>home</t>
        </is>
      </c>
      <c r="J794" s="25" t="n"/>
      <c r="K794" s="24" t="inlineStr">
        <is>
          <t>polymarket_us</t>
        </is>
      </c>
      <c r="L794" s="26" t="n">
        <v>-1567</v>
      </c>
      <c r="M794" s="27" t="n">
        <v>1.063816</v>
      </c>
      <c r="N794" s="28" t="n">
        <v>0.940012</v>
      </c>
      <c r="O794" s="28" t="n">
        <v>0.9036</v>
      </c>
      <c r="P794" s="28" t="n">
        <v>0.05</v>
      </c>
      <c r="Q794" s="28" t="n">
        <v>-0.036412</v>
      </c>
      <c r="R794" s="26" t="n">
        <v>2</v>
      </c>
      <c r="S794" s="29" t="n">
        <v>1</v>
      </c>
      <c r="T794" s="24" t="inlineStr">
        <is>
          <t>tennis-surface-elo-v1</t>
        </is>
      </c>
      <c r="U794" s="24" t="inlineStr">
        <is>
          <t>settled</t>
        </is>
      </c>
      <c r="V794" s="24" t="inlineStr">
        <is>
          <t>win</t>
        </is>
      </c>
      <c r="W794" s="26" t="n">
        <v>0</v>
      </c>
      <c r="X794" s="26" t="n">
        <v>1</v>
      </c>
      <c r="Y794" s="25" t="n"/>
      <c r="Z794" s="26" t="n">
        <v>-1567</v>
      </c>
      <c r="AA794" s="28" t="n">
        <v>0.9399999999999999</v>
      </c>
      <c r="AB794" s="28" t="n">
        <v>-1.2e-05</v>
      </c>
      <c r="AC794" s="30" t="n">
        <v>0.0638</v>
      </c>
      <c r="AD794" s="24" t="inlineStr">
        <is>
          <t>2026-09-01T04:34:18.803730Z</t>
        </is>
      </c>
      <c r="AE794" s="31" t="inlineStr">
        <is>
          <t>Surface-blended Elo on Hard: Camila Osorio p=0.096 vs Aryna Sabalenka. Executable ask 0.9400 (aec-wta-arysab-camoso-2026-08-30).</t>
        </is>
      </c>
      <c r="AF794" s="31" t="inlineStr">
        <is>
          <t>Surface-blended Elo model; singles only, WTA+ATP market coverage, not yet locked-holdout qualified -- promoted by explicit operator directive, not genuine walk-forward validation.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paper_call</t>
        </is>
      </c>
      <c r="AL794" s="26" t="n">
        <v>4</v>
      </c>
      <c r="AM794" s="24" t="inlineStr">
        <is>
          <t>RESEARCH_OBSERVATION</t>
        </is>
      </c>
      <c r="AN794" s="24" t="inlineStr">
        <is>
          <t>CALL</t>
        </is>
      </c>
      <c r="AO794" s="24" t="inlineStr">
        <is>
          <t>PAPER_CALL_LOW_EDGE</t>
        </is>
      </c>
      <c r="AP794" s="24" t="inlineStr">
        <is>
          <t>Camila Osorio</t>
        </is>
      </c>
      <c r="AQ794" s="24" t="inlineStr">
        <is>
          <t>Camila Osorio</t>
        </is>
      </c>
      <c r="AR794" s="24" t="inlineStr">
        <is>
          <t>Camila Osorio</t>
        </is>
      </c>
      <c r="AS794" s="24" t="inlineStr">
        <is>
          <t>Aryna Sabalenka</t>
        </is>
      </c>
      <c r="AT794" s="24" t="inlineStr">
        <is>
          <t>Aryna Sabalenka</t>
        </is>
      </c>
      <c r="AU794" s="24" t="inlineStr">
        <is>
          <t>Aryna Sabalenka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d777da58446bc099047b154203518e2585ef1a678f613f2b430f2589f7bf5cff</t>
        </is>
      </c>
      <c r="BB794" s="24" t="inlineStr">
        <is>
          <t>surface_blended_elo</t>
        </is>
      </c>
      <c r="BC794" s="24" t="inlineStr">
        <is>
          <t>tennis-surface-elo-v1</t>
        </is>
      </c>
      <c r="BD794" s="24" t="inlineStr">
        <is>
          <t>d777da58446bc099047b154203518e2585ef1a678f613f2b430f2589f7bf5cff</t>
        </is>
      </c>
      <c r="BE794" s="24" t="inlineStr">
        <is>
          <t>tennis-surface-elo-v1</t>
        </is>
      </c>
      <c r="BF794" s="24" t="inlineStr">
        <is>
          <t>1</t>
        </is>
      </c>
      <c r="BG794" s="24" t="inlineStr">
        <is>
          <t>d777da58446bc099047b154203518e2585ef1a678f613f2b430f2589f7bf5cff</t>
        </is>
      </c>
      <c r="BH794" s="24" t="inlineStr">
        <is>
          <t>2026-08-31T04:41:24.861038Z</t>
        </is>
      </c>
      <c r="BI794" s="24" t="inlineStr">
        <is>
          <t>["same_event","same_team_same_day","same_league_same_day"]</t>
        </is>
      </c>
      <c r="BJ794" s="25" t="n"/>
      <c r="BK794" s="26" t="n">
        <v>-1567</v>
      </c>
      <c r="BL794" s="27" t="n">
        <v>1.063816</v>
      </c>
      <c r="BM794" s="28" t="n">
        <v>0.940012</v>
      </c>
      <c r="BN794" s="28" t="n"/>
      <c r="BO794" s="28" t="n"/>
      <c r="BP794" s="25" t="n"/>
      <c r="BQ794" s="27" t="n">
        <v>1.063816</v>
      </c>
      <c r="BR794" s="28" t="n">
        <v>0.9399999999999999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inlineStr">
        <is>
          <t>f9da37ea5ac240ec2d4028458a2129ff7c7e3bac05d62ec74ee73d587f7f5a51</t>
        </is>
      </c>
      <c r="DE794" s="24" t="inlineStr">
        <is>
          <t>/Users/vincentc9002/model-prediction/data/odds/tennis/2026-08-31/polymarket_snapshots.jsonl</t>
        </is>
      </c>
      <c r="DF794" s="24" t="inlineStr">
        <is>
          <t>547248:2026-08-31T04:41:24.861038Z</t>
        </is>
      </c>
      <c r="DG794" s="24" t="n"/>
      <c r="DH794" s="24" t="n"/>
      <c r="DI794" s="24" t="n"/>
      <c r="DJ794" s="24" t="inlineStr">
        <is>
          <t>0.940012</t>
        </is>
      </c>
      <c r="DK794" s="24" t="n"/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3b10946d37be49b3</t>
        </is>
      </c>
      <c r="B795" s="24" t="inlineStr">
        <is>
          <t>2026-08-31T04:42:52.714206Z</t>
        </is>
      </c>
      <c r="C795" s="24" t="inlineStr">
        <is>
          <t>2026-08-31T15:00Z</t>
        </is>
      </c>
      <c r="D795" s="24" t="inlineStr">
        <is>
          <t>189-2026:182655</t>
        </is>
      </c>
      <c r="E795" s="24" t="inlineStr">
        <is>
          <t>TENNIS</t>
        </is>
      </c>
      <c r="F795" s="24" t="inlineStr">
        <is>
          <t>Arthur Fils</t>
        </is>
      </c>
      <c r="G795" s="24" t="inlineStr">
        <is>
          <t>Stefanos Tsitsipas</t>
        </is>
      </c>
      <c r="H795" s="24" t="inlineStr">
        <is>
          <t>moneyline</t>
        </is>
      </c>
      <c r="I795" s="24" t="inlineStr">
        <is>
          <t>away</t>
        </is>
      </c>
      <c r="J795" s="25" t="n"/>
      <c r="K795" s="24" t="inlineStr">
        <is>
          <t>polymarket_us</t>
        </is>
      </c>
      <c r="L795" s="26" t="n">
        <v>-426</v>
      </c>
      <c r="M795" s="27" t="n">
        <v>1.234742</v>
      </c>
      <c r="N795" s="28" t="n">
        <v>0.809886</v>
      </c>
      <c r="O795" s="28" t="n">
        <v>0.7864</v>
      </c>
      <c r="P795" s="28" t="n">
        <v>0.05</v>
      </c>
      <c r="Q795" s="28" t="n">
        <v>-0.023486</v>
      </c>
      <c r="R795" s="26" t="n">
        <v>8</v>
      </c>
      <c r="S795" s="29" t="n">
        <v>1</v>
      </c>
      <c r="T795" s="24" t="inlineStr">
        <is>
          <t>tennis-surface-elo-v1</t>
        </is>
      </c>
      <c r="U795" s="24" t="inlineStr">
        <is>
          <t>settled</t>
        </is>
      </c>
      <c r="V795" s="24" t="inlineStr">
        <is>
          <t>loss</t>
        </is>
      </c>
      <c r="W795" s="26" t="n">
        <v>0</v>
      </c>
      <c r="X795" s="26" t="n">
        <v>1</v>
      </c>
      <c r="Y795" s="25" t="n"/>
      <c r="Z795" s="26" t="n">
        <v>-426</v>
      </c>
      <c r="AA795" s="28" t="n">
        <v>0.8100000000000001</v>
      </c>
      <c r="AB795" s="28" t="n">
        <v>0.000114</v>
      </c>
      <c r="AC795" s="30" t="n">
        <v>-1</v>
      </c>
      <c r="AD795" s="24" t="inlineStr">
        <is>
          <t>2026-09-01T04:34:21.320309Z</t>
        </is>
      </c>
      <c r="AE795" s="31" t="inlineStr">
        <is>
          <t>Surface-blended Elo on Hard: Arthur Fils p=0.786 vs Stefanos Tsitsipas. Executable ask 0.8100 (aec-atp-stetsi-artfil-2026-08-30).</t>
        </is>
      </c>
      <c r="AF795" s="31" t="inlineStr">
        <is>
          <t>Surface-blended Elo model; singles only, WTA+ATP market coverage, not yet locked-holdout qualified -- promoted by explicit operator directive, not genuine walk-forward validation.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Arthur Fils</t>
        </is>
      </c>
      <c r="AQ795" s="24" t="inlineStr">
        <is>
          <t>Arthur Fils</t>
        </is>
      </c>
      <c r="AR795" s="24" t="inlineStr">
        <is>
          <t>Arthur Fils</t>
        </is>
      </c>
      <c r="AS795" s="24" t="inlineStr">
        <is>
          <t>Stefanos Tsitsipas</t>
        </is>
      </c>
      <c r="AT795" s="24" t="inlineStr">
        <is>
          <t>Stefanos Tsitsipas</t>
        </is>
      </c>
      <c r="AU795" s="24" t="inlineStr">
        <is>
          <t>Stefanos Tsitsipas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d777da58446bc099047b154203518e2585ef1a678f613f2b430f2589f7bf5cff</t>
        </is>
      </c>
      <c r="BB795" s="24" t="inlineStr">
        <is>
          <t>surface_blended_elo</t>
        </is>
      </c>
      <c r="BC795" s="24" t="inlineStr">
        <is>
          <t>tennis-surface-elo-v1</t>
        </is>
      </c>
      <c r="BD795" s="24" t="inlineStr">
        <is>
          <t>d777da58446bc099047b154203518e2585ef1a678f613f2b430f2589f7bf5cff</t>
        </is>
      </c>
      <c r="BE795" s="24" t="inlineStr">
        <is>
          <t>tennis-surface-elo-v1</t>
        </is>
      </c>
      <c r="BF795" s="24" t="inlineStr">
        <is>
          <t>1</t>
        </is>
      </c>
      <c r="BG795" s="24" t="inlineStr">
        <is>
          <t>d777da58446bc099047b154203518e2585ef1a678f613f2b430f2589f7bf5cff</t>
        </is>
      </c>
      <c r="BH795" s="24" t="inlineStr">
        <is>
          <t>2026-08-31T04:41:25.738526Z</t>
        </is>
      </c>
      <c r="BI795" s="24" t="inlineStr">
        <is>
          <t>["same_event","same_team_same_day","same_league_same_day"]</t>
        </is>
      </c>
      <c r="BJ795" s="25" t="n"/>
      <c r="BK795" s="26" t="n">
        <v>-426</v>
      </c>
      <c r="BL795" s="27" t="n">
        <v>1.234742</v>
      </c>
      <c r="BM795" s="28" t="n">
        <v>0.809886</v>
      </c>
      <c r="BN795" s="28" t="n"/>
      <c r="BO795" s="28" t="n"/>
      <c r="BP795" s="25" t="n"/>
      <c r="BQ795" s="27" t="n">
        <v>1.234742</v>
      </c>
      <c r="BR795" s="28" t="n">
        <v>0.8100000000000001</v>
      </c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False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inlineStr">
        <is>
          <t>ee405678253d555bd76403a9398217ac141064b6a1bf66152f3820eb4db88418</t>
        </is>
      </c>
      <c r="DE795" s="24" t="inlineStr">
        <is>
          <t>/Users/vincentc9002/model-prediction/data/odds/tennis/2026-08-31/polymarket_snapshots.jsonl</t>
        </is>
      </c>
      <c r="DF795" s="24" t="inlineStr">
        <is>
          <t>547338:2026-08-31T04:41:25.738526Z</t>
        </is>
      </c>
      <c r="DG795" s="24" t="n"/>
      <c r="DH795" s="24" t="n"/>
      <c r="DI795" s="24" t="n"/>
      <c r="DJ795" s="24" t="inlineStr">
        <is>
          <t>0.809886</t>
        </is>
      </c>
      <c r="DK795" s="24" t="n"/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a8de20bf44da4ba9</t>
        </is>
      </c>
      <c r="B796" s="24" t="inlineStr">
        <is>
          <t>2026-08-31T04:42:52.714206Z</t>
        </is>
      </c>
      <c r="C796" s="24" t="inlineStr">
        <is>
          <t>2026-08-31T15:00Z</t>
        </is>
      </c>
      <c r="D796" s="24" t="inlineStr">
        <is>
          <t>189-2026:182673</t>
        </is>
      </c>
      <c r="E796" s="24" t="inlineStr">
        <is>
          <t>TENNIS</t>
        </is>
      </c>
      <c r="F796" s="24" t="inlineStr">
        <is>
          <t>Andrey Rublev</t>
        </is>
      </c>
      <c r="G796" s="24" t="inlineStr">
        <is>
          <t>Otto Virtanen</t>
        </is>
      </c>
      <c r="H796" s="24" t="inlineStr">
        <is>
          <t>moneyline</t>
        </is>
      </c>
      <c r="I796" s="24" t="inlineStr">
        <is>
          <t>away</t>
        </is>
      </c>
      <c r="J796" s="25" t="n"/>
      <c r="K796" s="24" t="inlineStr">
        <is>
          <t>polymarket_us</t>
        </is>
      </c>
      <c r="L796" s="26" t="n">
        <v>-488</v>
      </c>
      <c r="M796" s="27" t="n">
        <v>1.204918</v>
      </c>
      <c r="N796" s="28" t="n">
        <v>0.829932</v>
      </c>
      <c r="O796" s="28" t="n">
        <v>0.734</v>
      </c>
      <c r="P796" s="28" t="n">
        <v>0.05</v>
      </c>
      <c r="Q796" s="28" t="n">
        <v>-0.095932</v>
      </c>
      <c r="R796" s="26" t="n">
        <v>0</v>
      </c>
      <c r="S796" s="29" t="n">
        <v>1</v>
      </c>
      <c r="T796" s="24" t="inlineStr">
        <is>
          <t>tennis-surface-elo-v1</t>
        </is>
      </c>
      <c r="U796" s="24" t="inlineStr">
        <is>
          <t>settled</t>
        </is>
      </c>
      <c r="V796" s="24" t="inlineStr">
        <is>
          <t>win</t>
        </is>
      </c>
      <c r="W796" s="26" t="n">
        <v>1</v>
      </c>
      <c r="X796" s="26" t="n">
        <v>0</v>
      </c>
      <c r="Y796" s="25" t="n"/>
      <c r="Z796" s="26" t="n">
        <v>-488</v>
      </c>
      <c r="AA796" s="28" t="n">
        <v>0.83</v>
      </c>
      <c r="AB796" s="28" t="n">
        <v>6.8e-05</v>
      </c>
      <c r="AC796" s="30" t="n">
        <v>0.2049</v>
      </c>
      <c r="AD796" s="24" t="inlineStr">
        <is>
          <t>2026-09-01T04:34:23.864436Z</t>
        </is>
      </c>
      <c r="AE796" s="31" t="inlineStr">
        <is>
          <t>Surface-blended Elo on Hard: Andrey Rublev p=0.734 vs Otto Virtanen. Executable ask 0.8300 (aec-atp-ottvir-andrub-2026-08-31).</t>
        </is>
      </c>
      <c r="AF796" s="31" t="inlineStr">
        <is>
          <t>Surface-blended Elo model; singles only, WTA+ATP market coverage, not yet locked-holdout qualified -- promoted by explicit operator directive, not genuine walk-forward validation.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Andrey Rublev</t>
        </is>
      </c>
      <c r="AQ796" s="24" t="inlineStr">
        <is>
          <t>Andrey Rublev</t>
        </is>
      </c>
      <c r="AR796" s="24" t="inlineStr">
        <is>
          <t>Andrey Rublev</t>
        </is>
      </c>
      <c r="AS796" s="24" t="inlineStr">
        <is>
          <t>Otto Virtanen</t>
        </is>
      </c>
      <c r="AT796" s="24" t="inlineStr">
        <is>
          <t>Otto Virtanen</t>
        </is>
      </c>
      <c r="AU796" s="24" t="inlineStr">
        <is>
          <t>Otto Virtanen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d777da58446bc099047b154203518e2585ef1a678f613f2b430f2589f7bf5cff</t>
        </is>
      </c>
      <c r="BB796" s="24" t="inlineStr">
        <is>
          <t>surface_blended_elo</t>
        </is>
      </c>
      <c r="BC796" s="24" t="inlineStr">
        <is>
          <t>tennis-surface-elo-v1</t>
        </is>
      </c>
      <c r="BD796" s="24" t="inlineStr">
        <is>
          <t>d777da58446bc099047b154203518e2585ef1a678f613f2b430f2589f7bf5cff</t>
        </is>
      </c>
      <c r="BE796" s="24" t="inlineStr">
        <is>
          <t>tennis-surface-elo-v1</t>
        </is>
      </c>
      <c r="BF796" s="24" t="inlineStr">
        <is>
          <t>1</t>
        </is>
      </c>
      <c r="BG796" s="24" t="inlineStr">
        <is>
          <t>d777da58446bc099047b154203518e2585ef1a678f613f2b430f2589f7bf5cff</t>
        </is>
      </c>
      <c r="BH796" s="24" t="inlineStr">
        <is>
          <t>2026-08-31T04:41:25.752117Z</t>
        </is>
      </c>
      <c r="BI796" s="24" t="inlineStr">
        <is>
          <t>["same_event","same_team_same_day","same_league_same_day"]</t>
        </is>
      </c>
      <c r="BJ796" s="25" t="n"/>
      <c r="BK796" s="26" t="n">
        <v>-488</v>
      </c>
      <c r="BL796" s="27" t="n">
        <v>1.204918</v>
      </c>
      <c r="BM796" s="28" t="n">
        <v>0.829932</v>
      </c>
      <c r="BN796" s="28" t="n"/>
      <c r="BO796" s="28" t="n"/>
      <c r="BP796" s="25" t="n"/>
      <c r="BQ796" s="27" t="n">
        <v>1.204918</v>
      </c>
      <c r="BR796" s="28" t="n">
        <v>0.83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inlineStr">
        <is>
          <t>623eeb023fa3a3368b10f9bb712ee67e2a8be9939eb40cb33b09305dd2ca2dd5</t>
        </is>
      </c>
      <c r="DE796" s="24" t="inlineStr">
        <is>
          <t>/Users/vincentc9002/model-prediction/data/odds/tennis/2026-08-31/polymarket_snapshots.jsonl</t>
        </is>
      </c>
      <c r="DF796" s="24" t="inlineStr">
        <is>
          <t>582226:2026-08-31T04:41:25.752117Z</t>
        </is>
      </c>
      <c r="DG796" s="24" t="n"/>
      <c r="DH796" s="24" t="n"/>
      <c r="DI796" s="24" t="n"/>
      <c r="DJ796" s="24" t="inlineStr">
        <is>
          <t>0.829932</t>
        </is>
      </c>
      <c r="DK796" s="24" t="n"/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3b7e5098f1c24f50</t>
        </is>
      </c>
      <c r="B797" s="24" t="inlineStr">
        <is>
          <t>2026-08-31T04:42:52.714206Z</t>
        </is>
      </c>
      <c r="C797" s="24" t="inlineStr">
        <is>
          <t>2026-08-31T15:00Z</t>
        </is>
      </c>
      <c r="D797" s="24" t="inlineStr">
        <is>
          <t>189-2026:182760</t>
        </is>
      </c>
      <c r="E797" s="24" t="inlineStr">
        <is>
          <t>TENNIS</t>
        </is>
      </c>
      <c r="F797" s="24" t="inlineStr">
        <is>
          <t>Aleksandar Kovacevic</t>
        </is>
      </c>
      <c r="G797" s="24" t="inlineStr">
        <is>
          <t>Valentin Vacherot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-108</v>
      </c>
      <c r="M797" s="27" t="n">
        <v>1.925926</v>
      </c>
      <c r="N797" s="28" t="n">
        <v>0.519231</v>
      </c>
      <c r="O797" s="28" t="n">
        <v>0.6385</v>
      </c>
      <c r="P797" s="28" t="n">
        <v>0.05</v>
      </c>
      <c r="Q797" s="28" t="n">
        <v>0.119269</v>
      </c>
      <c r="R797" s="26" t="n">
        <v>80</v>
      </c>
      <c r="S797" s="29" t="n">
        <v>1.5</v>
      </c>
      <c r="T797" s="24" t="inlineStr">
        <is>
          <t>tennis-surface-elo-v1</t>
        </is>
      </c>
      <c r="U797" s="24" t="inlineStr">
        <is>
          <t>settled</t>
        </is>
      </c>
      <c r="V797" s="24" t="inlineStr">
        <is>
          <t>win</t>
        </is>
      </c>
      <c r="W797" s="26" t="n">
        <v>0</v>
      </c>
      <c r="X797" s="26" t="n">
        <v>1</v>
      </c>
      <c r="Y797" s="25" t="n"/>
      <c r="Z797" s="26" t="n">
        <v>-108</v>
      </c>
      <c r="AA797" s="28" t="n">
        <v>0.52</v>
      </c>
      <c r="AB797" s="28" t="n">
        <v>0.000769</v>
      </c>
      <c r="AC797" s="30" t="n">
        <v>1.3889</v>
      </c>
      <c r="AD797" s="24" t="inlineStr">
        <is>
          <t>2026-09-01T04:34:26.454912Z</t>
        </is>
      </c>
      <c r="AE797" s="31" t="inlineStr">
        <is>
          <t>Surface-blended Elo on Hard: Aleksandar Kovacevic p=0.361 vs Valentin Vacherot. Executable ask 0.5200 (aec-atp-valvac-alekov-2026-08-30).</t>
        </is>
      </c>
      <c r="AF797" s="31" t="inlineStr">
        <is>
          <t>Surface-blended Elo model; singles only, WTA+ATP market coverage, not yet locked-holdout qualified -- promoted by explicit operator directive, not genuine walk-forward validation.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Aleksandar Kovacevic</t>
        </is>
      </c>
      <c r="AQ797" s="24" t="inlineStr">
        <is>
          <t>Aleksandar Kovacevic</t>
        </is>
      </c>
      <c r="AR797" s="24" t="inlineStr">
        <is>
          <t>Aleksandar Kovacevic</t>
        </is>
      </c>
      <c r="AS797" s="24" t="inlineStr">
        <is>
          <t>Valentin Vacherot</t>
        </is>
      </c>
      <c r="AT797" s="24" t="inlineStr">
        <is>
          <t>Valentin Vacherot</t>
        </is>
      </c>
      <c r="AU797" s="24" t="inlineStr">
        <is>
          <t>Valentin Vacherot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d777da58446bc099047b154203518e2585ef1a678f613f2b430f2589f7bf5cff</t>
        </is>
      </c>
      <c r="BB797" s="24" t="inlineStr">
        <is>
          <t>surface_blended_elo</t>
        </is>
      </c>
      <c r="BC797" s="24" t="inlineStr">
        <is>
          <t>tennis-surface-elo-v1</t>
        </is>
      </c>
      <c r="BD797" s="24" t="inlineStr">
        <is>
          <t>d777da58446bc099047b154203518e2585ef1a678f613f2b430f2589f7bf5cff</t>
        </is>
      </c>
      <c r="BE797" s="24" t="inlineStr">
        <is>
          <t>tennis-surface-elo-v1</t>
        </is>
      </c>
      <c r="BF797" s="24" t="inlineStr">
        <is>
          <t>1</t>
        </is>
      </c>
      <c r="BG797" s="24" t="inlineStr">
        <is>
          <t>d777da58446bc099047b154203518e2585ef1a678f613f2b430f2589f7bf5cff</t>
        </is>
      </c>
      <c r="BH797" s="24" t="inlineStr">
        <is>
          <t>2026-08-31T04:41:25.661335Z</t>
        </is>
      </c>
      <c r="BI797" s="24" t="inlineStr">
        <is>
          <t>["same_event","same_team_same_day","same_league_same_day"]</t>
        </is>
      </c>
      <c r="BJ797" s="25" t="n"/>
      <c r="BK797" s="26" t="n">
        <v>-108</v>
      </c>
      <c r="BL797" s="27" t="n">
        <v>1.925926</v>
      </c>
      <c r="BM797" s="28" t="n">
        <v>0.519231</v>
      </c>
      <c r="BN797" s="28" t="n"/>
      <c r="BO797" s="28" t="n"/>
      <c r="BP797" s="25" t="n"/>
      <c r="BQ797" s="27" t="n">
        <v>1.925926</v>
      </c>
      <c r="BR797" s="28" t="n">
        <v>0.52</v>
      </c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inlineStr">
        <is>
          <t>6ef7338cc3724e93d8a2c4bcfe12b2194cc700d62dd7021041630f529e342d10</t>
        </is>
      </c>
      <c r="DE797" s="24" t="inlineStr">
        <is>
          <t>/Users/vincentc9002/model-prediction/data/odds/tennis/2026-08-31/polymarket_snapshots.jsonl</t>
        </is>
      </c>
      <c r="DF797" s="24" t="inlineStr">
        <is>
          <t>547300:2026-08-31T04:41:25.661335Z</t>
        </is>
      </c>
      <c r="DG797" s="24" t="n"/>
      <c r="DH797" s="24" t="n"/>
      <c r="DI797" s="24" t="n"/>
      <c r="DJ797" s="24" t="inlineStr">
        <is>
          <t>0.519231</t>
        </is>
      </c>
      <c r="DK797" s="24" t="n"/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53bf440b7f0d474c</t>
        </is>
      </c>
      <c r="B798" s="24" t="inlineStr">
        <is>
          <t>2026-08-31T16:04:31.779137Z</t>
        </is>
      </c>
      <c r="C798" s="24" t="inlineStr">
        <is>
          <t>2026-08-31T16:30Z</t>
        </is>
      </c>
      <c r="D798" s="24" t="inlineStr">
        <is>
          <t>189-2026:182590</t>
        </is>
      </c>
      <c r="E798" s="24" t="inlineStr">
        <is>
          <t>TENNIS</t>
        </is>
      </c>
      <c r="F798" s="24" t="inlineStr">
        <is>
          <t>Oksana Selekhmeteva</t>
        </is>
      </c>
      <c r="G798" s="24" t="inlineStr">
        <is>
          <t>Aoi Ito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-170</v>
      </c>
      <c r="M798" s="27" t="n">
        <v>1.588235</v>
      </c>
      <c r="N798" s="28" t="n">
        <v>0.62963</v>
      </c>
      <c r="O798" s="28" t="n">
        <v>0.608</v>
      </c>
      <c r="P798" s="28" t="n">
        <v>0.05</v>
      </c>
      <c r="Q798" s="28" t="n">
        <v>-0.02163</v>
      </c>
      <c r="R798" s="26" t="n">
        <v>9</v>
      </c>
      <c r="S798" s="29" t="n">
        <v>1</v>
      </c>
      <c r="T798" s="24" t="inlineStr">
        <is>
          <t>tennis-surface-elo-v1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0</v>
      </c>
      <c r="Y798" s="25" t="n"/>
      <c r="Z798" s="26" t="n">
        <v>-170</v>
      </c>
      <c r="AA798" s="28" t="n">
        <v>0.63</v>
      </c>
      <c r="AB798" s="28" t="n">
        <v>0.00037</v>
      </c>
      <c r="AC798" s="30" t="n">
        <v>0.5881999999999999</v>
      </c>
      <c r="AD798" s="24" t="inlineStr">
        <is>
          <t>2026-09-01T04:36:57.605678Z</t>
        </is>
      </c>
      <c r="AE798" s="31" t="inlineStr">
        <is>
          <t>Surface-blended Elo on Hard: Oksana Selekhmeteva p=0.608 vs Aoi Ito. Executable ask 0.6300 (aec-wta-aoiito-okssel-2026-08-30).</t>
        </is>
      </c>
      <c r="AF798" s="31" t="inlineStr">
        <is>
          <t>Surface-blended Elo model; singles only, WTA+ATP market coverage, not yet locked-holdout qualified -- promoted by explicit operator directive, not genuine walk-forward validation.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Oksana Selekhmeteva</t>
        </is>
      </c>
      <c r="AQ798" s="24" t="inlineStr">
        <is>
          <t>Oksana Selekhmeteva</t>
        </is>
      </c>
      <c r="AR798" s="24" t="inlineStr">
        <is>
          <t>Oksana Selekhmeteva</t>
        </is>
      </c>
      <c r="AS798" s="24" t="inlineStr">
        <is>
          <t>Aoi Ito</t>
        </is>
      </c>
      <c r="AT798" s="24" t="inlineStr">
        <is>
          <t>Aoi Ito</t>
        </is>
      </c>
      <c r="AU798" s="24" t="inlineStr">
        <is>
          <t>Aoi Ito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a67bb04c83bafa75b17d3013fcd4c13f2ff17c27af73dd591a6770e000183022</t>
        </is>
      </c>
      <c r="BB798" s="24" t="inlineStr">
        <is>
          <t>surface_blended_elo</t>
        </is>
      </c>
      <c r="BC798" s="24" t="inlineStr">
        <is>
          <t>tennis-surface-elo-v1</t>
        </is>
      </c>
      <c r="BD798" s="24" t="inlineStr">
        <is>
          <t>a67bb04c83bafa75b17d3013fcd4c13f2ff17c27af73dd591a6770e000183022</t>
        </is>
      </c>
      <c r="BE798" s="24" t="inlineStr">
        <is>
          <t>tennis-surface-elo-v1</t>
        </is>
      </c>
      <c r="BF798" s="24" t="inlineStr">
        <is>
          <t>1</t>
        </is>
      </c>
      <c r="BG798" s="24" t="inlineStr">
        <is>
          <t>a67bb04c83bafa75b17d3013fcd4c13f2ff17c27af73dd591a6770e000183022</t>
        </is>
      </c>
      <c r="BH798" s="24" t="inlineStr">
        <is>
          <t>2026-08-31T16:02:38.692918Z</t>
        </is>
      </c>
      <c r="BI798" s="24" t="inlineStr">
        <is>
          <t>["same_event","same_team_same_day","same_league_same_day"]</t>
        </is>
      </c>
      <c r="BJ798" s="25" t="n"/>
      <c r="BK798" s="26" t="n">
        <v>-170</v>
      </c>
      <c r="BL798" s="27" t="n">
        <v>1.588235</v>
      </c>
      <c r="BM798" s="28" t="n">
        <v>0.62963</v>
      </c>
      <c r="BN798" s="28" t="n"/>
      <c r="BO798" s="28" t="n"/>
      <c r="BP798" s="25" t="n"/>
      <c r="BQ798" s="27" t="n">
        <v>1.588235</v>
      </c>
      <c r="BR798" s="28" t="n">
        <v>0.63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inlineStr">
        <is>
          <t>f7ddd917b42ed5f4d91571abcfd462ce5bcbe4ecbacd6f8d7952771f0c286176</t>
        </is>
      </c>
      <c r="DE798" s="24" t="inlineStr">
        <is>
          <t>/Users/vincentc9002/model-prediction/data/odds/tennis/2026-08-31/polymarket_snapshots.jsonl</t>
        </is>
      </c>
      <c r="DF798" s="24" t="inlineStr">
        <is>
          <t>547249:2026-08-31T16:02:38.692918Z</t>
        </is>
      </c>
      <c r="DG798" s="24" t="n"/>
      <c r="DH798" s="24" t="n"/>
      <c r="DI798" s="24" t="n"/>
      <c r="DJ798" s="24" t="inlineStr">
        <is>
          <t>0.62963</t>
        </is>
      </c>
      <c r="DK798" s="24" t="n"/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66c44022f33d42e2</t>
        </is>
      </c>
      <c r="B799" s="24" t="inlineStr">
        <is>
          <t>2026-08-31T16:04:31.779137Z</t>
        </is>
      </c>
      <c r="C799" s="24" t="inlineStr">
        <is>
          <t>2026-08-31T16:30Z</t>
        </is>
      </c>
      <c r="D799" s="24" t="inlineStr">
        <is>
          <t>189-2026:182653</t>
        </is>
      </c>
      <c r="E799" s="24" t="inlineStr">
        <is>
          <t>TENNIS</t>
        </is>
      </c>
      <c r="F799" s="24" t="inlineStr">
        <is>
          <t>Anna Kalinskaya</t>
        </is>
      </c>
      <c r="G799" s="24" t="inlineStr">
        <is>
          <t>Anna Blinkova</t>
        </is>
      </c>
      <c r="H799" s="24" t="inlineStr">
        <is>
          <t>moneyline</t>
        </is>
      </c>
      <c r="I799" s="24" t="inlineStr">
        <is>
          <t>away</t>
        </is>
      </c>
      <c r="J799" s="25" t="n"/>
      <c r="K799" s="24" t="inlineStr">
        <is>
          <t>polymarket_us</t>
        </is>
      </c>
      <c r="L799" s="26" t="n">
        <v>-300</v>
      </c>
      <c r="M799" s="27" t="n">
        <v>1.333333</v>
      </c>
      <c r="N799" s="28" t="n">
        <v>0.75</v>
      </c>
      <c r="O799" s="28" t="n">
        <v>0.7119</v>
      </c>
      <c r="P799" s="28" t="n">
        <v>0.05</v>
      </c>
      <c r="Q799" s="28" t="n">
        <v>-0.0381</v>
      </c>
      <c r="R799" s="26" t="n">
        <v>1</v>
      </c>
      <c r="S799" s="29" t="n">
        <v>1</v>
      </c>
      <c r="T799" s="24" t="inlineStr">
        <is>
          <t>tennis-surface-elo-v1</t>
        </is>
      </c>
      <c r="U799" s="24" t="inlineStr">
        <is>
          <t>settled</t>
        </is>
      </c>
      <c r="V799" s="24" t="inlineStr">
        <is>
          <t>win</t>
        </is>
      </c>
      <c r="W799" s="26" t="n">
        <v>1</v>
      </c>
      <c r="X799" s="26" t="n">
        <v>0</v>
      </c>
      <c r="Y799" s="25" t="n"/>
      <c r="Z799" s="26" t="n">
        <v>-300</v>
      </c>
      <c r="AA799" s="28" t="n">
        <v>0.75</v>
      </c>
      <c r="AB799" s="28" t="n">
        <v>0</v>
      </c>
      <c r="AC799" s="30" t="n">
        <v>0.3333</v>
      </c>
      <c r="AD799" s="24" t="inlineStr">
        <is>
          <t>2026-09-01T04:37:04.283818Z</t>
        </is>
      </c>
      <c r="AE799" s="31" t="inlineStr">
        <is>
          <t>Surface-blended Elo on Hard: Anna Kalinskaya p=0.712 vs Anna Blinkova. Executable ask 0.7500 (aec-wta-annbli-annkal-2026-08-30).</t>
        </is>
      </c>
      <c r="AF799" s="31" t="inlineStr">
        <is>
          <t>Surface-blended Elo model; singles only, WTA+ATP market coverage, not yet locked-holdout qualified -- promoted by explicit operator directive, not genuine walk-forward validation.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Anna Kalinskaya</t>
        </is>
      </c>
      <c r="AQ799" s="24" t="inlineStr">
        <is>
          <t>Anna Kalinskaya</t>
        </is>
      </c>
      <c r="AR799" s="24" t="inlineStr">
        <is>
          <t>Anna Kalinskaya</t>
        </is>
      </c>
      <c r="AS799" s="24" t="inlineStr">
        <is>
          <t>Anna Blinkova</t>
        </is>
      </c>
      <c r="AT799" s="24" t="inlineStr">
        <is>
          <t>Anna Blinkova</t>
        </is>
      </c>
      <c r="AU799" s="24" t="inlineStr">
        <is>
          <t>Anna Blinkova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a67bb04c83bafa75b17d3013fcd4c13f2ff17c27af73dd591a6770e000183022</t>
        </is>
      </c>
      <c r="BB799" s="24" t="inlineStr">
        <is>
          <t>surface_blended_elo</t>
        </is>
      </c>
      <c r="BC799" s="24" t="inlineStr">
        <is>
          <t>tennis-surface-elo-v1</t>
        </is>
      </c>
      <c r="BD799" s="24" t="inlineStr">
        <is>
          <t>a67bb04c83bafa75b17d3013fcd4c13f2ff17c27af73dd591a6770e000183022</t>
        </is>
      </c>
      <c r="BE799" s="24" t="inlineStr">
        <is>
          <t>tennis-surface-elo-v1</t>
        </is>
      </c>
      <c r="BF799" s="24" t="inlineStr">
        <is>
          <t>1</t>
        </is>
      </c>
      <c r="BG799" s="24" t="inlineStr">
        <is>
          <t>a67bb04c83bafa75b17d3013fcd4c13f2ff17c27af73dd591a6770e000183022</t>
        </is>
      </c>
      <c r="BH799" s="24" t="inlineStr">
        <is>
          <t>2026-08-31T16:02:38.624702Z</t>
        </is>
      </c>
      <c r="BI799" s="24" t="inlineStr">
        <is>
          <t>["same_event","same_team_same_day","same_league_same_day"]</t>
        </is>
      </c>
      <c r="BJ799" s="25" t="n"/>
      <c r="BK799" s="26" t="n">
        <v>-300</v>
      </c>
      <c r="BL799" s="27" t="n">
        <v>1.333333</v>
      </c>
      <c r="BM799" s="28" t="n">
        <v>0.75</v>
      </c>
      <c r="BN799" s="28" t="n"/>
      <c r="BO799" s="28" t="n"/>
      <c r="BP799" s="25" t="n"/>
      <c r="BQ799" s="27" t="n">
        <v>1.333333</v>
      </c>
      <c r="BR799" s="28" t="n">
        <v>0.75</v>
      </c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inlineStr">
        <is>
          <t>e0ad605747395bf33b30de993c435a8268b5ba40a59bc2f9bbf7fdf697b508f9</t>
        </is>
      </c>
      <c r="DE799" s="24" t="inlineStr">
        <is>
          <t>/Users/vincentc9002/model-prediction/data/odds/tennis/2026-08-31/polymarket_snapshots.jsonl</t>
        </is>
      </c>
      <c r="DF799" s="24" t="inlineStr">
        <is>
          <t>547286:2026-08-31T16:02:38.624702Z</t>
        </is>
      </c>
      <c r="DG799" s="24" t="n"/>
      <c r="DH799" s="24" t="n"/>
      <c r="DI799" s="24" t="n"/>
      <c r="DJ799" s="24" t="inlineStr">
        <is>
          <t>0.75</t>
        </is>
      </c>
      <c r="DK799" s="24" t="n"/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28194045f2274b7b</t>
        </is>
      </c>
      <c r="B800" s="24" t="inlineStr">
        <is>
          <t>2026-08-31T16:04:31.779137Z</t>
        </is>
      </c>
      <c r="C800" s="24" t="inlineStr">
        <is>
          <t>2026-08-31T17:00Z</t>
        </is>
      </c>
      <c r="D800" s="24" t="inlineStr">
        <is>
          <t>189-2026:182599</t>
        </is>
      </c>
      <c r="E800" s="24" t="inlineStr">
        <is>
          <t>TENNIS</t>
        </is>
      </c>
      <c r="F800" s="24" t="inlineStr">
        <is>
          <t>Maria Timofeeva</t>
        </is>
      </c>
      <c r="G800" s="24" t="inlineStr">
        <is>
          <t>Tamara Zidansek</t>
        </is>
      </c>
      <c r="H800" s="24" t="inlineStr">
        <is>
          <t>moneyline</t>
        </is>
      </c>
      <c r="I800" s="24" t="inlineStr">
        <is>
          <t>home</t>
        </is>
      </c>
      <c r="J800" s="25" t="n"/>
      <c r="K800" s="24" t="inlineStr">
        <is>
          <t>polymarket_us</t>
        </is>
      </c>
      <c r="L800" s="26" t="n">
        <v>186</v>
      </c>
      <c r="M800" s="27" t="n">
        <v>2.86</v>
      </c>
      <c r="N800" s="28" t="n">
        <v>0.34965</v>
      </c>
      <c r="O800" s="28" t="n">
        <v>0.5261</v>
      </c>
      <c r="P800" s="28" t="n">
        <v>0.05</v>
      </c>
      <c r="Q800" s="28" t="n">
        <v>0.17645</v>
      </c>
      <c r="R800" s="26" t="n">
        <v>100</v>
      </c>
      <c r="S800" s="29" t="n">
        <v>1.75</v>
      </c>
      <c r="T800" s="24" t="inlineStr">
        <is>
          <t>tennis-surface-elo-v1</t>
        </is>
      </c>
      <c r="U800" s="24" t="inlineStr">
        <is>
          <t>settled</t>
        </is>
      </c>
      <c r="V800" s="24" t="inlineStr">
        <is>
          <t>loss</t>
        </is>
      </c>
      <c r="W800" s="26" t="n">
        <v>1</v>
      </c>
      <c r="X800" s="26" t="n">
        <v>0</v>
      </c>
      <c r="Y800" s="25" t="n"/>
      <c r="Z800" s="26" t="n">
        <v>186</v>
      </c>
      <c r="AA800" s="28" t="n">
        <v>0.35</v>
      </c>
      <c r="AB800" s="28" t="n">
        <v>0.00035</v>
      </c>
      <c r="AC800" s="30" t="n">
        <v>-1.75</v>
      </c>
      <c r="AD800" s="24" t="inlineStr">
        <is>
          <t>2026-09-01T04:37:07.308161Z</t>
        </is>
      </c>
      <c r="AE800" s="31" t="inlineStr">
        <is>
          <t>Surface-blended Elo on Hard: Maria Timofeeva p=0.474 vs Tamara Zidansek. Executable ask 0.3500 (aec-wta-tamzid-martim-2026-08-30).</t>
        </is>
      </c>
      <c r="AF800" s="31" t="inlineStr">
        <is>
          <t>Surface-blended Elo model; singles only, WTA+ATP market coverage, not yet locked-holdout qualified -- promoted by explicit operator directive, not genuine walk-forward validation.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Maria Timofeeva</t>
        </is>
      </c>
      <c r="AQ800" s="24" t="inlineStr">
        <is>
          <t>Maria Timofeeva</t>
        </is>
      </c>
      <c r="AR800" s="24" t="inlineStr">
        <is>
          <t>Maria Timofeeva</t>
        </is>
      </c>
      <c r="AS800" s="24" t="inlineStr">
        <is>
          <t>Tamara Zidansek</t>
        </is>
      </c>
      <c r="AT800" s="24" t="inlineStr">
        <is>
          <t>Tamara Zidansek</t>
        </is>
      </c>
      <c r="AU800" s="24" t="inlineStr">
        <is>
          <t>Tamara Zidansek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a67bb04c83bafa75b17d3013fcd4c13f2ff17c27af73dd591a6770e000183022</t>
        </is>
      </c>
      <c r="BB800" s="24" t="inlineStr">
        <is>
          <t>surface_blended_elo</t>
        </is>
      </c>
      <c r="BC800" s="24" t="inlineStr">
        <is>
          <t>tennis-surface-elo-v1</t>
        </is>
      </c>
      <c r="BD800" s="24" t="inlineStr">
        <is>
          <t>a67bb04c83bafa75b17d3013fcd4c13f2ff17c27af73dd591a6770e000183022</t>
        </is>
      </c>
      <c r="BE800" s="24" t="inlineStr">
        <is>
          <t>tennis-surface-elo-v1</t>
        </is>
      </c>
      <c r="BF800" s="24" t="inlineStr">
        <is>
          <t>1</t>
        </is>
      </c>
      <c r="BG800" s="24" t="inlineStr">
        <is>
          <t>a67bb04c83bafa75b17d3013fcd4c13f2ff17c27af73dd591a6770e000183022</t>
        </is>
      </c>
      <c r="BH800" s="24" t="inlineStr">
        <is>
          <t>2026-08-31T16:02:38.776982Z</t>
        </is>
      </c>
      <c r="BI800" s="24" t="inlineStr">
        <is>
          <t>["same_event","same_team_same_day","same_league_same_day"]</t>
        </is>
      </c>
      <c r="BJ800" s="25" t="n"/>
      <c r="BK800" s="26" t="n">
        <v>186</v>
      </c>
      <c r="BL800" s="27" t="n">
        <v>2.86</v>
      </c>
      <c r="BM800" s="28" t="n">
        <v>0.34965</v>
      </c>
      <c r="BN800" s="28" t="n"/>
      <c r="BO800" s="28" t="n"/>
      <c r="BP800" s="25" t="n"/>
      <c r="BQ800" s="27" t="n">
        <v>2.86</v>
      </c>
      <c r="BR800" s="28" t="n">
        <v>0.35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inlineStr">
        <is>
          <t>b652c55b48955ef636f8d6136a838259e4337ca1075d110cabac367f2da76e66</t>
        </is>
      </c>
      <c r="DE800" s="24" t="inlineStr">
        <is>
          <t>/Users/vincentc9002/model-prediction/data/odds/tennis/2026-08-31/polymarket_snapshots.jsonl</t>
        </is>
      </c>
      <c r="DF800" s="24" t="inlineStr">
        <is>
          <t>550530:2026-08-31T16:02:38.776982Z</t>
        </is>
      </c>
      <c r="DG800" s="24" t="n"/>
      <c r="DH800" s="24" t="n"/>
      <c r="DI800" s="24" t="n"/>
      <c r="DJ800" s="24" t="inlineStr">
        <is>
          <t>0.34965</t>
        </is>
      </c>
      <c r="DK800" s="24" t="n"/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e06263d61ece4ec5</t>
        </is>
      </c>
      <c r="B801" s="24" t="inlineStr">
        <is>
          <t>2026-08-31T16:04:31.779137Z</t>
        </is>
      </c>
      <c r="C801" s="24" t="inlineStr">
        <is>
          <t>2026-08-31T17:00Z</t>
        </is>
      </c>
      <c r="D801" s="24" t="inlineStr">
        <is>
          <t>189-2026:182638</t>
        </is>
      </c>
      <c r="E801" s="24" t="inlineStr">
        <is>
          <t>TENNIS</t>
        </is>
      </c>
      <c r="F801" s="24" t="inlineStr">
        <is>
          <t>Amanda Anisimova</t>
        </is>
      </c>
      <c r="G801" s="24" t="inlineStr">
        <is>
          <t>Ashlyn Krueger</t>
        </is>
      </c>
      <c r="H801" s="24" t="inlineStr">
        <is>
          <t>moneyline</t>
        </is>
      </c>
      <c r="I801" s="24" t="inlineStr">
        <is>
          <t>away</t>
        </is>
      </c>
      <c r="J801" s="25" t="n"/>
      <c r="K801" s="24" t="inlineStr">
        <is>
          <t>polymarket_us</t>
        </is>
      </c>
      <c r="L801" s="26" t="n">
        <v>-567</v>
      </c>
      <c r="M801" s="27" t="n">
        <v>1.176367</v>
      </c>
      <c r="N801" s="28" t="n">
        <v>0.850075</v>
      </c>
      <c r="O801" s="28" t="n">
        <v>0.7855</v>
      </c>
      <c r="P801" s="28" t="n">
        <v>0.05</v>
      </c>
      <c r="Q801" s="28" t="n">
        <v>-0.06457499999999999</v>
      </c>
      <c r="R801" s="26" t="n">
        <v>0</v>
      </c>
      <c r="S801" s="29" t="n">
        <v>1</v>
      </c>
      <c r="T801" s="24" t="inlineStr">
        <is>
          <t>tennis-surface-elo-v1</t>
        </is>
      </c>
      <c r="U801" s="24" t="inlineStr">
        <is>
          <t>settled</t>
        </is>
      </c>
      <c r="V801" s="24" t="inlineStr">
        <is>
          <t>win</t>
        </is>
      </c>
      <c r="W801" s="26" t="n">
        <v>1</v>
      </c>
      <c r="X801" s="26" t="n">
        <v>0</v>
      </c>
      <c r="Y801" s="25" t="n"/>
      <c r="Z801" s="26" t="n">
        <v>-567</v>
      </c>
      <c r="AA801" s="28" t="n">
        <v>0.85</v>
      </c>
      <c r="AB801" s="28" t="n">
        <v>-7.499999999999999e-05</v>
      </c>
      <c r="AC801" s="30" t="n">
        <v>0.1764</v>
      </c>
      <c r="AD801" s="24" t="inlineStr">
        <is>
          <t>2026-09-01T04:37:09.886034Z</t>
        </is>
      </c>
      <c r="AE801" s="31" t="inlineStr">
        <is>
          <t>Surface-blended Elo on Hard: Amanda Anisimova p=0.785 vs Ashlyn Krueger. Executable ask 0.8500 (aec-wta-ashkru-amaani-2026-08-30).</t>
        </is>
      </c>
      <c r="AF801" s="31" t="inlineStr">
        <is>
          <t>Surface-blended Elo model; singles only, WTA+ATP market coverage, not yet locked-holdout qualified -- promoted by explicit operator directive, not genuine walk-forward validation.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Amanda Anisimova</t>
        </is>
      </c>
      <c r="AQ801" s="24" t="inlineStr">
        <is>
          <t>Amanda Anisimova</t>
        </is>
      </c>
      <c r="AR801" s="24" t="inlineStr">
        <is>
          <t>Amanda Anisimova</t>
        </is>
      </c>
      <c r="AS801" s="24" t="inlineStr">
        <is>
          <t>Ashlyn Krueger</t>
        </is>
      </c>
      <c r="AT801" s="24" t="inlineStr">
        <is>
          <t>Ashlyn Krueger</t>
        </is>
      </c>
      <c r="AU801" s="24" t="inlineStr">
        <is>
          <t>Ashlyn Krueger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a67bb04c83bafa75b17d3013fcd4c13f2ff17c27af73dd591a6770e000183022</t>
        </is>
      </c>
      <c r="BB801" s="24" t="inlineStr">
        <is>
          <t>surface_blended_elo</t>
        </is>
      </c>
      <c r="BC801" s="24" t="inlineStr">
        <is>
          <t>tennis-surface-elo-v1</t>
        </is>
      </c>
      <c r="BD801" s="24" t="inlineStr">
        <is>
          <t>a67bb04c83bafa75b17d3013fcd4c13f2ff17c27af73dd591a6770e000183022</t>
        </is>
      </c>
      <c r="BE801" s="24" t="inlineStr">
        <is>
          <t>tennis-surface-elo-v1</t>
        </is>
      </c>
      <c r="BF801" s="24" t="inlineStr">
        <is>
          <t>1</t>
        </is>
      </c>
      <c r="BG801" s="24" t="inlineStr">
        <is>
          <t>a67bb04c83bafa75b17d3013fcd4c13f2ff17c27af73dd591a6770e000183022</t>
        </is>
      </c>
      <c r="BH801" s="24" t="inlineStr">
        <is>
          <t>2026-08-31T16:02:38.816824Z</t>
        </is>
      </c>
      <c r="BI801" s="24" t="inlineStr">
        <is>
          <t>["same_event","same_team_same_day","same_league_same_day"]</t>
        </is>
      </c>
      <c r="BJ801" s="25" t="n"/>
      <c r="BK801" s="26" t="n">
        <v>-567</v>
      </c>
      <c r="BL801" s="27" t="n">
        <v>1.176367</v>
      </c>
      <c r="BM801" s="28" t="n">
        <v>0.850075</v>
      </c>
      <c r="BN801" s="28" t="n"/>
      <c r="BO801" s="28" t="n"/>
      <c r="BP801" s="25" t="n"/>
      <c r="BQ801" s="27" t="n">
        <v>1.176367</v>
      </c>
      <c r="BR801" s="28" t="n">
        <v>0.85</v>
      </c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inlineStr">
        <is>
          <t>8c170830187ccc6a61b4ca77930d94e94fc334993068f69700d24f16c958e55b</t>
        </is>
      </c>
      <c r="DE801" s="24" t="inlineStr">
        <is>
          <t>/Users/vincentc9002/model-prediction/data/odds/tennis/2026-08-31/polymarket_snapshots.jsonl</t>
        </is>
      </c>
      <c r="DF801" s="24" t="inlineStr">
        <is>
          <t>547302:2026-08-31T16:02:38.816824Z</t>
        </is>
      </c>
      <c r="DG801" s="24" t="n"/>
      <c r="DH801" s="24" t="n"/>
      <c r="DI801" s="24" t="n"/>
      <c r="DJ801" s="24" t="inlineStr">
        <is>
          <t>0.850075</t>
        </is>
      </c>
      <c r="DK801" s="24" t="n"/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cfe5a7f3bb084e5a</t>
        </is>
      </c>
      <c r="B802" s="24" t="inlineStr">
        <is>
          <t>2026-08-31T16:04:31.779137Z</t>
        </is>
      </c>
      <c r="C802" s="24" t="inlineStr">
        <is>
          <t>2026-08-31T18:00Z</t>
        </is>
      </c>
      <c r="D802" s="24" t="inlineStr">
        <is>
          <t>189-2026:182595</t>
        </is>
      </c>
      <c r="E802" s="24" t="inlineStr">
        <is>
          <t>TENNIS</t>
        </is>
      </c>
      <c r="F802" s="24" t="inlineStr">
        <is>
          <t>Taylor Townsend</t>
        </is>
      </c>
      <c r="G802" s="24" t="inlineStr">
        <is>
          <t>Maja Chwalinska</t>
        </is>
      </c>
      <c r="H802" s="24" t="inlineStr">
        <is>
          <t>moneyline</t>
        </is>
      </c>
      <c r="I802" s="24" t="inlineStr">
        <is>
          <t>away</t>
        </is>
      </c>
      <c r="J802" s="25" t="n"/>
      <c r="K802" s="24" t="inlineStr">
        <is>
          <t>polymarket_us</t>
        </is>
      </c>
      <c r="L802" s="26" t="n">
        <v>-213</v>
      </c>
      <c r="M802" s="27" t="n">
        <v>1.469484</v>
      </c>
      <c r="N802" s="28" t="n">
        <v>0.680511</v>
      </c>
      <c r="O802" s="28" t="n">
        <v>0.5706</v>
      </c>
      <c r="P802" s="28" t="n">
        <v>0.05</v>
      </c>
      <c r="Q802" s="28" t="n">
        <v>-0.109911</v>
      </c>
      <c r="R802" s="26" t="n">
        <v>0</v>
      </c>
      <c r="S802" s="29" t="n">
        <v>1</v>
      </c>
      <c r="T802" s="24" t="inlineStr">
        <is>
          <t>tennis-surface-elo-v1</t>
        </is>
      </c>
      <c r="U802" s="24" t="inlineStr">
        <is>
          <t>settled</t>
        </is>
      </c>
      <c r="V802" s="24" t="inlineStr">
        <is>
          <t>win</t>
        </is>
      </c>
      <c r="W802" s="26" t="n">
        <v>1</v>
      </c>
      <c r="X802" s="26" t="n">
        <v>0</v>
      </c>
      <c r="Y802" s="25" t="n"/>
      <c r="Z802" s="26" t="n">
        <v>-213</v>
      </c>
      <c r="AA802" s="28" t="n">
        <v>0.68</v>
      </c>
      <c r="AB802" s="28" t="n">
        <v>-0.000511</v>
      </c>
      <c r="AC802" s="30" t="n">
        <v>0.4695</v>
      </c>
      <c r="AD802" s="24" t="inlineStr">
        <is>
          <t>2026-09-01T04:37:12.599485Z</t>
        </is>
      </c>
      <c r="AE802" s="31" t="inlineStr">
        <is>
          <t>Surface-blended Elo on Hard: Taylor Townsend p=0.571 vs Maja Chwalinska. Executable ask 0.6800 (aec-wta-majchw-taytow-2026-08-30).</t>
        </is>
      </c>
      <c r="AF802" s="31" t="inlineStr">
        <is>
          <t>Surface-blended Elo model; singles only, WTA+ATP market coverage, not yet locked-holdout qualified -- promoted by explicit operator directive, not genuine walk-forward validation.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paper_call</t>
        </is>
      </c>
      <c r="AL802" s="26" t="n">
        <v>4</v>
      </c>
      <c r="AM802" s="24" t="inlineStr">
        <is>
          <t>RESEARCH_OBSERVATION</t>
        </is>
      </c>
      <c r="AN802" s="24" t="inlineStr">
        <is>
          <t>CALL</t>
        </is>
      </c>
      <c r="AO802" s="24" t="inlineStr">
        <is>
          <t>PAPER_CALL_LOW_EDGE</t>
        </is>
      </c>
      <c r="AP802" s="24" t="inlineStr">
        <is>
          <t>Taylor Townsend</t>
        </is>
      </c>
      <c r="AQ802" s="24" t="inlineStr">
        <is>
          <t>Taylor Townsend</t>
        </is>
      </c>
      <c r="AR802" s="24" t="inlineStr">
        <is>
          <t>Taylor Townsend</t>
        </is>
      </c>
      <c r="AS802" s="24" t="inlineStr">
        <is>
          <t>Maja Chwalinska</t>
        </is>
      </c>
      <c r="AT802" s="24" t="inlineStr">
        <is>
          <t>Maja Chwalinska</t>
        </is>
      </c>
      <c r="AU802" s="24" t="inlineStr">
        <is>
          <t>Maja Chwalinska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a67bb04c83bafa75b17d3013fcd4c13f2ff17c27af73dd591a6770e000183022</t>
        </is>
      </c>
      <c r="BB802" s="24" t="inlineStr">
        <is>
          <t>surface_blended_elo</t>
        </is>
      </c>
      <c r="BC802" s="24" t="inlineStr">
        <is>
          <t>tennis-surface-elo-v1</t>
        </is>
      </c>
      <c r="BD802" s="24" t="inlineStr">
        <is>
          <t>a67bb04c83bafa75b17d3013fcd4c13f2ff17c27af73dd591a6770e000183022</t>
        </is>
      </c>
      <c r="BE802" s="24" t="inlineStr">
        <is>
          <t>tennis-surface-elo-v1</t>
        </is>
      </c>
      <c r="BF802" s="24" t="inlineStr">
        <is>
          <t>1</t>
        </is>
      </c>
      <c r="BG802" s="24" t="inlineStr">
        <is>
          <t>a67bb04c83bafa75b17d3013fcd4c13f2ff17c27af73dd591a6770e000183022</t>
        </is>
      </c>
      <c r="BH802" s="24" t="inlineStr">
        <is>
          <t>2026-08-31T16:02:38.913402Z</t>
        </is>
      </c>
      <c r="BI802" s="24" t="inlineStr">
        <is>
          <t>["same_event","same_team_same_day","same_league_same_day"]</t>
        </is>
      </c>
      <c r="BJ802" s="25" t="n"/>
      <c r="BK802" s="26" t="n">
        <v>-213</v>
      </c>
      <c r="BL802" s="27" t="n">
        <v>1.469484</v>
      </c>
      <c r="BM802" s="28" t="n">
        <v>0.680511</v>
      </c>
      <c r="BN802" s="28" t="n"/>
      <c r="BO802" s="28" t="n"/>
      <c r="BP802" s="25" t="n"/>
      <c r="BQ802" s="27" t="n">
        <v>1.469484</v>
      </c>
      <c r="BR802" s="28" t="n">
        <v>0.68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inlineStr">
        <is>
          <t>b21e0b01785660c2127c57f2206a8cadde8ed365718da78936c9941e76f50485</t>
        </is>
      </c>
      <c r="DE802" s="24" t="inlineStr">
        <is>
          <t>/Users/vincentc9002/model-prediction/data/odds/tennis/2026-08-31/polymarket_snapshots.jsonl</t>
        </is>
      </c>
      <c r="DF802" s="24" t="inlineStr">
        <is>
          <t>547251:2026-08-31T16:02:38.913402Z</t>
        </is>
      </c>
      <c r="DG802" s="24" t="n"/>
      <c r="DH802" s="24" t="n"/>
      <c r="DI802" s="24" t="n"/>
      <c r="DJ802" s="24" t="inlineStr">
        <is>
          <t>0.680511</t>
        </is>
      </c>
      <c r="DK802" s="24" t="n"/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c61f67ffdb384c23</t>
        </is>
      </c>
      <c r="B803" s="24" t="inlineStr">
        <is>
          <t>2026-08-31T16:04:31.779137Z</t>
        </is>
      </c>
      <c r="C803" s="24" t="inlineStr">
        <is>
          <t>2026-08-31T18:00Z</t>
        </is>
      </c>
      <c r="D803" s="24" t="inlineStr">
        <is>
          <t>189-2026:182603</t>
        </is>
      </c>
      <c r="E803" s="24" t="inlineStr">
        <is>
          <t>TENNIS</t>
        </is>
      </c>
      <c r="F803" s="24" t="inlineStr">
        <is>
          <t>Clara Tauson</t>
        </is>
      </c>
      <c r="G803" s="24" t="inlineStr">
        <is>
          <t>Sloane Stephens</t>
        </is>
      </c>
      <c r="H803" s="24" t="inlineStr">
        <is>
          <t>moneyline</t>
        </is>
      </c>
      <c r="I803" s="24" t="inlineStr">
        <is>
          <t>away</t>
        </is>
      </c>
      <c r="J803" s="25" t="n"/>
      <c r="K803" s="24" t="inlineStr">
        <is>
          <t>polymarket_us</t>
        </is>
      </c>
      <c r="L803" s="26" t="n">
        <v>-233</v>
      </c>
      <c r="M803" s="27" t="n">
        <v>1.429185</v>
      </c>
      <c r="N803" s="28" t="n">
        <v>0.6997</v>
      </c>
      <c r="O803" s="28" t="n">
        <v>0.6976</v>
      </c>
      <c r="P803" s="28" t="n">
        <v>0.05</v>
      </c>
      <c r="Q803" s="28" t="n">
        <v>-0.0021</v>
      </c>
      <c r="R803" s="26" t="n">
        <v>19</v>
      </c>
      <c r="S803" s="29" t="n">
        <v>1</v>
      </c>
      <c r="T803" s="24" t="inlineStr">
        <is>
          <t>tennis-surface-elo-v1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1</v>
      </c>
      <c r="Y803" s="25" t="n"/>
      <c r="Z803" s="26" t="n">
        <v>-233</v>
      </c>
      <c r="AA803" s="28" t="n">
        <v>0.7</v>
      </c>
      <c r="AB803" s="28" t="n">
        <v>0.0003</v>
      </c>
      <c r="AC803" s="30" t="n">
        <v>-1</v>
      </c>
      <c r="AD803" s="24" t="inlineStr">
        <is>
          <t>2026-09-01T04:37:15.262211Z</t>
        </is>
      </c>
      <c r="AE803" s="31" t="inlineStr">
        <is>
          <t>Surface-blended Elo on Hard: Clara Tauson p=0.698 vs Sloane Stephens. Executable ask 0.7000 (aec-wta-sloste-clatau-2026-08-30).</t>
        </is>
      </c>
      <c r="AF803" s="31" t="inlineStr">
        <is>
          <t>Surface-blended Elo model; singles only, WTA+ATP market coverage, not yet locked-holdout qualified -- promoted by explicit operator directive, not genuine walk-forward validation.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PAPER_CALL_LOW_EDGE</t>
        </is>
      </c>
      <c r="AP803" s="24" t="inlineStr">
        <is>
          <t>Clara Tauson</t>
        </is>
      </c>
      <c r="AQ803" s="24" t="inlineStr">
        <is>
          <t>Clara Tauson</t>
        </is>
      </c>
      <c r="AR803" s="24" t="inlineStr">
        <is>
          <t>Clara Tauson</t>
        </is>
      </c>
      <c r="AS803" s="24" t="inlineStr">
        <is>
          <t>Sloane Stephens</t>
        </is>
      </c>
      <c r="AT803" s="24" t="inlineStr">
        <is>
          <t>Sloane Stephens</t>
        </is>
      </c>
      <c r="AU803" s="24" t="inlineStr">
        <is>
          <t>Sloane Stephens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a67bb04c83bafa75b17d3013fcd4c13f2ff17c27af73dd591a6770e000183022</t>
        </is>
      </c>
      <c r="BB803" s="24" t="inlineStr">
        <is>
          <t>surface_blended_elo</t>
        </is>
      </c>
      <c r="BC803" s="24" t="inlineStr">
        <is>
          <t>tennis-surface-elo-v1</t>
        </is>
      </c>
      <c r="BD803" s="24" t="inlineStr">
        <is>
          <t>a67bb04c83bafa75b17d3013fcd4c13f2ff17c27af73dd591a6770e000183022</t>
        </is>
      </c>
      <c r="BE803" s="24" t="inlineStr">
        <is>
          <t>tennis-surface-elo-v1</t>
        </is>
      </c>
      <c r="BF803" s="24" t="inlineStr">
        <is>
          <t>1</t>
        </is>
      </c>
      <c r="BG803" s="24" t="inlineStr">
        <is>
          <t>a67bb04c83bafa75b17d3013fcd4c13f2ff17c27af73dd591a6770e000183022</t>
        </is>
      </c>
      <c r="BH803" s="24" t="inlineStr">
        <is>
          <t>2026-08-31T16:02:39.102424Z</t>
        </is>
      </c>
      <c r="BI803" s="24" t="inlineStr">
        <is>
          <t>["same_event","same_team_same_day","same_league_same_day"]</t>
        </is>
      </c>
      <c r="BJ803" s="25" t="n"/>
      <c r="BK803" s="26" t="n">
        <v>-233</v>
      </c>
      <c r="BL803" s="27" t="n">
        <v>1.429185</v>
      </c>
      <c r="BM803" s="28" t="n">
        <v>0.6997</v>
      </c>
      <c r="BN803" s="28" t="n"/>
      <c r="BO803" s="28" t="n"/>
      <c r="BP803" s="25" t="n"/>
      <c r="BQ803" s="27" t="n">
        <v>1.429185</v>
      </c>
      <c r="BR803" s="28" t="n">
        <v>0.7</v>
      </c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inlineStr">
        <is>
          <t>deee1a050ccd1528f2bd12df9d8ae8b6d6f9f240c1c8df801b4023759961eaab</t>
        </is>
      </c>
      <c r="DE803" s="24" t="inlineStr">
        <is>
          <t>/Users/vincentc9002/model-prediction/data/odds/tennis/2026-08-31/polymarket_snapshots.jsonl</t>
        </is>
      </c>
      <c r="DF803" s="24" t="inlineStr">
        <is>
          <t>547257:2026-08-31T16:02:39.102424Z</t>
        </is>
      </c>
      <c r="DG803" s="24" t="n"/>
      <c r="DH803" s="24" t="n"/>
      <c r="DI803" s="24" t="n"/>
      <c r="DJ803" s="24" t="inlineStr">
        <is>
          <t>0.6997</t>
        </is>
      </c>
      <c r="DK803" s="24" t="n"/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f1811cae759f4770</t>
        </is>
      </c>
      <c r="B804" s="24" t="inlineStr">
        <is>
          <t>2026-08-31T16:04:31.779137Z</t>
        </is>
      </c>
      <c r="C804" s="24" t="inlineStr">
        <is>
          <t>2026-08-31T18:00Z</t>
        </is>
      </c>
      <c r="D804" s="24" t="inlineStr">
        <is>
          <t>189-2026:182608</t>
        </is>
      </c>
      <c r="E804" s="24" t="inlineStr">
        <is>
          <t>TENNIS</t>
        </is>
      </c>
      <c r="F804" s="24" t="inlineStr">
        <is>
          <t>Simona Waltert</t>
        </is>
      </c>
      <c r="G804" s="24" t="inlineStr">
        <is>
          <t>Nadia Podoroska</t>
        </is>
      </c>
      <c r="H804" s="24" t="inlineStr">
        <is>
          <t>moneyline</t>
        </is>
      </c>
      <c r="I804" s="24" t="inlineStr">
        <is>
          <t>away</t>
        </is>
      </c>
      <c r="J804" s="25" t="n"/>
      <c r="K804" s="24" t="inlineStr">
        <is>
          <t>polymarket_us</t>
        </is>
      </c>
      <c r="L804" s="26" t="n">
        <v>-186</v>
      </c>
      <c r="M804" s="27" t="n">
        <v>1.537634</v>
      </c>
      <c r="N804" s="28" t="n">
        <v>0.65035</v>
      </c>
      <c r="O804" s="28" t="n">
        <v>0.6373</v>
      </c>
      <c r="P804" s="28" t="n">
        <v>0.05</v>
      </c>
      <c r="Q804" s="28" t="n">
        <v>-0.01305</v>
      </c>
      <c r="R804" s="26" t="n">
        <v>13</v>
      </c>
      <c r="S804" s="29" t="n">
        <v>1</v>
      </c>
      <c r="T804" s="24" t="inlineStr">
        <is>
          <t>tennis-surface-elo-v1</t>
        </is>
      </c>
      <c r="U804" s="24" t="inlineStr">
        <is>
          <t>settled</t>
        </is>
      </c>
      <c r="V804" s="24" t="inlineStr">
        <is>
          <t>loss</t>
        </is>
      </c>
      <c r="W804" s="26" t="n">
        <v>0</v>
      </c>
      <c r="X804" s="26" t="n">
        <v>1</v>
      </c>
      <c r="Y804" s="25" t="n"/>
      <c r="Z804" s="26" t="n">
        <v>-186</v>
      </c>
      <c r="AA804" s="28" t="n">
        <v>0.65</v>
      </c>
      <c r="AB804" s="28" t="n">
        <v>-0.00035</v>
      </c>
      <c r="AC804" s="30" t="n">
        <v>-1</v>
      </c>
      <c r="AD804" s="24" t="inlineStr">
        <is>
          <t>2026-09-01T04:37:17.871066Z</t>
        </is>
      </c>
      <c r="AE804" s="31" t="inlineStr">
        <is>
          <t>Surface-blended Elo on Hard: Simona Waltert p=0.637 vs Nadia Podoroska. Executable ask 0.6500 (aec-wta-nadpod-simwal-2026-08-30).</t>
        </is>
      </c>
      <c r="AF804" s="31" t="inlineStr">
        <is>
          <t>Surface-blended Elo model; singles only, WTA+ATP market coverage, not yet locked-holdout qualified -- promoted by explicit operator directive, not genuine walk-forward validation.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Simona Waltert</t>
        </is>
      </c>
      <c r="AQ804" s="24" t="inlineStr">
        <is>
          <t>Simona Waltert</t>
        </is>
      </c>
      <c r="AR804" s="24" t="inlineStr">
        <is>
          <t>Simona Waltert</t>
        </is>
      </c>
      <c r="AS804" s="24" t="inlineStr">
        <is>
          <t>Nadia Podoroska</t>
        </is>
      </c>
      <c r="AT804" s="24" t="inlineStr">
        <is>
          <t>Nadia Podoroska</t>
        </is>
      </c>
      <c r="AU804" s="24" t="inlineStr">
        <is>
          <t>Nadia Podoroska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a67bb04c83bafa75b17d3013fcd4c13f2ff17c27af73dd591a6770e000183022</t>
        </is>
      </c>
      <c r="BB804" s="24" t="inlineStr">
        <is>
          <t>surface_blended_elo</t>
        </is>
      </c>
      <c r="BC804" s="24" t="inlineStr">
        <is>
          <t>tennis-surface-elo-v1</t>
        </is>
      </c>
      <c r="BD804" s="24" t="inlineStr">
        <is>
          <t>a67bb04c83bafa75b17d3013fcd4c13f2ff17c27af73dd591a6770e000183022</t>
        </is>
      </c>
      <c r="BE804" s="24" t="inlineStr">
        <is>
          <t>tennis-surface-elo-v1</t>
        </is>
      </c>
      <c r="BF804" s="24" t="inlineStr">
        <is>
          <t>1</t>
        </is>
      </c>
      <c r="BG804" s="24" t="inlineStr">
        <is>
          <t>a67bb04c83bafa75b17d3013fcd4c13f2ff17c27af73dd591a6770e000183022</t>
        </is>
      </c>
      <c r="BH804" s="24" t="inlineStr">
        <is>
          <t>2026-08-31T16:02:38.736283Z</t>
        </is>
      </c>
      <c r="BI804" s="24" t="inlineStr">
        <is>
          <t>["same_event","same_team_same_day","same_league_same_day"]</t>
        </is>
      </c>
      <c r="BJ804" s="25" t="n"/>
      <c r="BK804" s="26" t="n">
        <v>-186</v>
      </c>
      <c r="BL804" s="27" t="n">
        <v>1.537634</v>
      </c>
      <c r="BM804" s="28" t="n">
        <v>0.65035</v>
      </c>
      <c r="BN804" s="28" t="n"/>
      <c r="BO804" s="28" t="n"/>
      <c r="BP804" s="25" t="n"/>
      <c r="BQ804" s="27" t="n">
        <v>1.537634</v>
      </c>
      <c r="BR804" s="28" t="n">
        <v>0.65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False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inlineStr">
        <is>
          <t>2e67ba9df9274eeb3a022dcd0d48ada7e5fc42d0b48a4090a21f919eadf5e49c</t>
        </is>
      </c>
      <c r="DE804" s="24" t="inlineStr">
        <is>
          <t>/Users/vincentc9002/model-prediction/data/odds/tennis/2026-08-31/polymarket_snapshots.jsonl</t>
        </is>
      </c>
      <c r="DF804" s="24" t="inlineStr">
        <is>
          <t>547317:2026-08-31T16:02:38.736283Z</t>
        </is>
      </c>
      <c r="DG804" s="24" t="n"/>
      <c r="DH804" s="24" t="n"/>
      <c r="DI804" s="24" t="n"/>
      <c r="DJ804" s="24" t="inlineStr">
        <is>
          <t>0.65035</t>
        </is>
      </c>
      <c r="DK804" s="24" t="n"/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be550eca2be748b4</t>
        </is>
      </c>
      <c r="B805" s="24" t="inlineStr">
        <is>
          <t>2026-08-31T16:04:31.779137Z</t>
        </is>
      </c>
      <c r="C805" s="24" t="inlineStr">
        <is>
          <t>2026-08-31T18:00Z</t>
        </is>
      </c>
      <c r="D805" s="24" t="inlineStr">
        <is>
          <t>189-2026:182622</t>
        </is>
      </c>
      <c r="E805" s="24" t="inlineStr">
        <is>
          <t>TENNIS</t>
        </is>
      </c>
      <c r="F805" s="24" t="inlineStr">
        <is>
          <t>Antonia Ruzic</t>
        </is>
      </c>
      <c r="G805" s="24" t="inlineStr">
        <is>
          <t>Ann Li</t>
        </is>
      </c>
      <c r="H805" s="24" t="inlineStr">
        <is>
          <t>moneyline</t>
        </is>
      </c>
      <c r="I805" s="24" t="inlineStr">
        <is>
          <t>home</t>
        </is>
      </c>
      <c r="J805" s="25" t="n"/>
      <c r="K805" s="24" t="inlineStr">
        <is>
          <t>polymarket_us</t>
        </is>
      </c>
      <c r="L805" s="26" t="n">
        <v>-317</v>
      </c>
      <c r="M805" s="27" t="n">
        <v>1.315457</v>
      </c>
      <c r="N805" s="28" t="n">
        <v>0.760192</v>
      </c>
      <c r="O805" s="28" t="n">
        <v>0.6522</v>
      </c>
      <c r="P805" s="28" t="n">
        <v>0.05</v>
      </c>
      <c r="Q805" s="28" t="n">
        <v>-0.107992</v>
      </c>
      <c r="R805" s="26" t="n">
        <v>0</v>
      </c>
      <c r="S805" s="29" t="n">
        <v>1</v>
      </c>
      <c r="T805" s="24" t="inlineStr">
        <is>
          <t>tennis-surface-elo-v1</t>
        </is>
      </c>
      <c r="U805" s="24" t="inlineStr">
        <is>
          <t>settled</t>
        </is>
      </c>
      <c r="V805" s="24" t="inlineStr">
        <is>
          <t>win</t>
        </is>
      </c>
      <c r="W805" s="26" t="n">
        <v>0</v>
      </c>
      <c r="X805" s="26" t="n">
        <v>1</v>
      </c>
      <c r="Y805" s="25" t="n"/>
      <c r="Z805" s="26" t="n">
        <v>-317</v>
      </c>
      <c r="AA805" s="28" t="n">
        <v>0.76</v>
      </c>
      <c r="AB805" s="28" t="n">
        <v>-0.000192</v>
      </c>
      <c r="AC805" s="30" t="n">
        <v>0.3155</v>
      </c>
      <c r="AD805" s="24" t="inlineStr">
        <is>
          <t>2026-09-01T04:37:20.459261Z</t>
        </is>
      </c>
      <c r="AE805" s="31" t="inlineStr">
        <is>
          <t>Surface-blended Elo on Hard: Antonia Ruzic p=0.348 vs Ann Li. Executable ask 0.7600 (aec-wta-annli-antruz-2026-08-30).</t>
        </is>
      </c>
      <c r="AF805" s="31" t="inlineStr">
        <is>
          <t>Surface-blended Elo model; singles only, WTA+ATP market coverage, not yet locked-holdout qualified -- promoted by explicit operator directive, not genuine walk-forward validation.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Antonia Ruzic</t>
        </is>
      </c>
      <c r="AQ805" s="24" t="inlineStr">
        <is>
          <t>Antonia Ruzic</t>
        </is>
      </c>
      <c r="AR805" s="24" t="inlineStr">
        <is>
          <t>Antonia Ruzic</t>
        </is>
      </c>
      <c r="AS805" s="24" t="inlineStr">
        <is>
          <t>Ann Li</t>
        </is>
      </c>
      <c r="AT805" s="24" t="inlineStr">
        <is>
          <t>Ann Li</t>
        </is>
      </c>
      <c r="AU805" s="24" t="inlineStr">
        <is>
          <t>Ann Li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a67bb04c83bafa75b17d3013fcd4c13f2ff17c27af73dd591a6770e000183022</t>
        </is>
      </c>
      <c r="BB805" s="24" t="inlineStr">
        <is>
          <t>surface_blended_elo</t>
        </is>
      </c>
      <c r="BC805" s="24" t="inlineStr">
        <is>
          <t>tennis-surface-elo-v1</t>
        </is>
      </c>
      <c r="BD805" s="24" t="inlineStr">
        <is>
          <t>a67bb04c83bafa75b17d3013fcd4c13f2ff17c27af73dd591a6770e000183022</t>
        </is>
      </c>
      <c r="BE805" s="24" t="inlineStr">
        <is>
          <t>tennis-surface-elo-v1</t>
        </is>
      </c>
      <c r="BF805" s="24" t="inlineStr">
        <is>
          <t>1</t>
        </is>
      </c>
      <c r="BG805" s="24" t="inlineStr">
        <is>
          <t>a67bb04c83bafa75b17d3013fcd4c13f2ff17c27af73dd591a6770e000183022</t>
        </is>
      </c>
      <c r="BH805" s="24" t="inlineStr">
        <is>
          <t>2026-08-31T16:02:39.144640Z</t>
        </is>
      </c>
      <c r="BI805" s="24" t="inlineStr">
        <is>
          <t>["same_event","same_team_same_day","same_league_same_day"]</t>
        </is>
      </c>
      <c r="BJ805" s="25" t="n"/>
      <c r="BK805" s="26" t="n">
        <v>-317</v>
      </c>
      <c r="BL805" s="27" t="n">
        <v>1.315457</v>
      </c>
      <c r="BM805" s="28" t="n">
        <v>0.760192</v>
      </c>
      <c r="BN805" s="28" t="n"/>
      <c r="BO805" s="28" t="n"/>
      <c r="BP805" s="25" t="n"/>
      <c r="BQ805" s="27" t="n">
        <v>1.315457</v>
      </c>
      <c r="BR805" s="28" t="n">
        <v>0.76</v>
      </c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inlineStr">
        <is>
          <t>7e632883923ea7d9afa03f6f286217c80a3e9ae36f6cf7b6e32258c6bdf7488d</t>
        </is>
      </c>
      <c r="DE805" s="24" t="inlineStr">
        <is>
          <t>/Users/vincentc9002/model-prediction/data/odds/tennis/2026-08-31/polymarket_snapshots.jsonl</t>
        </is>
      </c>
      <c r="DF805" s="24" t="inlineStr">
        <is>
          <t>547263:2026-08-31T16:02:39.144640Z</t>
        </is>
      </c>
      <c r="DG805" s="24" t="n"/>
      <c r="DH805" s="24" t="n"/>
      <c r="DI805" s="24" t="n"/>
      <c r="DJ805" s="24" t="inlineStr">
        <is>
          <t>0.760192</t>
        </is>
      </c>
      <c r="DK805" s="24" t="n"/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3701b502a415482b</t>
        </is>
      </c>
      <c r="B806" s="24" t="inlineStr">
        <is>
          <t>2026-08-31T16:04:31.779137Z</t>
        </is>
      </c>
      <c r="C806" s="24" t="inlineStr">
        <is>
          <t>2026-08-31T18:30Z</t>
        </is>
      </c>
      <c r="D806" s="24" t="inlineStr">
        <is>
          <t>189-2026:182604</t>
        </is>
      </c>
      <c r="E806" s="24" t="inlineStr">
        <is>
          <t>TENNIS</t>
        </is>
      </c>
      <c r="F806" s="24" t="inlineStr">
        <is>
          <t>Diana Shnaider</t>
        </is>
      </c>
      <c r="G806" s="24" t="inlineStr">
        <is>
          <t>Daria Snigur</t>
        </is>
      </c>
      <c r="H806" s="24" t="inlineStr">
        <is>
          <t>moneyline</t>
        </is>
      </c>
      <c r="I806" s="24" t="inlineStr">
        <is>
          <t>away</t>
        </is>
      </c>
      <c r="J806" s="25" t="n"/>
      <c r="K806" s="24" t="inlineStr">
        <is>
          <t>polymarket_us</t>
        </is>
      </c>
      <c r="L806" s="26" t="n">
        <v>-213</v>
      </c>
      <c r="M806" s="27" t="n">
        <v>1.469484</v>
      </c>
      <c r="N806" s="28" t="n">
        <v>0.680511</v>
      </c>
      <c r="O806" s="28" t="n">
        <v>0.5343</v>
      </c>
      <c r="P806" s="28" t="n">
        <v>0.05</v>
      </c>
      <c r="Q806" s="28" t="n">
        <v>-0.146211</v>
      </c>
      <c r="R806" s="26" t="n">
        <v>0</v>
      </c>
      <c r="S806" s="29" t="n">
        <v>1</v>
      </c>
      <c r="T806" s="24" t="inlineStr">
        <is>
          <t>tennis-surface-elo-v1</t>
        </is>
      </c>
      <c r="U806" s="24" t="inlineStr">
        <is>
          <t>settled</t>
        </is>
      </c>
      <c r="V806" s="24" t="inlineStr">
        <is>
          <t>win</t>
        </is>
      </c>
      <c r="W806" s="26" t="n">
        <v>1</v>
      </c>
      <c r="X806" s="26" t="n">
        <v>0</v>
      </c>
      <c r="Y806" s="25" t="n"/>
      <c r="Z806" s="26" t="n">
        <v>-213</v>
      </c>
      <c r="AA806" s="28" t="n">
        <v>0.68</v>
      </c>
      <c r="AB806" s="28" t="n">
        <v>-0.000511</v>
      </c>
      <c r="AC806" s="30" t="n">
        <v>0.4695</v>
      </c>
      <c r="AD806" s="24" t="inlineStr">
        <is>
          <t>2026-09-01T04:37:23.205981Z</t>
        </is>
      </c>
      <c r="AE806" s="31" t="inlineStr">
        <is>
          <t>Surface-blended Elo on Hard: Diana Shnaider p=0.534 vs Daria Snigur. Executable ask 0.6800 (aec-wta-darsni-diashn-2026-08-30).</t>
        </is>
      </c>
      <c r="AF806" s="31" t="inlineStr">
        <is>
          <t>Surface-blended Elo model; singles only, WTA+ATP market coverage, not yet locked-holdout qualified -- promoted by explicit operator directive, not genuine walk-forward validation.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Diana Shnaider</t>
        </is>
      </c>
      <c r="AQ806" s="24" t="inlineStr">
        <is>
          <t>Diana Shnaider</t>
        </is>
      </c>
      <c r="AR806" s="24" t="inlineStr">
        <is>
          <t>Diana Shnaider</t>
        </is>
      </c>
      <c r="AS806" s="24" t="inlineStr">
        <is>
          <t>Daria Snigur</t>
        </is>
      </c>
      <c r="AT806" s="24" t="inlineStr">
        <is>
          <t>Daria Snigur</t>
        </is>
      </c>
      <c r="AU806" s="24" t="inlineStr">
        <is>
          <t>Daria Snigur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a67bb04c83bafa75b17d3013fcd4c13f2ff17c27af73dd591a6770e000183022</t>
        </is>
      </c>
      <c r="BB806" s="24" t="inlineStr">
        <is>
          <t>surface_blended_elo</t>
        </is>
      </c>
      <c r="BC806" s="24" t="inlineStr">
        <is>
          <t>tennis-surface-elo-v1</t>
        </is>
      </c>
      <c r="BD806" s="24" t="inlineStr">
        <is>
          <t>a67bb04c83bafa75b17d3013fcd4c13f2ff17c27af73dd591a6770e000183022</t>
        </is>
      </c>
      <c r="BE806" s="24" t="inlineStr">
        <is>
          <t>tennis-surface-elo-v1</t>
        </is>
      </c>
      <c r="BF806" s="24" t="inlineStr">
        <is>
          <t>1</t>
        </is>
      </c>
      <c r="BG806" s="24" t="inlineStr">
        <is>
          <t>a67bb04c83bafa75b17d3013fcd4c13f2ff17c27af73dd591a6770e000183022</t>
        </is>
      </c>
      <c r="BH806" s="24" t="inlineStr">
        <is>
          <t>2026-08-31T16:02:38.898608Z</t>
        </is>
      </c>
      <c r="BI806" s="24" t="inlineStr">
        <is>
          <t>["same_event","same_team_same_day","same_league_same_day"]</t>
        </is>
      </c>
      <c r="BJ806" s="25" t="n"/>
      <c r="BK806" s="26" t="n">
        <v>-213</v>
      </c>
      <c r="BL806" s="27" t="n">
        <v>1.469484</v>
      </c>
      <c r="BM806" s="28" t="n">
        <v>0.680511</v>
      </c>
      <c r="BN806" s="28" t="n"/>
      <c r="BO806" s="28" t="n"/>
      <c r="BP806" s="25" t="n"/>
      <c r="BQ806" s="27" t="n">
        <v>1.469484</v>
      </c>
      <c r="BR806" s="28" t="n">
        <v>0.68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inlineStr">
        <is>
          <t>cfe7efbc7a68b6e5ad82cb1b8e2438117908090b9a8264b6e44a579e6e65945d</t>
        </is>
      </c>
      <c r="DE806" s="24" t="inlineStr">
        <is>
          <t>/Users/vincentc9002/model-prediction/data/odds/tennis/2026-08-31/polymarket_snapshots.jsonl</t>
        </is>
      </c>
      <c r="DF806" s="24" t="inlineStr">
        <is>
          <t>547255:2026-08-31T16:02:38.898608Z</t>
        </is>
      </c>
      <c r="DG806" s="24" t="n"/>
      <c r="DH806" s="24" t="n"/>
      <c r="DI806" s="24" t="n"/>
      <c r="DJ806" s="24" t="inlineStr">
        <is>
          <t>0.680511</t>
        </is>
      </c>
      <c r="DK806" s="24" t="n"/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52d4da93c7274112</t>
        </is>
      </c>
      <c r="B807" s="24" t="inlineStr">
        <is>
          <t>2026-08-31T16:04:31.779137Z</t>
        </is>
      </c>
      <c r="C807" s="24" t="inlineStr">
        <is>
          <t>2026-08-31T18:30Z</t>
        </is>
      </c>
      <c r="D807" s="24" t="inlineStr">
        <is>
          <t>189-2026:182617</t>
        </is>
      </c>
      <c r="E807" s="24" t="inlineStr">
        <is>
          <t>TENNIS</t>
        </is>
      </c>
      <c r="F807" s="24" t="inlineStr">
        <is>
          <t>Linda Noskova</t>
        </is>
      </c>
      <c r="G807" s="24" t="inlineStr">
        <is>
          <t>Katie Volynets</t>
        </is>
      </c>
      <c r="H807" s="24" t="inlineStr">
        <is>
          <t>moneyline</t>
        </is>
      </c>
      <c r="I807" s="24" t="inlineStr">
        <is>
          <t>away</t>
        </is>
      </c>
      <c r="J807" s="25" t="n"/>
      <c r="K807" s="24" t="inlineStr">
        <is>
          <t>polymarket_us</t>
        </is>
      </c>
      <c r="L807" s="26" t="n">
        <v>-270</v>
      </c>
      <c r="M807" s="27" t="n">
        <v>1.37037</v>
      </c>
      <c r="N807" s="28" t="n">
        <v>0.72973</v>
      </c>
      <c r="O807" s="28" t="n">
        <v>0.6223</v>
      </c>
      <c r="P807" s="28" t="n">
        <v>0.05</v>
      </c>
      <c r="Q807" s="28" t="n">
        <v>-0.10743</v>
      </c>
      <c r="R807" s="26" t="n">
        <v>0</v>
      </c>
      <c r="S807" s="29" t="n">
        <v>1</v>
      </c>
      <c r="T807" s="24" t="inlineStr">
        <is>
          <t>tennis-surface-elo-v1</t>
        </is>
      </c>
      <c r="U807" s="24" t="inlineStr">
        <is>
          <t>settled</t>
        </is>
      </c>
      <c r="V807" s="24" t="inlineStr">
        <is>
          <t>win</t>
        </is>
      </c>
      <c r="W807" s="26" t="n">
        <v>1</v>
      </c>
      <c r="X807" s="26" t="n">
        <v>0</v>
      </c>
      <c r="Y807" s="25" t="n"/>
      <c r="Z807" s="26" t="n">
        <v>-270</v>
      </c>
      <c r="AA807" s="28" t="n">
        <v>0.73</v>
      </c>
      <c r="AB807" s="28" t="n">
        <v>0.00027</v>
      </c>
      <c r="AC807" s="30" t="n">
        <v>0.3704</v>
      </c>
      <c r="AD807" s="24" t="inlineStr">
        <is>
          <t>2026-09-01T04:37:25.781268Z</t>
        </is>
      </c>
      <c r="AE807" s="31" t="inlineStr">
        <is>
          <t>Surface-blended Elo on Hard: Linda Noskova p=0.622 vs Katie Volynets. Executable ask 0.7300 (aec-wta-katvol-linnos-2026-08-30).</t>
        </is>
      </c>
      <c r="AF807" s="31" t="inlineStr">
        <is>
          <t>Surface-blended Elo model; singles only, WTA+ATP market coverage, not yet locked-holdout qualified -- promoted by explicit operator directive, not genuine walk-forward validation.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PAPER_CALL_LOW_EDGE</t>
        </is>
      </c>
      <c r="AP807" s="24" t="inlineStr">
        <is>
          <t>Linda Noskova</t>
        </is>
      </c>
      <c r="AQ807" s="24" t="inlineStr">
        <is>
          <t>Linda Noskova</t>
        </is>
      </c>
      <c r="AR807" s="24" t="inlineStr">
        <is>
          <t>Linda Noskova</t>
        </is>
      </c>
      <c r="AS807" s="24" t="inlineStr">
        <is>
          <t>Katie Volynets</t>
        </is>
      </c>
      <c r="AT807" s="24" t="inlineStr">
        <is>
          <t>Katie Volynets</t>
        </is>
      </c>
      <c r="AU807" s="24" t="inlineStr">
        <is>
          <t>Katie Volynets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a67bb04c83bafa75b17d3013fcd4c13f2ff17c27af73dd591a6770e000183022</t>
        </is>
      </c>
      <c r="BB807" s="24" t="inlineStr">
        <is>
          <t>surface_blended_elo</t>
        </is>
      </c>
      <c r="BC807" s="24" t="inlineStr">
        <is>
          <t>tennis-surface-elo-v1</t>
        </is>
      </c>
      <c r="BD807" s="24" t="inlineStr">
        <is>
          <t>a67bb04c83bafa75b17d3013fcd4c13f2ff17c27af73dd591a6770e000183022</t>
        </is>
      </c>
      <c r="BE807" s="24" t="inlineStr">
        <is>
          <t>tennis-surface-elo-v1</t>
        </is>
      </c>
      <c r="BF807" s="24" t="inlineStr">
        <is>
          <t>1</t>
        </is>
      </c>
      <c r="BG807" s="24" t="inlineStr">
        <is>
          <t>a67bb04c83bafa75b17d3013fcd4c13f2ff17c27af73dd591a6770e000183022</t>
        </is>
      </c>
      <c r="BH807" s="24" t="inlineStr">
        <is>
          <t>2026-08-31T16:02:39.152692Z</t>
        </is>
      </c>
      <c r="BI807" s="24" t="inlineStr">
        <is>
          <t>["same_event","same_team_same_day","same_league_same_day"]</t>
        </is>
      </c>
      <c r="BJ807" s="25" t="n"/>
      <c r="BK807" s="26" t="n">
        <v>-270</v>
      </c>
      <c r="BL807" s="27" t="n">
        <v>1.37037</v>
      </c>
      <c r="BM807" s="28" t="n">
        <v>0.72973</v>
      </c>
      <c r="BN807" s="28" t="n"/>
      <c r="BO807" s="28" t="n"/>
      <c r="BP807" s="25" t="n"/>
      <c r="BQ807" s="27" t="n">
        <v>1.37037</v>
      </c>
      <c r="BR807" s="28" t="n">
        <v>0.73</v>
      </c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False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inlineStr">
        <is>
          <t>806a7e2cfaa28aa077ab02600112b3a61e5f3d653772cfecda07beb2d29f90c8</t>
        </is>
      </c>
      <c r="DE807" s="24" t="inlineStr">
        <is>
          <t>/Users/vincentc9002/model-prediction/data/odds/tennis/2026-08-31/polymarket_snapshots.jsonl</t>
        </is>
      </c>
      <c r="DF807" s="24" t="inlineStr">
        <is>
          <t>547266:2026-08-31T16:02:39.152692Z</t>
        </is>
      </c>
      <c r="DG807" s="24" t="n"/>
      <c r="DH807" s="24" t="n"/>
      <c r="DI807" s="24" t="n"/>
      <c r="DJ807" s="24" t="inlineStr">
        <is>
          <t>0.72973</t>
        </is>
      </c>
      <c r="DK807" s="24" t="n"/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0279c41b639749c4</t>
        </is>
      </c>
      <c r="B808" s="24" t="inlineStr">
        <is>
          <t>2026-08-31T16:04:31.779137Z</t>
        </is>
      </c>
      <c r="C808" s="24" t="inlineStr">
        <is>
          <t>2026-08-31T18:30Z</t>
        </is>
      </c>
      <c r="D808" s="24" t="inlineStr">
        <is>
          <t>189-2026:182643</t>
        </is>
      </c>
      <c r="E808" s="24" t="inlineStr">
        <is>
          <t>TENNIS</t>
        </is>
      </c>
      <c r="F808" s="24" t="inlineStr">
        <is>
          <t>Catherine McNally</t>
        </is>
      </c>
      <c r="G808" s="24" t="inlineStr">
        <is>
          <t>Anouk Koevermans</t>
        </is>
      </c>
      <c r="H808" s="24" t="inlineStr">
        <is>
          <t>moneyline</t>
        </is>
      </c>
      <c r="I808" s="24" t="inlineStr">
        <is>
          <t>away</t>
        </is>
      </c>
      <c r="J808" s="25" t="n"/>
      <c r="K808" s="24" t="inlineStr">
        <is>
          <t>polymarket_us</t>
        </is>
      </c>
      <c r="L808" s="26" t="n">
        <v>-456</v>
      </c>
      <c r="M808" s="27" t="n">
        <v>1.219298</v>
      </c>
      <c r="N808" s="28" t="n">
        <v>0.820144</v>
      </c>
      <c r="O808" s="28" t="n">
        <v>0.6851</v>
      </c>
      <c r="P808" s="28" t="n">
        <v>0.05</v>
      </c>
      <c r="Q808" s="28" t="n">
        <v>-0.135044</v>
      </c>
      <c r="R808" s="26" t="n">
        <v>0</v>
      </c>
      <c r="S808" s="29" t="n">
        <v>1</v>
      </c>
      <c r="T808" s="24" t="inlineStr">
        <is>
          <t>tennis-surface-elo-v1</t>
        </is>
      </c>
      <c r="U808" s="24" t="inlineStr">
        <is>
          <t>settled</t>
        </is>
      </c>
      <c r="V808" s="24" t="inlineStr">
        <is>
          <t>win</t>
        </is>
      </c>
      <c r="W808" s="26" t="n">
        <v>1</v>
      </c>
      <c r="X808" s="26" t="n">
        <v>0</v>
      </c>
      <c r="Y808" s="25" t="n"/>
      <c r="Z808" s="26" t="n"/>
      <c r="AA808" s="28" t="n"/>
      <c r="AB808" s="28" t="n"/>
      <c r="AC808" s="30" t="n">
        <v>0.2193</v>
      </c>
      <c r="AD808" s="24" t="inlineStr">
        <is>
          <t>2026-09-01T04:37:28.524850Z</t>
        </is>
      </c>
      <c r="AE808" s="31" t="inlineStr">
        <is>
          <t>Surface-blended Elo on Hard: Catherine McNally p=0.685 vs Anouk Koevermans. Executable ask 0.8200 (aec-wta-anokoe-catmcn-2026-08-30).</t>
        </is>
      </c>
      <c r="AF808" s="31" t="inlineStr">
        <is>
          <t>Surface-blended Elo model; singles only, WTA+ATP market coverage, not yet locked-holdout qualified -- promoted by explicit operator directive, not genuine walk-forward validation.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PAPER_CALL_LOW_EDGE</t>
        </is>
      </c>
      <c r="AP808" s="24" t="inlineStr">
        <is>
          <t>Catherine McNally</t>
        </is>
      </c>
      <c r="AQ808" s="24" t="inlineStr">
        <is>
          <t>Catherine McNally</t>
        </is>
      </c>
      <c r="AR808" s="24" t="inlineStr">
        <is>
          <t>Catherine McNally</t>
        </is>
      </c>
      <c r="AS808" s="24" t="inlineStr">
        <is>
          <t>Anouk Koevermans</t>
        </is>
      </c>
      <c r="AT808" s="24" t="inlineStr">
        <is>
          <t>Anouk Koevermans</t>
        </is>
      </c>
      <c r="AU808" s="24" t="inlineStr">
        <is>
          <t>Anouk Koevermans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a67bb04c83bafa75b17d3013fcd4c13f2ff17c27af73dd591a6770e000183022</t>
        </is>
      </c>
      <c r="BB808" s="24" t="inlineStr">
        <is>
          <t>surface_blended_elo</t>
        </is>
      </c>
      <c r="BC808" s="24" t="inlineStr">
        <is>
          <t>tennis-surface-elo-v1</t>
        </is>
      </c>
      <c r="BD808" s="24" t="inlineStr">
        <is>
          <t>a67bb04c83bafa75b17d3013fcd4c13f2ff17c27af73dd591a6770e000183022</t>
        </is>
      </c>
      <c r="BE808" s="24" t="inlineStr">
        <is>
          <t>tennis-surface-elo-v1</t>
        </is>
      </c>
      <c r="BF808" s="24" t="inlineStr">
        <is>
          <t>1</t>
        </is>
      </c>
      <c r="BG808" s="24" t="inlineStr">
        <is>
          <t>a67bb04c83bafa75b17d3013fcd4c13f2ff17c27af73dd591a6770e000183022</t>
        </is>
      </c>
      <c r="BH808" s="24" t="inlineStr">
        <is>
          <t>2026-08-31T16:02:38.960534Z</t>
        </is>
      </c>
      <c r="BI808" s="24" t="inlineStr">
        <is>
          <t>["same_event","same_team_same_day","same_league_same_day"]</t>
        </is>
      </c>
      <c r="BJ808" s="25" t="n"/>
      <c r="BK808" s="26" t="n">
        <v>-456</v>
      </c>
      <c r="BL808" s="27" t="n">
        <v>1.219298</v>
      </c>
      <c r="BM808" s="28" t="n">
        <v>0.820144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False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inlineStr">
        <is>
          <t>96bb2c38b09863e3260b9660e65d0f8ace21533d3f728bf15031fabbd2af6c68</t>
        </is>
      </c>
      <c r="DE808" s="24" t="inlineStr">
        <is>
          <t>/Users/vincentc9002/model-prediction/data/odds/tennis/2026-08-31/polymarket_snapshots.jsonl</t>
        </is>
      </c>
      <c r="DF808" s="24" t="inlineStr">
        <is>
          <t>550515:2026-08-31T16:02:38.960534Z</t>
        </is>
      </c>
      <c r="DG808" s="24" t="n"/>
      <c r="DH808" s="24" t="n"/>
      <c r="DI808" s="24" t="n"/>
      <c r="DJ808" s="24" t="inlineStr">
        <is>
          <t>0.820144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18410d34bc0c4c24</t>
        </is>
      </c>
      <c r="B809" s="24" t="inlineStr">
        <is>
          <t>2026-08-31T16:04:31.779137Z</t>
        </is>
      </c>
      <c r="C809" s="24" t="inlineStr">
        <is>
          <t>2026-08-31T19:00Z</t>
        </is>
      </c>
      <c r="D809" s="24" t="inlineStr">
        <is>
          <t>189-2026:182625</t>
        </is>
      </c>
      <c r="E809" s="24" t="inlineStr">
        <is>
          <t>TENNIS</t>
        </is>
      </c>
      <c r="F809" s="24" t="inlineStr">
        <is>
          <t>Sorana Cirstea</t>
        </is>
      </c>
      <c r="G809" s="24" t="inlineStr">
        <is>
          <t>Julia Grabher</t>
        </is>
      </c>
      <c r="H809" s="24" t="inlineStr">
        <is>
          <t>moneyline</t>
        </is>
      </c>
      <c r="I809" s="24" t="inlineStr">
        <is>
          <t>away</t>
        </is>
      </c>
      <c r="J809" s="25" t="n"/>
      <c r="K809" s="24" t="inlineStr">
        <is>
          <t>polymarket_us</t>
        </is>
      </c>
      <c r="L809" s="26" t="n">
        <v>-900</v>
      </c>
      <c r="M809" s="27" t="n">
        <v>1.111111</v>
      </c>
      <c r="N809" s="28" t="n">
        <v>0.9</v>
      </c>
      <c r="O809" s="28" t="n">
        <v>0.7723</v>
      </c>
      <c r="P809" s="28" t="n">
        <v>0.05</v>
      </c>
      <c r="Q809" s="28" t="n">
        <v>-0.1277</v>
      </c>
      <c r="R809" s="26" t="n">
        <v>0</v>
      </c>
      <c r="S809" s="29" t="n">
        <v>1</v>
      </c>
      <c r="T809" s="24" t="inlineStr">
        <is>
          <t>tennis-surface-elo-v1</t>
        </is>
      </c>
      <c r="U809" s="24" t="inlineStr">
        <is>
          <t>settled</t>
        </is>
      </c>
      <c r="V809" s="24" t="inlineStr">
        <is>
          <t>win</t>
        </is>
      </c>
      <c r="W809" s="26" t="n">
        <v>1</v>
      </c>
      <c r="X809" s="26" t="n">
        <v>0</v>
      </c>
      <c r="Y809" s="25" t="n"/>
      <c r="Z809" s="26" t="n">
        <v>-900</v>
      </c>
      <c r="AA809" s="28" t="n">
        <v>0.9</v>
      </c>
      <c r="AB809" s="28" t="n">
        <v>0</v>
      </c>
      <c r="AC809" s="30" t="n">
        <v>0.1111</v>
      </c>
      <c r="AD809" s="24" t="inlineStr">
        <is>
          <t>2026-09-01T04:37:31.310105Z</t>
        </is>
      </c>
      <c r="AE809" s="31" t="inlineStr">
        <is>
          <t>Surface-blended Elo on Hard: Sorana Cirstea p=0.772 vs Julia Grabher. Executable ask 0.9000 (aec-wta-julgra-sorcir-2026-08-30).</t>
        </is>
      </c>
      <c r="AF809" s="31" t="inlineStr">
        <is>
          <t>Surface-blended Elo model; singles only, WTA+ATP market coverage, not yet locked-holdout qualified -- promoted by explicit operator directive, not genuine walk-forward validation.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PAPER_CALL_LOW_EDGE</t>
        </is>
      </c>
      <c r="AP809" s="24" t="inlineStr">
        <is>
          <t>Sorana Cirstea</t>
        </is>
      </c>
      <c r="AQ809" s="24" t="inlineStr">
        <is>
          <t>Sorana Cirstea</t>
        </is>
      </c>
      <c r="AR809" s="24" t="inlineStr">
        <is>
          <t>Sorana Cirstea</t>
        </is>
      </c>
      <c r="AS809" s="24" t="inlineStr">
        <is>
          <t>Julia Grabher</t>
        </is>
      </c>
      <c r="AT809" s="24" t="inlineStr">
        <is>
          <t>Julia Grabher</t>
        </is>
      </c>
      <c r="AU809" s="24" t="inlineStr">
        <is>
          <t>Julia Grabher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a67bb04c83bafa75b17d3013fcd4c13f2ff17c27af73dd591a6770e000183022</t>
        </is>
      </c>
      <c r="BB809" s="24" t="inlineStr">
        <is>
          <t>surface_blended_elo</t>
        </is>
      </c>
      <c r="BC809" s="24" t="inlineStr">
        <is>
          <t>tennis-surface-elo-v1</t>
        </is>
      </c>
      <c r="BD809" s="24" t="inlineStr">
        <is>
          <t>a67bb04c83bafa75b17d3013fcd4c13f2ff17c27af73dd591a6770e000183022</t>
        </is>
      </c>
      <c r="BE809" s="24" t="inlineStr">
        <is>
          <t>tennis-surface-elo-v1</t>
        </is>
      </c>
      <c r="BF809" s="24" t="inlineStr">
        <is>
          <t>1</t>
        </is>
      </c>
      <c r="BG809" s="24" t="inlineStr">
        <is>
          <t>a67bb04c83bafa75b17d3013fcd4c13f2ff17c27af73dd591a6770e000183022</t>
        </is>
      </c>
      <c r="BH809" s="24" t="inlineStr">
        <is>
          <t>2026-08-31T16:02:39.029549Z</t>
        </is>
      </c>
      <c r="BI809" s="24" t="inlineStr">
        <is>
          <t>["same_event","same_team_same_day","same_league_same_day"]</t>
        </is>
      </c>
      <c r="BJ809" s="25" t="n"/>
      <c r="BK809" s="26" t="n">
        <v>-900</v>
      </c>
      <c r="BL809" s="27" t="n">
        <v>1.111111</v>
      </c>
      <c r="BM809" s="28" t="n">
        <v>0.9</v>
      </c>
      <c r="BN809" s="28" t="n"/>
      <c r="BO809" s="28" t="n"/>
      <c r="BP809" s="25" t="n"/>
      <c r="BQ809" s="27" t="n">
        <v>1.111111</v>
      </c>
      <c r="BR809" s="28" t="n">
        <v>0.9</v>
      </c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inlineStr">
        <is>
          <t>d9dd5acf06ef4fe9841750fa46714ea84eada6d4553b2ab82f5e40722dc7fc79</t>
        </is>
      </c>
      <c r="DE809" s="24" t="inlineStr">
        <is>
          <t>/Users/vincentc9002/model-prediction/data/odds/tennis/2026-08-31/polymarket_snapshots.jsonl</t>
        </is>
      </c>
      <c r="DF809" s="24" t="inlineStr">
        <is>
          <t>547443:2026-08-31T16:02:39.029549Z</t>
        </is>
      </c>
      <c r="DG809" s="24" t="n"/>
      <c r="DH809" s="24" t="n"/>
      <c r="DI809" s="24" t="n"/>
      <c r="DJ809" s="24" t="inlineStr">
        <is>
          <t>0.9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84eb278126ce4a7d</t>
        </is>
      </c>
      <c r="B810" s="24" t="inlineStr">
        <is>
          <t>2026-08-31T16:04:31.779137Z</t>
        </is>
      </c>
      <c r="C810" s="24" t="inlineStr">
        <is>
          <t>2026-08-31T19:00Z</t>
        </is>
      </c>
      <c r="D810" s="24" t="inlineStr">
        <is>
          <t>189-2026:182635</t>
        </is>
      </c>
      <c r="E810" s="24" t="inlineStr">
        <is>
          <t>TENNIS</t>
        </is>
      </c>
      <c r="F810" s="24" t="inlineStr">
        <is>
          <t>Diane Parry</t>
        </is>
      </c>
      <c r="G810" s="24" t="inlineStr">
        <is>
          <t>Viktorija Golubic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polymarket_us</t>
        </is>
      </c>
      <c r="L810" s="26" t="n">
        <v>-108</v>
      </c>
      <c r="M810" s="27" t="n">
        <v>1.925926</v>
      </c>
      <c r="N810" s="28" t="n">
        <v>0.519231</v>
      </c>
      <c r="O810" s="28" t="n">
        <v>0.5579</v>
      </c>
      <c r="P810" s="28" t="n">
        <v>0.05</v>
      </c>
      <c r="Q810" s="28" t="n">
        <v>0.038669</v>
      </c>
      <c r="R810" s="26" t="n">
        <v>39</v>
      </c>
      <c r="S810" s="29" t="n">
        <v>1</v>
      </c>
      <c r="T810" s="24" t="inlineStr">
        <is>
          <t>tennis-surface-elo-v1</t>
        </is>
      </c>
      <c r="U810" s="24" t="inlineStr">
        <is>
          <t>settled</t>
        </is>
      </c>
      <c r="V810" s="24" t="inlineStr">
        <is>
          <t>win</t>
        </is>
      </c>
      <c r="W810" s="26" t="n">
        <v>1</v>
      </c>
      <c r="X810" s="26" t="n">
        <v>0</v>
      </c>
      <c r="Y810" s="25" t="n"/>
      <c r="Z810" s="26" t="n">
        <v>-108</v>
      </c>
      <c r="AA810" s="28" t="n">
        <v>0.52</v>
      </c>
      <c r="AB810" s="28" t="n">
        <v>0.000769</v>
      </c>
      <c r="AC810" s="30" t="n">
        <v>0.9258999999999999</v>
      </c>
      <c r="AD810" s="24" t="inlineStr">
        <is>
          <t>2026-09-01T04:37:34.019253Z</t>
        </is>
      </c>
      <c r="AE810" s="31" t="inlineStr">
        <is>
          <t>Surface-blended Elo on Hard: Diane Parry p=0.558 vs Viktorija Golubic. Executable ask 0.5200 (aec-wta-vikgol-diapar-2026-08-30).</t>
        </is>
      </c>
      <c r="AF810" s="31" t="inlineStr">
        <is>
          <t>Surface-blended Elo model; singles only, WTA+ATP market coverage, not yet locked-holdout qualified -- promoted by explicit operator directive, not genuine walk-forward validation.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Diane Parry</t>
        </is>
      </c>
      <c r="AQ810" s="24" t="inlineStr">
        <is>
          <t>Diane Parry</t>
        </is>
      </c>
      <c r="AR810" s="24" t="inlineStr">
        <is>
          <t>Diane Parry</t>
        </is>
      </c>
      <c r="AS810" s="24" t="inlineStr">
        <is>
          <t>Viktorija Golubic</t>
        </is>
      </c>
      <c r="AT810" s="24" t="inlineStr">
        <is>
          <t>Viktorija Golubic</t>
        </is>
      </c>
      <c r="AU810" s="24" t="inlineStr">
        <is>
          <t>Viktorija Golubic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a67bb04c83bafa75b17d3013fcd4c13f2ff17c27af73dd591a6770e000183022</t>
        </is>
      </c>
      <c r="BB810" s="24" t="inlineStr">
        <is>
          <t>surface_blended_elo</t>
        </is>
      </c>
      <c r="BC810" s="24" t="inlineStr">
        <is>
          <t>tennis-surface-elo-v1</t>
        </is>
      </c>
      <c r="BD810" s="24" t="inlineStr">
        <is>
          <t>a67bb04c83bafa75b17d3013fcd4c13f2ff17c27af73dd591a6770e000183022</t>
        </is>
      </c>
      <c r="BE810" s="24" t="inlineStr">
        <is>
          <t>tennis-surface-elo-v1</t>
        </is>
      </c>
      <c r="BF810" s="24" t="inlineStr">
        <is>
          <t>1</t>
        </is>
      </c>
      <c r="BG810" s="24" t="inlineStr">
        <is>
          <t>a67bb04c83bafa75b17d3013fcd4c13f2ff17c27af73dd591a6770e000183022</t>
        </is>
      </c>
      <c r="BH810" s="24" t="inlineStr">
        <is>
          <t>2026-08-31T16:02:38.998827Z</t>
        </is>
      </c>
      <c r="BI810" s="24" t="inlineStr">
        <is>
          <t>["same_event","same_team_same_day","same_league_same_day"]</t>
        </is>
      </c>
      <c r="BJ810" s="25" t="n"/>
      <c r="BK810" s="26" t="n">
        <v>-108</v>
      </c>
      <c r="BL810" s="27" t="n">
        <v>1.925926</v>
      </c>
      <c r="BM810" s="28" t="n">
        <v>0.519231</v>
      </c>
      <c r="BN810" s="28" t="n"/>
      <c r="BO810" s="28" t="n"/>
      <c r="BP810" s="25" t="n"/>
      <c r="BQ810" s="27" t="n">
        <v>1.925926</v>
      </c>
      <c r="BR810" s="28" t="n">
        <v>0.52</v>
      </c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inlineStr">
        <is>
          <t>bdd7da27281c199b8cb088c8f087129f5ffb033e1dde64b84cbbcbc318c3e321</t>
        </is>
      </c>
      <c r="DE810" s="24" t="inlineStr">
        <is>
          <t>/Users/vincentc9002/model-prediction/data/odds/tennis/2026-08-31/polymarket_snapshots.jsonl</t>
        </is>
      </c>
      <c r="DF810" s="24" t="inlineStr">
        <is>
          <t>547277:2026-08-31T16:02:38.998827Z</t>
        </is>
      </c>
      <c r="DG810" s="24" t="n"/>
      <c r="DH810" s="24" t="n"/>
      <c r="DI810" s="24" t="n"/>
      <c r="DJ810" s="24" t="inlineStr">
        <is>
          <t>0.519231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a771c9e4776243d9</t>
        </is>
      </c>
      <c r="B811" s="24" t="inlineStr">
        <is>
          <t>2026-08-31T16:04:31.779137Z</t>
        </is>
      </c>
      <c r="C811" s="24" t="inlineStr">
        <is>
          <t>2026-08-31T21:00Z</t>
        </is>
      </c>
      <c r="D811" s="24" t="inlineStr">
        <is>
          <t>189-2026:182630</t>
        </is>
      </c>
      <c r="E811" s="24" t="inlineStr">
        <is>
          <t>TENNIS</t>
        </is>
      </c>
      <c r="F811" s="24" t="inlineStr">
        <is>
          <t>Liudmila Samsonova</t>
        </is>
      </c>
      <c r="G811" s="24" t="inlineStr">
        <is>
          <t>Maya Joint</t>
        </is>
      </c>
      <c r="H811" s="24" t="inlineStr">
        <is>
          <t>moneyline</t>
        </is>
      </c>
      <c r="I811" s="24" t="inlineStr">
        <is>
          <t>away</t>
        </is>
      </c>
      <c r="J811" s="25" t="n"/>
      <c r="K811" s="24" t="inlineStr">
        <is>
          <t>polymarket_us</t>
        </is>
      </c>
      <c r="L811" s="26" t="n">
        <v>-257</v>
      </c>
      <c r="M811" s="27" t="n">
        <v>1.389105</v>
      </c>
      <c r="N811" s="28" t="n">
        <v>0.719888</v>
      </c>
      <c r="O811" s="28" t="n">
        <v>0.5339</v>
      </c>
      <c r="P811" s="28" t="n">
        <v>0.05</v>
      </c>
      <c r="Q811" s="28" t="n">
        <v>-0.185988</v>
      </c>
      <c r="R811" s="26" t="n">
        <v>0</v>
      </c>
      <c r="S811" s="29" t="n">
        <v>1</v>
      </c>
      <c r="T811" s="24" t="inlineStr">
        <is>
          <t>tennis-surface-elo-v1</t>
        </is>
      </c>
      <c r="U811" s="24" t="inlineStr">
        <is>
          <t>settled</t>
        </is>
      </c>
      <c r="V811" s="24" t="inlineStr">
        <is>
          <t>loss</t>
        </is>
      </c>
      <c r="W811" s="26" t="n">
        <v>0</v>
      </c>
      <c r="X811" s="26" t="n">
        <v>1</v>
      </c>
      <c r="Y811" s="25" t="n"/>
      <c r="Z811" s="26" t="n">
        <v>-257</v>
      </c>
      <c r="AA811" s="28" t="n">
        <v>0.72</v>
      </c>
      <c r="AB811" s="28" t="n">
        <v>0.000112</v>
      </c>
      <c r="AC811" s="30" t="n">
        <v>-1</v>
      </c>
      <c r="AD811" s="24" t="inlineStr">
        <is>
          <t>2026-09-01T04:37:36.676745Z</t>
        </is>
      </c>
      <c r="AE811" s="31" t="inlineStr">
        <is>
          <t>Surface-blended Elo on Hard: Liudmila Samsonova p=0.534 vs Maya Joint. Executable ask 0.7200 (aec-wta-mayjoi-liusam-2026-08-30).</t>
        </is>
      </c>
      <c r="AF811" s="31" t="inlineStr">
        <is>
          <t>Surface-blended Elo model; singles only, WTA+ATP market coverage, not yet locked-holdout qualified -- promoted by explicit operator directive, not genuine walk-forward validation.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Liudmila Samsonova</t>
        </is>
      </c>
      <c r="AQ811" s="24" t="inlineStr">
        <is>
          <t>Liudmila Samsonova</t>
        </is>
      </c>
      <c r="AR811" s="24" t="inlineStr">
        <is>
          <t>Liudmila Samsonova</t>
        </is>
      </c>
      <c r="AS811" s="24" t="inlineStr">
        <is>
          <t>Maya Joint</t>
        </is>
      </c>
      <c r="AT811" s="24" t="inlineStr">
        <is>
          <t>Maya Joint</t>
        </is>
      </c>
      <c r="AU811" s="24" t="inlineStr">
        <is>
          <t>Maya Joint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a67bb04c83bafa75b17d3013fcd4c13f2ff17c27af73dd591a6770e000183022</t>
        </is>
      </c>
      <c r="BB811" s="24" t="inlineStr">
        <is>
          <t>surface_blended_elo</t>
        </is>
      </c>
      <c r="BC811" s="24" t="inlineStr">
        <is>
          <t>tennis-surface-elo-v1</t>
        </is>
      </c>
      <c r="BD811" s="24" t="inlineStr">
        <is>
          <t>a67bb04c83bafa75b17d3013fcd4c13f2ff17c27af73dd591a6770e000183022</t>
        </is>
      </c>
      <c r="BE811" s="24" t="inlineStr">
        <is>
          <t>tennis-surface-elo-v1</t>
        </is>
      </c>
      <c r="BF811" s="24" t="inlineStr">
        <is>
          <t>1</t>
        </is>
      </c>
      <c r="BG811" s="24" t="inlineStr">
        <is>
          <t>a67bb04c83bafa75b17d3013fcd4c13f2ff17c27af73dd591a6770e000183022</t>
        </is>
      </c>
      <c r="BH811" s="24" t="inlineStr">
        <is>
          <t>2026-08-31T16:02:39.263247Z</t>
        </is>
      </c>
      <c r="BI811" s="24" t="inlineStr">
        <is>
          <t>["same_event","same_team_same_day","same_league_same_day"]</t>
        </is>
      </c>
      <c r="BJ811" s="25" t="n"/>
      <c r="BK811" s="26" t="n">
        <v>-257</v>
      </c>
      <c r="BL811" s="27" t="n">
        <v>1.389105</v>
      </c>
      <c r="BM811" s="28" t="n">
        <v>0.719888</v>
      </c>
      <c r="BN811" s="28" t="n"/>
      <c r="BO811" s="28" t="n"/>
      <c r="BP811" s="25" t="n"/>
      <c r="BQ811" s="27" t="n">
        <v>1.389105</v>
      </c>
      <c r="BR811" s="28" t="n">
        <v>0.72</v>
      </c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inlineStr">
        <is>
          <t>b2ac17bff36cba8adb66a599c8a0ae765c9959d4222876a0812de80068393533</t>
        </is>
      </c>
      <c r="DE811" s="24" t="inlineStr">
        <is>
          <t>/Users/vincentc9002/model-prediction/data/odds/tennis/2026-08-31/polymarket_snapshots.jsonl</t>
        </is>
      </c>
      <c r="DF811" s="24" t="inlineStr">
        <is>
          <t>547282:2026-08-31T16:02:39.263247Z</t>
        </is>
      </c>
      <c r="DG811" s="24" t="n"/>
      <c r="DH811" s="24" t="n"/>
      <c r="DI811" s="24" t="n"/>
      <c r="DJ811" s="24" t="inlineStr">
        <is>
          <t>0.719888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e03221efc0b2472c</t>
        </is>
      </c>
      <c r="B812" s="24" t="inlineStr">
        <is>
          <t>2026-08-31T16:04:31.779137Z</t>
        </is>
      </c>
      <c r="C812" s="24" t="inlineStr">
        <is>
          <t>2026-08-31T22:30Z</t>
        </is>
      </c>
      <c r="D812" s="24" t="inlineStr">
        <is>
          <t>189-2026:182613</t>
        </is>
      </c>
      <c r="E812" s="24" t="inlineStr">
        <is>
          <t>TENNIS</t>
        </is>
      </c>
      <c r="F812" s="24" t="inlineStr">
        <is>
          <t>Katerina Siniakova</t>
        </is>
      </c>
      <c r="G812" s="24" t="inlineStr">
        <is>
          <t>Elisabetta Cocciaretto</t>
        </is>
      </c>
      <c r="H812" s="24" t="inlineStr">
        <is>
          <t>moneyline</t>
        </is>
      </c>
      <c r="I812" s="24" t="inlineStr">
        <is>
          <t>away</t>
        </is>
      </c>
      <c r="J812" s="25" t="n"/>
      <c r="K812" s="24" t="inlineStr">
        <is>
          <t>polymarket_us</t>
        </is>
      </c>
      <c r="L812" s="26" t="n">
        <v>-163</v>
      </c>
      <c r="M812" s="27" t="n">
        <v>1.613497</v>
      </c>
      <c r="N812" s="28" t="n">
        <v>0.619772</v>
      </c>
      <c r="O812" s="28" t="n">
        <v>0.5054</v>
      </c>
      <c r="P812" s="28" t="n">
        <v>0.05</v>
      </c>
      <c r="Q812" s="28" t="n">
        <v>-0.114372</v>
      </c>
      <c r="R812" s="26" t="n">
        <v>0</v>
      </c>
      <c r="S812" s="29" t="n">
        <v>1</v>
      </c>
      <c r="T812" s="24" t="inlineStr">
        <is>
          <t>tennis-surface-elo-v1</t>
        </is>
      </c>
      <c r="U812" s="24" t="inlineStr">
        <is>
          <t>settled</t>
        </is>
      </c>
      <c r="V812" s="24" t="inlineStr">
        <is>
          <t>win</t>
        </is>
      </c>
      <c r="W812" s="26" t="n">
        <v>1</v>
      </c>
      <c r="X812" s="26" t="n">
        <v>0</v>
      </c>
      <c r="Y812" s="25" t="n"/>
      <c r="Z812" s="26" t="n">
        <v>-163</v>
      </c>
      <c r="AA812" s="28" t="n">
        <v>0.62</v>
      </c>
      <c r="AB812" s="28" t="n">
        <v>0.000228</v>
      </c>
      <c r="AC812" s="30" t="n">
        <v>0.6135</v>
      </c>
      <c r="AD812" s="24" t="inlineStr">
        <is>
          <t>2026-09-01T04:37:39.391598Z</t>
        </is>
      </c>
      <c r="AE812" s="31" t="inlineStr">
        <is>
          <t>Surface-blended Elo on Hard: Katerina Siniakova p=0.505 vs Elisabetta Cocciaretto. Executable ask 0.6200 (aec-wta-elicoc-katsin-2026-08-30).</t>
        </is>
      </c>
      <c r="AF812" s="31" t="inlineStr">
        <is>
          <t>Surface-blended Elo model; singles only, WTA+ATP market coverage, not yet locked-holdout qualified -- promoted by explicit operator directive, not genuine walk-forward validation.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Katerina Siniakova</t>
        </is>
      </c>
      <c r="AQ812" s="24" t="inlineStr">
        <is>
          <t>Katerina Siniakova</t>
        </is>
      </c>
      <c r="AR812" s="24" t="inlineStr">
        <is>
          <t>Katerina Siniakova</t>
        </is>
      </c>
      <c r="AS812" s="24" t="inlineStr">
        <is>
          <t>Elisabetta Cocciaretto</t>
        </is>
      </c>
      <c r="AT812" s="24" t="inlineStr">
        <is>
          <t>Elisabetta Cocciaretto</t>
        </is>
      </c>
      <c r="AU812" s="24" t="inlineStr">
        <is>
          <t>Elisabetta Cocciaretto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a67bb04c83bafa75b17d3013fcd4c13f2ff17c27af73dd591a6770e000183022</t>
        </is>
      </c>
      <c r="BB812" s="24" t="inlineStr">
        <is>
          <t>surface_blended_elo</t>
        </is>
      </c>
      <c r="BC812" s="24" t="inlineStr">
        <is>
          <t>tennis-surface-elo-v1</t>
        </is>
      </c>
      <c r="BD812" s="24" t="inlineStr">
        <is>
          <t>a67bb04c83bafa75b17d3013fcd4c13f2ff17c27af73dd591a6770e000183022</t>
        </is>
      </c>
      <c r="BE812" s="24" t="inlineStr">
        <is>
          <t>tennis-surface-elo-v1</t>
        </is>
      </c>
      <c r="BF812" s="24" t="inlineStr">
        <is>
          <t>1</t>
        </is>
      </c>
      <c r="BG812" s="24" t="inlineStr">
        <is>
          <t>a67bb04c83bafa75b17d3013fcd4c13f2ff17c27af73dd591a6770e000183022</t>
        </is>
      </c>
      <c r="BH812" s="24" t="inlineStr">
        <is>
          <t>2026-08-31T16:02:39.206310Z</t>
        </is>
      </c>
      <c r="BI812" s="24" t="inlineStr">
        <is>
          <t>["same_event","same_team_same_day","same_league_same_day"]</t>
        </is>
      </c>
      <c r="BJ812" s="25" t="n"/>
      <c r="BK812" s="26" t="n">
        <v>-163</v>
      </c>
      <c r="BL812" s="27" t="n">
        <v>1.613497</v>
      </c>
      <c r="BM812" s="28" t="n">
        <v>0.619772</v>
      </c>
      <c r="BN812" s="28" t="n"/>
      <c r="BO812" s="28" t="n"/>
      <c r="BP812" s="25" t="n"/>
      <c r="BQ812" s="27" t="n">
        <v>1.613497</v>
      </c>
      <c r="BR812" s="28" t="n">
        <v>0.62</v>
      </c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False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inlineStr">
        <is>
          <t>f823b78e123182f9763222f0bb8e3775c000826c2e130b54a7871bcd19dbafca</t>
        </is>
      </c>
      <c r="DE812" s="24" t="inlineStr">
        <is>
          <t>/Users/vincentc9002/model-prediction/data/odds/tennis/2026-08-31/polymarket_snapshots.jsonl</t>
        </is>
      </c>
      <c r="DF812" s="24" t="inlineStr">
        <is>
          <t>547330:2026-08-31T16:02:39.206310Z</t>
        </is>
      </c>
      <c r="DG812" s="24" t="n"/>
      <c r="DH812" s="24" t="n"/>
      <c r="DI812" s="24" t="n"/>
      <c r="DJ812" s="24" t="inlineStr">
        <is>
          <t>0.619772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1c74b1dd4d0f4ac2</t>
        </is>
      </c>
      <c r="B813" s="24" t="inlineStr">
        <is>
          <t>2026-08-31T16:04:31.779137Z</t>
        </is>
      </c>
      <c r="C813" s="24" t="inlineStr">
        <is>
          <t>2026-08-31T23:00Z</t>
        </is>
      </c>
      <c r="D813" s="24" t="inlineStr">
        <is>
          <t>189-2026:182607</t>
        </is>
      </c>
      <c r="E813" s="24" t="inlineStr">
        <is>
          <t>TENNIS</t>
        </is>
      </c>
      <c r="F813" s="24" t="inlineStr">
        <is>
          <t>Wang Xiyu</t>
        </is>
      </c>
      <c r="G813" s="24" t="inlineStr">
        <is>
          <t>Iga Swiatek</t>
        </is>
      </c>
      <c r="H813" s="24" t="inlineStr">
        <is>
          <t>moneyline</t>
        </is>
      </c>
      <c r="I813" s="24" t="inlineStr">
        <is>
          <t>home</t>
        </is>
      </c>
      <c r="J813" s="25" t="n"/>
      <c r="K813" s="24" t="inlineStr">
        <is>
          <t>polymarket_us</t>
        </is>
      </c>
      <c r="L813" s="26" t="n">
        <v>-1329</v>
      </c>
      <c r="M813" s="27" t="n">
        <v>1.075245</v>
      </c>
      <c r="N813" s="28" t="n">
        <v>0.930021</v>
      </c>
      <c r="O813" s="28" t="n">
        <v>0.8242</v>
      </c>
      <c r="P813" s="28" t="n">
        <v>0.05</v>
      </c>
      <c r="Q813" s="28" t="n">
        <v>-0.105821</v>
      </c>
      <c r="R813" s="26" t="n">
        <v>0</v>
      </c>
      <c r="S813" s="29" t="n">
        <v>1</v>
      </c>
      <c r="T813" s="24" t="inlineStr">
        <is>
          <t>tennis-surface-elo-v1</t>
        </is>
      </c>
      <c r="U813" s="24" t="inlineStr">
        <is>
          <t>settled</t>
        </is>
      </c>
      <c r="V813" s="24" t="inlineStr">
        <is>
          <t>win</t>
        </is>
      </c>
      <c r="W813" s="26" t="n">
        <v>0</v>
      </c>
      <c r="X813" s="26" t="n">
        <v>1</v>
      </c>
      <c r="Y813" s="25" t="n"/>
      <c r="Z813" s="26" t="n">
        <v>-1329</v>
      </c>
      <c r="AA813" s="28" t="n">
        <v>0.93</v>
      </c>
      <c r="AB813" s="28" t="n">
        <v>-2.1e-05</v>
      </c>
      <c r="AC813" s="30" t="n">
        <v>0.0752</v>
      </c>
      <c r="AD813" s="24" t="inlineStr">
        <is>
          <t>2026-09-01T04:37:42.235897Z</t>
        </is>
      </c>
      <c r="AE813" s="31" t="inlineStr">
        <is>
          <t>Surface-blended Elo on Hard: Wang Xiyu p=0.176 vs Iga Swiatek. Executable ask 0.9300 (aec-wta-igaswi-xiywan-2026-08-30).</t>
        </is>
      </c>
      <c r="AF813" s="31" t="inlineStr">
        <is>
          <t>Surface-blended Elo model; singles only, WTA+ATP market coverage, not yet locked-holdout qualified -- promoted by explicit operator directive, not genuine walk-forward validation.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Wang Xiyu</t>
        </is>
      </c>
      <c r="AQ813" s="24" t="inlineStr">
        <is>
          <t>Wang Xiyu</t>
        </is>
      </c>
      <c r="AR813" s="24" t="inlineStr">
        <is>
          <t>Wang Xiyu</t>
        </is>
      </c>
      <c r="AS813" s="24" t="inlineStr">
        <is>
          <t>Iga Swiatek</t>
        </is>
      </c>
      <c r="AT813" s="24" t="inlineStr">
        <is>
          <t>Iga Swiatek</t>
        </is>
      </c>
      <c r="AU813" s="24" t="inlineStr">
        <is>
          <t>Iga Swiatek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a67bb04c83bafa75b17d3013fcd4c13f2ff17c27af73dd591a6770e000183022</t>
        </is>
      </c>
      <c r="BB813" s="24" t="inlineStr">
        <is>
          <t>surface_blended_elo</t>
        </is>
      </c>
      <c r="BC813" s="24" t="inlineStr">
        <is>
          <t>tennis-surface-elo-v1</t>
        </is>
      </c>
      <c r="BD813" s="24" t="inlineStr">
        <is>
          <t>a67bb04c83bafa75b17d3013fcd4c13f2ff17c27af73dd591a6770e000183022</t>
        </is>
      </c>
      <c r="BE813" s="24" t="inlineStr">
        <is>
          <t>tennis-surface-elo-v1</t>
        </is>
      </c>
      <c r="BF813" s="24" t="inlineStr">
        <is>
          <t>1</t>
        </is>
      </c>
      <c r="BG813" s="24" t="inlineStr">
        <is>
          <t>a67bb04c83bafa75b17d3013fcd4c13f2ff17c27af73dd591a6770e000183022</t>
        </is>
      </c>
      <c r="BH813" s="24" t="inlineStr">
        <is>
          <t>2026-08-31T16:02:39.262029Z</t>
        </is>
      </c>
      <c r="BI813" s="24" t="inlineStr">
        <is>
          <t>["same_event","same_team_same_day","same_league_same_day"]</t>
        </is>
      </c>
      <c r="BJ813" s="25" t="n"/>
      <c r="BK813" s="26" t="n">
        <v>-1329</v>
      </c>
      <c r="BL813" s="27" t="n">
        <v>1.075245</v>
      </c>
      <c r="BM813" s="28" t="n">
        <v>0.930021</v>
      </c>
      <c r="BN813" s="28" t="n"/>
      <c r="BO813" s="28" t="n"/>
      <c r="BP813" s="25" t="n"/>
      <c r="BQ813" s="27" t="n">
        <v>1.075245</v>
      </c>
      <c r="BR813" s="28" t="n">
        <v>0.93</v>
      </c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inlineStr">
        <is>
          <t>6d4e43d4827b066f02bb32c8cfbda85331ff56fe440ac2a83574bb009e22025f</t>
        </is>
      </c>
      <c r="DE813" s="24" t="inlineStr">
        <is>
          <t>/Users/vincentc9002/model-prediction/data/odds/tennis/2026-08-31/polymarket_snapshots.jsonl</t>
        </is>
      </c>
      <c r="DF813" s="24" t="inlineStr">
        <is>
          <t>547315:2026-08-31T16:02:39.262029Z</t>
        </is>
      </c>
      <c r="DG813" s="24" t="n"/>
      <c r="DH813" s="24" t="n"/>
      <c r="DI813" s="24" t="n"/>
      <c r="DJ813" s="24" t="inlineStr">
        <is>
          <t>0.930021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9e623bb65b0e48dc</t>
        </is>
      </c>
      <c r="B814" s="24" t="inlineStr">
        <is>
          <t>2026-08-31T16:04:31.779137Z</t>
        </is>
      </c>
      <c r="C814" s="24" t="inlineStr">
        <is>
          <t>2026-09-01T01:00Z</t>
        </is>
      </c>
      <c r="D814" s="24" t="inlineStr">
        <is>
          <t>189-2026:182612</t>
        </is>
      </c>
      <c r="E814" s="24" t="inlineStr">
        <is>
          <t>TENNIS</t>
        </is>
      </c>
      <c r="F814" s="24" t="inlineStr">
        <is>
          <t>Anastasia Zakharova</t>
        </is>
      </c>
      <c r="G814" s="24" t="inlineStr">
        <is>
          <t>Naomi Osaka</t>
        </is>
      </c>
      <c r="H814" s="24" t="inlineStr">
        <is>
          <t>moneyline</t>
        </is>
      </c>
      <c r="I814" s="24" t="inlineStr">
        <is>
          <t>home</t>
        </is>
      </c>
      <c r="J814" s="25" t="n"/>
      <c r="K814" s="24" t="inlineStr">
        <is>
          <t>polymarket_us</t>
        </is>
      </c>
      <c r="L814" s="26" t="n">
        <v>-809</v>
      </c>
      <c r="M814" s="27" t="n">
        <v>1.123609</v>
      </c>
      <c r="N814" s="28" t="n">
        <v>0.889989</v>
      </c>
      <c r="O814" s="28" t="n">
        <v>0.7675999999999999</v>
      </c>
      <c r="P814" s="28" t="n">
        <v>0.05</v>
      </c>
      <c r="Q814" s="28" t="n">
        <v>-0.122389</v>
      </c>
      <c r="R814" s="26" t="n">
        <v>0</v>
      </c>
      <c r="S814" s="29" t="n">
        <v>1</v>
      </c>
      <c r="T814" s="24" t="inlineStr">
        <is>
          <t>tennis-surface-elo-v1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1</v>
      </c>
      <c r="Y814" s="25" t="n"/>
      <c r="Z814" s="26" t="n">
        <v>-809</v>
      </c>
      <c r="AA814" s="28" t="n">
        <v>0.89</v>
      </c>
      <c r="AB814" s="28" t="n">
        <v>1.1e-05</v>
      </c>
      <c r="AC814" s="30" t="n">
        <v>0.1236</v>
      </c>
      <c r="AD814" s="24" t="inlineStr">
        <is>
          <t>2026-09-01T04:37:44.946999Z</t>
        </is>
      </c>
      <c r="AE814" s="31" t="inlineStr">
        <is>
          <t>Surface-blended Elo on Hard: Anastasia Zakharova p=0.232 vs Naomi Osaka. Executable ask 0.8900 (aec-wta-naoosa-anazak-2026-08-30).</t>
        </is>
      </c>
      <c r="AF814" s="31" t="inlineStr">
        <is>
          <t>Surface-blended Elo model; singles only, WTA+ATP market coverage, not yet locked-holdout qualified -- promoted by explicit operator directive, not genuine walk-forward validation.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Anastasia Zakharova</t>
        </is>
      </c>
      <c r="AQ814" s="24" t="inlineStr">
        <is>
          <t>Anastasia Zakharova</t>
        </is>
      </c>
      <c r="AR814" s="24" t="inlineStr">
        <is>
          <t>Anastasia Zakharova</t>
        </is>
      </c>
      <c r="AS814" s="24" t="inlineStr">
        <is>
          <t>Naomi Osaka</t>
        </is>
      </c>
      <c r="AT814" s="24" t="inlineStr">
        <is>
          <t>Naomi Osaka</t>
        </is>
      </c>
      <c r="AU814" s="24" t="inlineStr">
        <is>
          <t>Naomi Osaka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a67bb04c83bafa75b17d3013fcd4c13f2ff17c27af73dd591a6770e000183022</t>
        </is>
      </c>
      <c r="BB814" s="24" t="inlineStr">
        <is>
          <t>surface_blended_elo</t>
        </is>
      </c>
      <c r="BC814" s="24" t="inlineStr">
        <is>
          <t>tennis-surface-elo-v1</t>
        </is>
      </c>
      <c r="BD814" s="24" t="inlineStr">
        <is>
          <t>a67bb04c83bafa75b17d3013fcd4c13f2ff17c27af73dd591a6770e000183022</t>
        </is>
      </c>
      <c r="BE814" s="24" t="inlineStr">
        <is>
          <t>tennis-surface-elo-v1</t>
        </is>
      </c>
      <c r="BF814" s="24" t="inlineStr">
        <is>
          <t>1</t>
        </is>
      </c>
      <c r="BG814" s="24" t="inlineStr">
        <is>
          <t>a67bb04c83bafa75b17d3013fcd4c13f2ff17c27af73dd591a6770e000183022</t>
        </is>
      </c>
      <c r="BH814" s="24" t="inlineStr">
        <is>
          <t>2026-08-31T16:02:39.303729Z</t>
        </is>
      </c>
      <c r="BI814" s="24" t="inlineStr">
        <is>
          <t>["same_event","same_team_same_day","same_league_same_day"]</t>
        </is>
      </c>
      <c r="BJ814" s="25" t="n"/>
      <c r="BK814" s="26" t="n">
        <v>-809</v>
      </c>
      <c r="BL814" s="27" t="n">
        <v>1.123609</v>
      </c>
      <c r="BM814" s="28" t="n">
        <v>0.889989</v>
      </c>
      <c r="BN814" s="28" t="n"/>
      <c r="BO814" s="28" t="n"/>
      <c r="BP814" s="25" t="n"/>
      <c r="BQ814" s="27" t="n">
        <v>1.123609</v>
      </c>
      <c r="BR814" s="28" t="n">
        <v>0.89</v>
      </c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inlineStr">
        <is>
          <t>fc065dff51b89c1f6a925e4b89638bdc503c96b246e78555109eb717a25cac8c</t>
        </is>
      </c>
      <c r="DE814" s="24" t="inlineStr">
        <is>
          <t>/Users/vincentc9002/model-prediction/data/odds/tennis/2026-08-31/polymarket_snapshots.jsonl</t>
        </is>
      </c>
      <c r="DF814" s="24" t="inlineStr">
        <is>
          <t>547326:2026-08-31T16:02:39.303729Z</t>
        </is>
      </c>
      <c r="DG814" s="24" t="n"/>
      <c r="DH814" s="24" t="n"/>
      <c r="DI814" s="24" t="n"/>
      <c r="DJ814" s="24" t="inlineStr">
        <is>
          <t>0.889989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044838ba3d114604</t>
        </is>
      </c>
      <c r="B815" s="24" t="inlineStr">
        <is>
          <t>2026-08-31T16:04:31.779137Z</t>
        </is>
      </c>
      <c r="C815" s="24" t="inlineStr">
        <is>
          <t>2026-08-31T17:00Z</t>
        </is>
      </c>
      <c r="D815" s="24" t="inlineStr">
        <is>
          <t>189-2026:182669</t>
        </is>
      </c>
      <c r="E815" s="24" t="inlineStr">
        <is>
          <t>TENNIS</t>
        </is>
      </c>
      <c r="F815" s="24" t="inlineStr">
        <is>
          <t>James Duckworth</t>
        </is>
      </c>
      <c r="G815" s="24" t="inlineStr">
        <is>
          <t>Matteo Arnaldi</t>
        </is>
      </c>
      <c r="H815" s="24" t="inlineStr">
        <is>
          <t>moneyline</t>
        </is>
      </c>
      <c r="I815" s="24" t="inlineStr">
        <is>
          <t>away</t>
        </is>
      </c>
      <c r="J815" s="25" t="n"/>
      <c r="K815" s="24" t="inlineStr">
        <is>
          <t>polymarket_us</t>
        </is>
      </c>
      <c r="L815" s="26" t="n">
        <v>156</v>
      </c>
      <c r="M815" s="27" t="n">
        <v>2.56</v>
      </c>
      <c r="N815" s="28" t="n">
        <v>0.390625</v>
      </c>
      <c r="O815" s="28" t="n">
        <v>0.5743</v>
      </c>
      <c r="P815" s="28" t="n">
        <v>0.05</v>
      </c>
      <c r="Q815" s="28" t="n">
        <v>0.183675</v>
      </c>
      <c r="R815" s="26" t="n">
        <v>100</v>
      </c>
      <c r="S815" s="29" t="n">
        <v>2</v>
      </c>
      <c r="T815" s="24" t="inlineStr">
        <is>
          <t>tennis-surface-elo-v1</t>
        </is>
      </c>
      <c r="U815" s="24" t="inlineStr">
        <is>
          <t>settled</t>
        </is>
      </c>
      <c r="V815" s="24" t="inlineStr">
        <is>
          <t>win</t>
        </is>
      </c>
      <c r="W815" s="26" t="n">
        <v>1</v>
      </c>
      <c r="X815" s="26" t="n">
        <v>0</v>
      </c>
      <c r="Y815" s="25" t="n"/>
      <c r="Z815" s="26" t="n">
        <v>156</v>
      </c>
      <c r="AA815" s="28" t="n">
        <v>0.39</v>
      </c>
      <c r="AB815" s="28" t="n">
        <v>-0.000625</v>
      </c>
      <c r="AC815" s="30" t="n">
        <v>3.12</v>
      </c>
      <c r="AD815" s="24" t="inlineStr">
        <is>
          <t>2026-09-01T04:37:47.520791Z</t>
        </is>
      </c>
      <c r="AE815" s="31" t="inlineStr">
        <is>
          <t>Surface-blended Elo on Hard: James Duckworth p=0.574 vs Matteo Arnaldi. Executable ask 0.3900 (aec-atp-matarn-jamduc-2026-08-30).</t>
        </is>
      </c>
      <c r="AF815" s="31" t="inlineStr">
        <is>
          <t>Surface-blended Elo model; singles only, WTA+ATP market coverage, not yet locked-holdout qualified -- promoted by explicit operator directive, not genuine walk-forward validation.</t>
        </is>
      </c>
      <c r="AG815" s="24" t="inlineStr">
        <is>
          <t>not_applicable</t>
        </is>
      </c>
      <c r="AH815" s="24" t="n"/>
      <c r="AI815" s="31" t="n"/>
      <c r="AJ815" s="31" t="n"/>
      <c r="AK815" s="24" t="inlineStr">
        <is>
          <t>model_qualified</t>
        </is>
      </c>
      <c r="AL815" s="26" t="n">
        <v>4</v>
      </c>
      <c r="AM815" s="24" t="inlineStr">
        <is>
          <t>QUALIFIED_SHADOW_CALL</t>
        </is>
      </c>
      <c r="AN815" s="24" t="inlineStr">
        <is>
          <t>CALL</t>
        </is>
      </c>
      <c r="AO815" s="24" t="inlineStr">
        <is>
          <t>QUALIFIED</t>
        </is>
      </c>
      <c r="AP815" s="24" t="inlineStr">
        <is>
          <t>James Duckworth</t>
        </is>
      </c>
      <c r="AQ815" s="24" t="inlineStr">
        <is>
          <t>James Duckworth</t>
        </is>
      </c>
      <c r="AR815" s="24" t="inlineStr">
        <is>
          <t>James Duckworth</t>
        </is>
      </c>
      <c r="AS815" s="24" t="inlineStr">
        <is>
          <t>Matteo Arnaldi</t>
        </is>
      </c>
      <c r="AT815" s="24" t="inlineStr">
        <is>
          <t>Matteo Arnaldi</t>
        </is>
      </c>
      <c r="AU815" s="24" t="inlineStr">
        <is>
          <t>Matteo Arnaldi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a67bb04c83bafa75b17d3013fcd4c13f2ff17c27af73dd591a6770e000183022</t>
        </is>
      </c>
      <c r="BB815" s="24" t="inlineStr">
        <is>
          <t>surface_blended_elo</t>
        </is>
      </c>
      <c r="BC815" s="24" t="inlineStr">
        <is>
          <t>tennis-surface-elo-v1</t>
        </is>
      </c>
      <c r="BD815" s="24" t="inlineStr">
        <is>
          <t>a67bb04c83bafa75b17d3013fcd4c13f2ff17c27af73dd591a6770e000183022</t>
        </is>
      </c>
      <c r="BE815" s="24" t="inlineStr">
        <is>
          <t>tennis-surface-elo-v1</t>
        </is>
      </c>
      <c r="BF815" s="24" t="inlineStr">
        <is>
          <t>1</t>
        </is>
      </c>
      <c r="BG815" s="24" t="inlineStr">
        <is>
          <t>a67bb04c83bafa75b17d3013fcd4c13f2ff17c27af73dd591a6770e000183022</t>
        </is>
      </c>
      <c r="BH815" s="24" t="inlineStr">
        <is>
          <t>2026-08-31T16:02:39.867133Z</t>
        </is>
      </c>
      <c r="BI815" s="24" t="inlineStr">
        <is>
          <t>["same_event","same_team_same_day","same_league_same_day"]</t>
        </is>
      </c>
      <c r="BJ815" s="25" t="n"/>
      <c r="BK815" s="26" t="n">
        <v>156</v>
      </c>
      <c r="BL815" s="27" t="n">
        <v>2.56</v>
      </c>
      <c r="BM815" s="28" t="n">
        <v>0.390625</v>
      </c>
      <c r="BN815" s="28" t="n"/>
      <c r="BO815" s="28" t="n"/>
      <c r="BP815" s="25" t="n"/>
      <c r="BQ815" s="27" t="n">
        <v>2.56</v>
      </c>
      <c r="BR815" s="28" t="n">
        <v>0.39</v>
      </c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inlineStr">
        <is>
          <t>c43b34c3520f54791ae83caaab9d69cfb333cb96cbf67c00229498a2910ef186</t>
        </is>
      </c>
      <c r="DE815" s="24" t="inlineStr">
        <is>
          <t>/Users/vincentc9002/model-prediction/data/odds/tennis/2026-08-31/polymarket_snapshots.jsonl</t>
        </is>
      </c>
      <c r="DF815" s="24" t="inlineStr">
        <is>
          <t>547365:2026-08-31T16:02:39.867133Z</t>
        </is>
      </c>
      <c r="DG815" s="24" t="n"/>
      <c r="DH815" s="24" t="n"/>
      <c r="DI815" s="24" t="n"/>
      <c r="DJ815" s="24" t="inlineStr">
        <is>
          <t>0.390625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56907e323e00415a</t>
        </is>
      </c>
      <c r="B816" s="24" t="inlineStr">
        <is>
          <t>2026-08-31T16:04:31.779137Z</t>
        </is>
      </c>
      <c r="C816" s="24" t="inlineStr">
        <is>
          <t>2026-08-31T17:00Z</t>
        </is>
      </c>
      <c r="D816" s="24" t="inlineStr">
        <is>
          <t>189-2026:182705</t>
        </is>
      </c>
      <c r="E816" s="24" t="inlineStr">
        <is>
          <t>TENNIS</t>
        </is>
      </c>
      <c r="F816" s="24" t="inlineStr">
        <is>
          <t>Carlos Alcaraz</t>
        </is>
      </c>
      <c r="G816" s="24" t="inlineStr">
        <is>
          <t>Roman Safiullin</t>
        </is>
      </c>
      <c r="H816" s="24" t="inlineStr">
        <is>
          <t>moneyline</t>
        </is>
      </c>
      <c r="I816" s="24" t="inlineStr">
        <is>
          <t>away</t>
        </is>
      </c>
      <c r="J816" s="25" t="n"/>
      <c r="K816" s="24" t="inlineStr">
        <is>
          <t>polymarket_us</t>
        </is>
      </c>
      <c r="L816" s="26" t="n">
        <v>-456</v>
      </c>
      <c r="M816" s="27" t="n">
        <v>1.219298</v>
      </c>
      <c r="N816" s="28" t="n">
        <v>0.820144</v>
      </c>
      <c r="O816" s="28" t="n">
        <v>0.9435</v>
      </c>
      <c r="P816" s="28" t="n">
        <v>0.05</v>
      </c>
      <c r="Q816" s="28" t="n">
        <v>0.123356</v>
      </c>
      <c r="R816" s="26" t="n">
        <v>82</v>
      </c>
      <c r="S816" s="29" t="n">
        <v>1.5</v>
      </c>
      <c r="T816" s="24" t="inlineStr">
        <is>
          <t>tennis-surface-elo-v1</t>
        </is>
      </c>
      <c r="U816" s="24" t="inlineStr">
        <is>
          <t>settled</t>
        </is>
      </c>
      <c r="V816" s="24" t="inlineStr">
        <is>
          <t>win</t>
        </is>
      </c>
      <c r="W816" s="26" t="n">
        <v>1</v>
      </c>
      <c r="X816" s="26" t="n">
        <v>0</v>
      </c>
      <c r="Y816" s="25" t="n"/>
      <c r="Z816" s="26" t="n">
        <v>-456</v>
      </c>
      <c r="AA816" s="28" t="n">
        <v>0.82</v>
      </c>
      <c r="AB816" s="28" t="n">
        <v>-0.000144</v>
      </c>
      <c r="AC816" s="30" t="n">
        <v>0.3289</v>
      </c>
      <c r="AD816" s="24" t="inlineStr">
        <is>
          <t>2026-09-01T04:37:50.118732Z</t>
        </is>
      </c>
      <c r="AE816" s="31" t="inlineStr">
        <is>
          <t>Surface-blended Elo on Hard: Carlos Alcaraz p=0.943 vs Roman Safiullin. Executable ask 0.8200 (aec-atp-romsaf-caralc-2026-08-30).</t>
        </is>
      </c>
      <c r="AF816" s="31" t="inlineStr">
        <is>
          <t>Surface-blended Elo model; singles only, WTA+ATP market coverage, not yet locked-holdout qualified -- promoted by explicit operator directive, not genuine walk-forward validation.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model_qualified</t>
        </is>
      </c>
      <c r="AL816" s="26" t="n">
        <v>4</v>
      </c>
      <c r="AM816" s="24" t="inlineStr">
        <is>
          <t>QUALIFIED_SHADOW_CALL</t>
        </is>
      </c>
      <c r="AN816" s="24" t="inlineStr">
        <is>
          <t>CALL</t>
        </is>
      </c>
      <c r="AO816" s="24" t="inlineStr">
        <is>
          <t>QUALIFIED</t>
        </is>
      </c>
      <c r="AP816" s="24" t="inlineStr">
        <is>
          <t>Carlos Alcaraz</t>
        </is>
      </c>
      <c r="AQ816" s="24" t="inlineStr">
        <is>
          <t>Carlos Alcaraz</t>
        </is>
      </c>
      <c r="AR816" s="24" t="inlineStr">
        <is>
          <t>Carlos Alcaraz</t>
        </is>
      </c>
      <c r="AS816" s="24" t="inlineStr">
        <is>
          <t>Roman Safiullin</t>
        </is>
      </c>
      <c r="AT816" s="24" t="inlineStr">
        <is>
          <t>Roman Safiullin</t>
        </is>
      </c>
      <c r="AU816" s="24" t="inlineStr">
        <is>
          <t>Roman Safiullin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a67bb04c83bafa75b17d3013fcd4c13f2ff17c27af73dd591a6770e000183022</t>
        </is>
      </c>
      <c r="BB816" s="24" t="inlineStr">
        <is>
          <t>surface_blended_elo</t>
        </is>
      </c>
      <c r="BC816" s="24" t="inlineStr">
        <is>
          <t>tennis-surface-elo-v1</t>
        </is>
      </c>
      <c r="BD816" s="24" t="inlineStr">
        <is>
          <t>a67bb04c83bafa75b17d3013fcd4c13f2ff17c27af73dd591a6770e000183022</t>
        </is>
      </c>
      <c r="BE816" s="24" t="inlineStr">
        <is>
          <t>tennis-surface-elo-v1</t>
        </is>
      </c>
      <c r="BF816" s="24" t="inlineStr">
        <is>
          <t>1</t>
        </is>
      </c>
      <c r="BG816" s="24" t="inlineStr">
        <is>
          <t>a67bb04c83bafa75b17d3013fcd4c13f2ff17c27af73dd591a6770e000183022</t>
        </is>
      </c>
      <c r="BH816" s="24" t="inlineStr">
        <is>
          <t>2026-08-31T16:02:39.803446Z</t>
        </is>
      </c>
      <c r="BI816" s="24" t="inlineStr">
        <is>
          <t>["same_event","same_team_same_day","same_league_same_day"]</t>
        </is>
      </c>
      <c r="BJ816" s="25" t="n"/>
      <c r="BK816" s="26" t="n">
        <v>-456</v>
      </c>
      <c r="BL816" s="27" t="n">
        <v>1.219298</v>
      </c>
      <c r="BM816" s="28" t="n">
        <v>0.820144</v>
      </c>
      <c r="BN816" s="28" t="n"/>
      <c r="BO816" s="28" t="n"/>
      <c r="BP816" s="25" t="n"/>
      <c r="BQ816" s="27" t="n">
        <v>1.219298</v>
      </c>
      <c r="BR816" s="28" t="n">
        <v>0.82</v>
      </c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inlineStr">
        <is>
          <t>47d8e232fb3fa101d195961e34e60074d70c6b5601567aee28bb1b0499c62969</t>
        </is>
      </c>
      <c r="DE816" s="24" t="inlineStr">
        <is>
          <t>/Users/vincentc9002/model-prediction/data/odds/tennis/2026-08-31/polymarket_snapshots.jsonl</t>
        </is>
      </c>
      <c r="DF816" s="24" t="inlineStr">
        <is>
          <t>547368:2026-08-31T16:02:39.803446Z</t>
        </is>
      </c>
      <c r="DG816" s="24" t="n"/>
      <c r="DH816" s="24" t="n"/>
      <c r="DI816" s="24" t="n"/>
      <c r="DJ816" s="24" t="inlineStr">
        <is>
          <t>0.820144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cda2d36a3b7342ea</t>
        </is>
      </c>
      <c r="B817" s="24" t="inlineStr">
        <is>
          <t>2026-08-31T16:04:31.779137Z</t>
        </is>
      </c>
      <c r="C817" s="24" t="inlineStr">
        <is>
          <t>2026-08-31T18:00Z</t>
        </is>
      </c>
      <c r="D817" s="24" t="inlineStr">
        <is>
          <t>189-2026:182664</t>
        </is>
      </c>
      <c r="E817" s="24" t="inlineStr">
        <is>
          <t>TENNIS</t>
        </is>
      </c>
      <c r="F817" s="24" t="inlineStr">
        <is>
          <t>Harry Wendelken</t>
        </is>
      </c>
      <c r="G817" s="24" t="inlineStr">
        <is>
          <t>Luciano Darderi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polymarket_us</t>
        </is>
      </c>
      <c r="L817" s="26" t="n">
        <v>-285</v>
      </c>
      <c r="M817" s="27" t="n">
        <v>1.350877</v>
      </c>
      <c r="N817" s="28" t="n">
        <v>0.74026</v>
      </c>
      <c r="O817" s="28" t="n">
        <v>0.6451</v>
      </c>
      <c r="P817" s="28" t="n">
        <v>0.05</v>
      </c>
      <c r="Q817" s="28" t="n">
        <v>-0.09515999999999999</v>
      </c>
      <c r="R817" s="26" t="n">
        <v>0</v>
      </c>
      <c r="S817" s="29" t="n">
        <v>1</v>
      </c>
      <c r="T817" s="24" t="inlineStr">
        <is>
          <t>tennis-surface-elo-v1</t>
        </is>
      </c>
      <c r="U817" s="24" t="inlineStr">
        <is>
          <t>settled</t>
        </is>
      </c>
      <c r="V817" s="24" t="inlineStr">
        <is>
          <t>win</t>
        </is>
      </c>
      <c r="W817" s="26" t="n">
        <v>0</v>
      </c>
      <c r="X817" s="26" t="n">
        <v>1</v>
      </c>
      <c r="Y817" s="25" t="n"/>
      <c r="Z817" s="26" t="n">
        <v>-285</v>
      </c>
      <c r="AA817" s="28" t="n">
        <v>0.74</v>
      </c>
      <c r="AB817" s="28" t="n">
        <v>-0.00026</v>
      </c>
      <c r="AC817" s="30" t="n">
        <v>0.3509</v>
      </c>
      <c r="AD817" s="24" t="inlineStr">
        <is>
          <t>2026-09-01T04:37:52.833284Z</t>
        </is>
      </c>
      <c r="AE817" s="31" t="inlineStr">
        <is>
          <t>Surface-blended Elo on Hard: Harry Wendelken p=0.355 vs Luciano Darderi. Executable ask 0.7400 (aec-atp-lucdar-harwen-2026-08-30).</t>
        </is>
      </c>
      <c r="AF817" s="31" t="inlineStr">
        <is>
          <t>Surface-blended Elo model; singles only, WTA+ATP market coverage, not yet locked-holdout qualified -- promoted by explicit operator directive, not genuine walk-forward validation.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PAPER_CALL_MODEL_UNVALIDATED</t>
        </is>
      </c>
      <c r="AP817" s="24" t="inlineStr">
        <is>
          <t>Harry Wendelken</t>
        </is>
      </c>
      <c r="AQ817" s="24" t="inlineStr">
        <is>
          <t>Harry Wendelken</t>
        </is>
      </c>
      <c r="AR817" s="24" t="inlineStr">
        <is>
          <t>Harry Wendelken</t>
        </is>
      </c>
      <c r="AS817" s="24" t="inlineStr">
        <is>
          <t>Luciano Darderi</t>
        </is>
      </c>
      <c r="AT817" s="24" t="inlineStr">
        <is>
          <t>Luciano Darderi</t>
        </is>
      </c>
      <c r="AU817" s="24" t="inlineStr">
        <is>
          <t>Luciano Darderi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a67bb04c83bafa75b17d3013fcd4c13f2ff17c27af73dd591a6770e000183022</t>
        </is>
      </c>
      <c r="BB817" s="24" t="inlineStr">
        <is>
          <t>surface_blended_elo</t>
        </is>
      </c>
      <c r="BC817" s="24" t="inlineStr">
        <is>
          <t>tennis-surface-elo-v1</t>
        </is>
      </c>
      <c r="BD817" s="24" t="inlineStr">
        <is>
          <t>a67bb04c83bafa75b17d3013fcd4c13f2ff17c27af73dd591a6770e000183022</t>
        </is>
      </c>
      <c r="BE817" s="24" t="inlineStr">
        <is>
          <t>tennis-surface-elo-v1</t>
        </is>
      </c>
      <c r="BF817" s="24" t="inlineStr">
        <is>
          <t>1</t>
        </is>
      </c>
      <c r="BG817" s="24" t="inlineStr">
        <is>
          <t>a67bb04c83bafa75b17d3013fcd4c13f2ff17c27af73dd591a6770e000183022</t>
        </is>
      </c>
      <c r="BH817" s="24" t="inlineStr">
        <is>
          <t>2026-08-31T16:02:39.906248Z</t>
        </is>
      </c>
      <c r="BI817" s="24" t="inlineStr">
        <is>
          <t>["same_event","same_team_same_day","same_league_same_day"]</t>
        </is>
      </c>
      <c r="BJ817" s="25" t="n"/>
      <c r="BK817" s="26" t="n">
        <v>-285</v>
      </c>
      <c r="BL817" s="27" t="n">
        <v>1.350877</v>
      </c>
      <c r="BM817" s="28" t="n">
        <v>0.74026</v>
      </c>
      <c r="BN817" s="28" t="n"/>
      <c r="BO817" s="28" t="n"/>
      <c r="BP817" s="25" t="n"/>
      <c r="BQ817" s="27" t="n">
        <v>1.350877</v>
      </c>
      <c r="BR817" s="28" t="n">
        <v>0.74</v>
      </c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inlineStr">
        <is>
          <t>a5da9488cc94a3251ff2d4d2dce72e5bc9d07c8f8ccaab480b259b1fd3183091</t>
        </is>
      </c>
      <c r="DE817" s="24" t="inlineStr">
        <is>
          <t>/Users/vincentc9002/model-prediction/data/odds/tennis/2026-08-31/polymarket_snapshots.jsonl</t>
        </is>
      </c>
      <c r="DF817" s="24" t="inlineStr">
        <is>
          <t>550495:2026-08-31T16:02:39.906248Z</t>
        </is>
      </c>
      <c r="DG817" s="24" t="n"/>
      <c r="DH817" s="24" t="n"/>
      <c r="DI817" s="24" t="n"/>
      <c r="DJ817" s="24" t="inlineStr">
        <is>
          <t>0.74026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f2873eb8068747ae</t>
        </is>
      </c>
      <c r="B818" s="24" t="inlineStr">
        <is>
          <t>2026-08-31T16:04:31.779137Z</t>
        </is>
      </c>
      <c r="C818" s="24" t="inlineStr">
        <is>
          <t>2026-08-31T18:00Z</t>
        </is>
      </c>
      <c r="D818" s="24" t="inlineStr">
        <is>
          <t>189-2026:182704</t>
        </is>
      </c>
      <c r="E818" s="24" t="inlineStr">
        <is>
          <t>TENNIS</t>
        </is>
      </c>
      <c r="F818" s="24" t="inlineStr">
        <is>
          <t>Valentin Royer</t>
        </is>
      </c>
      <c r="G818" s="24" t="inlineStr">
        <is>
          <t>Dalibor Svrcina</t>
        </is>
      </c>
      <c r="H818" s="24" t="inlineStr">
        <is>
          <t>moneyline</t>
        </is>
      </c>
      <c r="I818" s="24" t="inlineStr">
        <is>
          <t>home</t>
        </is>
      </c>
      <c r="J818" s="25" t="n"/>
      <c r="K818" s="24" t="inlineStr">
        <is>
          <t>polymarket_us</t>
        </is>
      </c>
      <c r="L818" s="26" t="n">
        <v>104</v>
      </c>
      <c r="M818" s="27" t="n">
        <v>2.04</v>
      </c>
      <c r="N818" s="28" t="n">
        <v>0.490196</v>
      </c>
      <c r="O818" s="28" t="n">
        <v>0.5763</v>
      </c>
      <c r="P818" s="28" t="n">
        <v>0.05</v>
      </c>
      <c r="Q818" s="28" t="n">
        <v>0.086104</v>
      </c>
      <c r="R818" s="26" t="n">
        <v>63</v>
      </c>
      <c r="S818" s="29" t="n">
        <v>1.25</v>
      </c>
      <c r="T818" s="24" t="inlineStr">
        <is>
          <t>tennis-surface-elo-v1</t>
        </is>
      </c>
      <c r="U818" s="24" t="inlineStr">
        <is>
          <t>settled</t>
        </is>
      </c>
      <c r="V818" s="24" t="inlineStr">
        <is>
          <t>win</t>
        </is>
      </c>
      <c r="W818" s="26" t="n">
        <v>0</v>
      </c>
      <c r="X818" s="26" t="n">
        <v>1</v>
      </c>
      <c r="Y818" s="25" t="n"/>
      <c r="Z818" s="26" t="n">
        <v>104</v>
      </c>
      <c r="AA818" s="28" t="n">
        <v>0.49</v>
      </c>
      <c r="AB818" s="28" t="n">
        <v>-0.000196</v>
      </c>
      <c r="AC818" s="30" t="n">
        <v>1.3</v>
      </c>
      <c r="AD818" s="24" t="inlineStr">
        <is>
          <t>2026-09-01T04:37:57.871783Z</t>
        </is>
      </c>
      <c r="AE818" s="31" t="inlineStr">
        <is>
          <t>Surface-blended Elo on Hard: Valentin Royer p=0.424 vs Dalibor Svrcina. Executable ask 0.4900 (aec-atp-dalsvr-valroy-2026-08-30).</t>
        </is>
      </c>
      <c r="AF818" s="31" t="inlineStr">
        <is>
          <t>Surface-blended Elo model; singles only, WTA+ATP market coverage, not yet locked-holdout qualified -- promoted by explicit operator directive, not genuine walk-forward validation.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Valentin Royer</t>
        </is>
      </c>
      <c r="AQ818" s="24" t="inlineStr">
        <is>
          <t>Valentin Royer</t>
        </is>
      </c>
      <c r="AR818" s="24" t="inlineStr">
        <is>
          <t>Valentin Royer</t>
        </is>
      </c>
      <c r="AS818" s="24" t="inlineStr">
        <is>
          <t>Dalibor Svrcina</t>
        </is>
      </c>
      <c r="AT818" s="24" t="inlineStr">
        <is>
          <t>Dalibor Svrcina</t>
        </is>
      </c>
      <c r="AU818" s="24" t="inlineStr">
        <is>
          <t>Dalibor Svrcina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a67bb04c83bafa75b17d3013fcd4c13f2ff17c27af73dd591a6770e000183022</t>
        </is>
      </c>
      <c r="BB818" s="24" t="inlineStr">
        <is>
          <t>surface_blended_elo</t>
        </is>
      </c>
      <c r="BC818" s="24" t="inlineStr">
        <is>
          <t>tennis-surface-elo-v1</t>
        </is>
      </c>
      <c r="BD818" s="24" t="inlineStr">
        <is>
          <t>a67bb04c83bafa75b17d3013fcd4c13f2ff17c27af73dd591a6770e000183022</t>
        </is>
      </c>
      <c r="BE818" s="24" t="inlineStr">
        <is>
          <t>tennis-surface-elo-v1</t>
        </is>
      </c>
      <c r="BF818" s="24" t="inlineStr">
        <is>
          <t>1</t>
        </is>
      </c>
      <c r="BG818" s="24" t="inlineStr">
        <is>
          <t>a67bb04c83bafa75b17d3013fcd4c13f2ff17c27af73dd591a6770e000183022</t>
        </is>
      </c>
      <c r="BH818" s="24" t="inlineStr">
        <is>
          <t>2026-08-31T16:02:39.899647Z</t>
        </is>
      </c>
      <c r="BI818" s="24" t="inlineStr">
        <is>
          <t>["same_event","same_team_same_day","same_league_same_day"]</t>
        </is>
      </c>
      <c r="BJ818" s="25" t="n"/>
      <c r="BK818" s="26" t="n">
        <v>104</v>
      </c>
      <c r="BL818" s="27" t="n">
        <v>2.04</v>
      </c>
      <c r="BM818" s="28" t="n">
        <v>0.490196</v>
      </c>
      <c r="BN818" s="28" t="n"/>
      <c r="BO818" s="28" t="n"/>
      <c r="BP818" s="25" t="n"/>
      <c r="BQ818" s="27" t="n">
        <v>2.04</v>
      </c>
      <c r="BR818" s="28" t="n">
        <v>0.49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inlineStr">
        <is>
          <t>7922df1e92ced7cf20dc0fabc201497cba3afd3baf8b20485186a1ad14e8e94e</t>
        </is>
      </c>
      <c r="DE818" s="24" t="inlineStr">
        <is>
          <t>/Users/vincentc9002/model-prediction/data/odds/tennis/2026-08-31/polymarket_snapshots.jsonl</t>
        </is>
      </c>
      <c r="DF818" s="24" t="inlineStr">
        <is>
          <t>550496:2026-08-31T16:02:39.899647Z</t>
        </is>
      </c>
      <c r="DG818" s="24" t="n"/>
      <c r="DH818" s="24" t="n"/>
      <c r="DI818" s="24" t="n"/>
      <c r="DJ818" s="24" t="inlineStr">
        <is>
          <t>0.490196</t>
        </is>
      </c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a355e069ae3c4dde</t>
        </is>
      </c>
      <c r="B819" s="24" t="inlineStr">
        <is>
          <t>2026-08-31T16:04:31.779137Z</t>
        </is>
      </c>
      <c r="C819" s="24" t="inlineStr">
        <is>
          <t>2026-08-31T18:15Z</t>
        </is>
      </c>
      <c r="D819" s="24" t="inlineStr">
        <is>
          <t>189-2026:182679</t>
        </is>
      </c>
      <c r="E819" s="24" t="inlineStr">
        <is>
          <t>TENNIS</t>
        </is>
      </c>
      <c r="F819" s="24" t="inlineStr">
        <is>
          <t>Hubert Hurkacz</t>
        </is>
      </c>
      <c r="G819" s="24" t="inlineStr">
        <is>
          <t>Damir Dzumhur</t>
        </is>
      </c>
      <c r="H819" s="24" t="inlineStr">
        <is>
          <t>moneyline</t>
        </is>
      </c>
      <c r="I819" s="24" t="inlineStr">
        <is>
          <t>away</t>
        </is>
      </c>
      <c r="J819" s="25" t="n"/>
      <c r="K819" s="24" t="inlineStr">
        <is>
          <t>polymarket_us</t>
        </is>
      </c>
      <c r="L819" s="26" t="n">
        <v>-1011</v>
      </c>
      <c r="M819" s="27" t="n">
        <v>1.098912</v>
      </c>
      <c r="N819" s="28" t="n">
        <v>0.909991</v>
      </c>
      <c r="O819" s="28" t="n">
        <v>0.6264</v>
      </c>
      <c r="P819" s="28" t="n">
        <v>0.05</v>
      </c>
      <c r="Q819" s="28" t="n">
        <v>-0.283591</v>
      </c>
      <c r="R819" s="26" t="n">
        <v>0</v>
      </c>
      <c r="S819" s="29" t="n">
        <v>1</v>
      </c>
      <c r="T819" s="24" t="inlineStr">
        <is>
          <t>tennis-surface-elo-v1</t>
        </is>
      </c>
      <c r="U819" s="24" t="inlineStr">
        <is>
          <t>settled</t>
        </is>
      </c>
      <c r="V819" s="24" t="inlineStr">
        <is>
          <t>win</t>
        </is>
      </c>
      <c r="W819" s="26" t="n">
        <v>1</v>
      </c>
      <c r="X819" s="26" t="n">
        <v>0</v>
      </c>
      <c r="Y819" s="25" t="n"/>
      <c r="Z819" s="26" t="n">
        <v>-1011</v>
      </c>
      <c r="AA819" s="28" t="n">
        <v>0.91</v>
      </c>
      <c r="AB819" s="28" t="n">
        <v>9e-06</v>
      </c>
      <c r="AC819" s="30" t="n">
        <v>0.0989</v>
      </c>
      <c r="AD819" s="24" t="inlineStr">
        <is>
          <t>2026-09-01T04:38:01.568240Z</t>
        </is>
      </c>
      <c r="AE819" s="31" t="inlineStr">
        <is>
          <t>Surface-blended Elo on Hard: Hubert Hurkacz p=0.626 vs Damir Dzumhur. Executable ask 0.9100 (aec-atp-damdzu-hubhur-2026-08-30).</t>
        </is>
      </c>
      <c r="AF819" s="31" t="inlineStr">
        <is>
          <t>Surface-blended Elo model; singles only, WTA+ATP market coverage, not yet locked-holdout qualified -- promoted by explicit operator directive, not genuine walk-forward validation.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PAPER_CALL_LOW_EDGE</t>
        </is>
      </c>
      <c r="AP819" s="24" t="inlineStr">
        <is>
          <t>Hubert Hurkacz</t>
        </is>
      </c>
      <c r="AQ819" s="24" t="inlineStr">
        <is>
          <t>Hubert Hurkacz</t>
        </is>
      </c>
      <c r="AR819" s="24" t="inlineStr">
        <is>
          <t>Hubert Hurkacz</t>
        </is>
      </c>
      <c r="AS819" s="24" t="inlineStr">
        <is>
          <t>Damir Dzumhur</t>
        </is>
      </c>
      <c r="AT819" s="24" t="inlineStr">
        <is>
          <t>Damir Dzumhur</t>
        </is>
      </c>
      <c r="AU819" s="24" t="inlineStr">
        <is>
          <t>Damir Dzumhur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a67bb04c83bafa75b17d3013fcd4c13f2ff17c27af73dd591a6770e000183022</t>
        </is>
      </c>
      <c r="BB819" s="24" t="inlineStr">
        <is>
          <t>surface_blended_elo</t>
        </is>
      </c>
      <c r="BC819" s="24" t="inlineStr">
        <is>
          <t>tennis-surface-elo-v1</t>
        </is>
      </c>
      <c r="BD819" s="24" t="inlineStr">
        <is>
          <t>a67bb04c83bafa75b17d3013fcd4c13f2ff17c27af73dd591a6770e000183022</t>
        </is>
      </c>
      <c r="BE819" s="24" t="inlineStr">
        <is>
          <t>tennis-surface-elo-v1</t>
        </is>
      </c>
      <c r="BF819" s="24" t="inlineStr">
        <is>
          <t>1</t>
        </is>
      </c>
      <c r="BG819" s="24" t="inlineStr">
        <is>
          <t>a67bb04c83bafa75b17d3013fcd4c13f2ff17c27af73dd591a6770e000183022</t>
        </is>
      </c>
      <c r="BH819" s="24" t="inlineStr">
        <is>
          <t>2026-08-31T16:02:39.723233Z</t>
        </is>
      </c>
      <c r="BI819" s="24" t="inlineStr">
        <is>
          <t>["same_event","same_team_same_day","same_league_same_day"]</t>
        </is>
      </c>
      <c r="BJ819" s="25" t="n"/>
      <c r="BK819" s="26" t="n">
        <v>-1011</v>
      </c>
      <c r="BL819" s="27" t="n">
        <v>1.098912</v>
      </c>
      <c r="BM819" s="28" t="n">
        <v>0.909991</v>
      </c>
      <c r="BN819" s="28" t="n"/>
      <c r="BO819" s="28" t="n"/>
      <c r="BP819" s="25" t="n"/>
      <c r="BQ819" s="27" t="n">
        <v>1.098912</v>
      </c>
      <c r="BR819" s="28" t="n">
        <v>0.91</v>
      </c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False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inlineStr">
        <is>
          <t>9a293ef1594b60df75b3d6087f215a753bda197b2b0200bd9c8b551e8f6e637c</t>
        </is>
      </c>
      <c r="DE819" s="24" t="inlineStr">
        <is>
          <t>/Users/vincentc9002/model-prediction/data/odds/tennis/2026-08-31/polymarket_snapshots.jsonl</t>
        </is>
      </c>
      <c r="DF819" s="24" t="inlineStr">
        <is>
          <t>547323:2026-08-31T16:02:39.723233Z</t>
        </is>
      </c>
      <c r="DG819" s="24" t="n"/>
      <c r="DH819" s="24" t="n"/>
      <c r="DI819" s="24" t="n"/>
      <c r="DJ819" s="24" t="inlineStr">
        <is>
          <t>0.909991</t>
        </is>
      </c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94aa428e6f6147a3</t>
        </is>
      </c>
      <c r="B820" s="24" t="inlineStr">
        <is>
          <t>2026-08-31T16:04:31.779137Z</t>
        </is>
      </c>
      <c r="C820" s="24" t="inlineStr">
        <is>
          <t>2026-08-31T18:30Z</t>
        </is>
      </c>
      <c r="D820" s="24" t="inlineStr">
        <is>
          <t>189-2026:182718</t>
        </is>
      </c>
      <c r="E820" s="24" t="inlineStr">
        <is>
          <t>TENNIS</t>
        </is>
      </c>
      <c r="F820" s="24" t="inlineStr">
        <is>
          <t>Giovanni Mpetshi Perricard</t>
        </is>
      </c>
      <c r="G820" s="24" t="inlineStr">
        <is>
          <t>Jurij Rodionov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-113</v>
      </c>
      <c r="M820" s="27" t="n">
        <v>1.884956</v>
      </c>
      <c r="N820" s="28" t="n">
        <v>0.530516</v>
      </c>
      <c r="O820" s="28" t="n">
        <v>0.5453</v>
      </c>
      <c r="P820" s="28" t="n">
        <v>0.05</v>
      </c>
      <c r="Q820" s="28" t="n">
        <v>0.014784</v>
      </c>
      <c r="R820" s="26" t="n">
        <v>27</v>
      </c>
      <c r="S820" s="29" t="n">
        <v>1</v>
      </c>
      <c r="T820" s="24" t="inlineStr">
        <is>
          <t>tennis-surface-elo-v1</t>
        </is>
      </c>
      <c r="U820" s="24" t="inlineStr">
        <is>
          <t>settled</t>
        </is>
      </c>
      <c r="V820" s="24" t="inlineStr">
        <is>
          <t>win</t>
        </is>
      </c>
      <c r="W820" s="26" t="n">
        <v>0</v>
      </c>
      <c r="X820" s="26" t="n">
        <v>1</v>
      </c>
      <c r="Y820" s="25" t="n"/>
      <c r="Z820" s="26" t="n">
        <v>-113</v>
      </c>
      <c r="AA820" s="28" t="n">
        <v>0.53</v>
      </c>
      <c r="AB820" s="28" t="n">
        <v>-0.000516</v>
      </c>
      <c r="AC820" s="30" t="n">
        <v>0.885</v>
      </c>
      <c r="AD820" s="24" t="inlineStr">
        <is>
          <t>2026-09-01T04:38:04.802788Z</t>
        </is>
      </c>
      <c r="AE820" s="31" t="inlineStr">
        <is>
          <t>Surface-blended Elo on Hard: Giovanni Mpetshi Perricard p=0.455 vs Jurij Rodionov. Executable ask 0.5300 (aec-atp-jurrod-gioper-2026-08-30).</t>
        </is>
      </c>
      <c r="AF820" s="31" t="inlineStr">
        <is>
          <t>Surface-blended Elo model; singles only, WTA+ATP market coverage, not yet locked-holdout qualified -- promoted by explicit operator directive, not genuine walk-forward validation.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PAPER_CALL_LOW_EDGE</t>
        </is>
      </c>
      <c r="AP820" s="24" t="inlineStr">
        <is>
          <t>Giovanni Mpetshi Perricard</t>
        </is>
      </c>
      <c r="AQ820" s="24" t="inlineStr">
        <is>
          <t>Giovanni Mpetshi Perricard</t>
        </is>
      </c>
      <c r="AR820" s="24" t="inlineStr">
        <is>
          <t>Giovanni Mpetshi Perricard</t>
        </is>
      </c>
      <c r="AS820" s="24" t="inlineStr">
        <is>
          <t>Jurij Rodionov</t>
        </is>
      </c>
      <c r="AT820" s="24" t="inlineStr">
        <is>
          <t>Jurij Rodionov</t>
        </is>
      </c>
      <c r="AU820" s="24" t="inlineStr">
        <is>
          <t>Jurij Rodionov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a67bb04c83bafa75b17d3013fcd4c13f2ff17c27af73dd591a6770e000183022</t>
        </is>
      </c>
      <c r="BB820" s="24" t="inlineStr">
        <is>
          <t>surface_blended_elo</t>
        </is>
      </c>
      <c r="BC820" s="24" t="inlineStr">
        <is>
          <t>tennis-surface-elo-v1</t>
        </is>
      </c>
      <c r="BD820" s="24" t="inlineStr">
        <is>
          <t>a67bb04c83bafa75b17d3013fcd4c13f2ff17c27af73dd591a6770e000183022</t>
        </is>
      </c>
      <c r="BE820" s="24" t="inlineStr">
        <is>
          <t>tennis-surface-elo-v1</t>
        </is>
      </c>
      <c r="BF820" s="24" t="inlineStr">
        <is>
          <t>1</t>
        </is>
      </c>
      <c r="BG820" s="24" t="inlineStr">
        <is>
          <t>a67bb04c83bafa75b17d3013fcd4c13f2ff17c27af73dd591a6770e000183022</t>
        </is>
      </c>
      <c r="BH820" s="24" t="inlineStr">
        <is>
          <t>2026-08-31T16:02:39.577239Z</t>
        </is>
      </c>
      <c r="BI820" s="24" t="inlineStr">
        <is>
          <t>["same_event","same_team_same_day","same_league_same_day"]</t>
        </is>
      </c>
      <c r="BJ820" s="25" t="n"/>
      <c r="BK820" s="26" t="n">
        <v>-113</v>
      </c>
      <c r="BL820" s="27" t="n">
        <v>1.884956</v>
      </c>
      <c r="BM820" s="28" t="n">
        <v>0.530516</v>
      </c>
      <c r="BN820" s="28" t="n"/>
      <c r="BO820" s="28" t="n"/>
      <c r="BP820" s="25" t="n"/>
      <c r="BQ820" s="27" t="n">
        <v>1.884956</v>
      </c>
      <c r="BR820" s="28" t="n">
        <v>0.53</v>
      </c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inlineStr">
        <is>
          <t>d89bf94ff2cd6d389c446f85c8a2510b4fb27b04e50779e0aae1d22324b19ee4</t>
        </is>
      </c>
      <c r="DE820" s="24" t="inlineStr">
        <is>
          <t>/Users/vincentc9002/model-prediction/data/odds/tennis/2026-08-31/polymarket_snapshots.jsonl</t>
        </is>
      </c>
      <c r="DF820" s="24" t="inlineStr">
        <is>
          <t>550633:2026-08-31T16:02:39.577239Z</t>
        </is>
      </c>
      <c r="DG820" s="24" t="n"/>
      <c r="DH820" s="24" t="n"/>
      <c r="DI820" s="24" t="n"/>
      <c r="DJ820" s="24" t="inlineStr">
        <is>
          <t>0.530516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d6167ee91f2c4a50</t>
        </is>
      </c>
      <c r="B821" s="24" t="inlineStr">
        <is>
          <t>2026-08-31T16:04:31.779137Z</t>
        </is>
      </c>
      <c r="C821" s="24" t="inlineStr">
        <is>
          <t>2026-08-31T18:30Z</t>
        </is>
      </c>
      <c r="D821" s="24" t="inlineStr">
        <is>
          <t>189-2026:182767</t>
        </is>
      </c>
      <c r="E821" s="24" t="inlineStr">
        <is>
          <t>TENNIS</t>
        </is>
      </c>
      <c r="F821" s="24" t="inlineStr">
        <is>
          <t>Sebastian Baez</t>
        </is>
      </c>
      <c r="G821" s="24" t="inlineStr">
        <is>
          <t>Brandon Nakashima</t>
        </is>
      </c>
      <c r="H821" s="24" t="inlineStr">
        <is>
          <t>moneyline</t>
        </is>
      </c>
      <c r="I821" s="24" t="inlineStr">
        <is>
          <t>home</t>
        </is>
      </c>
      <c r="J821" s="25" t="n"/>
      <c r="K821" s="24" t="inlineStr">
        <is>
          <t>polymarket_us</t>
        </is>
      </c>
      <c r="L821" s="26" t="n">
        <v>-669</v>
      </c>
      <c r="M821" s="27" t="n">
        <v>1.149477</v>
      </c>
      <c r="N821" s="28" t="n">
        <v>0.869961</v>
      </c>
      <c r="O821" s="28" t="n">
        <v>0.7323</v>
      </c>
      <c r="P821" s="28" t="n">
        <v>0.05</v>
      </c>
      <c r="Q821" s="28" t="n">
        <v>-0.137661</v>
      </c>
      <c r="R821" s="26" t="n">
        <v>0</v>
      </c>
      <c r="S821" s="29" t="n">
        <v>1</v>
      </c>
      <c r="T821" s="24" t="inlineStr">
        <is>
          <t>tennis-surface-elo-v1</t>
        </is>
      </c>
      <c r="U821" s="24" t="inlineStr">
        <is>
          <t>settled</t>
        </is>
      </c>
      <c r="V821" s="24" t="inlineStr">
        <is>
          <t>win</t>
        </is>
      </c>
      <c r="W821" s="26" t="n">
        <v>0</v>
      </c>
      <c r="X821" s="26" t="n">
        <v>1</v>
      </c>
      <c r="Y821" s="25" t="n"/>
      <c r="Z821" s="26" t="n">
        <v>-669</v>
      </c>
      <c r="AA821" s="28" t="n">
        <v>0.87</v>
      </c>
      <c r="AB821" s="28" t="n">
        <v>3.9e-05</v>
      </c>
      <c r="AC821" s="30" t="n">
        <v>0.1495</v>
      </c>
      <c r="AD821" s="24" t="inlineStr">
        <is>
          <t>2026-09-01T04:38:07.993320Z</t>
        </is>
      </c>
      <c r="AE821" s="31" t="inlineStr">
        <is>
          <t>Surface-blended Elo on Hard: Sebastian Baez p=0.268 vs Brandon Nakashima. Executable ask 0.8700 (aec-atp-branak-sebbae-2026-08-30).</t>
        </is>
      </c>
      <c r="AF821" s="31" t="inlineStr">
        <is>
          <t>Surface-blended Elo model; singles only, WTA+ATP market coverage, not yet locked-holdout qualified -- promoted by explicit operator directive, not genuine walk-forward validation.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Sebastian Baez</t>
        </is>
      </c>
      <c r="AQ821" s="24" t="inlineStr">
        <is>
          <t>Sebastian Baez</t>
        </is>
      </c>
      <c r="AR821" s="24" t="inlineStr">
        <is>
          <t>Sebastian Baez</t>
        </is>
      </c>
      <c r="AS821" s="24" t="inlineStr">
        <is>
          <t>Brandon Nakashima</t>
        </is>
      </c>
      <c r="AT821" s="24" t="inlineStr">
        <is>
          <t>Brandon Nakashima</t>
        </is>
      </c>
      <c r="AU821" s="24" t="inlineStr">
        <is>
          <t>Brandon Nakashima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a67bb04c83bafa75b17d3013fcd4c13f2ff17c27af73dd591a6770e000183022</t>
        </is>
      </c>
      <c r="BB821" s="24" t="inlineStr">
        <is>
          <t>surface_blended_elo</t>
        </is>
      </c>
      <c r="BC821" s="24" t="inlineStr">
        <is>
          <t>tennis-surface-elo-v1</t>
        </is>
      </c>
      <c r="BD821" s="24" t="inlineStr">
        <is>
          <t>a67bb04c83bafa75b17d3013fcd4c13f2ff17c27af73dd591a6770e000183022</t>
        </is>
      </c>
      <c r="BE821" s="24" t="inlineStr">
        <is>
          <t>tennis-surface-elo-v1</t>
        </is>
      </c>
      <c r="BF821" s="24" t="inlineStr">
        <is>
          <t>1</t>
        </is>
      </c>
      <c r="BG821" s="24" t="inlineStr">
        <is>
          <t>a67bb04c83bafa75b17d3013fcd4c13f2ff17c27af73dd591a6770e000183022</t>
        </is>
      </c>
      <c r="BH821" s="24" t="inlineStr">
        <is>
          <t>2026-08-31T16:02:39.603849Z</t>
        </is>
      </c>
      <c r="BI821" s="24" t="inlineStr">
        <is>
          <t>["same_event","same_team_same_day","same_league_same_day"]</t>
        </is>
      </c>
      <c r="BJ821" s="25" t="n"/>
      <c r="BK821" s="26" t="n">
        <v>-669</v>
      </c>
      <c r="BL821" s="27" t="n">
        <v>1.149477</v>
      </c>
      <c r="BM821" s="28" t="n">
        <v>0.869961</v>
      </c>
      <c r="BN821" s="28" t="n"/>
      <c r="BO821" s="28" t="n"/>
      <c r="BP821" s="25" t="n"/>
      <c r="BQ821" s="27" t="n">
        <v>1.149477</v>
      </c>
      <c r="BR821" s="28" t="n">
        <v>0.87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inlineStr">
        <is>
          <t>c0b6fc98526d762a5f6b7a3ca237752a91a0454675de6f251cd6d309e4deaaec</t>
        </is>
      </c>
      <c r="DE821" s="24" t="inlineStr">
        <is>
          <t>/Users/vincentc9002/model-prediction/data/odds/tennis/2026-08-31/polymarket_snapshots.jsonl</t>
        </is>
      </c>
      <c r="DF821" s="24" t="inlineStr">
        <is>
          <t>547307:2026-08-31T16:02:39.603849Z</t>
        </is>
      </c>
      <c r="DG821" s="24" t="n"/>
      <c r="DH821" s="24" t="n"/>
      <c r="DI821" s="24" t="n"/>
      <c r="DJ821" s="24" t="inlineStr">
        <is>
          <t>0.869961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205021baddc64925</t>
        </is>
      </c>
      <c r="B822" s="24" t="inlineStr">
        <is>
          <t>2026-08-31T16:04:31.779137Z</t>
        </is>
      </c>
      <c r="C822" s="24" t="inlineStr">
        <is>
          <t>2026-08-31T19:30Z</t>
        </is>
      </c>
      <c r="D822" s="24" t="inlineStr">
        <is>
          <t>189-2026:182668</t>
        </is>
      </c>
      <c r="E822" s="24" t="inlineStr">
        <is>
          <t>TENNIS</t>
        </is>
      </c>
      <c r="F822" s="24" t="inlineStr">
        <is>
          <t>Alexei Popyrin</t>
        </is>
      </c>
      <c r="G822" s="24" t="inlineStr">
        <is>
          <t>Grigor Dimitrov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-194</v>
      </c>
      <c r="M822" s="27" t="n">
        <v>1.515464</v>
      </c>
      <c r="N822" s="28" t="n">
        <v>0.659864</v>
      </c>
      <c r="O822" s="28" t="n">
        <v>0.6088</v>
      </c>
      <c r="P822" s="28" t="n">
        <v>0.05</v>
      </c>
      <c r="Q822" s="28" t="n">
        <v>-0.051064</v>
      </c>
      <c r="R822" s="26" t="n">
        <v>0</v>
      </c>
      <c r="S822" s="29" t="n">
        <v>1</v>
      </c>
      <c r="T822" s="24" t="inlineStr">
        <is>
          <t>tennis-surface-elo-v1</t>
        </is>
      </c>
      <c r="U822" s="24" t="inlineStr">
        <is>
          <t>settled</t>
        </is>
      </c>
      <c r="V822" s="24" t="inlineStr">
        <is>
          <t>loss</t>
        </is>
      </c>
      <c r="W822" s="26" t="n">
        <v>1</v>
      </c>
      <c r="X822" s="26" t="n">
        <v>0</v>
      </c>
      <c r="Y822" s="25" t="n"/>
      <c r="Z822" s="26" t="n">
        <v>-194</v>
      </c>
      <c r="AA822" s="28" t="n">
        <v>0.66</v>
      </c>
      <c r="AB822" s="28" t="n">
        <v>0.000136</v>
      </c>
      <c r="AC822" s="30" t="n">
        <v>-1</v>
      </c>
      <c r="AD822" s="24" t="inlineStr">
        <is>
          <t>2026-09-01T04:38:11.276939Z</t>
        </is>
      </c>
      <c r="AE822" s="31" t="inlineStr">
        <is>
          <t>Surface-blended Elo on Hard: Alexei Popyrin p=0.391 vs Grigor Dimitrov. Executable ask 0.6600 (aec-atp-gridim-alepop-2026-08-30).</t>
        </is>
      </c>
      <c r="AF822" s="31" t="inlineStr">
        <is>
          <t>Surface-blended Elo model; singles only, WTA+ATP market coverage, not yet locked-holdout qualified -- promoted by explicit operator directive, not genuine walk-forward validation.</t>
        </is>
      </c>
      <c r="AG822" s="24" t="inlineStr">
        <is>
          <t>review_required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PAPER_CALL_LOW_EDGE</t>
        </is>
      </c>
      <c r="AP822" s="24" t="inlineStr">
        <is>
          <t>Alexei Popyrin</t>
        </is>
      </c>
      <c r="AQ822" s="24" t="inlineStr">
        <is>
          <t>Alexei Popyrin</t>
        </is>
      </c>
      <c r="AR822" s="24" t="inlineStr">
        <is>
          <t>Alexei Popyrin</t>
        </is>
      </c>
      <c r="AS822" s="24" t="inlineStr">
        <is>
          <t>Grigor Dimitrov</t>
        </is>
      </c>
      <c r="AT822" s="24" t="inlineStr">
        <is>
          <t>Grigor Dimitrov</t>
        </is>
      </c>
      <c r="AU822" s="24" t="inlineStr">
        <is>
          <t>Grigor Dimitrov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a67bb04c83bafa75b17d3013fcd4c13f2ff17c27af73dd591a6770e000183022</t>
        </is>
      </c>
      <c r="BB822" s="24" t="inlineStr">
        <is>
          <t>surface_blended_elo</t>
        </is>
      </c>
      <c r="BC822" s="24" t="inlineStr">
        <is>
          <t>tennis-surface-elo-v1</t>
        </is>
      </c>
      <c r="BD822" s="24" t="inlineStr">
        <is>
          <t>a67bb04c83bafa75b17d3013fcd4c13f2ff17c27af73dd591a6770e000183022</t>
        </is>
      </c>
      <c r="BE822" s="24" t="inlineStr">
        <is>
          <t>tennis-surface-elo-v1</t>
        </is>
      </c>
      <c r="BF822" s="24" t="inlineStr">
        <is>
          <t>1</t>
        </is>
      </c>
      <c r="BG822" s="24" t="inlineStr">
        <is>
          <t>a67bb04c83bafa75b17d3013fcd4c13f2ff17c27af73dd591a6770e000183022</t>
        </is>
      </c>
      <c r="BH822" s="24" t="inlineStr">
        <is>
          <t>2026-08-31T16:02:40.821304Z</t>
        </is>
      </c>
      <c r="BI822" s="24" t="inlineStr">
        <is>
          <t>["same_event","same_team_same_day","same_league_same_day"]</t>
        </is>
      </c>
      <c r="BJ822" s="25" t="n"/>
      <c r="BK822" s="26" t="n">
        <v>-194</v>
      </c>
      <c r="BL822" s="27" t="n">
        <v>1.515464</v>
      </c>
      <c r="BM822" s="28" t="n">
        <v>0.659864</v>
      </c>
      <c r="BN822" s="28" t="n"/>
      <c r="BO822" s="28" t="n"/>
      <c r="BP822" s="25" t="n"/>
      <c r="BQ822" s="27" t="n">
        <v>1.515464</v>
      </c>
      <c r="BR822" s="28" t="n">
        <v>0.66</v>
      </c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inlineStr">
        <is>
          <t>887f987abd3be5eb72fb8cdab0a8ead4b2612045a32aabbf0cef1af321431ad0</t>
        </is>
      </c>
      <c r="DE822" s="24" t="inlineStr">
        <is>
          <t>/Users/vincentc9002/model-prediction/data/odds/tennis/2026-08-31/polymarket_snapshots.jsonl</t>
        </is>
      </c>
      <c r="DF822" s="24" t="inlineStr">
        <is>
          <t>550494:2026-08-31T16:02:40.821304Z</t>
        </is>
      </c>
      <c r="DG822" s="24" t="n"/>
      <c r="DH822" s="24" t="n"/>
      <c r="DI822" s="24" t="n"/>
      <c r="DJ822" s="24" t="inlineStr">
        <is>
          <t>0.659864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37022b20fcad4595</t>
        </is>
      </c>
      <c r="B823" s="24" t="inlineStr">
        <is>
          <t>2026-08-31T16:04:31.779137Z</t>
        </is>
      </c>
      <c r="C823" s="24" t="inlineStr">
        <is>
          <t>2026-08-31T19:30Z</t>
        </is>
      </c>
      <c r="D823" s="24" t="inlineStr">
        <is>
          <t>189-2026:182674</t>
        </is>
      </c>
      <c r="E823" s="24" t="inlineStr">
        <is>
          <t>TENNIS</t>
        </is>
      </c>
      <c r="F823" s="24" t="inlineStr">
        <is>
          <t>Stan Wawrinka</t>
        </is>
      </c>
      <c r="G823" s="24" t="inlineStr">
        <is>
          <t>Matteo Berrettini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-376</v>
      </c>
      <c r="M823" s="27" t="n">
        <v>1.265957</v>
      </c>
      <c r="N823" s="28" t="n">
        <v>0.789916</v>
      </c>
      <c r="O823" s="28" t="n">
        <v>0.6465</v>
      </c>
      <c r="P823" s="28" t="n">
        <v>0.05</v>
      </c>
      <c r="Q823" s="28" t="n">
        <v>-0.143416</v>
      </c>
      <c r="R823" s="26" t="n">
        <v>0</v>
      </c>
      <c r="S823" s="29" t="n">
        <v>1</v>
      </c>
      <c r="T823" s="24" t="inlineStr">
        <is>
          <t>tennis-surface-elo-v1</t>
        </is>
      </c>
      <c r="U823" s="24" t="inlineStr">
        <is>
          <t>settled</t>
        </is>
      </c>
      <c r="V823" s="24" t="inlineStr">
        <is>
          <t>win</t>
        </is>
      </c>
      <c r="W823" s="26" t="n">
        <v>0</v>
      </c>
      <c r="X823" s="26" t="n">
        <v>1</v>
      </c>
      <c r="Y823" s="25" t="n"/>
      <c r="Z823" s="26" t="n">
        <v>-376</v>
      </c>
      <c r="AA823" s="28" t="n">
        <v>0.79</v>
      </c>
      <c r="AB823" s="28" t="n">
        <v>8.4e-05</v>
      </c>
      <c r="AC823" s="30" t="n">
        <v>0.266</v>
      </c>
      <c r="AD823" s="24" t="inlineStr">
        <is>
          <t>2026-09-01T04:38:14.924209Z</t>
        </is>
      </c>
      <c r="AE823" s="31" t="inlineStr">
        <is>
          <t>Surface-blended Elo on Hard: Stan Wawrinka p=0.354 vs Matteo Berrettini. Executable ask 0.7900 (aec-atp-matber-stawaw-2026-08-30).</t>
        </is>
      </c>
      <c r="AF823" s="31" t="inlineStr">
        <is>
          <t>Surface-blended Elo model; singles only, WTA+ATP market coverage, not yet locked-holdout qualified -- promoted by explicit operator directive, not genuine walk-forward validation.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PAPER_CALL_LOW_EDGE</t>
        </is>
      </c>
      <c r="AP823" s="24" t="inlineStr">
        <is>
          <t>Stan Wawrinka</t>
        </is>
      </c>
      <c r="AQ823" s="24" t="inlineStr">
        <is>
          <t>Stan Wawrinka</t>
        </is>
      </c>
      <c r="AR823" s="24" t="inlineStr">
        <is>
          <t>Stan Wawrinka</t>
        </is>
      </c>
      <c r="AS823" s="24" t="inlineStr">
        <is>
          <t>Matteo Berrettini</t>
        </is>
      </c>
      <c r="AT823" s="24" t="inlineStr">
        <is>
          <t>Matteo Berrettini</t>
        </is>
      </c>
      <c r="AU823" s="24" t="inlineStr">
        <is>
          <t>Matteo Berrettini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a67bb04c83bafa75b17d3013fcd4c13f2ff17c27af73dd591a6770e000183022</t>
        </is>
      </c>
      <c r="BB823" s="24" t="inlineStr">
        <is>
          <t>surface_blended_elo</t>
        </is>
      </c>
      <c r="BC823" s="24" t="inlineStr">
        <is>
          <t>tennis-surface-elo-v1</t>
        </is>
      </c>
      <c r="BD823" s="24" t="inlineStr">
        <is>
          <t>a67bb04c83bafa75b17d3013fcd4c13f2ff17c27af73dd591a6770e000183022</t>
        </is>
      </c>
      <c r="BE823" s="24" t="inlineStr">
        <is>
          <t>tennis-surface-elo-v1</t>
        </is>
      </c>
      <c r="BF823" s="24" t="inlineStr">
        <is>
          <t>1</t>
        </is>
      </c>
      <c r="BG823" s="24" t="inlineStr">
        <is>
          <t>a67bb04c83bafa75b17d3013fcd4c13f2ff17c27af73dd591a6770e000183022</t>
        </is>
      </c>
      <c r="BH823" s="24" t="inlineStr">
        <is>
          <t>2026-08-31T16:02:39.972579Z</t>
        </is>
      </c>
      <c r="BI823" s="24" t="inlineStr">
        <is>
          <t>["same_event","same_team_same_day","same_league_same_day"]</t>
        </is>
      </c>
      <c r="BJ823" s="25" t="n"/>
      <c r="BK823" s="26" t="n">
        <v>-376</v>
      </c>
      <c r="BL823" s="27" t="n">
        <v>1.265957</v>
      </c>
      <c r="BM823" s="28" t="n">
        <v>0.789916</v>
      </c>
      <c r="BN823" s="28" t="n"/>
      <c r="BO823" s="28" t="n"/>
      <c r="BP823" s="25" t="n"/>
      <c r="BQ823" s="27" t="n">
        <v>1.265957</v>
      </c>
      <c r="BR823" s="28" t="n">
        <v>0.79</v>
      </c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False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inlineStr">
        <is>
          <t>420af10d5d8fdeb6eb6312cd204c042aac8d510a6d3ffa4e2ea6040344ccff71</t>
        </is>
      </c>
      <c r="DE823" s="24" t="inlineStr">
        <is>
          <t>/Users/vincentc9002/model-prediction/data/odds/tennis/2026-08-31/polymarket_snapshots.jsonl</t>
        </is>
      </c>
      <c r="DF823" s="24" t="inlineStr">
        <is>
          <t>547316:2026-08-31T16:02:39.972579Z</t>
        </is>
      </c>
      <c r="DG823" s="24" t="n"/>
      <c r="DH823" s="24" t="n"/>
      <c r="DI823" s="24" t="n"/>
      <c r="DJ823" s="24" t="inlineStr">
        <is>
          <t>0.789916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be816c387c134ee5</t>
        </is>
      </c>
      <c r="B824" s="24" t="inlineStr">
        <is>
          <t>2026-08-31T16:04:31.779137Z</t>
        </is>
      </c>
      <c r="C824" s="24" t="inlineStr">
        <is>
          <t>2026-08-31T19:30Z</t>
        </is>
      </c>
      <c r="D824" s="24" t="inlineStr">
        <is>
          <t>189-2026:182754</t>
        </is>
      </c>
      <c r="E824" s="24" t="inlineStr">
        <is>
          <t>TENNIS</t>
        </is>
      </c>
      <c r="F824" s="24" t="inlineStr">
        <is>
          <t>Marco Trungelliti</t>
        </is>
      </c>
      <c r="G824" s="24" t="inlineStr">
        <is>
          <t>Shang Juncheng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-194</v>
      </c>
      <c r="M824" s="27" t="n">
        <v>1.515464</v>
      </c>
      <c r="N824" s="28" t="n">
        <v>0.659864</v>
      </c>
      <c r="O824" s="28" t="n">
        <v>0.5033</v>
      </c>
      <c r="P824" s="28" t="n">
        <v>0.05</v>
      </c>
      <c r="Q824" s="28" t="n">
        <v>-0.156564</v>
      </c>
      <c r="R824" s="26" t="n">
        <v>0</v>
      </c>
      <c r="S824" s="29" t="n">
        <v>1</v>
      </c>
      <c r="T824" s="24" t="inlineStr">
        <is>
          <t>tennis-surface-elo-v1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2026-09-01T04:38:18.235551Z</t>
        </is>
      </c>
      <c r="AE824" s="31" t="inlineStr">
        <is>
          <t>Surface-blended Elo on Hard: Marco Trungelliti p=0.497 vs Shang Juncheng. Executable ask 0.6600 (aec-atp-junsha-martru-2026-08-30).</t>
        </is>
      </c>
      <c r="AF824" s="31" t="inlineStr">
        <is>
          <t>Surface-blended Elo model; singles only, WTA+ATP market coverage, not yet locked-holdout qualified -- promoted by explicit operator directive, not genuine walk-forward validation.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PAPER_CALL_LOW_EDGE</t>
        </is>
      </c>
      <c r="AP824" s="24" t="inlineStr">
        <is>
          <t>Marco Trungelliti</t>
        </is>
      </c>
      <c r="AQ824" s="24" t="inlineStr">
        <is>
          <t>Marco Trungelliti</t>
        </is>
      </c>
      <c r="AR824" s="24" t="inlineStr">
        <is>
          <t>Marco Trungelliti</t>
        </is>
      </c>
      <c r="AS824" s="24" t="inlineStr">
        <is>
          <t>Shang Juncheng</t>
        </is>
      </c>
      <c r="AT824" s="24" t="inlineStr">
        <is>
          <t>Shang Juncheng</t>
        </is>
      </c>
      <c r="AU824" s="24" t="inlineStr">
        <is>
          <t>Shang Juncheng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a67bb04c83bafa75b17d3013fcd4c13f2ff17c27af73dd591a6770e000183022</t>
        </is>
      </c>
      <c r="BB824" s="24" t="inlineStr">
        <is>
          <t>surface_blended_elo</t>
        </is>
      </c>
      <c r="BC824" s="24" t="inlineStr">
        <is>
          <t>tennis-surface-elo-v1</t>
        </is>
      </c>
      <c r="BD824" s="24" t="inlineStr">
        <is>
          <t>a67bb04c83bafa75b17d3013fcd4c13f2ff17c27af73dd591a6770e000183022</t>
        </is>
      </c>
      <c r="BE824" s="24" t="inlineStr">
        <is>
          <t>tennis-surface-elo-v1</t>
        </is>
      </c>
      <c r="BF824" s="24" t="inlineStr">
        <is>
          <t>1</t>
        </is>
      </c>
      <c r="BG824" s="24" t="inlineStr">
        <is>
          <t>a67bb04c83bafa75b17d3013fcd4c13f2ff17c27af73dd591a6770e000183022</t>
        </is>
      </c>
      <c r="BH824" s="24" t="inlineStr">
        <is>
          <t>2026-08-31T16:02:40.071668Z</t>
        </is>
      </c>
      <c r="BI824" s="24" t="inlineStr">
        <is>
          <t>["same_event","same_team_same_day","same_league_same_day"]</t>
        </is>
      </c>
      <c r="BJ824" s="25" t="n"/>
      <c r="BK824" s="26" t="n">
        <v>-194</v>
      </c>
      <c r="BL824" s="27" t="n">
        <v>1.515464</v>
      </c>
      <c r="BM824" s="28" t="n">
        <v>0.659864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False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inlineStr">
        <is>
          <t>aa91bb7185d629728e51b7d4508a09d844d603ae275dfeba871b3ad728a84b5a</t>
        </is>
      </c>
      <c r="DE824" s="24" t="inlineStr">
        <is>
          <t>/Users/vincentc9002/model-prediction/data/odds/tennis/2026-08-31/polymarket_snapshots.jsonl</t>
        </is>
      </c>
      <c r="DF824" s="24" t="inlineStr">
        <is>
          <t>547291:2026-08-31T16:02:40.071668Z</t>
        </is>
      </c>
      <c r="DG824" s="24" t="n"/>
      <c r="DH824" s="24" t="n"/>
      <c r="DI824" s="24" t="n"/>
      <c r="DJ824" s="24" t="inlineStr">
        <is>
          <t>0.659864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fbc0c8a0c3784bbb</t>
        </is>
      </c>
      <c r="B825" s="24" t="inlineStr">
        <is>
          <t>2026-08-31T16:04:31.779137Z</t>
        </is>
      </c>
      <c r="C825" s="24" t="inlineStr">
        <is>
          <t>2026-08-31T20:00Z</t>
        </is>
      </c>
      <c r="D825" s="24" t="inlineStr">
        <is>
          <t>189-2026:182739</t>
        </is>
      </c>
      <c r="E825" s="24" t="inlineStr">
        <is>
          <t>TENNIS</t>
        </is>
      </c>
      <c r="F825" s="24" t="inlineStr">
        <is>
          <t>Karen Khachanov</t>
        </is>
      </c>
      <c r="G825" s="24" t="inlineStr">
        <is>
          <t>Roman Andres Burruchaga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-355</v>
      </c>
      <c r="M825" s="27" t="n">
        <v>1.28169</v>
      </c>
      <c r="N825" s="28" t="n">
        <v>0.78022</v>
      </c>
      <c r="O825" s="28" t="n">
        <v>0.5844</v>
      </c>
      <c r="P825" s="28" t="n">
        <v>0.05</v>
      </c>
      <c r="Q825" s="28" t="n">
        <v>-0.19582</v>
      </c>
      <c r="R825" s="26" t="n">
        <v>0</v>
      </c>
      <c r="S825" s="29" t="n">
        <v>1</v>
      </c>
      <c r="T825" s="24" t="inlineStr">
        <is>
          <t>tennis-surface-elo-v1</t>
        </is>
      </c>
      <c r="U825" s="24" t="inlineStr">
        <is>
          <t>settled</t>
        </is>
      </c>
      <c r="V825" s="24" t="inlineStr">
        <is>
          <t>win</t>
        </is>
      </c>
      <c r="W825" s="26" t="n">
        <v>1</v>
      </c>
      <c r="X825" s="26" t="n">
        <v>0</v>
      </c>
      <c r="Y825" s="25" t="n"/>
      <c r="Z825" s="26" t="n">
        <v>-355</v>
      </c>
      <c r="AA825" s="28" t="n">
        <v>0.78</v>
      </c>
      <c r="AB825" s="28" t="n">
        <v>-0.00022</v>
      </c>
      <c r="AC825" s="30" t="n">
        <v>0.2817</v>
      </c>
      <c r="AD825" s="24" t="inlineStr">
        <is>
          <t>2026-09-01T04:38:21.171474Z</t>
        </is>
      </c>
      <c r="AE825" s="31" t="inlineStr">
        <is>
          <t>Surface-blended Elo on Hard: Karen Khachanov p=0.584 vs Roman Andres Burruchaga. Executable ask 0.7800 (aec-atp-rombur-karkha-2026-08-30).</t>
        </is>
      </c>
      <c r="AF825" s="31" t="inlineStr">
        <is>
          <t>Surface-blended Elo model; singles only, WTA+ATP market coverage, not yet locked-holdout qualified -- promoted by explicit operator directive, not genuine walk-forward validation.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Karen Khachanov</t>
        </is>
      </c>
      <c r="AQ825" s="24" t="inlineStr">
        <is>
          <t>Karen Khachanov</t>
        </is>
      </c>
      <c r="AR825" s="24" t="inlineStr">
        <is>
          <t>Karen Khachanov</t>
        </is>
      </c>
      <c r="AS825" s="24" t="inlineStr">
        <is>
          <t>Roman Andres Burruchaga</t>
        </is>
      </c>
      <c r="AT825" s="24" t="inlineStr">
        <is>
          <t>Roman Andres Burruchaga</t>
        </is>
      </c>
      <c r="AU825" s="24" t="inlineStr">
        <is>
          <t>Roman Andres Burruchaga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a67bb04c83bafa75b17d3013fcd4c13f2ff17c27af73dd591a6770e000183022</t>
        </is>
      </c>
      <c r="BB825" s="24" t="inlineStr">
        <is>
          <t>surface_blended_elo</t>
        </is>
      </c>
      <c r="BC825" s="24" t="inlineStr">
        <is>
          <t>tennis-surface-elo-v1</t>
        </is>
      </c>
      <c r="BD825" s="24" t="inlineStr">
        <is>
          <t>a67bb04c83bafa75b17d3013fcd4c13f2ff17c27af73dd591a6770e000183022</t>
        </is>
      </c>
      <c r="BE825" s="24" t="inlineStr">
        <is>
          <t>tennis-surface-elo-v1</t>
        </is>
      </c>
      <c r="BF825" s="24" t="inlineStr">
        <is>
          <t>1</t>
        </is>
      </c>
      <c r="BG825" s="24" t="inlineStr">
        <is>
          <t>a67bb04c83bafa75b17d3013fcd4c13f2ff17c27af73dd591a6770e000183022</t>
        </is>
      </c>
      <c r="BH825" s="24" t="inlineStr">
        <is>
          <t>2026-08-31T16:02:40.386351Z</t>
        </is>
      </c>
      <c r="BI825" s="24" t="inlineStr">
        <is>
          <t>["same_event","same_team_same_day","same_league_same_day"]</t>
        </is>
      </c>
      <c r="BJ825" s="25" t="n"/>
      <c r="BK825" s="26" t="n">
        <v>-355</v>
      </c>
      <c r="BL825" s="27" t="n">
        <v>1.28169</v>
      </c>
      <c r="BM825" s="28" t="n">
        <v>0.78022</v>
      </c>
      <c r="BN825" s="28" t="n"/>
      <c r="BO825" s="28" t="n"/>
      <c r="BP825" s="25" t="n"/>
      <c r="BQ825" s="27" t="n">
        <v>1.28169</v>
      </c>
      <c r="BR825" s="28" t="n">
        <v>0.78</v>
      </c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inlineStr">
        <is>
          <t>bc5fe0d51cb70c539ffcb0e5a479f0f54365ced042f47d95e7d62d0025e51678</t>
        </is>
      </c>
      <c r="DE825" s="24" t="inlineStr">
        <is>
          <t>/Users/vincentc9002/model-prediction/data/odds/tennis/2026-08-31/polymarket_snapshots.jsonl</t>
        </is>
      </c>
      <c r="DF825" s="24" t="inlineStr">
        <is>
          <t>547276:2026-08-31T16:02:40.386351Z</t>
        </is>
      </c>
      <c r="DG825" s="24" t="n"/>
      <c r="DH825" s="24" t="n"/>
      <c r="DI825" s="24" t="n"/>
      <c r="DJ825" s="24" t="inlineStr">
        <is>
          <t>0.78022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5bde17a731014c0f</t>
        </is>
      </c>
      <c r="B826" s="24" t="inlineStr">
        <is>
          <t>2026-08-31T16:04:31.779137Z</t>
        </is>
      </c>
      <c r="C826" s="24" t="inlineStr">
        <is>
          <t>2026-08-31T20:00Z</t>
        </is>
      </c>
      <c r="D826" s="24" t="inlineStr">
        <is>
          <t>189-2026:182753</t>
        </is>
      </c>
      <c r="E826" s="24" t="inlineStr">
        <is>
          <t>TENNIS</t>
        </is>
      </c>
      <c r="F826" s="24" t="inlineStr">
        <is>
          <t>Shintaro Mochizuki</t>
        </is>
      </c>
      <c r="G826" s="24" t="inlineStr">
        <is>
          <t>Jakub Mensik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-809</v>
      </c>
      <c r="M826" s="27" t="n">
        <v>1.123609</v>
      </c>
      <c r="N826" s="28" t="n">
        <v>0.889989</v>
      </c>
      <c r="O826" s="28" t="n">
        <v>0.7916</v>
      </c>
      <c r="P826" s="28" t="n">
        <v>0.05</v>
      </c>
      <c r="Q826" s="28" t="n">
        <v>-0.098389</v>
      </c>
      <c r="R826" s="26" t="n">
        <v>0</v>
      </c>
      <c r="S826" s="29" t="n">
        <v>1</v>
      </c>
      <c r="T826" s="24" t="inlineStr">
        <is>
          <t>tennis-surface-elo-v1</t>
        </is>
      </c>
      <c r="U826" s="24" t="inlineStr">
        <is>
          <t>settled</t>
        </is>
      </c>
      <c r="V826" s="24" t="inlineStr">
        <is>
          <t>win</t>
        </is>
      </c>
      <c r="W826" s="26" t="n">
        <v>0</v>
      </c>
      <c r="X826" s="26" t="n">
        <v>1</v>
      </c>
      <c r="Y826" s="25" t="n"/>
      <c r="Z826" s="26" t="n">
        <v>-809</v>
      </c>
      <c r="AA826" s="28" t="n">
        <v>0.89</v>
      </c>
      <c r="AB826" s="28" t="n">
        <v>1.1e-05</v>
      </c>
      <c r="AC826" s="30" t="n">
        <v>0.1236</v>
      </c>
      <c r="AD826" s="24" t="inlineStr">
        <is>
          <t>2026-09-01T04:38:23.889936Z</t>
        </is>
      </c>
      <c r="AE826" s="31" t="inlineStr">
        <is>
          <t>Surface-blended Elo on Hard: Shintaro Mochizuki p=0.208 vs Jakub Mensik. Executable ask 0.8900 (aec-atp-jakmen-shimoc-2026-08-30).</t>
        </is>
      </c>
      <c r="AF826" s="31" t="inlineStr">
        <is>
          <t>Surface-blended Elo model; singles only, WTA+ATP market coverage, not yet locked-holdout qualified -- promoted by explicit operator directive, not genuine walk-forward validation.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PAPER_CALL_LOW_EDGE</t>
        </is>
      </c>
      <c r="AP826" s="24" t="inlineStr">
        <is>
          <t>Shintaro Mochizuki</t>
        </is>
      </c>
      <c r="AQ826" s="24" t="inlineStr">
        <is>
          <t>Shintaro Mochizuki</t>
        </is>
      </c>
      <c r="AR826" s="24" t="inlineStr">
        <is>
          <t>Shintaro Mochizuki</t>
        </is>
      </c>
      <c r="AS826" s="24" t="inlineStr">
        <is>
          <t>Jakub Mensik</t>
        </is>
      </c>
      <c r="AT826" s="24" t="inlineStr">
        <is>
          <t>Jakub Mensik</t>
        </is>
      </c>
      <c r="AU826" s="24" t="inlineStr">
        <is>
          <t>Jakub Mensik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a67bb04c83bafa75b17d3013fcd4c13f2ff17c27af73dd591a6770e000183022</t>
        </is>
      </c>
      <c r="BB826" s="24" t="inlineStr">
        <is>
          <t>surface_blended_elo</t>
        </is>
      </c>
      <c r="BC826" s="24" t="inlineStr">
        <is>
          <t>tennis-surface-elo-v1</t>
        </is>
      </c>
      <c r="BD826" s="24" t="inlineStr">
        <is>
          <t>a67bb04c83bafa75b17d3013fcd4c13f2ff17c27af73dd591a6770e000183022</t>
        </is>
      </c>
      <c r="BE826" s="24" t="inlineStr">
        <is>
          <t>tennis-surface-elo-v1</t>
        </is>
      </c>
      <c r="BF826" s="24" t="inlineStr">
        <is>
          <t>1</t>
        </is>
      </c>
      <c r="BG826" s="24" t="inlineStr">
        <is>
          <t>a67bb04c83bafa75b17d3013fcd4c13f2ff17c27af73dd591a6770e000183022</t>
        </is>
      </c>
      <c r="BH826" s="24" t="inlineStr">
        <is>
          <t>2026-08-31T16:02:40.311736Z</t>
        </is>
      </c>
      <c r="BI826" s="24" t="inlineStr">
        <is>
          <t>["same_event","same_team_same_day","same_league_same_day"]</t>
        </is>
      </c>
      <c r="BJ826" s="25" t="n"/>
      <c r="BK826" s="26" t="n">
        <v>-809</v>
      </c>
      <c r="BL826" s="27" t="n">
        <v>1.123609</v>
      </c>
      <c r="BM826" s="28" t="n">
        <v>0.889989</v>
      </c>
      <c r="BN826" s="28" t="n"/>
      <c r="BO826" s="28" t="n"/>
      <c r="BP826" s="25" t="n"/>
      <c r="BQ826" s="27" t="n">
        <v>1.123609</v>
      </c>
      <c r="BR826" s="28" t="n">
        <v>0.89</v>
      </c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inlineStr">
        <is>
          <t>6e0a44f28a1bc7c13afffd58c7dd4145abc70828e6ef982338c1f5d4bbd409bb</t>
        </is>
      </c>
      <c r="DE826" s="24" t="inlineStr">
        <is>
          <t>/Users/vincentc9002/model-prediction/data/odds/tennis/2026-08-31/polymarket_snapshots.jsonl</t>
        </is>
      </c>
      <c r="DF826" s="24" t="inlineStr">
        <is>
          <t>550502:2026-08-31T16:02:40.311736Z</t>
        </is>
      </c>
      <c r="DG826" s="24" t="n"/>
      <c r="DH826" s="24" t="n"/>
      <c r="DI826" s="24" t="n"/>
      <c r="DJ826" s="24" t="inlineStr">
        <is>
          <t>0.889989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5c1f93c4919645eb</t>
        </is>
      </c>
      <c r="B827" s="24" t="inlineStr">
        <is>
          <t>2026-08-31T16:04:31.779137Z</t>
        </is>
      </c>
      <c r="C827" s="24" t="inlineStr">
        <is>
          <t>2026-08-31T20:30Z</t>
        </is>
      </c>
      <c r="D827" s="24" t="inlineStr">
        <is>
          <t>189-2026:182662</t>
        </is>
      </c>
      <c r="E827" s="24" t="inlineStr">
        <is>
          <t>TENNIS</t>
        </is>
      </c>
      <c r="F827" s="24" t="inlineStr">
        <is>
          <t>Alejandro Tabilo</t>
        </is>
      </c>
      <c r="G827" s="24" t="inlineStr">
        <is>
          <t>Yannick Hanfmann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117</v>
      </c>
      <c r="M827" s="27" t="n">
        <v>2.17</v>
      </c>
      <c r="N827" s="28" t="n">
        <v>0.460829</v>
      </c>
      <c r="O827" s="28" t="n">
        <v>0.5565</v>
      </c>
      <c r="P827" s="28" t="n">
        <v>0.05</v>
      </c>
      <c r="Q827" s="28" t="n">
        <v>0.09567100000000001</v>
      </c>
      <c r="R827" s="26" t="n">
        <v>68</v>
      </c>
      <c r="S827" s="29" t="n">
        <v>1.25</v>
      </c>
      <c r="T827" s="24" t="inlineStr">
        <is>
          <t>tennis-surface-elo-v1</t>
        </is>
      </c>
      <c r="U827" s="24" t="inlineStr">
        <is>
          <t>settled</t>
        </is>
      </c>
      <c r="V827" s="24" t="inlineStr">
        <is>
          <t>loss</t>
        </is>
      </c>
      <c r="W827" s="26" t="n">
        <v>1</v>
      </c>
      <c r="X827" s="26" t="n">
        <v>0</v>
      </c>
      <c r="Y827" s="25" t="n"/>
      <c r="Z827" s="26" t="n">
        <v>117</v>
      </c>
      <c r="AA827" s="28" t="n">
        <v>0.46</v>
      </c>
      <c r="AB827" s="28" t="n">
        <v>-0.000829</v>
      </c>
      <c r="AC827" s="30" t="n">
        <v>-1.25</v>
      </c>
      <c r="AD827" s="24" t="inlineStr">
        <is>
          <t>2026-09-01T04:38:26.938056Z</t>
        </is>
      </c>
      <c r="AE827" s="31" t="inlineStr">
        <is>
          <t>Surface-blended Elo on Hard: Alejandro Tabilo p=0.443 vs Yannick Hanfmann. Executable ask 0.4600 (aec-atp-yanhan-aletab-2026-08-30).</t>
        </is>
      </c>
      <c r="AF827" s="31" t="inlineStr">
        <is>
          <t>Surface-blended Elo model; singles only, WTA+ATP market coverage, not yet locked-holdout qualified -- promoted by explicit operator directive, not genuine walk-forward validation.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model_qualified</t>
        </is>
      </c>
      <c r="AL827" s="26" t="n">
        <v>4</v>
      </c>
      <c r="AM827" s="24" t="inlineStr">
        <is>
          <t>QUALIFIED_SHADOW_CALL</t>
        </is>
      </c>
      <c r="AN827" s="24" t="inlineStr">
        <is>
          <t>CALL</t>
        </is>
      </c>
      <c r="AO827" s="24" t="inlineStr">
        <is>
          <t>QUALIFIED</t>
        </is>
      </c>
      <c r="AP827" s="24" t="inlineStr">
        <is>
          <t>Alejandro Tabilo</t>
        </is>
      </c>
      <c r="AQ827" s="24" t="inlineStr">
        <is>
          <t>Alejandro Tabilo</t>
        </is>
      </c>
      <c r="AR827" s="24" t="inlineStr">
        <is>
          <t>Alejandro Tabilo</t>
        </is>
      </c>
      <c r="AS827" s="24" t="inlineStr">
        <is>
          <t>Yannick Hanfmann</t>
        </is>
      </c>
      <c r="AT827" s="24" t="inlineStr">
        <is>
          <t>Yannick Hanfmann</t>
        </is>
      </c>
      <c r="AU827" s="24" t="inlineStr">
        <is>
          <t>Yannick Hanfmann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a67bb04c83bafa75b17d3013fcd4c13f2ff17c27af73dd591a6770e000183022</t>
        </is>
      </c>
      <c r="BB827" s="24" t="inlineStr">
        <is>
          <t>surface_blended_elo</t>
        </is>
      </c>
      <c r="BC827" s="24" t="inlineStr">
        <is>
          <t>tennis-surface-elo-v1</t>
        </is>
      </c>
      <c r="BD827" s="24" t="inlineStr">
        <is>
          <t>a67bb04c83bafa75b17d3013fcd4c13f2ff17c27af73dd591a6770e000183022</t>
        </is>
      </c>
      <c r="BE827" s="24" t="inlineStr">
        <is>
          <t>tennis-surface-elo-v1</t>
        </is>
      </c>
      <c r="BF827" s="24" t="inlineStr">
        <is>
          <t>1</t>
        </is>
      </c>
      <c r="BG827" s="24" t="inlineStr">
        <is>
          <t>a67bb04c83bafa75b17d3013fcd4c13f2ff17c27af73dd591a6770e000183022</t>
        </is>
      </c>
      <c r="BH827" s="24" t="inlineStr">
        <is>
          <t>2026-08-31T16:02:40.264463Z</t>
        </is>
      </c>
      <c r="BI827" s="24" t="inlineStr">
        <is>
          <t>["same_event","same_team_same_day","same_league_same_day"]</t>
        </is>
      </c>
      <c r="BJ827" s="25" t="n"/>
      <c r="BK827" s="26" t="n">
        <v>117</v>
      </c>
      <c r="BL827" s="27" t="n">
        <v>2.17</v>
      </c>
      <c r="BM827" s="28" t="n">
        <v>0.460829</v>
      </c>
      <c r="BN827" s="28" t="n"/>
      <c r="BO827" s="28" t="n"/>
      <c r="BP827" s="25" t="n"/>
      <c r="BQ827" s="27" t="n">
        <v>2.17</v>
      </c>
      <c r="BR827" s="28" t="n">
        <v>0.46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inlineStr">
        <is>
          <t>5d84b464275eb69dee6a95bf2f96d09e0ca6ca70b378d0b0314eb6b81483d96b</t>
        </is>
      </c>
      <c r="DE827" s="24" t="inlineStr">
        <is>
          <t>/Users/vincentc9002/model-prediction/data/odds/tennis/2026-08-31/polymarket_snapshots.jsonl</t>
        </is>
      </c>
      <c r="DF827" s="24" t="inlineStr">
        <is>
          <t>547258:2026-08-31T16:02:40.264463Z</t>
        </is>
      </c>
      <c r="DG827" s="24" t="n"/>
      <c r="DH827" s="24" t="n"/>
      <c r="DI827" s="24" t="n"/>
      <c r="DJ827" s="24" t="inlineStr">
        <is>
          <t>0.460829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9659194c2e774400</t>
        </is>
      </c>
      <c r="B828" s="24" t="inlineStr">
        <is>
          <t>2026-08-31T16:04:31.779137Z</t>
        </is>
      </c>
      <c r="C828" s="24" t="inlineStr">
        <is>
          <t>2026-08-31T20:30Z</t>
        </is>
      </c>
      <c r="D828" s="24" t="inlineStr">
        <is>
          <t>189-2026:182734</t>
        </is>
      </c>
      <c r="E828" s="24" t="inlineStr">
        <is>
          <t>TENNIS</t>
        </is>
      </c>
      <c r="F828" s="24" t="inlineStr">
        <is>
          <t>Learner Tien</t>
        </is>
      </c>
      <c r="G828" s="24" t="inlineStr">
        <is>
          <t>Nuno Borges</t>
        </is>
      </c>
      <c r="H828" s="24" t="inlineStr">
        <is>
          <t>moneyline</t>
        </is>
      </c>
      <c r="I828" s="24" t="inlineStr">
        <is>
          <t>away</t>
        </is>
      </c>
      <c r="J828" s="25" t="n"/>
      <c r="K828" s="24" t="inlineStr">
        <is>
          <t>polymarket_us</t>
        </is>
      </c>
      <c r="L828" s="26" t="n">
        <v>-194</v>
      </c>
      <c r="M828" s="27" t="n">
        <v>1.515464</v>
      </c>
      <c r="N828" s="28" t="n">
        <v>0.659864</v>
      </c>
      <c r="O828" s="28" t="n">
        <v>0.6428</v>
      </c>
      <c r="P828" s="28" t="n">
        <v>0.05</v>
      </c>
      <c r="Q828" s="28" t="n">
        <v>-0.017064</v>
      </c>
      <c r="R828" s="26" t="n">
        <v>11</v>
      </c>
      <c r="S828" s="29" t="n">
        <v>1</v>
      </c>
      <c r="T828" s="24" t="inlineStr">
        <is>
          <t>tennis-surface-elo-v1</t>
        </is>
      </c>
      <c r="U828" s="24" t="inlineStr">
        <is>
          <t>settled</t>
        </is>
      </c>
      <c r="V828" s="24" t="inlineStr">
        <is>
          <t>win</t>
        </is>
      </c>
      <c r="W828" s="26" t="n">
        <v>1</v>
      </c>
      <c r="X828" s="26" t="n">
        <v>0</v>
      </c>
      <c r="Y828" s="25" t="n"/>
      <c r="Z828" s="26" t="n">
        <v>-194</v>
      </c>
      <c r="AA828" s="28" t="n">
        <v>0.66</v>
      </c>
      <c r="AB828" s="28" t="n">
        <v>0.000136</v>
      </c>
      <c r="AC828" s="30" t="n">
        <v>0.5155</v>
      </c>
      <c r="AD828" s="24" t="inlineStr">
        <is>
          <t>2026-09-01T04:38:29.533008Z</t>
        </is>
      </c>
      <c r="AE828" s="31" t="inlineStr">
        <is>
          <t>Surface-blended Elo on Hard: Learner Tien p=0.643 vs Nuno Borges. Executable ask 0.6600 (aec-atp-nunbor-leatie-2026-08-30).</t>
        </is>
      </c>
      <c r="AF828" s="31" t="inlineStr">
        <is>
          <t>Surface-blended Elo model; singles only, WTA+ATP market coverage, not yet locked-holdout qualified -- promoted by explicit operator directive, not genuine walk-forward validation.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Learner Tien</t>
        </is>
      </c>
      <c r="AQ828" s="24" t="inlineStr">
        <is>
          <t>Learner Tien</t>
        </is>
      </c>
      <c r="AR828" s="24" t="inlineStr">
        <is>
          <t>Learner Tien</t>
        </is>
      </c>
      <c r="AS828" s="24" t="inlineStr">
        <is>
          <t>Nuno Borges</t>
        </is>
      </c>
      <c r="AT828" s="24" t="inlineStr">
        <is>
          <t>Nuno Borges</t>
        </is>
      </c>
      <c r="AU828" s="24" t="inlineStr">
        <is>
          <t>Nuno Borges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a67bb04c83bafa75b17d3013fcd4c13f2ff17c27af73dd591a6770e000183022</t>
        </is>
      </c>
      <c r="BB828" s="24" t="inlineStr">
        <is>
          <t>surface_blended_elo</t>
        </is>
      </c>
      <c r="BC828" s="24" t="inlineStr">
        <is>
          <t>tennis-surface-elo-v1</t>
        </is>
      </c>
      <c r="BD828" s="24" t="inlineStr">
        <is>
          <t>a67bb04c83bafa75b17d3013fcd4c13f2ff17c27af73dd591a6770e000183022</t>
        </is>
      </c>
      <c r="BE828" s="24" t="inlineStr">
        <is>
          <t>tennis-surface-elo-v1</t>
        </is>
      </c>
      <c r="BF828" s="24" t="inlineStr">
        <is>
          <t>1</t>
        </is>
      </c>
      <c r="BG828" s="24" t="inlineStr">
        <is>
          <t>a67bb04c83bafa75b17d3013fcd4c13f2ff17c27af73dd591a6770e000183022</t>
        </is>
      </c>
      <c r="BH828" s="24" t="inlineStr">
        <is>
          <t>2026-08-31T16:02:40.615578Z</t>
        </is>
      </c>
      <c r="BI828" s="24" t="inlineStr">
        <is>
          <t>["same_event","same_team_same_day","same_league_same_day"]</t>
        </is>
      </c>
      <c r="BJ828" s="25" t="n"/>
      <c r="BK828" s="26" t="n">
        <v>-194</v>
      </c>
      <c r="BL828" s="27" t="n">
        <v>1.515464</v>
      </c>
      <c r="BM828" s="28" t="n">
        <v>0.659864</v>
      </c>
      <c r="BN828" s="28" t="n"/>
      <c r="BO828" s="28" t="n"/>
      <c r="BP828" s="25" t="n"/>
      <c r="BQ828" s="27" t="n">
        <v>1.515464</v>
      </c>
      <c r="BR828" s="28" t="n">
        <v>0.66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inlineStr">
        <is>
          <t>3e8300c3e796540b7e67da4e4700b0359728611dc708c58b159df94cefe6d0d3</t>
        </is>
      </c>
      <c r="DE828" s="24" t="inlineStr">
        <is>
          <t>/Users/vincentc9002/model-prediction/data/odds/tennis/2026-08-31/polymarket_snapshots.jsonl</t>
        </is>
      </c>
      <c r="DF828" s="24" t="inlineStr">
        <is>
          <t>547283:2026-08-31T16:02:40.615578Z</t>
        </is>
      </c>
      <c r="DG828" s="24" t="n"/>
      <c r="DH828" s="24" t="n"/>
      <c r="DI828" s="24" t="n"/>
      <c r="DJ828" s="24" t="inlineStr">
        <is>
          <t>0.659864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0adc640e7cef419e</t>
        </is>
      </c>
      <c r="B829" s="24" t="inlineStr">
        <is>
          <t>2026-08-31T16:04:31.779137Z</t>
        </is>
      </c>
      <c r="C829" s="24" t="inlineStr">
        <is>
          <t>2026-08-31T21:00Z</t>
        </is>
      </c>
      <c r="D829" s="24" t="inlineStr">
        <is>
          <t>189-2026:182701</t>
        </is>
      </c>
      <c r="E829" s="24" t="inlineStr">
        <is>
          <t>TENNIS</t>
        </is>
      </c>
      <c r="F829" s="24" t="inlineStr">
        <is>
          <t>Rinky Hijikata</t>
        </is>
      </c>
      <c r="G829" s="24" t="inlineStr">
        <is>
          <t>Felix Auger-Aliassime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-900</v>
      </c>
      <c r="M829" s="27" t="n">
        <v>1.111111</v>
      </c>
      <c r="N829" s="28" t="n">
        <v>0.9</v>
      </c>
      <c r="O829" s="28" t="n">
        <v>0.7014</v>
      </c>
      <c r="P829" s="28" t="n">
        <v>0.05</v>
      </c>
      <c r="Q829" s="28" t="n">
        <v>-0.1986</v>
      </c>
      <c r="R829" s="26" t="n">
        <v>0</v>
      </c>
      <c r="S829" s="29" t="n">
        <v>1</v>
      </c>
      <c r="T829" s="24" t="inlineStr">
        <is>
          <t>tennis-surface-elo-v1</t>
        </is>
      </c>
      <c r="U829" s="24" t="inlineStr">
        <is>
          <t>settled</t>
        </is>
      </c>
      <c r="V829" s="24" t="inlineStr">
        <is>
          <t>win</t>
        </is>
      </c>
      <c r="W829" s="26" t="n">
        <v>0</v>
      </c>
      <c r="X829" s="26" t="n">
        <v>1</v>
      </c>
      <c r="Y829" s="25" t="n"/>
      <c r="Z829" s="26" t="n">
        <v>-900</v>
      </c>
      <c r="AA829" s="28" t="n">
        <v>0.9</v>
      </c>
      <c r="AB829" s="28" t="n">
        <v>0</v>
      </c>
      <c r="AC829" s="30" t="n">
        <v>0.1111</v>
      </c>
      <c r="AD829" s="24" t="inlineStr">
        <is>
          <t>2026-09-01T04:38:32.086895Z</t>
        </is>
      </c>
      <c r="AE829" s="31" t="inlineStr">
        <is>
          <t>Surface-blended Elo on Hard: Rinky Hijikata p=0.299 vs Felix Auger-Aliassime. Executable ask 0.9000 (aec-atp-felaug-rinhij-2026-08-30).</t>
        </is>
      </c>
      <c r="AF829" s="31" t="inlineStr">
        <is>
          <t>Surface-blended Elo model; singles only, WTA+ATP market coverage, not yet locked-holdout qualified -- promoted by explicit operator directive, not genuine walk-forward validation.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Rinky Hijikata</t>
        </is>
      </c>
      <c r="AQ829" s="24" t="inlineStr">
        <is>
          <t>Rinky Hijikata</t>
        </is>
      </c>
      <c r="AR829" s="24" t="inlineStr">
        <is>
          <t>Rinky Hijikata</t>
        </is>
      </c>
      <c r="AS829" s="24" t="inlineStr">
        <is>
          <t>Felix Auger-Aliassime</t>
        </is>
      </c>
      <c r="AT829" s="24" t="inlineStr">
        <is>
          <t>Felix Auger-Aliassime</t>
        </is>
      </c>
      <c r="AU829" s="24" t="inlineStr">
        <is>
          <t>Felix Auger-Aliassime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a67bb04c83bafa75b17d3013fcd4c13f2ff17c27af73dd591a6770e000183022</t>
        </is>
      </c>
      <c r="BB829" s="24" t="inlineStr">
        <is>
          <t>surface_blended_elo</t>
        </is>
      </c>
      <c r="BC829" s="24" t="inlineStr">
        <is>
          <t>tennis-surface-elo-v1</t>
        </is>
      </c>
      <c r="BD829" s="24" t="inlineStr">
        <is>
          <t>a67bb04c83bafa75b17d3013fcd4c13f2ff17c27af73dd591a6770e000183022</t>
        </is>
      </c>
      <c r="BE829" s="24" t="inlineStr">
        <is>
          <t>tennis-surface-elo-v1</t>
        </is>
      </c>
      <c r="BF829" s="24" t="inlineStr">
        <is>
          <t>1</t>
        </is>
      </c>
      <c r="BG829" s="24" t="inlineStr">
        <is>
          <t>a67bb04c83bafa75b17d3013fcd4c13f2ff17c27af73dd591a6770e000183022</t>
        </is>
      </c>
      <c r="BH829" s="24" t="inlineStr">
        <is>
          <t>2026-08-31T16:02:40.682236Z</t>
        </is>
      </c>
      <c r="BI829" s="24" t="inlineStr">
        <is>
          <t>["same_event","same_team_same_day","same_league_same_day"]</t>
        </is>
      </c>
      <c r="BJ829" s="25" t="n"/>
      <c r="BK829" s="26" t="n">
        <v>-900</v>
      </c>
      <c r="BL829" s="27" t="n">
        <v>1.111111</v>
      </c>
      <c r="BM829" s="28" t="n">
        <v>0.9</v>
      </c>
      <c r="BN829" s="28" t="n"/>
      <c r="BO829" s="28" t="n"/>
      <c r="BP829" s="25" t="n"/>
      <c r="BQ829" s="27" t="n">
        <v>1.111111</v>
      </c>
      <c r="BR829" s="28" t="n">
        <v>0.9</v>
      </c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inlineStr">
        <is>
          <t>36535dbf0c29dec9712f3276b1d1ca502948a13c5e25dc6c688b9d99307ca360</t>
        </is>
      </c>
      <c r="DE829" s="24" t="inlineStr">
        <is>
          <t>/Users/vincentc9002/model-prediction/data/odds/tennis/2026-08-31/polymarket_snapshots.jsonl</t>
        </is>
      </c>
      <c r="DF829" s="24" t="inlineStr">
        <is>
          <t>547274:2026-08-31T16:02:40.682236Z</t>
        </is>
      </c>
      <c r="DG829" s="24" t="n"/>
      <c r="DH829" s="24" t="n"/>
      <c r="DI829" s="24" t="n"/>
      <c r="DJ829" s="24" t="inlineStr">
        <is>
          <t>0.9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5c2435472ca443b7</t>
        </is>
      </c>
      <c r="B830" s="24" t="inlineStr">
        <is>
          <t>2026-08-31T16:04:31.779137Z</t>
        </is>
      </c>
      <c r="C830" s="24" t="inlineStr">
        <is>
          <t>2026-08-31T21:30Z</t>
        </is>
      </c>
      <c r="D830" s="24" t="inlineStr">
        <is>
          <t>189-2026:182666</t>
        </is>
      </c>
      <c r="E830" s="24" t="inlineStr">
        <is>
          <t>TENNIS</t>
        </is>
      </c>
      <c r="F830" s="24" t="inlineStr">
        <is>
          <t>Facundo Diaz Acosta</t>
        </is>
      </c>
      <c r="G830" s="24" t="inlineStr">
        <is>
          <t>Quentin Halys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-270</v>
      </c>
      <c r="M830" s="27" t="n">
        <v>1.37037</v>
      </c>
      <c r="N830" s="28" t="n">
        <v>0.72973</v>
      </c>
      <c r="O830" s="28" t="n">
        <v>0.7688</v>
      </c>
      <c r="P830" s="28" t="n">
        <v>0.05</v>
      </c>
      <c r="Q830" s="28" t="n">
        <v>0.03907</v>
      </c>
      <c r="R830" s="26" t="n">
        <v>40</v>
      </c>
      <c r="S830" s="29" t="n">
        <v>1</v>
      </c>
      <c r="T830" s="24" t="inlineStr">
        <is>
          <t>tennis-surface-elo-v1</t>
        </is>
      </c>
      <c r="U830" s="24" t="inlineStr">
        <is>
          <t>settled</t>
        </is>
      </c>
      <c r="V830" s="24" t="inlineStr">
        <is>
          <t>win</t>
        </is>
      </c>
      <c r="W830" s="26" t="n">
        <v>0</v>
      </c>
      <c r="X830" s="26" t="n">
        <v>1</v>
      </c>
      <c r="Y830" s="25" t="n"/>
      <c r="Z830" s="26" t="n">
        <v>-270</v>
      </c>
      <c r="AA830" s="28" t="n">
        <v>0.73</v>
      </c>
      <c r="AB830" s="28" t="n">
        <v>0.00027</v>
      </c>
      <c r="AC830" s="30" t="n">
        <v>0.3704</v>
      </c>
      <c r="AD830" s="24" t="inlineStr">
        <is>
          <t>2026-09-01T04:38:34.705006Z</t>
        </is>
      </c>
      <c r="AE830" s="31" t="inlineStr">
        <is>
          <t>Surface-blended Elo on Hard: Facundo Diaz Acosta p=0.231 vs Quentin Halys. Executable ask 0.7300 (aec-atp-quehal-facaco-2026-08-30).</t>
        </is>
      </c>
      <c r="AF830" s="31" t="inlineStr">
        <is>
          <t>Surface-blended Elo model; singles only, WTA+ATP market coverage, not yet locked-holdout qualified -- promoted by explicit operator directive, not genuine walk-forward validation.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Facundo Diaz Acosta</t>
        </is>
      </c>
      <c r="AQ830" s="24" t="inlineStr">
        <is>
          <t>Facundo Diaz Acosta</t>
        </is>
      </c>
      <c r="AR830" s="24" t="inlineStr">
        <is>
          <t>Facundo Diaz Acosta</t>
        </is>
      </c>
      <c r="AS830" s="24" t="inlineStr">
        <is>
          <t>Quentin Halys</t>
        </is>
      </c>
      <c r="AT830" s="24" t="inlineStr">
        <is>
          <t>Quentin Halys</t>
        </is>
      </c>
      <c r="AU830" s="24" t="inlineStr">
        <is>
          <t>Quentin Halys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a67bb04c83bafa75b17d3013fcd4c13f2ff17c27af73dd591a6770e000183022</t>
        </is>
      </c>
      <c r="BB830" s="24" t="inlineStr">
        <is>
          <t>surface_blended_elo</t>
        </is>
      </c>
      <c r="BC830" s="24" t="inlineStr">
        <is>
          <t>tennis-surface-elo-v1</t>
        </is>
      </c>
      <c r="BD830" s="24" t="inlineStr">
        <is>
          <t>a67bb04c83bafa75b17d3013fcd4c13f2ff17c27af73dd591a6770e000183022</t>
        </is>
      </c>
      <c r="BE830" s="24" t="inlineStr">
        <is>
          <t>tennis-surface-elo-v1</t>
        </is>
      </c>
      <c r="BF830" s="24" t="inlineStr">
        <is>
          <t>1</t>
        </is>
      </c>
      <c r="BG830" s="24" t="inlineStr">
        <is>
          <t>a67bb04c83bafa75b17d3013fcd4c13f2ff17c27af73dd591a6770e000183022</t>
        </is>
      </c>
      <c r="BH830" s="24" t="inlineStr">
        <is>
          <t>2026-08-31T16:02:40.423425Z</t>
        </is>
      </c>
      <c r="BI830" s="24" t="inlineStr">
        <is>
          <t>["same_event","same_team_same_day","same_league_same_day"]</t>
        </is>
      </c>
      <c r="BJ830" s="25" t="n"/>
      <c r="BK830" s="26" t="n">
        <v>-270</v>
      </c>
      <c r="BL830" s="27" t="n">
        <v>1.37037</v>
      </c>
      <c r="BM830" s="28" t="n">
        <v>0.72973</v>
      </c>
      <c r="BN830" s="28" t="n"/>
      <c r="BO830" s="28" t="n"/>
      <c r="BP830" s="25" t="n"/>
      <c r="BQ830" s="27" t="n">
        <v>1.37037</v>
      </c>
      <c r="BR830" s="28" t="n">
        <v>0.73</v>
      </c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True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inlineStr">
        <is>
          <t>3a75e6e655106617d6cb6b13e2811c19e8b17be2b8a60f76c497d3c07f84f574</t>
        </is>
      </c>
      <c r="DE830" s="24" t="inlineStr">
        <is>
          <t>/Users/vincentc9002/model-prediction/data/odds/tennis/2026-08-31/polymarket_snapshots.jsonl</t>
        </is>
      </c>
      <c r="DF830" s="24" t="inlineStr">
        <is>
          <t>547256:2026-08-31T16:02:40.423425Z</t>
        </is>
      </c>
      <c r="DG830" s="24" t="n"/>
      <c r="DH830" s="24" t="n"/>
      <c r="DI830" s="24" t="n"/>
      <c r="DJ830" s="24" t="inlineStr">
        <is>
          <t>0.72973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583885e6edb64f5e</t>
        </is>
      </c>
      <c r="B831" s="24" t="inlineStr">
        <is>
          <t>2026-08-31T16:04:31.779137Z</t>
        </is>
      </c>
      <c r="C831" s="24" t="inlineStr">
        <is>
          <t>2026-08-31T23:00Z</t>
        </is>
      </c>
      <c r="D831" s="24" t="inlineStr">
        <is>
          <t>189-2026:182676</t>
        </is>
      </c>
      <c r="E831" s="24" t="inlineStr">
        <is>
          <t>TENNIS</t>
        </is>
      </c>
      <c r="F831" s="24" t="inlineStr">
        <is>
          <t>Tallon Griekspoor</t>
        </is>
      </c>
      <c r="G831" s="24" t="inlineStr">
        <is>
          <t>Ben Shelton</t>
        </is>
      </c>
      <c r="H831" s="24" t="inlineStr">
        <is>
          <t>moneyline</t>
        </is>
      </c>
      <c r="I831" s="24" t="inlineStr">
        <is>
          <t>home</t>
        </is>
      </c>
      <c r="J831" s="25" t="n"/>
      <c r="K831" s="24" t="inlineStr">
        <is>
          <t>polymarket_us</t>
        </is>
      </c>
      <c r="L831" s="26" t="n">
        <v>-733</v>
      </c>
      <c r="M831" s="27" t="n">
        <v>1.136426</v>
      </c>
      <c r="N831" s="28" t="n">
        <v>0.879952</v>
      </c>
      <c r="O831" s="28" t="n">
        <v>0.7809</v>
      </c>
      <c r="P831" s="28" t="n">
        <v>0.05</v>
      </c>
      <c r="Q831" s="28" t="n">
        <v>-0.099052</v>
      </c>
      <c r="R831" s="26" t="n">
        <v>0</v>
      </c>
      <c r="S831" s="29" t="n">
        <v>1</v>
      </c>
      <c r="T831" s="24" t="inlineStr">
        <is>
          <t>tennis-surface-elo-v1</t>
        </is>
      </c>
      <c r="U831" s="24" t="inlineStr">
        <is>
          <t>settled</t>
        </is>
      </c>
      <c r="V831" s="24" t="inlineStr">
        <is>
          <t>win</t>
        </is>
      </c>
      <c r="W831" s="26" t="n">
        <v>0</v>
      </c>
      <c r="X831" s="26" t="n">
        <v>1</v>
      </c>
      <c r="Y831" s="25" t="n"/>
      <c r="Z831" s="26" t="n">
        <v>-733</v>
      </c>
      <c r="AA831" s="28" t="n">
        <v>0.88</v>
      </c>
      <c r="AB831" s="28" t="n">
        <v>4.8e-05</v>
      </c>
      <c r="AC831" s="30" t="n">
        <v>0.1364</v>
      </c>
      <c r="AD831" s="24" t="inlineStr">
        <is>
          <t>2026-09-01T04:38:37.261055Z</t>
        </is>
      </c>
      <c r="AE831" s="31" t="inlineStr">
        <is>
          <t>Surface-blended Elo on Hard: Tallon Griekspoor p=0.219 vs Ben Shelton. Executable ask 0.8800 (aec-atp-benshe-talgri-2026-08-30).</t>
        </is>
      </c>
      <c r="AF831" s="31" t="inlineStr">
        <is>
          <t>Surface-blended Elo model; singles only, WTA+ATP market coverage, not yet locked-holdout qualified -- promoted by explicit operator directive, not genuine walk-forward validation.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PAPER_CALL_LOW_EDGE</t>
        </is>
      </c>
      <c r="AP831" s="24" t="inlineStr">
        <is>
          <t>Tallon Griekspoor</t>
        </is>
      </c>
      <c r="AQ831" s="24" t="inlineStr">
        <is>
          <t>Tallon Griekspoor</t>
        </is>
      </c>
      <c r="AR831" s="24" t="inlineStr">
        <is>
          <t>Tallon Griekspoor</t>
        </is>
      </c>
      <c r="AS831" s="24" t="inlineStr">
        <is>
          <t>Ben Shelton</t>
        </is>
      </c>
      <c r="AT831" s="24" t="inlineStr">
        <is>
          <t>Ben Shelton</t>
        </is>
      </c>
      <c r="AU831" s="24" t="inlineStr">
        <is>
          <t>Ben Shelton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a67bb04c83bafa75b17d3013fcd4c13f2ff17c27af73dd591a6770e000183022</t>
        </is>
      </c>
      <c r="BB831" s="24" t="inlineStr">
        <is>
          <t>surface_blended_elo</t>
        </is>
      </c>
      <c r="BC831" s="24" t="inlineStr">
        <is>
          <t>tennis-surface-elo-v1</t>
        </is>
      </c>
      <c r="BD831" s="24" t="inlineStr">
        <is>
          <t>a67bb04c83bafa75b17d3013fcd4c13f2ff17c27af73dd591a6770e000183022</t>
        </is>
      </c>
      <c r="BE831" s="24" t="inlineStr">
        <is>
          <t>tennis-surface-elo-v1</t>
        </is>
      </c>
      <c r="BF831" s="24" t="inlineStr">
        <is>
          <t>1</t>
        </is>
      </c>
      <c r="BG831" s="24" t="inlineStr">
        <is>
          <t>a67bb04c83bafa75b17d3013fcd4c13f2ff17c27af73dd591a6770e000183022</t>
        </is>
      </c>
      <c r="BH831" s="24" t="inlineStr">
        <is>
          <t>2026-08-31T16:02:40.927528Z</t>
        </is>
      </c>
      <c r="BI831" s="24" t="inlineStr">
        <is>
          <t>["same_event","same_team_same_day","same_league_same_day"]</t>
        </is>
      </c>
      <c r="BJ831" s="25" t="n"/>
      <c r="BK831" s="26" t="n">
        <v>-733</v>
      </c>
      <c r="BL831" s="27" t="n">
        <v>1.136426</v>
      </c>
      <c r="BM831" s="28" t="n">
        <v>0.879952</v>
      </c>
      <c r="BN831" s="28" t="n"/>
      <c r="BO831" s="28" t="n"/>
      <c r="BP831" s="25" t="n"/>
      <c r="BQ831" s="27" t="n">
        <v>1.136426</v>
      </c>
      <c r="BR831" s="28" t="n">
        <v>0.88</v>
      </c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False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inlineStr">
        <is>
          <t>0e3eac160318fb4883f23acc5003f02044ebf4ef05357f1968f41cae1862d37b</t>
        </is>
      </c>
      <c r="DE831" s="24" t="inlineStr">
        <is>
          <t>/Users/vincentc9002/model-prediction/data/odds/tennis/2026-08-31/polymarket_snapshots.jsonl</t>
        </is>
      </c>
      <c r="DF831" s="24" t="inlineStr">
        <is>
          <t>547320:2026-08-31T16:02:40.927528Z</t>
        </is>
      </c>
      <c r="DG831" s="24" t="n"/>
      <c r="DH831" s="24" t="n"/>
      <c r="DI831" s="24" t="n"/>
      <c r="DJ831" s="24" t="inlineStr">
        <is>
          <t>0.879952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b06f7310f7374c3b</t>
        </is>
      </c>
      <c r="B832" s="24" t="inlineStr">
        <is>
          <t>2026-08-31T16:04:31.779137Z</t>
        </is>
      </c>
      <c r="C832" s="24" t="inlineStr">
        <is>
          <t>2026-09-01T00:30Z</t>
        </is>
      </c>
      <c r="D832" s="24" t="inlineStr">
        <is>
          <t>189-2026:182762</t>
        </is>
      </c>
      <c r="E832" s="24" t="inlineStr">
        <is>
          <t>TENNIS</t>
        </is>
      </c>
      <c r="F832" s="24" t="inlineStr">
        <is>
          <t>Frances Tiafoe</t>
        </is>
      </c>
      <c r="G832" s="24" t="inlineStr">
        <is>
          <t>Martin Damm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-355</v>
      </c>
      <c r="M832" s="27" t="n">
        <v>1.28169</v>
      </c>
      <c r="N832" s="28" t="n">
        <v>0.78022</v>
      </c>
      <c r="O832" s="28" t="n">
        <v>0.7532</v>
      </c>
      <c r="P832" s="28" t="n">
        <v>0.05</v>
      </c>
      <c r="Q832" s="28" t="n">
        <v>-0.02702</v>
      </c>
      <c r="R832" s="26" t="n">
        <v>6</v>
      </c>
      <c r="S832" s="29" t="n">
        <v>1</v>
      </c>
      <c r="T832" s="24" t="inlineStr">
        <is>
          <t>tennis-surface-elo-v1</t>
        </is>
      </c>
      <c r="U832" s="24" t="inlineStr">
        <is>
          <t>settled</t>
        </is>
      </c>
      <c r="V832" s="24" t="inlineStr">
        <is>
          <t>win</t>
        </is>
      </c>
      <c r="W832" s="26" t="n">
        <v>1</v>
      </c>
      <c r="X832" s="26" t="n">
        <v>0</v>
      </c>
      <c r="Y832" s="25" t="n"/>
      <c r="Z832" s="26" t="n">
        <v>-355</v>
      </c>
      <c r="AA832" s="28" t="n">
        <v>0.78</v>
      </c>
      <c r="AB832" s="28" t="n">
        <v>-0.00022</v>
      </c>
      <c r="AC832" s="30" t="n">
        <v>0.2817</v>
      </c>
      <c r="AD832" s="24" t="inlineStr">
        <is>
          <t>2026-09-01T13:46:22.358632Z</t>
        </is>
      </c>
      <c r="AE832" s="31" t="inlineStr">
        <is>
          <t>Surface-blended Elo on Hard: Frances Tiafoe p=0.753 vs Martin Damm. Executable ask 0.7800 (aec-atp-mardam-fratia-2026-08-30).</t>
        </is>
      </c>
      <c r="AF832" s="31" t="inlineStr">
        <is>
          <t>Surface-blended Elo model; singles only, WTA+ATP market coverage, not yet locked-holdout qualified -- promoted by explicit operator directive, not genuine walk-forward validation.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PAPER_CALL_LOW_EDGE</t>
        </is>
      </c>
      <c r="AP832" s="24" t="inlineStr">
        <is>
          <t>Frances Tiafoe</t>
        </is>
      </c>
      <c r="AQ832" s="24" t="inlineStr">
        <is>
          <t>Frances Tiafoe</t>
        </is>
      </c>
      <c r="AR832" s="24" t="inlineStr">
        <is>
          <t>Frances Tiafoe</t>
        </is>
      </c>
      <c r="AS832" s="24" t="inlineStr">
        <is>
          <t>Martin Damm</t>
        </is>
      </c>
      <c r="AT832" s="24" t="inlineStr">
        <is>
          <t>Martin Damm</t>
        </is>
      </c>
      <c r="AU832" s="24" t="inlineStr">
        <is>
          <t>Martin Damm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a67bb04c83bafa75b17d3013fcd4c13f2ff17c27af73dd591a6770e000183022</t>
        </is>
      </c>
      <c r="BB832" s="24" t="inlineStr">
        <is>
          <t>surface_blended_elo</t>
        </is>
      </c>
      <c r="BC832" s="24" t="inlineStr">
        <is>
          <t>tennis-surface-elo-v1</t>
        </is>
      </c>
      <c r="BD832" s="24" t="inlineStr">
        <is>
          <t>a67bb04c83bafa75b17d3013fcd4c13f2ff17c27af73dd591a6770e000183022</t>
        </is>
      </c>
      <c r="BE832" s="24" t="inlineStr">
        <is>
          <t>tennis-surface-elo-v1</t>
        </is>
      </c>
      <c r="BF832" s="24" t="inlineStr">
        <is>
          <t>1</t>
        </is>
      </c>
      <c r="BG832" s="24" t="inlineStr">
        <is>
          <t>a67bb04c83bafa75b17d3013fcd4c13f2ff17c27af73dd591a6770e000183022</t>
        </is>
      </c>
      <c r="BH832" s="24" t="inlineStr">
        <is>
          <t>2026-08-31T16:02:40.954684Z</t>
        </is>
      </c>
      <c r="BI832" s="24" t="inlineStr">
        <is>
          <t>["same_event","same_team_same_day","same_league_same_day"]</t>
        </is>
      </c>
      <c r="BJ832" s="25" t="n"/>
      <c r="BK832" s="26" t="n">
        <v>-355</v>
      </c>
      <c r="BL832" s="27" t="n">
        <v>1.28169</v>
      </c>
      <c r="BM832" s="28" t="n">
        <v>0.78022</v>
      </c>
      <c r="BN832" s="28" t="n"/>
      <c r="BO832" s="28" t="n"/>
      <c r="BP832" s="25" t="n"/>
      <c r="BQ832" s="27" t="n">
        <v>1.28169</v>
      </c>
      <c r="BR832" s="28" t="n">
        <v>0.78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False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inlineStr">
        <is>
          <t>e9bda5fb12ac46db51898c4de536c138061c2d4a41791ed2adbd00afef27e8ec</t>
        </is>
      </c>
      <c r="DE832" s="24" t="inlineStr">
        <is>
          <t>/Users/vincentc9002/model-prediction/data/odds/tennis/2026-08-31/polymarket_snapshots.jsonl</t>
        </is>
      </c>
      <c r="DF832" s="24" t="inlineStr">
        <is>
          <t>547305:2026-08-31T16:02:40.954684Z</t>
        </is>
      </c>
      <c r="DG832" s="24" t="n"/>
      <c r="DH832" s="24" t="n"/>
      <c r="DI832" s="24" t="n"/>
      <c r="DJ832" s="24" t="inlineStr">
        <is>
          <t>0.78022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9a892b512bd14b6e</t>
        </is>
      </c>
      <c r="B833" s="24" t="inlineStr">
        <is>
          <t>2026-09-01T13:48:53.657030Z</t>
        </is>
      </c>
      <c r="C833" s="24" t="inlineStr">
        <is>
          <t>2026-09-01T15:00Z</t>
        </is>
      </c>
      <c r="D833" s="24" t="inlineStr">
        <is>
          <t>189-2026:182597</t>
        </is>
      </c>
      <c r="E833" s="24" t="inlineStr">
        <is>
          <t>TENNIS</t>
        </is>
      </c>
      <c r="F833" s="24" t="inlineStr">
        <is>
          <t>Robin Montgomery</t>
        </is>
      </c>
      <c r="G833" s="24" t="inlineStr">
        <is>
          <t>Maria Sakkari</t>
        </is>
      </c>
      <c r="H833" s="24" t="inlineStr">
        <is>
          <t>moneyline</t>
        </is>
      </c>
      <c r="I833" s="24" t="inlineStr">
        <is>
          <t>away</t>
        </is>
      </c>
      <c r="J833" s="25" t="n"/>
      <c r="K833" s="24" t="inlineStr">
        <is>
          <t>polymarket_us</t>
        </is>
      </c>
      <c r="L833" s="26" t="n">
        <v>144</v>
      </c>
      <c r="M833" s="27" t="n">
        <v>2.44</v>
      </c>
      <c r="N833" s="28" t="n">
        <v>0.409836</v>
      </c>
      <c r="O833" s="28" t="n">
        <v>0.5409</v>
      </c>
      <c r="P833" s="28" t="n">
        <v>0.05</v>
      </c>
      <c r="Q833" s="28" t="n">
        <v>0.131064</v>
      </c>
      <c r="R833" s="26" t="n">
        <v>86</v>
      </c>
      <c r="S833" s="29" t="n">
        <v>1.5</v>
      </c>
      <c r="T833" s="24" t="inlineStr">
        <is>
          <t>tennis-surface-elo-v1</t>
        </is>
      </c>
      <c r="U833" s="24" t="inlineStr">
        <is>
          <t>settled</t>
        </is>
      </c>
      <c r="V833" s="24" t="inlineStr">
        <is>
          <t>loss</t>
        </is>
      </c>
      <c r="W833" s="26" t="n">
        <v>0</v>
      </c>
      <c r="X833" s="26" t="n">
        <v>1</v>
      </c>
      <c r="Y833" s="25" t="n"/>
      <c r="Z833" s="26" t="n">
        <v>144</v>
      </c>
      <c r="AA833" s="28" t="n">
        <v>0.41</v>
      </c>
      <c r="AB833" s="28" t="n">
        <v>0.000164</v>
      </c>
      <c r="AC833" s="30" t="n">
        <v>-1.5</v>
      </c>
      <c r="AD833" s="24" t="inlineStr">
        <is>
          <t>2026-09-02T04:32:34.298562Z</t>
        </is>
      </c>
      <c r="AE833" s="31" t="inlineStr">
        <is>
          <t>Surface-blended Elo on Hard: Robin Montgomery p=0.541 vs Maria Sakkari. Executable ask 0.4100 (aec-wta-marsak-robmon-2026-08-30).</t>
        </is>
      </c>
      <c r="AF833" s="31" t="inlineStr">
        <is>
          <t>Surface-blended Elo model; singles only, WTA+ATP market coverage, not yet locked-holdout qualified -- promoted by explicit operator directive, not genuine walk-forward validation.</t>
        </is>
      </c>
      <c r="AG833" s="24" t="inlineStr">
        <is>
          <t>review_required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Robin Montgomery</t>
        </is>
      </c>
      <c r="AQ833" s="24" t="inlineStr">
        <is>
          <t>Robin Montgomery</t>
        </is>
      </c>
      <c r="AR833" s="24" t="inlineStr">
        <is>
          <t>Robin Montgomery</t>
        </is>
      </c>
      <c r="AS833" s="24" t="inlineStr">
        <is>
          <t>Maria Sakkari</t>
        </is>
      </c>
      <c r="AT833" s="24" t="inlineStr">
        <is>
          <t>Maria Sakkari</t>
        </is>
      </c>
      <c r="AU833" s="24" t="inlineStr">
        <is>
          <t>Maria Sakkari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0ce66f49b381187fe6255a40ca2fdbfc155d5e36125ccf6d30fe81a72962eafa</t>
        </is>
      </c>
      <c r="BB833" s="24" t="inlineStr">
        <is>
          <t>surface_blended_elo</t>
        </is>
      </c>
      <c r="BC833" s="24" t="inlineStr">
        <is>
          <t>tennis-surface-elo-v1</t>
        </is>
      </c>
      <c r="BD833" s="24" t="inlineStr">
        <is>
          <t>0ce66f49b381187fe6255a40ca2fdbfc155d5e36125ccf6d30fe81a72962eafa</t>
        </is>
      </c>
      <c r="BE833" s="24" t="inlineStr">
        <is>
          <t>tennis-surface-elo-v1</t>
        </is>
      </c>
      <c r="BF833" s="24" t="inlineStr">
        <is>
          <t>1</t>
        </is>
      </c>
      <c r="BG833" s="24" t="inlineStr">
        <is>
          <t>0ce66f49b381187fe6255a40ca2fdbfc155d5e36125ccf6d30fe81a72962eafa</t>
        </is>
      </c>
      <c r="BH833" s="24" t="inlineStr">
        <is>
          <t>2026-09-01T13:48:07.812897Z</t>
        </is>
      </c>
      <c r="BI833" s="24" t="inlineStr">
        <is>
          <t>["same_event","same_team_same_day","same_league_same_day"]</t>
        </is>
      </c>
      <c r="BJ833" s="25" t="n"/>
      <c r="BK833" s="26" t="n">
        <v>144</v>
      </c>
      <c r="BL833" s="27" t="n">
        <v>2.44</v>
      </c>
      <c r="BM833" s="28" t="n">
        <v>0.409836</v>
      </c>
      <c r="BN833" s="28" t="n"/>
      <c r="BO833" s="28" t="n"/>
      <c r="BP833" s="25" t="n"/>
      <c r="BQ833" s="27" t="n">
        <v>2.44</v>
      </c>
      <c r="BR833" s="28" t="n">
        <v>0.41</v>
      </c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inlineStr">
        <is>
          <t>0240e9281530d2c0b5027227fa1676b49f779f777f8881eb5bfe9ec64c5856ca</t>
        </is>
      </c>
      <c r="DE833" s="24" t="inlineStr">
        <is>
          <t>/Users/vincentc9002/model-prediction/data/odds/tennis/2026-09-01/polymarket_snapshots.jsonl</t>
        </is>
      </c>
      <c r="DF833" s="24" t="inlineStr">
        <is>
          <t>550531:2026-09-01T13:48:07.812897Z</t>
        </is>
      </c>
      <c r="DG833" s="24" t="n"/>
      <c r="DH833" s="24" t="n"/>
      <c r="DI833" s="24" t="n"/>
      <c r="DJ833" s="24" t="inlineStr">
        <is>
          <t>0.409836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98732cfd2e9d44ed</t>
        </is>
      </c>
      <c r="B834" s="24" t="inlineStr">
        <is>
          <t>2026-09-01T13:48:53.657030Z</t>
        </is>
      </c>
      <c r="C834" s="24" t="inlineStr">
        <is>
          <t>2026-09-01T15:00Z</t>
        </is>
      </c>
      <c r="D834" s="24" t="inlineStr">
        <is>
          <t>189-2026:182598</t>
        </is>
      </c>
      <c r="E834" s="24" t="inlineStr">
        <is>
          <t>TENNIS</t>
        </is>
      </c>
      <c r="F834" s="24" t="inlineStr">
        <is>
          <t>Ella Seidel</t>
        </is>
      </c>
      <c r="G834" s="24" t="inlineStr">
        <is>
          <t>Yuliia Starodubtseva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-257</v>
      </c>
      <c r="M834" s="27" t="n">
        <v>1.389105</v>
      </c>
      <c r="N834" s="28" t="n">
        <v>0.719888</v>
      </c>
      <c r="O834" s="28" t="n">
        <v>0.7115</v>
      </c>
      <c r="P834" s="28" t="n">
        <v>0.05</v>
      </c>
      <c r="Q834" s="28" t="n">
        <v>-0.008388</v>
      </c>
      <c r="R834" s="26" t="n">
        <v>16</v>
      </c>
      <c r="S834" s="29" t="n">
        <v>1</v>
      </c>
      <c r="T834" s="24" t="inlineStr">
        <is>
          <t>tennis-surface-elo-v1</t>
        </is>
      </c>
      <c r="U834" s="24" t="inlineStr">
        <is>
          <t>settled</t>
        </is>
      </c>
      <c r="V834" s="24" t="inlineStr">
        <is>
          <t>win</t>
        </is>
      </c>
      <c r="W834" s="26" t="n">
        <v>0</v>
      </c>
      <c r="X834" s="26" t="n">
        <v>1</v>
      </c>
      <c r="Y834" s="25" t="n"/>
      <c r="Z834" s="26" t="n"/>
      <c r="AA834" s="28" t="n"/>
      <c r="AB834" s="28" t="n"/>
      <c r="AC834" s="30" t="n">
        <v>0.3891</v>
      </c>
      <c r="AD834" s="24" t="inlineStr">
        <is>
          <t>2026-09-02T04:32:35.319000Z</t>
        </is>
      </c>
      <c r="AE834" s="31" t="inlineStr">
        <is>
          <t>Surface-blended Elo on Hard: Ella Seidel p=0.289 vs Yuliia Starodubtseva. Executable ask 0.7200 (aec-wta-yulsta-ellsei-2026-08-30).</t>
        </is>
      </c>
      <c r="AF834" s="31" t="inlineStr">
        <is>
          <t>Surface-blended Elo model; singles only, WTA+ATP market coverage, not yet locked-holdout qualified -- promoted by explicit operator directive, not genuine walk-forward validation.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Ella Seidel</t>
        </is>
      </c>
      <c r="AQ834" s="24" t="inlineStr">
        <is>
          <t>Ella Seidel</t>
        </is>
      </c>
      <c r="AR834" s="24" t="inlineStr">
        <is>
          <t>Ella Seidel</t>
        </is>
      </c>
      <c r="AS834" s="24" t="inlineStr">
        <is>
          <t>Yuliia Starodubtseva</t>
        </is>
      </c>
      <c r="AT834" s="24" t="inlineStr">
        <is>
          <t>Yuliia Starodubtseva</t>
        </is>
      </c>
      <c r="AU834" s="24" t="inlineStr">
        <is>
          <t>Yuliia Starodubtseva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0ce66f49b381187fe6255a40ca2fdbfc155d5e36125ccf6d30fe81a72962eafa</t>
        </is>
      </c>
      <c r="BB834" s="24" t="inlineStr">
        <is>
          <t>surface_blended_elo</t>
        </is>
      </c>
      <c r="BC834" s="24" t="inlineStr">
        <is>
          <t>tennis-surface-elo-v1</t>
        </is>
      </c>
      <c r="BD834" s="24" t="inlineStr">
        <is>
          <t>0ce66f49b381187fe6255a40ca2fdbfc155d5e36125ccf6d30fe81a72962eafa</t>
        </is>
      </c>
      <c r="BE834" s="24" t="inlineStr">
        <is>
          <t>tennis-surface-elo-v1</t>
        </is>
      </c>
      <c r="BF834" s="24" t="inlineStr">
        <is>
          <t>1</t>
        </is>
      </c>
      <c r="BG834" s="24" t="inlineStr">
        <is>
          <t>0ce66f49b381187fe6255a40ca2fdbfc155d5e36125ccf6d30fe81a72962eafa</t>
        </is>
      </c>
      <c r="BH834" s="24" t="inlineStr">
        <is>
          <t>2026-09-01T13:48:07.697792Z</t>
        </is>
      </c>
      <c r="BI834" s="24" t="inlineStr">
        <is>
          <t>["same_event","same_team_same_day","same_league_same_day"]</t>
        </is>
      </c>
      <c r="BJ834" s="25" t="n"/>
      <c r="BK834" s="26" t="n">
        <v>-257</v>
      </c>
      <c r="BL834" s="27" t="n">
        <v>1.389105</v>
      </c>
      <c r="BM834" s="28" t="n">
        <v>0.719888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inlineStr">
        <is>
          <t>524dcba8044e38f48e3dafe0fcad56c7c3c4d3ed5f4c931de9b4c6a1c692c066</t>
        </is>
      </c>
      <c r="DE834" s="24" t="inlineStr">
        <is>
          <t>/Users/vincentc9002/model-prediction/data/odds/tennis/2026-09-01/polymarket_snapshots.jsonl</t>
        </is>
      </c>
      <c r="DF834" s="24" t="inlineStr">
        <is>
          <t>547340:2026-09-01T13:48:07.697792Z</t>
        </is>
      </c>
      <c r="DG834" s="24" t="n"/>
      <c r="DH834" s="24" t="n"/>
      <c r="DI834" s="24" t="n"/>
      <c r="DJ834" s="24" t="inlineStr">
        <is>
          <t>0.719888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d1581591ea0742ed</t>
        </is>
      </c>
      <c r="B835" s="24" t="inlineStr">
        <is>
          <t>2026-09-01T13:48:53.657030Z</t>
        </is>
      </c>
      <c r="C835" s="24" t="inlineStr">
        <is>
          <t>2026-09-01T15:00Z</t>
        </is>
      </c>
      <c r="D835" s="24" t="inlineStr">
        <is>
          <t>189-2026:182602</t>
        </is>
      </c>
      <c r="E835" s="24" t="inlineStr">
        <is>
          <t>TENNIS</t>
        </is>
      </c>
      <c r="F835" s="24" t="inlineStr">
        <is>
          <t>Elena Rybakina</t>
        </is>
      </c>
      <c r="G835" s="24" t="inlineStr">
        <is>
          <t>Thea Frodin</t>
        </is>
      </c>
      <c r="H835" s="24" t="inlineStr">
        <is>
          <t>moneyline</t>
        </is>
      </c>
      <c r="I835" s="24" t="inlineStr">
        <is>
          <t>away</t>
        </is>
      </c>
      <c r="J835" s="25" t="n"/>
      <c r="K835" s="24" t="inlineStr">
        <is>
          <t>polymarket_us</t>
        </is>
      </c>
      <c r="L835" s="26" t="n">
        <v>-1567</v>
      </c>
      <c r="M835" s="27" t="n">
        <v>1.063816</v>
      </c>
      <c r="N835" s="28" t="n">
        <v>0.940012</v>
      </c>
      <c r="O835" s="28" t="n">
        <v>0.9532</v>
      </c>
      <c r="P835" s="28" t="n">
        <v>0.05</v>
      </c>
      <c r="Q835" s="28" t="n">
        <v>0.013188</v>
      </c>
      <c r="R835" s="26" t="n">
        <v>27</v>
      </c>
      <c r="S835" s="29" t="n">
        <v>1</v>
      </c>
      <c r="T835" s="24" t="inlineStr">
        <is>
          <t>tennis-surface-elo-v1</t>
        </is>
      </c>
      <c r="U835" s="24" t="inlineStr">
        <is>
          <t>settled</t>
        </is>
      </c>
      <c r="V835" s="24" t="inlineStr">
        <is>
          <t>win</t>
        </is>
      </c>
      <c r="W835" s="26" t="n">
        <v>1</v>
      </c>
      <c r="X835" s="26" t="n">
        <v>0</v>
      </c>
      <c r="Y835" s="25" t="n"/>
      <c r="Z835" s="26" t="n">
        <v>-1567</v>
      </c>
      <c r="AA835" s="28" t="n">
        <v>0.9399999999999999</v>
      </c>
      <c r="AB835" s="28" t="n">
        <v>-1.2e-05</v>
      </c>
      <c r="AC835" s="30" t="n">
        <v>0.0638</v>
      </c>
      <c r="AD835" s="24" t="inlineStr">
        <is>
          <t>2026-09-02T04:32:36.247933Z</t>
        </is>
      </c>
      <c r="AE835" s="31" t="inlineStr">
        <is>
          <t>Surface-blended Elo on Hard: Elena Rybakina p=0.953 vs Thea Frodin. Executable ask 0.9400 (aec-wta-thefro-eleryb-2026-08-30).</t>
        </is>
      </c>
      <c r="AF835" s="31" t="inlineStr">
        <is>
          <t>Surface-blended Elo model; singles only, WTA+ATP market coverage, not yet locked-holdout qualified -- promoted by explicit operator directive, not genuine walk-forward validation.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PAPER_CALL_MODEL_UNVALIDATED</t>
        </is>
      </c>
      <c r="AP835" s="24" t="inlineStr">
        <is>
          <t>Elena Rybakina</t>
        </is>
      </c>
      <c r="AQ835" s="24" t="inlineStr">
        <is>
          <t>Elena Rybakina</t>
        </is>
      </c>
      <c r="AR835" s="24" t="inlineStr">
        <is>
          <t>Elena Rybakina</t>
        </is>
      </c>
      <c r="AS835" s="24" t="inlineStr">
        <is>
          <t>Thea Frodin</t>
        </is>
      </c>
      <c r="AT835" s="24" t="inlineStr">
        <is>
          <t>Thea Frodin</t>
        </is>
      </c>
      <c r="AU835" s="24" t="inlineStr">
        <is>
          <t>Thea Frodin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0ce66f49b381187fe6255a40ca2fdbfc155d5e36125ccf6d30fe81a72962eafa</t>
        </is>
      </c>
      <c r="BB835" s="24" t="inlineStr">
        <is>
          <t>surface_blended_elo</t>
        </is>
      </c>
      <c r="BC835" s="24" t="inlineStr">
        <is>
          <t>tennis-surface-elo-v1</t>
        </is>
      </c>
      <c r="BD835" s="24" t="inlineStr">
        <is>
          <t>0ce66f49b381187fe6255a40ca2fdbfc155d5e36125ccf6d30fe81a72962eafa</t>
        </is>
      </c>
      <c r="BE835" s="24" t="inlineStr">
        <is>
          <t>tennis-surface-elo-v1</t>
        </is>
      </c>
      <c r="BF835" s="24" t="inlineStr">
        <is>
          <t>1</t>
        </is>
      </c>
      <c r="BG835" s="24" t="inlineStr">
        <is>
          <t>0ce66f49b381187fe6255a40ca2fdbfc155d5e36125ccf6d30fe81a72962eafa</t>
        </is>
      </c>
      <c r="BH835" s="24" t="inlineStr">
        <is>
          <t>2026-09-01T13:48:07.782116Z</t>
        </is>
      </c>
      <c r="BI835" s="24" t="inlineStr">
        <is>
          <t>["same_event","same_team_same_day","same_league_same_day"]</t>
        </is>
      </c>
      <c r="BJ835" s="25" t="n"/>
      <c r="BK835" s="26" t="n">
        <v>-1567</v>
      </c>
      <c r="BL835" s="27" t="n">
        <v>1.063816</v>
      </c>
      <c r="BM835" s="28" t="n">
        <v>0.940012</v>
      </c>
      <c r="BN835" s="28" t="n"/>
      <c r="BO835" s="28" t="n"/>
      <c r="BP835" s="25" t="n"/>
      <c r="BQ835" s="27" t="n">
        <v>1.063816</v>
      </c>
      <c r="BR835" s="28" t="n">
        <v>0.9399999999999999</v>
      </c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inlineStr">
        <is>
          <t>52987044e63b0db275f127f05e373c2dd1ded0280746834d1b52f69bb3bd5e7e</t>
        </is>
      </c>
      <c r="DE835" s="24" t="inlineStr">
        <is>
          <t>/Users/vincentc9002/model-prediction/data/odds/tennis/2026-09-01/polymarket_snapshots.jsonl</t>
        </is>
      </c>
      <c r="DF835" s="24" t="inlineStr">
        <is>
          <t>547356:2026-09-01T13:48:07.782116Z</t>
        </is>
      </c>
      <c r="DG835" s="24" t="n"/>
      <c r="DH835" s="24" t="n"/>
      <c r="DI835" s="24" t="n"/>
      <c r="DJ835" s="24" t="inlineStr">
        <is>
          <t>0.940012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15ece8780fcb477d</t>
        </is>
      </c>
      <c r="B836" s="24" t="inlineStr">
        <is>
          <t>2026-09-01T13:48:53.657030Z</t>
        </is>
      </c>
      <c r="C836" s="24" t="inlineStr">
        <is>
          <t>2026-09-01T15:00Z</t>
        </is>
      </c>
      <c r="D836" s="24" t="inlineStr">
        <is>
          <t>189-2026:182615</t>
        </is>
      </c>
      <c r="E836" s="24" t="inlineStr">
        <is>
          <t>TENNIS</t>
        </is>
      </c>
      <c r="F836" s="24" t="inlineStr">
        <is>
          <t>Belinda Bencic</t>
        </is>
      </c>
      <c r="G836" s="24" t="inlineStr">
        <is>
          <t>Yulia Putintseva</t>
        </is>
      </c>
      <c r="H836" s="24" t="inlineStr">
        <is>
          <t>moneyline</t>
        </is>
      </c>
      <c r="I836" s="24" t="inlineStr">
        <is>
          <t>away</t>
        </is>
      </c>
      <c r="J836" s="25" t="n"/>
      <c r="K836" s="24" t="inlineStr">
        <is>
          <t>polymarket_us</t>
        </is>
      </c>
      <c r="L836" s="26" t="n">
        <v>-426</v>
      </c>
      <c r="M836" s="27" t="n">
        <v>1.234742</v>
      </c>
      <c r="N836" s="28" t="n">
        <v>0.809886</v>
      </c>
      <c r="O836" s="28" t="n">
        <v>0.7292999999999999</v>
      </c>
      <c r="P836" s="28" t="n">
        <v>0.05</v>
      </c>
      <c r="Q836" s="28" t="n">
        <v>-0.080586</v>
      </c>
      <c r="R836" s="26" t="n">
        <v>0</v>
      </c>
      <c r="S836" s="29" t="n">
        <v>1</v>
      </c>
      <c r="T836" s="24" t="inlineStr">
        <is>
          <t>tennis-surface-elo-v1</t>
        </is>
      </c>
      <c r="U836" s="24" t="inlineStr">
        <is>
          <t>settled</t>
        </is>
      </c>
      <c r="V836" s="24" t="inlineStr">
        <is>
          <t>loss</t>
        </is>
      </c>
      <c r="W836" s="26" t="n">
        <v>0</v>
      </c>
      <c r="X836" s="26" t="n">
        <v>1</v>
      </c>
      <c r="Y836" s="25" t="n"/>
      <c r="Z836" s="26" t="n">
        <v>-426</v>
      </c>
      <c r="AA836" s="28" t="n">
        <v>0.8100000000000001</v>
      </c>
      <c r="AB836" s="28" t="n">
        <v>0.000114</v>
      </c>
      <c r="AC836" s="30" t="n">
        <v>-1</v>
      </c>
      <c r="AD836" s="24" t="inlineStr">
        <is>
          <t>2026-09-02T04:32:37.132413Z</t>
        </is>
      </c>
      <c r="AE836" s="31" t="inlineStr">
        <is>
          <t>Surface-blended Elo on Hard: Belinda Bencic p=0.729 vs Yulia Putintseva. Executable ask 0.8100 (aec-wta-yulput-belben-2026-08-30).</t>
        </is>
      </c>
      <c r="AF836" s="31" t="inlineStr">
        <is>
          <t>Surface-blended Elo model; singles only, WTA+ATP market coverage, not yet locked-holdout qualified -- promoted by explicit operator directive, not genuine walk-forward validation.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Belinda Bencic</t>
        </is>
      </c>
      <c r="AQ836" s="24" t="inlineStr">
        <is>
          <t>Belinda Bencic</t>
        </is>
      </c>
      <c r="AR836" s="24" t="inlineStr">
        <is>
          <t>Belinda Bencic</t>
        </is>
      </c>
      <c r="AS836" s="24" t="inlineStr">
        <is>
          <t>Yulia Putintseva</t>
        </is>
      </c>
      <c r="AT836" s="24" t="inlineStr">
        <is>
          <t>Yulia Putintseva</t>
        </is>
      </c>
      <c r="AU836" s="24" t="inlineStr">
        <is>
          <t>Yulia Putintseva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0ce66f49b381187fe6255a40ca2fdbfc155d5e36125ccf6d30fe81a72962eafa</t>
        </is>
      </c>
      <c r="BB836" s="24" t="inlineStr">
        <is>
          <t>surface_blended_elo</t>
        </is>
      </c>
      <c r="BC836" s="24" t="inlineStr">
        <is>
          <t>tennis-surface-elo-v1</t>
        </is>
      </c>
      <c r="BD836" s="24" t="inlineStr">
        <is>
          <t>0ce66f49b381187fe6255a40ca2fdbfc155d5e36125ccf6d30fe81a72962eafa</t>
        </is>
      </c>
      <c r="BE836" s="24" t="inlineStr">
        <is>
          <t>tennis-surface-elo-v1</t>
        </is>
      </c>
      <c r="BF836" s="24" t="inlineStr">
        <is>
          <t>1</t>
        </is>
      </c>
      <c r="BG836" s="24" t="inlineStr">
        <is>
          <t>0ce66f49b381187fe6255a40ca2fdbfc155d5e36125ccf6d30fe81a72962eafa</t>
        </is>
      </c>
      <c r="BH836" s="24" t="inlineStr">
        <is>
          <t>2026-09-01T13:48:07.811997Z</t>
        </is>
      </c>
      <c r="BI836" s="24" t="inlineStr">
        <is>
          <t>["same_event","same_team_same_day","same_league_same_day"]</t>
        </is>
      </c>
      <c r="BJ836" s="25" t="n"/>
      <c r="BK836" s="26" t="n">
        <v>-426</v>
      </c>
      <c r="BL836" s="27" t="n">
        <v>1.234742</v>
      </c>
      <c r="BM836" s="28" t="n">
        <v>0.809886</v>
      </c>
      <c r="BN836" s="28" t="n"/>
      <c r="BO836" s="28" t="n"/>
      <c r="BP836" s="25" t="n"/>
      <c r="BQ836" s="27" t="n">
        <v>1.234742</v>
      </c>
      <c r="BR836" s="28" t="n">
        <v>0.8100000000000001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False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inlineStr">
        <is>
          <t>6f639dd977269d49687f3ccabc4b77d9473eba47ef7403f470ad07a8ec43dc36</t>
        </is>
      </c>
      <c r="DE836" s="24" t="inlineStr">
        <is>
          <t>/Users/vincentc9002/model-prediction/data/odds/tennis/2026-09-01/polymarket_snapshots.jsonl</t>
        </is>
      </c>
      <c r="DF836" s="24" t="inlineStr">
        <is>
          <t>547324:2026-09-01T13:48:07.811997Z</t>
        </is>
      </c>
      <c r="DG836" s="24" t="n"/>
      <c r="DH836" s="24" t="n"/>
      <c r="DI836" s="24" t="n"/>
      <c r="DJ836" s="24" t="inlineStr">
        <is>
          <t>0.809886</t>
        </is>
      </c>
      <c r="DK836" s="24" t="n"/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d460ec35b68d4298</t>
        </is>
      </c>
      <c r="B837" s="24" t="inlineStr">
        <is>
          <t>2026-09-01T13:48:53.657030Z</t>
        </is>
      </c>
      <c r="C837" s="24" t="inlineStr">
        <is>
          <t>2026-09-01T15:00Z</t>
        </is>
      </c>
      <c r="D837" s="24" t="inlineStr">
        <is>
          <t>189-2026:182627</t>
        </is>
      </c>
      <c r="E837" s="24" t="inlineStr">
        <is>
          <t>TENNIS</t>
        </is>
      </c>
      <c r="F837" s="24" t="inlineStr">
        <is>
          <t>Eva Lys</t>
        </is>
      </c>
      <c r="G837" s="24" t="inlineStr">
        <is>
          <t>Gabriela Knutson</t>
        </is>
      </c>
      <c r="H837" s="24" t="inlineStr">
        <is>
          <t>moneyline</t>
        </is>
      </c>
      <c r="I837" s="24" t="inlineStr">
        <is>
          <t>away</t>
        </is>
      </c>
      <c r="J837" s="25" t="n"/>
      <c r="K837" s="24" t="inlineStr">
        <is>
          <t>polymarket_us</t>
        </is>
      </c>
      <c r="L837" s="26" t="n">
        <v>-156</v>
      </c>
      <c r="M837" s="27" t="n">
        <v>1.641026</v>
      </c>
      <c r="N837" s="28" t="n">
        <v>0.609375</v>
      </c>
      <c r="O837" s="28" t="n">
        <v>0.5338000000000001</v>
      </c>
      <c r="P837" s="28" t="n">
        <v>0.05</v>
      </c>
      <c r="Q837" s="28" t="n">
        <v>-0.075575</v>
      </c>
      <c r="R837" s="26" t="n">
        <v>0</v>
      </c>
      <c r="S837" s="29" t="n">
        <v>1</v>
      </c>
      <c r="T837" s="24" t="inlineStr">
        <is>
          <t>tennis-surface-elo-v1</t>
        </is>
      </c>
      <c r="U837" s="24" t="inlineStr">
        <is>
          <t>settled</t>
        </is>
      </c>
      <c r="V837" s="24" t="inlineStr">
        <is>
          <t>win</t>
        </is>
      </c>
      <c r="W837" s="26" t="n">
        <v>1</v>
      </c>
      <c r="X837" s="26" t="n">
        <v>0</v>
      </c>
      <c r="Y837" s="25" t="n"/>
      <c r="Z837" s="26" t="n">
        <v>-156</v>
      </c>
      <c r="AA837" s="28" t="n">
        <v>0.61</v>
      </c>
      <c r="AB837" s="28" t="n">
        <v>0.000625</v>
      </c>
      <c r="AC837" s="30" t="n">
        <v>0.641</v>
      </c>
      <c r="AD837" s="24" t="inlineStr">
        <is>
          <t>2026-09-02T04:32:37.999308Z</t>
        </is>
      </c>
      <c r="AE837" s="31" t="inlineStr">
        <is>
          <t>Surface-blended Elo on Hard: Eva Lys p=0.534 vs Gabriela Knutson. Executable ask 0.6100 (aec-wta-gabknu-evalys-2026-08-30).</t>
        </is>
      </c>
      <c r="AF837" s="31" t="inlineStr">
        <is>
          <t>Surface-blended Elo model; singles only, WTA+ATP market coverage, not yet locked-holdout qualified -- promoted by explicit operator directive, not genuine walk-forward validation.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PAPER_CALL_LOW_EDGE</t>
        </is>
      </c>
      <c r="AP837" s="24" t="inlineStr">
        <is>
          <t>Eva Lys</t>
        </is>
      </c>
      <c r="AQ837" s="24" t="inlineStr">
        <is>
          <t>Eva Lys</t>
        </is>
      </c>
      <c r="AR837" s="24" t="inlineStr">
        <is>
          <t>Eva Lys</t>
        </is>
      </c>
      <c r="AS837" s="24" t="inlineStr">
        <is>
          <t>Gabriela Knutson</t>
        </is>
      </c>
      <c r="AT837" s="24" t="inlineStr">
        <is>
          <t>Gabriela Knutson</t>
        </is>
      </c>
      <c r="AU837" s="24" t="inlineStr">
        <is>
          <t>Gabriela Knutson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0ce66f49b381187fe6255a40ca2fdbfc155d5e36125ccf6d30fe81a72962eafa</t>
        </is>
      </c>
      <c r="BB837" s="24" t="inlineStr">
        <is>
          <t>surface_blended_elo</t>
        </is>
      </c>
      <c r="BC837" s="24" t="inlineStr">
        <is>
          <t>tennis-surface-elo-v1</t>
        </is>
      </c>
      <c r="BD837" s="24" t="inlineStr">
        <is>
          <t>0ce66f49b381187fe6255a40ca2fdbfc155d5e36125ccf6d30fe81a72962eafa</t>
        </is>
      </c>
      <c r="BE837" s="24" t="inlineStr">
        <is>
          <t>tennis-surface-elo-v1</t>
        </is>
      </c>
      <c r="BF837" s="24" t="inlineStr">
        <is>
          <t>1</t>
        </is>
      </c>
      <c r="BG837" s="24" t="inlineStr">
        <is>
          <t>0ce66f49b381187fe6255a40ca2fdbfc155d5e36125ccf6d30fe81a72962eafa</t>
        </is>
      </c>
      <c r="BH837" s="24" t="inlineStr">
        <is>
          <t>2026-09-01T13:48:07.743606Z</t>
        </is>
      </c>
      <c r="BI837" s="24" t="inlineStr">
        <is>
          <t>["same_event","same_team_same_day","same_league_same_day"]</t>
        </is>
      </c>
      <c r="BJ837" s="25" t="n"/>
      <c r="BK837" s="26" t="n">
        <v>-156</v>
      </c>
      <c r="BL837" s="27" t="n">
        <v>1.641026</v>
      </c>
      <c r="BM837" s="28" t="n">
        <v>0.609375</v>
      </c>
      <c r="BN837" s="28" t="n"/>
      <c r="BO837" s="28" t="n"/>
      <c r="BP837" s="25" t="n"/>
      <c r="BQ837" s="27" t="n">
        <v>1.641026</v>
      </c>
      <c r="BR837" s="28" t="n">
        <v>0.61</v>
      </c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False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inlineStr">
        <is>
          <t>7500a023eb79ba2a6acaaa2477e5f74cc11840c15699bfdaae46ae65c1781b74</t>
        </is>
      </c>
      <c r="DE837" s="24" t="inlineStr">
        <is>
          <t>/Users/vincentc9002/model-prediction/data/odds/tennis/2026-09-01/polymarket_snapshots.jsonl</t>
        </is>
      </c>
      <c r="DF837" s="24" t="inlineStr">
        <is>
          <t>550516:2026-09-01T13:48:07.743606Z</t>
        </is>
      </c>
      <c r="DG837" s="24" t="n"/>
      <c r="DH837" s="24" t="n"/>
      <c r="DI837" s="24" t="n"/>
      <c r="DJ837" s="24" t="inlineStr">
        <is>
          <t>0.609375</t>
        </is>
      </c>
      <c r="DK837" s="24" t="n"/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e43c42ef334f4fe2</t>
        </is>
      </c>
      <c r="B838" s="24" t="inlineStr">
        <is>
          <t>2026-09-01T13:48:53.657030Z</t>
        </is>
      </c>
      <c r="C838" s="24" t="inlineStr">
        <is>
          <t>2026-09-01T15:30Z</t>
        </is>
      </c>
      <c r="D838" s="24" t="inlineStr">
        <is>
          <t>189-2026:182611</t>
        </is>
      </c>
      <c r="E838" s="24" t="inlineStr">
        <is>
          <t>TENNIS</t>
        </is>
      </c>
      <c r="F838" s="24" t="inlineStr">
        <is>
          <t>Alina Korneeva</t>
        </is>
      </c>
      <c r="G838" s="24" t="inlineStr">
        <is>
          <t>Madison Keys</t>
        </is>
      </c>
      <c r="H838" s="24" t="inlineStr">
        <is>
          <t>moneyline</t>
        </is>
      </c>
      <c r="I838" s="24" t="inlineStr">
        <is>
          <t>home</t>
        </is>
      </c>
      <c r="J838" s="25" t="n"/>
      <c r="K838" s="24" t="inlineStr">
        <is>
          <t>polymarket_us</t>
        </is>
      </c>
      <c r="L838" s="26" t="n">
        <v>-257</v>
      </c>
      <c r="M838" s="27" t="n">
        <v>1.389105</v>
      </c>
      <c r="N838" s="28" t="n">
        <v>0.719888</v>
      </c>
      <c r="O838" s="28" t="n">
        <v>0.7060999999999999</v>
      </c>
      <c r="P838" s="28" t="n">
        <v>0.05</v>
      </c>
      <c r="Q838" s="28" t="n">
        <v>-0.013788</v>
      </c>
      <c r="R838" s="26" t="n">
        <v>13</v>
      </c>
      <c r="S838" s="29" t="n">
        <v>1</v>
      </c>
      <c r="T838" s="24" t="inlineStr">
        <is>
          <t>tennis-surface-elo-v1</t>
        </is>
      </c>
      <c r="U838" s="24" t="inlineStr">
        <is>
          <t>settled</t>
        </is>
      </c>
      <c r="V838" s="24" t="inlineStr">
        <is>
          <t>win</t>
        </is>
      </c>
      <c r="W838" s="26" t="n">
        <v>0</v>
      </c>
      <c r="X838" s="26" t="n">
        <v>1</v>
      </c>
      <c r="Y838" s="25" t="n"/>
      <c r="Z838" s="26" t="n">
        <v>-257</v>
      </c>
      <c r="AA838" s="28" t="n">
        <v>0.72</v>
      </c>
      <c r="AB838" s="28" t="n">
        <v>0.000112</v>
      </c>
      <c r="AC838" s="30" t="n">
        <v>0.3891</v>
      </c>
      <c r="AD838" s="24" t="inlineStr">
        <is>
          <t>2026-09-02T04:32:38.765200Z</t>
        </is>
      </c>
      <c r="AE838" s="31" t="inlineStr">
        <is>
          <t>Surface-blended Elo on Hard: Alina Korneeva p=0.294 vs Madison Keys. Executable ask 0.7200 (aec-wta-madkey-alikor-2026-08-30).</t>
        </is>
      </c>
      <c r="AF838" s="31" t="inlineStr">
        <is>
          <t>Surface-blended Elo model; singles only, WTA+ATP market coverage, not yet locked-holdout qualified -- promoted by explicit operator directive, not genuine walk-forward validation.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PAPER_CALL_LOW_EDGE</t>
        </is>
      </c>
      <c r="AP838" s="24" t="inlineStr">
        <is>
          <t>Alina Korneeva</t>
        </is>
      </c>
      <c r="AQ838" s="24" t="inlineStr">
        <is>
          <t>Alina Korneeva</t>
        </is>
      </c>
      <c r="AR838" s="24" t="inlineStr">
        <is>
          <t>Alina Korneeva</t>
        </is>
      </c>
      <c r="AS838" s="24" t="inlineStr">
        <is>
          <t>Madison Keys</t>
        </is>
      </c>
      <c r="AT838" s="24" t="inlineStr">
        <is>
          <t>Madison Keys</t>
        </is>
      </c>
      <c r="AU838" s="24" t="inlineStr">
        <is>
          <t>Madison Keys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0ce66f49b381187fe6255a40ca2fdbfc155d5e36125ccf6d30fe81a72962eafa</t>
        </is>
      </c>
      <c r="BB838" s="24" t="inlineStr">
        <is>
          <t>surface_blended_elo</t>
        </is>
      </c>
      <c r="BC838" s="24" t="inlineStr">
        <is>
          <t>tennis-surface-elo-v1</t>
        </is>
      </c>
      <c r="BD838" s="24" t="inlineStr">
        <is>
          <t>0ce66f49b381187fe6255a40ca2fdbfc155d5e36125ccf6d30fe81a72962eafa</t>
        </is>
      </c>
      <c r="BE838" s="24" t="inlineStr">
        <is>
          <t>tennis-surface-elo-v1</t>
        </is>
      </c>
      <c r="BF838" s="24" t="inlineStr">
        <is>
          <t>1</t>
        </is>
      </c>
      <c r="BG838" s="24" t="inlineStr">
        <is>
          <t>0ce66f49b381187fe6255a40ca2fdbfc155d5e36125ccf6d30fe81a72962eafa</t>
        </is>
      </c>
      <c r="BH838" s="24" t="inlineStr">
        <is>
          <t>2026-09-01T13:48:07.827309Z</t>
        </is>
      </c>
      <c r="BI838" s="24" t="inlineStr">
        <is>
          <t>["same_event","same_team_same_day","same_league_same_day"]</t>
        </is>
      </c>
      <c r="BJ838" s="25" t="n"/>
      <c r="BK838" s="26" t="n">
        <v>-257</v>
      </c>
      <c r="BL838" s="27" t="n">
        <v>1.389105</v>
      </c>
      <c r="BM838" s="28" t="n">
        <v>0.719888</v>
      </c>
      <c r="BN838" s="28" t="n"/>
      <c r="BO838" s="28" t="n"/>
      <c r="BP838" s="25" t="n"/>
      <c r="BQ838" s="27" t="n">
        <v>1.389105</v>
      </c>
      <c r="BR838" s="28" t="n">
        <v>0.72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inlineStr">
        <is>
          <t>26a7636e5b698970d5090f193108f051572a6b3017230f5000dbbf4c93674047</t>
        </is>
      </c>
      <c r="DE838" s="24" t="inlineStr">
        <is>
          <t>/Users/vincentc9002/model-prediction/data/odds/tennis/2026-09-01/polymarket_snapshots.jsonl</t>
        </is>
      </c>
      <c r="DF838" s="24" t="inlineStr">
        <is>
          <t>547322:2026-09-01T13:48:07.827309Z</t>
        </is>
      </c>
      <c r="DG838" s="24" t="n"/>
      <c r="DH838" s="24" t="n"/>
      <c r="DI838" s="24" t="n"/>
      <c r="DJ838" s="24" t="inlineStr">
        <is>
          <t>0.719888</t>
        </is>
      </c>
      <c r="DK838" s="24" t="n"/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6aba43880b0c486a</t>
        </is>
      </c>
      <c r="B839" s="24" t="inlineStr">
        <is>
          <t>2026-09-01T13:48:53.657030Z</t>
        </is>
      </c>
      <c r="C839" s="24" t="inlineStr">
        <is>
          <t>2026-09-01T15:00Z</t>
        </is>
      </c>
      <c r="D839" s="24" t="inlineStr">
        <is>
          <t>189-2026:182683</t>
        </is>
      </c>
      <c r="E839" s="24" t="inlineStr">
        <is>
          <t>TENNIS</t>
        </is>
      </c>
      <c r="F839" s="24" t="inlineStr">
        <is>
          <t>Zsombor Piros</t>
        </is>
      </c>
      <c r="G839" s="24" t="inlineStr">
        <is>
          <t>Mattia Bellucci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-203</v>
      </c>
      <c r="M839" s="27" t="n">
        <v>1.492611</v>
      </c>
      <c r="N839" s="28" t="n">
        <v>0.669967</v>
      </c>
      <c r="O839" s="28" t="n">
        <v>0.5658</v>
      </c>
      <c r="P839" s="28" t="n">
        <v>0.05</v>
      </c>
      <c r="Q839" s="28" t="n">
        <v>-0.104167</v>
      </c>
      <c r="R839" s="26" t="n">
        <v>0</v>
      </c>
      <c r="S839" s="29" t="n">
        <v>1</v>
      </c>
      <c r="T839" s="24" t="inlineStr">
        <is>
          <t>tennis-surface-elo-v1</t>
        </is>
      </c>
      <c r="U839" s="24" t="inlineStr">
        <is>
          <t>settled</t>
        </is>
      </c>
      <c r="V839" s="24" t="inlineStr">
        <is>
          <t>win</t>
        </is>
      </c>
      <c r="W839" s="26" t="n">
        <v>0</v>
      </c>
      <c r="X839" s="26" t="n">
        <v>1</v>
      </c>
      <c r="Y839" s="25" t="n"/>
      <c r="Z839" s="26" t="n">
        <v>-203</v>
      </c>
      <c r="AA839" s="28" t="n">
        <v>0.67</v>
      </c>
      <c r="AB839" s="28" t="n">
        <v>3.3e-05</v>
      </c>
      <c r="AC839" s="30" t="n">
        <v>0.4926</v>
      </c>
      <c r="AD839" s="24" t="inlineStr">
        <is>
          <t>2026-09-02T04:32:39.524260Z</t>
        </is>
      </c>
      <c r="AE839" s="31" t="inlineStr">
        <is>
          <t>Surface-blended Elo on Hard: Zsombor Piros p=0.434 vs Mattia Bellucci. Executable ask 0.6700 (aec-atp-matbel-zsopir-2026-08-30).</t>
        </is>
      </c>
      <c r="AF839" s="31" t="inlineStr">
        <is>
          <t>Surface-blended Elo model; singles only, WTA+ATP market coverage, not yet locked-holdout qualified -- promoted by explicit operator directive, not genuine walk-forward validation.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Zsombor Piros</t>
        </is>
      </c>
      <c r="AQ839" s="24" t="inlineStr">
        <is>
          <t>Zsombor Piros</t>
        </is>
      </c>
      <c r="AR839" s="24" t="inlineStr">
        <is>
          <t>Zsombor Piros</t>
        </is>
      </c>
      <c r="AS839" s="24" t="inlineStr">
        <is>
          <t>Mattia Bellucci</t>
        </is>
      </c>
      <c r="AT839" s="24" t="inlineStr">
        <is>
          <t>Mattia Bellucci</t>
        </is>
      </c>
      <c r="AU839" s="24" t="inlineStr">
        <is>
          <t>Mattia Bellucci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0ce66f49b381187fe6255a40ca2fdbfc155d5e36125ccf6d30fe81a72962eafa</t>
        </is>
      </c>
      <c r="BB839" s="24" t="inlineStr">
        <is>
          <t>surface_blended_elo</t>
        </is>
      </c>
      <c r="BC839" s="24" t="inlineStr">
        <is>
          <t>tennis-surface-elo-v1</t>
        </is>
      </c>
      <c r="BD839" s="24" t="inlineStr">
        <is>
          <t>0ce66f49b381187fe6255a40ca2fdbfc155d5e36125ccf6d30fe81a72962eafa</t>
        </is>
      </c>
      <c r="BE839" s="24" t="inlineStr">
        <is>
          <t>tennis-surface-elo-v1</t>
        </is>
      </c>
      <c r="BF839" s="24" t="inlineStr">
        <is>
          <t>1</t>
        </is>
      </c>
      <c r="BG839" s="24" t="inlineStr">
        <is>
          <t>0ce66f49b381187fe6255a40ca2fdbfc155d5e36125ccf6d30fe81a72962eafa</t>
        </is>
      </c>
      <c r="BH839" s="24" t="inlineStr">
        <is>
          <t>2026-09-01T13:48:08.294143Z</t>
        </is>
      </c>
      <c r="BI839" s="24" t="inlineStr">
        <is>
          <t>["same_event","same_team_same_day","same_league_same_day"]</t>
        </is>
      </c>
      <c r="BJ839" s="25" t="n"/>
      <c r="BK839" s="26" t="n">
        <v>-203</v>
      </c>
      <c r="BL839" s="27" t="n">
        <v>1.492611</v>
      </c>
      <c r="BM839" s="28" t="n">
        <v>0.669967</v>
      </c>
      <c r="BN839" s="28" t="n"/>
      <c r="BO839" s="28" t="n"/>
      <c r="BP839" s="25" t="n"/>
      <c r="BQ839" s="27" t="n">
        <v>1.492611</v>
      </c>
      <c r="BR839" s="28" t="n">
        <v>0.67</v>
      </c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inlineStr">
        <is>
          <t>91d11ee45eba3ca1590c349db9ef53cbcbeafedb824a99e9c2c46c990f21dbfd</t>
        </is>
      </c>
      <c r="DE839" s="24" t="inlineStr">
        <is>
          <t>/Users/vincentc9002/model-prediction/data/odds/tennis/2026-09-01/polymarket_snapshots.jsonl</t>
        </is>
      </c>
      <c r="DF839" s="24" t="inlineStr">
        <is>
          <t>550505:2026-09-01T13:48:08.294143Z</t>
        </is>
      </c>
      <c r="DG839" s="24" t="n"/>
      <c r="DH839" s="24" t="n"/>
      <c r="DI839" s="24" t="n"/>
      <c r="DJ839" s="24" t="inlineStr">
        <is>
          <t>0.669967</t>
        </is>
      </c>
      <c r="DK839" s="24" t="n"/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685069c7e3034696</t>
        </is>
      </c>
      <c r="B840" s="24" t="inlineStr">
        <is>
          <t>2026-09-01T13:48:53.657030Z</t>
        </is>
      </c>
      <c r="C840" s="24" t="inlineStr">
        <is>
          <t>2026-09-01T15:00Z</t>
        </is>
      </c>
      <c r="D840" s="24" t="inlineStr">
        <is>
          <t>189-2026:182706</t>
        </is>
      </c>
      <c r="E840" s="24" t="inlineStr">
        <is>
          <t>TENNIS</t>
        </is>
      </c>
      <c r="F840" s="24" t="inlineStr">
        <is>
          <t>Corentin Moutet</t>
        </is>
      </c>
      <c r="G840" s="24" t="inlineStr">
        <is>
          <t>Dane Sweeny</t>
        </is>
      </c>
      <c r="H840" s="24" t="inlineStr">
        <is>
          <t>moneyline</t>
        </is>
      </c>
      <c r="I840" s="24" t="inlineStr">
        <is>
          <t>away</t>
        </is>
      </c>
      <c r="J840" s="25" t="n"/>
      <c r="K840" s="24" t="inlineStr">
        <is>
          <t>polymarket_us</t>
        </is>
      </c>
      <c r="L840" s="26" t="n">
        <v>-270</v>
      </c>
      <c r="M840" s="27" t="n">
        <v>1.37037</v>
      </c>
      <c r="N840" s="28" t="n">
        <v>0.72973</v>
      </c>
      <c r="O840" s="28" t="n">
        <v>0.5878</v>
      </c>
      <c r="P840" s="28" t="n">
        <v>0.05</v>
      </c>
      <c r="Q840" s="28" t="n">
        <v>-0.14193</v>
      </c>
      <c r="R840" s="26" t="n">
        <v>0</v>
      </c>
      <c r="S840" s="29" t="n">
        <v>1</v>
      </c>
      <c r="T840" s="24" t="inlineStr">
        <is>
          <t>tennis-surface-elo-v1</t>
        </is>
      </c>
      <c r="U840" s="24" t="inlineStr">
        <is>
          <t>settled</t>
        </is>
      </c>
      <c r="V840" s="24" t="inlineStr">
        <is>
          <t>loss</t>
        </is>
      </c>
      <c r="W840" s="26" t="n">
        <v>0</v>
      </c>
      <c r="X840" s="26" t="n">
        <v>1</v>
      </c>
      <c r="Y840" s="25" t="n"/>
      <c r="Z840" s="26" t="n">
        <v>-270</v>
      </c>
      <c r="AA840" s="28" t="n">
        <v>0.73</v>
      </c>
      <c r="AB840" s="28" t="n">
        <v>0.00027</v>
      </c>
      <c r="AC840" s="30" t="n">
        <v>-1</v>
      </c>
      <c r="AD840" s="24" t="inlineStr">
        <is>
          <t>2026-09-02T04:32:41.695712Z</t>
        </is>
      </c>
      <c r="AE840" s="31" t="inlineStr">
        <is>
          <t>Surface-blended Elo on Hard: Corentin Moutet p=0.588 vs Dane Sweeny. Executable ask 0.7300 (aec-atp-danswe-cormou-2026-08-30).</t>
        </is>
      </c>
      <c r="AF840" s="31" t="inlineStr">
        <is>
          <t>Surface-blended Elo model; singles only, WTA+ATP market coverage, not yet locked-holdout qualified -- promoted by explicit operator directive, not genuine walk-forward validation.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paper_call</t>
        </is>
      </c>
      <c r="AL840" s="26" t="n">
        <v>4</v>
      </c>
      <c r="AM840" s="24" t="inlineStr">
        <is>
          <t>RESEARCH_OBSERVATION</t>
        </is>
      </c>
      <c r="AN840" s="24" t="inlineStr">
        <is>
          <t>CALL</t>
        </is>
      </c>
      <c r="AO840" s="24" t="inlineStr">
        <is>
          <t>PAPER_CALL_LOW_EDGE</t>
        </is>
      </c>
      <c r="AP840" s="24" t="inlineStr">
        <is>
          <t>Corentin Moutet</t>
        </is>
      </c>
      <c r="AQ840" s="24" t="inlineStr">
        <is>
          <t>Corentin Moutet</t>
        </is>
      </c>
      <c r="AR840" s="24" t="inlineStr">
        <is>
          <t>Corentin Moutet</t>
        </is>
      </c>
      <c r="AS840" s="24" t="inlineStr">
        <is>
          <t>Dane Sweeny</t>
        </is>
      </c>
      <c r="AT840" s="24" t="inlineStr">
        <is>
          <t>Dane Sweeny</t>
        </is>
      </c>
      <c r="AU840" s="24" t="inlineStr">
        <is>
          <t>Dane Sweeny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0ce66f49b381187fe6255a40ca2fdbfc155d5e36125ccf6d30fe81a72962eafa</t>
        </is>
      </c>
      <c r="BB840" s="24" t="inlineStr">
        <is>
          <t>surface_blended_elo</t>
        </is>
      </c>
      <c r="BC840" s="24" t="inlineStr">
        <is>
          <t>tennis-surface-elo-v1</t>
        </is>
      </c>
      <c r="BD840" s="24" t="inlineStr">
        <is>
          <t>0ce66f49b381187fe6255a40ca2fdbfc155d5e36125ccf6d30fe81a72962eafa</t>
        </is>
      </c>
      <c r="BE840" s="24" t="inlineStr">
        <is>
          <t>tennis-surface-elo-v1</t>
        </is>
      </c>
      <c r="BF840" s="24" t="inlineStr">
        <is>
          <t>1</t>
        </is>
      </c>
      <c r="BG840" s="24" t="inlineStr">
        <is>
          <t>0ce66f49b381187fe6255a40ca2fdbfc155d5e36125ccf6d30fe81a72962eafa</t>
        </is>
      </c>
      <c r="BH840" s="24" t="inlineStr">
        <is>
          <t>2026-09-01T13:48:08.283655Z</t>
        </is>
      </c>
      <c r="BI840" s="24" t="inlineStr">
        <is>
          <t>["same_event","same_team_same_day","same_league_same_day"]</t>
        </is>
      </c>
      <c r="BJ840" s="25" t="n"/>
      <c r="BK840" s="26" t="n">
        <v>-270</v>
      </c>
      <c r="BL840" s="27" t="n">
        <v>1.37037</v>
      </c>
      <c r="BM840" s="28" t="n">
        <v>0.72973</v>
      </c>
      <c r="BN840" s="28" t="n"/>
      <c r="BO840" s="28" t="n"/>
      <c r="BP840" s="25" t="n"/>
      <c r="BQ840" s="27" t="n">
        <v>1.37037</v>
      </c>
      <c r="BR840" s="28" t="n">
        <v>0.73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inlineStr">
        <is>
          <t>1d765aa4c9980a1c81a9ecb6dcd21978a8c25c1b0747b666ba098f17d2a56214</t>
        </is>
      </c>
      <c r="DE840" s="24" t="inlineStr">
        <is>
          <t>/Users/vincentc9002/model-prediction/data/odds/tennis/2026-09-01/polymarket_snapshots.jsonl</t>
        </is>
      </c>
      <c r="DF840" s="24" t="inlineStr">
        <is>
          <t>547260:2026-09-01T13:48:08.283655Z</t>
        </is>
      </c>
      <c r="DG840" s="24" t="n"/>
      <c r="DH840" s="24" t="n"/>
      <c r="DI840" s="24" t="n"/>
      <c r="DJ840" s="24" t="inlineStr">
        <is>
          <t>0.72973</t>
        </is>
      </c>
      <c r="DK840" s="24" t="n"/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2bf7fa9770bb4107</t>
        </is>
      </c>
      <c r="B841" s="24" t="inlineStr">
        <is>
          <t>2026-09-01T13:48:53.657030Z</t>
        </is>
      </c>
      <c r="C841" s="24" t="inlineStr">
        <is>
          <t>2026-09-01T15:00Z</t>
        </is>
      </c>
      <c r="D841" s="24" t="inlineStr">
        <is>
          <t>189-2026:182715</t>
        </is>
      </c>
      <c r="E841" s="24" t="inlineStr">
        <is>
          <t>TENNIS</t>
        </is>
      </c>
      <c r="F841" s="24" t="inlineStr">
        <is>
          <t>Tristan Schoolkate</t>
        </is>
      </c>
      <c r="G841" s="24" t="inlineStr">
        <is>
          <t>Nishesh Basavareddy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polymarket_us</t>
        </is>
      </c>
      <c r="L841" s="26" t="n">
        <v>-300</v>
      </c>
      <c r="M841" s="27" t="n">
        <v>1.333333</v>
      </c>
      <c r="N841" s="28" t="n">
        <v>0.75</v>
      </c>
      <c r="O841" s="28" t="n">
        <v>0.631</v>
      </c>
      <c r="P841" s="28" t="n">
        <v>0.05</v>
      </c>
      <c r="Q841" s="28" t="n">
        <v>-0.119</v>
      </c>
      <c r="R841" s="26" t="n">
        <v>0</v>
      </c>
      <c r="S841" s="29" t="n">
        <v>1</v>
      </c>
      <c r="T841" s="24" t="inlineStr">
        <is>
          <t>tennis-surface-elo-v1</t>
        </is>
      </c>
      <c r="U841" s="24" t="inlineStr">
        <is>
          <t>settled</t>
        </is>
      </c>
      <c r="V841" s="24" t="inlineStr">
        <is>
          <t>loss</t>
        </is>
      </c>
      <c r="W841" s="26" t="n">
        <v>1</v>
      </c>
      <c r="X841" s="26" t="n">
        <v>0</v>
      </c>
      <c r="Y841" s="25" t="n"/>
      <c r="Z841" s="26" t="n">
        <v>-300</v>
      </c>
      <c r="AA841" s="28" t="n">
        <v>0.75</v>
      </c>
      <c r="AB841" s="28" t="n">
        <v>0</v>
      </c>
      <c r="AC841" s="30" t="n">
        <v>-1</v>
      </c>
      <c r="AD841" s="24" t="inlineStr">
        <is>
          <t>2026-09-02T04:32:42.979902Z</t>
        </is>
      </c>
      <c r="AE841" s="31" t="inlineStr">
        <is>
          <t>Surface-blended Elo on Hard: Tristan Schoolkate p=0.369 vs Nishesh Basavareddy. Executable ask 0.7500 (aec-atp-nisbas-trisch-2026-08-30).</t>
        </is>
      </c>
      <c r="AF841" s="31" t="inlineStr">
        <is>
          <t>Surface-blended Elo model; singles only, WTA+ATP market coverage, not yet locked-holdout qualified -- promoted by explicit operator directive, not genuine walk-forward validation.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Tristan Schoolkate</t>
        </is>
      </c>
      <c r="AQ841" s="24" t="inlineStr">
        <is>
          <t>Tristan Schoolkate</t>
        </is>
      </c>
      <c r="AR841" s="24" t="inlineStr">
        <is>
          <t>Tristan Schoolkate</t>
        </is>
      </c>
      <c r="AS841" s="24" t="inlineStr">
        <is>
          <t>Nishesh Basavareddy</t>
        </is>
      </c>
      <c r="AT841" s="24" t="inlineStr">
        <is>
          <t>Nishesh Basavareddy</t>
        </is>
      </c>
      <c r="AU841" s="24" t="inlineStr">
        <is>
          <t>Nishesh Basavareddy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0ce66f49b381187fe6255a40ca2fdbfc155d5e36125ccf6d30fe81a72962eafa</t>
        </is>
      </c>
      <c r="BB841" s="24" t="inlineStr">
        <is>
          <t>surface_blended_elo</t>
        </is>
      </c>
      <c r="BC841" s="24" t="inlineStr">
        <is>
          <t>tennis-surface-elo-v1</t>
        </is>
      </c>
      <c r="BD841" s="24" t="inlineStr">
        <is>
          <t>0ce66f49b381187fe6255a40ca2fdbfc155d5e36125ccf6d30fe81a72962eafa</t>
        </is>
      </c>
      <c r="BE841" s="24" t="inlineStr">
        <is>
          <t>tennis-surface-elo-v1</t>
        </is>
      </c>
      <c r="BF841" s="24" t="inlineStr">
        <is>
          <t>1</t>
        </is>
      </c>
      <c r="BG841" s="24" t="inlineStr">
        <is>
          <t>0ce66f49b381187fe6255a40ca2fdbfc155d5e36125ccf6d30fe81a72962eafa</t>
        </is>
      </c>
      <c r="BH841" s="24" t="inlineStr">
        <is>
          <t>2026-09-01T04:41:03.075448Z</t>
        </is>
      </c>
      <c r="BI841" s="24" t="inlineStr">
        <is>
          <t>["same_event","same_team_same_day","same_league_same_day"]</t>
        </is>
      </c>
      <c r="BJ841" s="25" t="n"/>
      <c r="BK841" s="26" t="n">
        <v>-300</v>
      </c>
      <c r="BL841" s="27" t="n">
        <v>1.333333</v>
      </c>
      <c r="BM841" s="28" t="n">
        <v>0.75</v>
      </c>
      <c r="BN841" s="28" t="n"/>
      <c r="BO841" s="28" t="n"/>
      <c r="BP841" s="25" t="n"/>
      <c r="BQ841" s="27" t="n">
        <v>1.333333</v>
      </c>
      <c r="BR841" s="28" t="n">
        <v>0.75</v>
      </c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inlineStr">
        <is>
          <t>3b2e2aca39151513edfec83368030700216cfb72d9ff8c3b1c32b3798da16dce</t>
        </is>
      </c>
      <c r="DE841" s="24" t="inlineStr">
        <is>
          <t>/Users/vincentc9002/model-prediction/data/odds/tennis/2026-09-01/polymarket_snapshots.jsonl</t>
        </is>
      </c>
      <c r="DF841" s="24" t="inlineStr">
        <is>
          <t>550509:2026-09-01T04:41:03.075448Z</t>
        </is>
      </c>
      <c r="DG841" s="24" t="n"/>
      <c r="DH841" s="24" t="n"/>
      <c r="DI841" s="24" t="n"/>
      <c r="DJ841" s="24" t="inlineStr">
        <is>
          <t>0.75</t>
        </is>
      </c>
      <c r="DK841" s="24" t="n"/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a10fd7e155494815</t>
        </is>
      </c>
      <c r="B842" s="24" t="inlineStr">
        <is>
          <t>2026-09-01T13:48:53.657030Z</t>
        </is>
      </c>
      <c r="C842" s="24" t="inlineStr">
        <is>
          <t>2026-09-01T15:00Z</t>
        </is>
      </c>
      <c r="D842" s="24" t="inlineStr">
        <is>
          <t>189-2026:182721</t>
        </is>
      </c>
      <c r="E842" s="24" t="inlineStr">
        <is>
          <t>TENNIS</t>
        </is>
      </c>
      <c r="F842" s="24" t="inlineStr">
        <is>
          <t>Flavio Cobolli</t>
        </is>
      </c>
      <c r="G842" s="24" t="inlineStr">
        <is>
          <t>Francisco Comesana</t>
        </is>
      </c>
      <c r="H842" s="24" t="inlineStr">
        <is>
          <t>moneyline</t>
        </is>
      </c>
      <c r="I842" s="24" t="inlineStr">
        <is>
          <t>away</t>
        </is>
      </c>
      <c r="J842" s="25" t="n"/>
      <c r="K842" s="24" t="inlineStr">
        <is>
          <t>polymarket_us</t>
        </is>
      </c>
      <c r="L842" s="26" t="n">
        <v>-426</v>
      </c>
      <c r="M842" s="27" t="n">
        <v>1.234742</v>
      </c>
      <c r="N842" s="28" t="n">
        <v>0.809886</v>
      </c>
      <c r="O842" s="28" t="n">
        <v>0.7751</v>
      </c>
      <c r="P842" s="28" t="n">
        <v>0.05</v>
      </c>
      <c r="Q842" s="28" t="n">
        <v>-0.034786</v>
      </c>
      <c r="R842" s="26" t="n">
        <v>3</v>
      </c>
      <c r="S842" s="29" t="n">
        <v>1</v>
      </c>
      <c r="T842" s="24" t="inlineStr">
        <is>
          <t>tennis-surface-elo-v1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/>
      <c r="Z842" s="26" t="n">
        <v>-426</v>
      </c>
      <c r="AA842" s="28" t="n">
        <v>0.8100000000000001</v>
      </c>
      <c r="AB842" s="28" t="n">
        <v>0.000114</v>
      </c>
      <c r="AC842" s="30" t="n">
        <v>0.2347</v>
      </c>
      <c r="AD842" s="24" t="inlineStr">
        <is>
          <t>2026-09-02T04:32:43.740488Z</t>
        </is>
      </c>
      <c r="AE842" s="31" t="inlineStr">
        <is>
          <t>Surface-blended Elo on Hard: Flavio Cobolli p=0.775 vs Francisco Comesana. Executable ask 0.8100 (aec-atp-fracom-flacob-2026-08-30).</t>
        </is>
      </c>
      <c r="AF842" s="31" t="inlineStr">
        <is>
          <t>Surface-blended Elo model; singles only, WTA+ATP market coverage, not yet locked-holdout qualified -- promoted by explicit operator directive, not genuine walk-forward validation.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paper_call</t>
        </is>
      </c>
      <c r="AL842" s="26" t="n">
        <v>4</v>
      </c>
      <c r="AM842" s="24" t="inlineStr">
        <is>
          <t>RESEARCH_OBSERVATION</t>
        </is>
      </c>
      <c r="AN842" s="24" t="inlineStr">
        <is>
          <t>CALL</t>
        </is>
      </c>
      <c r="AO842" s="24" t="inlineStr">
        <is>
          <t>PAPER_CALL_LOW_EDGE</t>
        </is>
      </c>
      <c r="AP842" s="24" t="inlineStr">
        <is>
          <t>Flavio Cobolli</t>
        </is>
      </c>
      <c r="AQ842" s="24" t="inlineStr">
        <is>
          <t>Flavio Cobolli</t>
        </is>
      </c>
      <c r="AR842" s="24" t="inlineStr">
        <is>
          <t>Flavio Cobolli</t>
        </is>
      </c>
      <c r="AS842" s="24" t="inlineStr">
        <is>
          <t>Francisco Comesana</t>
        </is>
      </c>
      <c r="AT842" s="24" t="inlineStr">
        <is>
          <t>Francisco Comesana</t>
        </is>
      </c>
      <c r="AU842" s="24" t="inlineStr">
        <is>
          <t>Francisco Comesana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0ce66f49b381187fe6255a40ca2fdbfc155d5e36125ccf6d30fe81a72962eafa</t>
        </is>
      </c>
      <c r="BB842" s="24" t="inlineStr">
        <is>
          <t>surface_blended_elo</t>
        </is>
      </c>
      <c r="BC842" s="24" t="inlineStr">
        <is>
          <t>tennis-surface-elo-v1</t>
        </is>
      </c>
      <c r="BD842" s="24" t="inlineStr">
        <is>
          <t>0ce66f49b381187fe6255a40ca2fdbfc155d5e36125ccf6d30fe81a72962eafa</t>
        </is>
      </c>
      <c r="BE842" s="24" t="inlineStr">
        <is>
          <t>tennis-surface-elo-v1</t>
        </is>
      </c>
      <c r="BF842" s="24" t="inlineStr">
        <is>
          <t>1</t>
        </is>
      </c>
      <c r="BG842" s="24" t="inlineStr">
        <is>
          <t>0ce66f49b381187fe6255a40ca2fdbfc155d5e36125ccf6d30fe81a72962eafa</t>
        </is>
      </c>
      <c r="BH842" s="24" t="inlineStr">
        <is>
          <t>2026-09-01T13:48:08.354124Z</t>
        </is>
      </c>
      <c r="BI842" s="24" t="inlineStr">
        <is>
          <t>["same_event","same_team_same_day","same_league_same_day"]</t>
        </is>
      </c>
      <c r="BJ842" s="25" t="n"/>
      <c r="BK842" s="26" t="n">
        <v>-426</v>
      </c>
      <c r="BL842" s="27" t="n">
        <v>1.234742</v>
      </c>
      <c r="BM842" s="28" t="n">
        <v>0.809886</v>
      </c>
      <c r="BN842" s="28" t="n"/>
      <c r="BO842" s="28" t="n"/>
      <c r="BP842" s="25" t="n"/>
      <c r="BQ842" s="27" t="n">
        <v>1.234742</v>
      </c>
      <c r="BR842" s="28" t="n">
        <v>0.8100000000000001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False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inlineStr">
        <is>
          <t>2d22d588d4de55dc72f50ea2498a51d923cfdbe174aeb79a26038f1fffc59465</t>
        </is>
      </c>
      <c r="DE842" s="24" t="inlineStr">
        <is>
          <t>/Users/vincentc9002/model-prediction/data/odds/tennis/2026-09-01/polymarket_snapshots.jsonl</t>
        </is>
      </c>
      <c r="DF842" s="24" t="inlineStr">
        <is>
          <t>547293:2026-09-01T13:48:08.354124Z</t>
        </is>
      </c>
      <c r="DG842" s="24" t="n"/>
      <c r="DH842" s="24" t="n"/>
      <c r="DI842" s="24" t="n"/>
      <c r="DJ842" s="24" t="inlineStr">
        <is>
          <t>0.809886</t>
        </is>
      </c>
      <c r="DK842" s="24" t="n"/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391a80e8e27f488e</t>
        </is>
      </c>
      <c r="B843" s="24" t="inlineStr">
        <is>
          <t>2026-09-01T13:48:53.657030Z</t>
        </is>
      </c>
      <c r="C843" s="24" t="inlineStr">
        <is>
          <t>2026-09-01T15:00Z</t>
        </is>
      </c>
      <c r="D843" s="24" t="inlineStr">
        <is>
          <t>189-2026:182736</t>
        </is>
      </c>
      <c r="E843" s="24" t="inlineStr">
        <is>
          <t>TENNIS</t>
        </is>
      </c>
      <c r="F843" s="24" t="inlineStr">
        <is>
          <t>Francisco Cerundolo</t>
        </is>
      </c>
      <c r="G843" s="24" t="inlineStr">
        <is>
          <t>Filip Misolic</t>
        </is>
      </c>
      <c r="H843" s="24" t="inlineStr">
        <is>
          <t>moneyline</t>
        </is>
      </c>
      <c r="I843" s="24" t="inlineStr">
        <is>
          <t>away</t>
        </is>
      </c>
      <c r="J843" s="25" t="n"/>
      <c r="K843" s="24" t="inlineStr">
        <is>
          <t>polymarket_us</t>
        </is>
      </c>
      <c r="L843" s="26" t="n">
        <v>-1329</v>
      </c>
      <c r="M843" s="27" t="n">
        <v>1.075245</v>
      </c>
      <c r="N843" s="28" t="n">
        <v>0.930021</v>
      </c>
      <c r="O843" s="28" t="n">
        <v>0.7983</v>
      </c>
      <c r="P843" s="28" t="n">
        <v>0.05</v>
      </c>
      <c r="Q843" s="28" t="n">
        <v>-0.131721</v>
      </c>
      <c r="R843" s="26" t="n">
        <v>0</v>
      </c>
      <c r="S843" s="29" t="n">
        <v>1</v>
      </c>
      <c r="T843" s="24" t="inlineStr">
        <is>
          <t>tennis-surface-elo-v1</t>
        </is>
      </c>
      <c r="U843" s="24" t="inlineStr">
        <is>
          <t>settled</t>
        </is>
      </c>
      <c r="V843" s="24" t="inlineStr">
        <is>
          <t>win</t>
        </is>
      </c>
      <c r="W843" s="26" t="n">
        <v>1</v>
      </c>
      <c r="X843" s="26" t="n">
        <v>0</v>
      </c>
      <c r="Y843" s="25" t="n"/>
      <c r="Z843" s="26" t="n">
        <v>-1329</v>
      </c>
      <c r="AA843" s="28" t="n">
        <v>0.93</v>
      </c>
      <c r="AB843" s="28" t="n">
        <v>-2.1e-05</v>
      </c>
      <c r="AC843" s="30" t="n">
        <v>0.0752</v>
      </c>
      <c r="AD843" s="24" t="inlineStr">
        <is>
          <t>2026-09-02T04:32:44.551945Z</t>
        </is>
      </c>
      <c r="AE843" s="31" t="inlineStr">
        <is>
          <t>Surface-blended Elo on Hard: Francisco Cerundolo p=0.798 vs Filip Misolic. Executable ask 0.9300 (aec-atp-filmis-fracer-2026-08-30).</t>
        </is>
      </c>
      <c r="AF843" s="31" t="inlineStr">
        <is>
          <t>Surface-blended Elo model; singles only, WTA+ATP market coverage, not yet locked-holdout qualified -- promoted by explicit operator directive, not genuine walk-forward validation.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PAPER_CALL_LOW_EDGE</t>
        </is>
      </c>
      <c r="AP843" s="24" t="inlineStr">
        <is>
          <t>Francisco Cerundolo</t>
        </is>
      </c>
      <c r="AQ843" s="24" t="inlineStr">
        <is>
          <t>Francisco Cerundolo</t>
        </is>
      </c>
      <c r="AR843" s="24" t="inlineStr">
        <is>
          <t>Francisco Cerundolo</t>
        </is>
      </c>
      <c r="AS843" s="24" t="inlineStr">
        <is>
          <t>Filip Misolic</t>
        </is>
      </c>
      <c r="AT843" s="24" t="inlineStr">
        <is>
          <t>Filip Misolic</t>
        </is>
      </c>
      <c r="AU843" s="24" t="inlineStr">
        <is>
          <t>Filip Misolic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0ce66f49b381187fe6255a40ca2fdbfc155d5e36125ccf6d30fe81a72962eafa</t>
        </is>
      </c>
      <c r="BB843" s="24" t="inlineStr">
        <is>
          <t>surface_blended_elo</t>
        </is>
      </c>
      <c r="BC843" s="24" t="inlineStr">
        <is>
          <t>tennis-surface-elo-v1</t>
        </is>
      </c>
      <c r="BD843" s="24" t="inlineStr">
        <is>
          <t>0ce66f49b381187fe6255a40ca2fdbfc155d5e36125ccf6d30fe81a72962eafa</t>
        </is>
      </c>
      <c r="BE843" s="24" t="inlineStr">
        <is>
          <t>tennis-surface-elo-v1</t>
        </is>
      </c>
      <c r="BF843" s="24" t="inlineStr">
        <is>
          <t>1</t>
        </is>
      </c>
      <c r="BG843" s="24" t="inlineStr">
        <is>
          <t>0ce66f49b381187fe6255a40ca2fdbfc155d5e36125ccf6d30fe81a72962eafa</t>
        </is>
      </c>
      <c r="BH843" s="24" t="inlineStr">
        <is>
          <t>2026-09-01T13:48:08.333539Z</t>
        </is>
      </c>
      <c r="BI843" s="24" t="inlineStr">
        <is>
          <t>["same_event","same_team_same_day","same_league_same_day"]</t>
        </is>
      </c>
      <c r="BJ843" s="25" t="n"/>
      <c r="BK843" s="26" t="n">
        <v>-1329</v>
      </c>
      <c r="BL843" s="27" t="n">
        <v>1.075245</v>
      </c>
      <c r="BM843" s="28" t="n">
        <v>0.930021</v>
      </c>
      <c r="BN843" s="28" t="n"/>
      <c r="BO843" s="28" t="n"/>
      <c r="BP843" s="25" t="n"/>
      <c r="BQ843" s="27" t="n">
        <v>1.075245</v>
      </c>
      <c r="BR843" s="28" t="n">
        <v>0.93</v>
      </c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inlineStr">
        <is>
          <t>ce2054fe7e4847f9bc807304bc3eff4b5e7b505a926bcbbe961906d7f1e272d1</t>
        </is>
      </c>
      <c r="DE843" s="24" t="inlineStr">
        <is>
          <t>/Users/vincentc9002/model-prediction/data/odds/tennis/2026-09-01/polymarket_snapshots.jsonl</t>
        </is>
      </c>
      <c r="DF843" s="24" t="inlineStr">
        <is>
          <t>547289:2026-09-01T13:48:08.333539Z</t>
        </is>
      </c>
      <c r="DG843" s="24" t="n"/>
      <c r="DH843" s="24" t="n"/>
      <c r="DI843" s="24" t="n"/>
      <c r="DJ843" s="24" t="inlineStr">
        <is>
          <t>0.930021</t>
        </is>
      </c>
      <c r="DK843" s="24" t="n"/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24cb61a5ee194a25</t>
        </is>
      </c>
      <c r="B844" s="24" t="inlineStr">
        <is>
          <t>2026-09-01T16:06:19.518222Z</t>
        </is>
      </c>
      <c r="C844" s="24" t="inlineStr">
        <is>
          <t>2026-09-01T17:00Z</t>
        </is>
      </c>
      <c r="D844" s="24" t="inlineStr">
        <is>
          <t>189-2026:182628</t>
        </is>
      </c>
      <c r="E844" s="24" t="inlineStr">
        <is>
          <t>TENNIS</t>
        </is>
      </c>
      <c r="F844" s="24" t="inlineStr">
        <is>
          <t>Janice Tjen</t>
        </is>
      </c>
      <c r="G844" s="24" t="inlineStr">
        <is>
          <t>Mirra Andreeva</t>
        </is>
      </c>
      <c r="H844" s="24" t="inlineStr">
        <is>
          <t>moneyline</t>
        </is>
      </c>
      <c r="I844" s="24" t="inlineStr">
        <is>
          <t>home</t>
        </is>
      </c>
      <c r="J844" s="25" t="n"/>
      <c r="K844" s="24" t="inlineStr">
        <is>
          <t>polymarket_us</t>
        </is>
      </c>
      <c r="L844" s="26" t="n">
        <v>-669</v>
      </c>
      <c r="M844" s="27" t="n">
        <v>1.149477</v>
      </c>
      <c r="N844" s="28" t="n">
        <v>0.869961</v>
      </c>
      <c r="O844" s="28" t="n">
        <v>0.8038999999999999</v>
      </c>
      <c r="P844" s="28" t="n">
        <v>0.05</v>
      </c>
      <c r="Q844" s="28" t="n">
        <v>-0.06606099999999999</v>
      </c>
      <c r="R844" s="26" t="n">
        <v>0</v>
      </c>
      <c r="S844" s="29" t="n">
        <v>1</v>
      </c>
      <c r="T844" s="24" t="inlineStr">
        <is>
          <t>tennis-surface-elo-v1</t>
        </is>
      </c>
      <c r="U844" s="24" t="inlineStr">
        <is>
          <t>settled</t>
        </is>
      </c>
      <c r="V844" s="24" t="inlineStr">
        <is>
          <t>win</t>
        </is>
      </c>
      <c r="W844" s="26" t="n">
        <v>0</v>
      </c>
      <c r="X844" s="26" t="n">
        <v>1</v>
      </c>
      <c r="Y844" s="25" t="n"/>
      <c r="Z844" s="26" t="n">
        <v>-669</v>
      </c>
      <c r="AA844" s="28" t="n">
        <v>0.87</v>
      </c>
      <c r="AB844" s="28" t="n">
        <v>3.9e-05</v>
      </c>
      <c r="AC844" s="30" t="n">
        <v>0.1495</v>
      </c>
      <c r="AD844" s="24" t="inlineStr">
        <is>
          <t>2026-09-02T04:33:37.015692Z</t>
        </is>
      </c>
      <c r="AE844" s="31" t="inlineStr">
        <is>
          <t>Surface-blended Elo on Hard: Janice Tjen p=0.196 vs Mirra Andreeva. Executable ask 0.8700 (aec-wta-mirand-jantje-2026-08-30).</t>
        </is>
      </c>
      <c r="AF844" s="31" t="inlineStr">
        <is>
          <t>Surface-blended Elo model; singles only, WTA+ATP market coverage, not yet locked-holdout qualified -- promoted by explicit operator directive, not genuine walk-forward validation.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paper_call</t>
        </is>
      </c>
      <c r="AL844" s="26" t="n">
        <v>4</v>
      </c>
      <c r="AM844" s="24" t="inlineStr">
        <is>
          <t>RESEARCH_OBSERVATION</t>
        </is>
      </c>
      <c r="AN844" s="24" t="inlineStr">
        <is>
          <t>CALL</t>
        </is>
      </c>
      <c r="AO844" s="24" t="inlineStr">
        <is>
          <t>PAPER_CALL_LOW_EDGE</t>
        </is>
      </c>
      <c r="AP844" s="24" t="inlineStr">
        <is>
          <t>Janice Tjen</t>
        </is>
      </c>
      <c r="AQ844" s="24" t="inlineStr">
        <is>
          <t>Janice Tjen</t>
        </is>
      </c>
      <c r="AR844" s="24" t="inlineStr">
        <is>
          <t>Janice Tjen</t>
        </is>
      </c>
      <c r="AS844" s="24" t="inlineStr">
        <is>
          <t>Mirra Andreeva</t>
        </is>
      </c>
      <c r="AT844" s="24" t="inlineStr">
        <is>
          <t>Mirra Andreeva</t>
        </is>
      </c>
      <c r="AU844" s="24" t="inlineStr">
        <is>
          <t>Mirra Andreeva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0ce66f49b381187fe6255a40ca2fdbfc155d5e36125ccf6d30fe81a72962eafa</t>
        </is>
      </c>
      <c r="BB844" s="24" t="inlineStr">
        <is>
          <t>surface_blended_elo</t>
        </is>
      </c>
      <c r="BC844" s="24" t="inlineStr">
        <is>
          <t>tennis-surface-elo-v1</t>
        </is>
      </c>
      <c r="BD844" s="24" t="inlineStr">
        <is>
          <t>0ce66f49b381187fe6255a40ca2fdbfc155d5e36125ccf6d30fe81a72962eafa</t>
        </is>
      </c>
      <c r="BE844" s="24" t="inlineStr">
        <is>
          <t>tennis-surface-elo-v1</t>
        </is>
      </c>
      <c r="BF844" s="24" t="inlineStr">
        <is>
          <t>1</t>
        </is>
      </c>
      <c r="BG844" s="24" t="inlineStr">
        <is>
          <t>0ce66f49b381187fe6255a40ca2fdbfc155d5e36125ccf6d30fe81a72962eafa</t>
        </is>
      </c>
      <c r="BH844" s="24" t="inlineStr">
        <is>
          <t>2026-09-01T16:03:58.892949Z</t>
        </is>
      </c>
      <c r="BI844" s="24" t="inlineStr">
        <is>
          <t>["same_event","same_team_same_day","same_league_same_day"]</t>
        </is>
      </c>
      <c r="BJ844" s="25" t="n"/>
      <c r="BK844" s="26" t="n">
        <v>-669</v>
      </c>
      <c r="BL844" s="27" t="n">
        <v>1.149477</v>
      </c>
      <c r="BM844" s="28" t="n">
        <v>0.869961</v>
      </c>
      <c r="BN844" s="28" t="n"/>
      <c r="BO844" s="28" t="n"/>
      <c r="BP844" s="25" t="n"/>
      <c r="BQ844" s="27" t="n">
        <v>1.149477</v>
      </c>
      <c r="BR844" s="28" t="n">
        <v>0.87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False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inlineStr">
        <is>
          <t>3c66facba051b8531f8361ab8e574e08b41eebed7b4987bba5a7732ee4d0ac18</t>
        </is>
      </c>
      <c r="DE844" s="24" t="inlineStr">
        <is>
          <t>/Users/vincentc9002/model-prediction/data/odds/tennis/2026-09-01/polymarket_snapshots.jsonl</t>
        </is>
      </c>
      <c r="DF844" s="24" t="inlineStr">
        <is>
          <t>547294:2026-09-01T16:03:58.892949Z</t>
        </is>
      </c>
      <c r="DG844" s="24" t="n"/>
      <c r="DH844" s="24" t="n"/>
      <c r="DI844" s="24" t="n"/>
      <c r="DJ844" s="24" t="inlineStr">
        <is>
          <t>0.869961</t>
        </is>
      </c>
      <c r="DK844" s="24" t="n"/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14caa72054174c2c</t>
        </is>
      </c>
      <c r="B845" s="24" t="inlineStr">
        <is>
          <t>2026-09-01T16:06:19.518222Z</t>
        </is>
      </c>
      <c r="C845" s="24" t="inlineStr">
        <is>
          <t>2026-09-01T18:00Z</t>
        </is>
      </c>
      <c r="D845" s="24" t="inlineStr">
        <is>
          <t>189-2026:182609</t>
        </is>
      </c>
      <c r="E845" s="24" t="inlineStr">
        <is>
          <t>TENNIS</t>
        </is>
      </c>
      <c r="F845" s="24" t="inlineStr">
        <is>
          <t>Anna Bondar</t>
        </is>
      </c>
      <c r="G845" s="24" t="inlineStr">
        <is>
          <t>Lucie Havlickova</t>
        </is>
      </c>
      <c r="H845" s="24" t="inlineStr">
        <is>
          <t>moneyline</t>
        </is>
      </c>
      <c r="I845" s="24" t="inlineStr">
        <is>
          <t>away</t>
        </is>
      </c>
      <c r="J845" s="25" t="n"/>
      <c r="K845" s="24" t="inlineStr">
        <is>
          <t>polymarket_us</t>
        </is>
      </c>
      <c r="L845" s="26" t="n">
        <v>-163</v>
      </c>
      <c r="M845" s="27" t="n">
        <v>1.613497</v>
      </c>
      <c r="N845" s="28" t="n">
        <v>0.619772</v>
      </c>
      <c r="O845" s="28" t="n">
        <v>0.6194</v>
      </c>
      <c r="P845" s="28" t="n">
        <v>0.05</v>
      </c>
      <c r="Q845" s="28" t="n">
        <v>-0.000372</v>
      </c>
      <c r="R845" s="26" t="n">
        <v>20</v>
      </c>
      <c r="S845" s="29" t="n">
        <v>1</v>
      </c>
      <c r="T845" s="24" t="inlineStr">
        <is>
          <t>tennis-surface-elo-v1</t>
        </is>
      </c>
      <c r="U845" s="24" t="inlineStr">
        <is>
          <t>settled</t>
        </is>
      </c>
      <c r="V845" s="24" t="inlineStr">
        <is>
          <t>win</t>
        </is>
      </c>
      <c r="W845" s="26" t="n">
        <v>1</v>
      </c>
      <c r="X845" s="26" t="n">
        <v>0</v>
      </c>
      <c r="Y845" s="25" t="n"/>
      <c r="Z845" s="26" t="n">
        <v>-163</v>
      </c>
      <c r="AA845" s="28" t="n">
        <v>0.62</v>
      </c>
      <c r="AB845" s="28" t="n">
        <v>0.000228</v>
      </c>
      <c r="AC845" s="30" t="n">
        <v>0.6135</v>
      </c>
      <c r="AD845" s="24" t="inlineStr">
        <is>
          <t>2026-09-02T04:33:37.840653Z</t>
        </is>
      </c>
      <c r="AE845" s="31" t="inlineStr">
        <is>
          <t>Surface-blended Elo on Hard: Anna Bondar p=0.619 vs Lucie Havlickova. Executable ask 0.6200 (aec-wta-luchav-annbon-2026-08-30).</t>
        </is>
      </c>
      <c r="AF845" s="31" t="inlineStr">
        <is>
          <t>Surface-blended Elo model; singles only, WTA+ATP market coverage, not yet locked-holdout qualified -- promoted by explicit operator directive, not genuine walk-forward validation.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Anna Bondar</t>
        </is>
      </c>
      <c r="AQ845" s="24" t="inlineStr">
        <is>
          <t>Anna Bondar</t>
        </is>
      </c>
      <c r="AR845" s="24" t="inlineStr">
        <is>
          <t>Anna Bondar</t>
        </is>
      </c>
      <c r="AS845" s="24" t="inlineStr">
        <is>
          <t>Lucie Havlickova</t>
        </is>
      </c>
      <c r="AT845" s="24" t="inlineStr">
        <is>
          <t>Lucie Havlickova</t>
        </is>
      </c>
      <c r="AU845" s="24" t="inlineStr">
        <is>
          <t>Lucie Havlickova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0ce66f49b381187fe6255a40ca2fdbfc155d5e36125ccf6d30fe81a72962eafa</t>
        </is>
      </c>
      <c r="BB845" s="24" t="inlineStr">
        <is>
          <t>surface_blended_elo</t>
        </is>
      </c>
      <c r="BC845" s="24" t="inlineStr">
        <is>
          <t>tennis-surface-elo-v1</t>
        </is>
      </c>
      <c r="BD845" s="24" t="inlineStr">
        <is>
          <t>0ce66f49b381187fe6255a40ca2fdbfc155d5e36125ccf6d30fe81a72962eafa</t>
        </is>
      </c>
      <c r="BE845" s="24" t="inlineStr">
        <is>
          <t>tennis-surface-elo-v1</t>
        </is>
      </c>
      <c r="BF845" s="24" t="inlineStr">
        <is>
          <t>1</t>
        </is>
      </c>
      <c r="BG845" s="24" t="inlineStr">
        <is>
          <t>0ce66f49b381187fe6255a40ca2fdbfc155d5e36125ccf6d30fe81a72962eafa</t>
        </is>
      </c>
      <c r="BH845" s="24" t="inlineStr">
        <is>
          <t>2026-09-01T16:03:58.842764Z</t>
        </is>
      </c>
      <c r="BI845" s="24" t="inlineStr">
        <is>
          <t>["same_event","same_team_same_day","same_league_same_day"]</t>
        </is>
      </c>
      <c r="BJ845" s="25" t="n"/>
      <c r="BK845" s="26" t="n">
        <v>-163</v>
      </c>
      <c r="BL845" s="27" t="n">
        <v>1.613497</v>
      </c>
      <c r="BM845" s="28" t="n">
        <v>0.619772</v>
      </c>
      <c r="BN845" s="28" t="n"/>
      <c r="BO845" s="28" t="n"/>
      <c r="BP845" s="25" t="n"/>
      <c r="BQ845" s="27" t="n">
        <v>1.613497</v>
      </c>
      <c r="BR845" s="28" t="n">
        <v>0.62</v>
      </c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False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inlineStr">
        <is>
          <t>3fc6f190d216a6c927927ada9dd265cc99921dfb843b0038b59ee58b49ce5072</t>
        </is>
      </c>
      <c r="DE845" s="24" t="inlineStr">
        <is>
          <t>/Users/vincentc9002/model-prediction/data/odds/tennis/2026-09-01/polymarket_snapshots.jsonl</t>
        </is>
      </c>
      <c r="DF845" s="24" t="inlineStr">
        <is>
          <t>550528:2026-09-01T16:03:58.842764Z</t>
        </is>
      </c>
      <c r="DG845" s="24" t="n"/>
      <c r="DH845" s="24" t="n"/>
      <c r="DI845" s="24" t="n"/>
      <c r="DJ845" s="24" t="inlineStr">
        <is>
          <t>0.619772</t>
        </is>
      </c>
      <c r="DK845" s="24" t="n"/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556c66f48ce6415f</t>
        </is>
      </c>
      <c r="B846" s="24" t="inlineStr">
        <is>
          <t>2026-09-01T16:06:19.518222Z</t>
        </is>
      </c>
      <c r="C846" s="24" t="inlineStr">
        <is>
          <t>2026-09-01T18:00Z</t>
        </is>
      </c>
      <c r="D846" s="24" t="inlineStr">
        <is>
          <t>189-2026:182644</t>
        </is>
      </c>
      <c r="E846" s="24" t="inlineStr">
        <is>
          <t>TENNIS</t>
        </is>
      </c>
      <c r="F846" s="24" t="inlineStr">
        <is>
          <t>Paula Badosa</t>
        </is>
      </c>
      <c r="G846" s="24" t="inlineStr">
        <is>
          <t>Daria Kasatkina</t>
        </is>
      </c>
      <c r="H846" s="24" t="inlineStr">
        <is>
          <t>moneyline</t>
        </is>
      </c>
      <c r="I846" s="24" t="inlineStr">
        <is>
          <t>away</t>
        </is>
      </c>
      <c r="J846" s="25" t="n"/>
      <c r="K846" s="24" t="inlineStr">
        <is>
          <t>polymarket_us</t>
        </is>
      </c>
      <c r="L846" s="26" t="n">
        <v>-117</v>
      </c>
      <c r="M846" s="27" t="n">
        <v>1.854701</v>
      </c>
      <c r="N846" s="28" t="n">
        <v>0.539171</v>
      </c>
      <c r="O846" s="28" t="n">
        <v>0.5968</v>
      </c>
      <c r="P846" s="28" t="n">
        <v>0.05</v>
      </c>
      <c r="Q846" s="28" t="n">
        <v>0.057629</v>
      </c>
      <c r="R846" s="26" t="n">
        <v>49</v>
      </c>
      <c r="S846" s="29" t="n">
        <v>1</v>
      </c>
      <c r="T846" s="24" t="inlineStr">
        <is>
          <t>tennis-surface-elo-v1</t>
        </is>
      </c>
      <c r="U846" s="24" t="inlineStr">
        <is>
          <t>settled</t>
        </is>
      </c>
      <c r="V846" s="24" t="inlineStr">
        <is>
          <t>win</t>
        </is>
      </c>
      <c r="W846" s="26" t="n">
        <v>1</v>
      </c>
      <c r="X846" s="26" t="n">
        <v>0</v>
      </c>
      <c r="Y846" s="25" t="n"/>
      <c r="Z846" s="26" t="n">
        <v>-117</v>
      </c>
      <c r="AA846" s="28" t="n">
        <v>0.54</v>
      </c>
      <c r="AB846" s="28" t="n">
        <v>0.000829</v>
      </c>
      <c r="AC846" s="30" t="n">
        <v>0.8547</v>
      </c>
      <c r="AD846" s="24" t="inlineStr">
        <is>
          <t>2026-09-03T04:31:38.985159Z</t>
        </is>
      </c>
      <c r="AE846" s="31" t="inlineStr">
        <is>
          <t>Surface-blended Elo on Hard: Paula Badosa p=0.597 vs Daria Kasatkina. Executable ask 0.5400 (aec-wta-darkas-paubad-2026-08-30).</t>
        </is>
      </c>
      <c r="AF846" s="31" t="inlineStr">
        <is>
          <t>Surface-blended Elo model; singles only, WTA+ATP market coverage, not yet locked-holdout qualified -- promoted by explicit operator directive, not genuine walk-forward validation.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Paula Badosa</t>
        </is>
      </c>
      <c r="AQ846" s="24" t="inlineStr">
        <is>
          <t>Paula Badosa</t>
        </is>
      </c>
      <c r="AR846" s="24" t="inlineStr">
        <is>
          <t>Paula Badosa</t>
        </is>
      </c>
      <c r="AS846" s="24" t="inlineStr">
        <is>
          <t>Daria Kasatkina</t>
        </is>
      </c>
      <c r="AT846" s="24" t="inlineStr">
        <is>
          <t>Daria Kasatkina</t>
        </is>
      </c>
      <c r="AU846" s="24" t="inlineStr">
        <is>
          <t>Daria Kasatkina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0ce66f49b381187fe6255a40ca2fdbfc155d5e36125ccf6d30fe81a72962eafa</t>
        </is>
      </c>
      <c r="BB846" s="24" t="inlineStr">
        <is>
          <t>surface_blended_elo</t>
        </is>
      </c>
      <c r="BC846" s="24" t="inlineStr">
        <is>
          <t>tennis-surface-elo-v1</t>
        </is>
      </c>
      <c r="BD846" s="24" t="inlineStr">
        <is>
          <t>0ce66f49b381187fe6255a40ca2fdbfc155d5e36125ccf6d30fe81a72962eafa</t>
        </is>
      </c>
      <c r="BE846" s="24" t="inlineStr">
        <is>
          <t>tennis-surface-elo-v1</t>
        </is>
      </c>
      <c r="BF846" s="24" t="inlineStr">
        <is>
          <t>1</t>
        </is>
      </c>
      <c r="BG846" s="24" t="inlineStr">
        <is>
          <t>0ce66f49b381187fe6255a40ca2fdbfc155d5e36125ccf6d30fe81a72962eafa</t>
        </is>
      </c>
      <c r="BH846" s="24" t="inlineStr">
        <is>
          <t>2026-09-01T16:03:58.801190Z</t>
        </is>
      </c>
      <c r="BI846" s="24" t="inlineStr">
        <is>
          <t>["same_event","same_team_same_day","same_league_same_day"]</t>
        </is>
      </c>
      <c r="BJ846" s="25" t="n"/>
      <c r="BK846" s="26" t="n">
        <v>-117</v>
      </c>
      <c r="BL846" s="27" t="n">
        <v>1.854701</v>
      </c>
      <c r="BM846" s="28" t="n">
        <v>0.539171</v>
      </c>
      <c r="BN846" s="28" t="n"/>
      <c r="BO846" s="28" t="n"/>
      <c r="BP846" s="25" t="n"/>
      <c r="BQ846" s="27" t="n">
        <v>1.854701</v>
      </c>
      <c r="BR846" s="28" t="n">
        <v>0.54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inlineStr">
        <is>
          <t>08d6b40da5aacbaec48bc7473ca8e9d370956cde0e8f6005f4d2daeab1d02115</t>
        </is>
      </c>
      <c r="DE846" s="24" t="inlineStr">
        <is>
          <t>/Users/vincentc9002/model-prediction/data/odds/tennis/2026-09-01/polymarket_snapshots.jsonl</t>
        </is>
      </c>
      <c r="DF846" s="24" t="inlineStr">
        <is>
          <t>547309:2026-09-01T16:03:58.801190Z</t>
        </is>
      </c>
      <c r="DG846" s="24" t="n"/>
      <c r="DH846" s="24" t="n"/>
      <c r="DI846" s="24" t="n"/>
      <c r="DJ846" s="24" t="inlineStr">
        <is>
          <t>0.539171</t>
        </is>
      </c>
      <c r="DK846" s="24" t="n"/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b07ecae4585c4f17</t>
        </is>
      </c>
      <c r="B847" s="24" t="inlineStr">
        <is>
          <t>2026-09-01T16:06:19.518222Z</t>
        </is>
      </c>
      <c r="C847" s="24" t="inlineStr">
        <is>
          <t>2026-09-01T18:30Z</t>
        </is>
      </c>
      <c r="D847" s="24" t="inlineStr">
        <is>
          <t>189-2026:182601</t>
        </is>
      </c>
      <c r="E847" s="24" t="inlineStr">
        <is>
          <t>TENNIS</t>
        </is>
      </c>
      <c r="F847" s="24" t="inlineStr">
        <is>
          <t>Jessica Bouzas Maneiro</t>
        </is>
      </c>
      <c r="G847" s="24" t="inlineStr">
        <is>
          <t>Darja Vidmanova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-104</v>
      </c>
      <c r="M847" s="27" t="n">
        <v>1.961538</v>
      </c>
      <c r="N847" s="28" t="n">
        <v>0.509804</v>
      </c>
      <c r="O847" s="28" t="n">
        <v>0.6207</v>
      </c>
      <c r="P847" s="28" t="n">
        <v>0.05</v>
      </c>
      <c r="Q847" s="28" t="n">
        <v>0.110896</v>
      </c>
      <c r="R847" s="26" t="n">
        <v>75</v>
      </c>
      <c r="S847" s="29" t="n">
        <v>1.5</v>
      </c>
      <c r="T847" s="24" t="inlineStr">
        <is>
          <t>tennis-surface-elo-v1</t>
        </is>
      </c>
      <c r="U847" s="24" t="inlineStr">
        <is>
          <t>settled</t>
        </is>
      </c>
      <c r="V847" s="24" t="inlineStr">
        <is>
          <t>loss</t>
        </is>
      </c>
      <c r="W847" s="26" t="n">
        <v>1</v>
      </c>
      <c r="X847" s="26" t="n">
        <v>0</v>
      </c>
      <c r="Y847" s="25" t="n"/>
      <c r="Z847" s="26" t="n">
        <v>-104</v>
      </c>
      <c r="AA847" s="28" t="n">
        <v>0.51</v>
      </c>
      <c r="AB847" s="28" t="n">
        <v>0.000196</v>
      </c>
      <c r="AC847" s="30" t="n">
        <v>-1.5</v>
      </c>
      <c r="AD847" s="24" t="inlineStr">
        <is>
          <t>2026-09-02T04:33:38.603319Z</t>
        </is>
      </c>
      <c r="AE847" s="31" t="inlineStr">
        <is>
          <t>Surface-blended Elo on Hard: Jessica Bouzas Maneiro p=0.379 vs Darja Vidmanova. Executable ask 0.5100 (aec-wta-darvid-jesman-2026-08-30).</t>
        </is>
      </c>
      <c r="AF847" s="31" t="inlineStr">
        <is>
          <t>Surface-blended Elo model; singles only, WTA+ATP market coverage, not yet locked-holdout qualified -- promoted by explicit operator directive, not genuine walk-forward validation.</t>
        </is>
      </c>
      <c r="AG847" s="24" t="inlineStr">
        <is>
          <t>review_required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Jessica Bouzas Maneiro</t>
        </is>
      </c>
      <c r="AQ847" s="24" t="inlineStr">
        <is>
          <t>Jessica Bouzas Maneiro</t>
        </is>
      </c>
      <c r="AR847" s="24" t="inlineStr">
        <is>
          <t>Jessica Bouzas Maneiro</t>
        </is>
      </c>
      <c r="AS847" s="24" t="inlineStr">
        <is>
          <t>Darja Vidmanova</t>
        </is>
      </c>
      <c r="AT847" s="24" t="inlineStr">
        <is>
          <t>Darja Vidmanova</t>
        </is>
      </c>
      <c r="AU847" s="24" t="inlineStr">
        <is>
          <t>Darja Vidmanova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0ce66f49b381187fe6255a40ca2fdbfc155d5e36125ccf6d30fe81a72962eafa</t>
        </is>
      </c>
      <c r="BB847" s="24" t="inlineStr">
        <is>
          <t>surface_blended_elo</t>
        </is>
      </c>
      <c r="BC847" s="24" t="inlineStr">
        <is>
          <t>tennis-surface-elo-v1</t>
        </is>
      </c>
      <c r="BD847" s="24" t="inlineStr">
        <is>
          <t>0ce66f49b381187fe6255a40ca2fdbfc155d5e36125ccf6d30fe81a72962eafa</t>
        </is>
      </c>
      <c r="BE847" s="24" t="inlineStr">
        <is>
          <t>tennis-surface-elo-v1</t>
        </is>
      </c>
      <c r="BF847" s="24" t="inlineStr">
        <is>
          <t>1</t>
        </is>
      </c>
      <c r="BG847" s="24" t="inlineStr">
        <is>
          <t>0ce66f49b381187fe6255a40ca2fdbfc155d5e36125ccf6d30fe81a72962eafa</t>
        </is>
      </c>
      <c r="BH847" s="24" t="inlineStr">
        <is>
          <t>2026-09-01T16:03:58.934280Z</t>
        </is>
      </c>
      <c r="BI847" s="24" t="inlineStr">
        <is>
          <t>["same_event","same_team_same_day","same_league_same_day"]</t>
        </is>
      </c>
      <c r="BJ847" s="25" t="n"/>
      <c r="BK847" s="26" t="n">
        <v>-104</v>
      </c>
      <c r="BL847" s="27" t="n">
        <v>1.961538</v>
      </c>
      <c r="BM847" s="28" t="n">
        <v>0.509804</v>
      </c>
      <c r="BN847" s="28" t="n"/>
      <c r="BO847" s="28" t="n"/>
      <c r="BP847" s="25" t="n"/>
      <c r="BQ847" s="27" t="n">
        <v>1.961538</v>
      </c>
      <c r="BR847" s="28" t="n">
        <v>0.51</v>
      </c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True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inlineStr">
        <is>
          <t>d742d2f521c4cf2018384bf008bce3490d06992b278babe5b34f1144601bc2b9</t>
        </is>
      </c>
      <c r="DE847" s="24" t="inlineStr">
        <is>
          <t>/Users/vincentc9002/model-prediction/data/odds/tennis/2026-09-01/polymarket_snapshots.jsonl</t>
        </is>
      </c>
      <c r="DF847" s="24" t="inlineStr">
        <is>
          <t>547348:2026-09-01T16:03:58.934280Z</t>
        </is>
      </c>
      <c r="DG847" s="24" t="n"/>
      <c r="DH847" s="24" t="n"/>
      <c r="DI847" s="24" t="n"/>
      <c r="DJ847" s="24" t="inlineStr">
        <is>
          <t>0.509804</t>
        </is>
      </c>
      <c r="DK847" s="24" t="n"/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75960486f76a4eaa</t>
        </is>
      </c>
      <c r="B848" s="24" t="inlineStr">
        <is>
          <t>2026-09-01T16:06:19.518222Z</t>
        </is>
      </c>
      <c r="C848" s="24" t="inlineStr">
        <is>
          <t>2026-09-01T18:30Z</t>
        </is>
      </c>
      <c r="D848" s="24" t="inlineStr">
        <is>
          <t>189-2026:182648</t>
        </is>
      </c>
      <c r="E848" s="24" t="inlineStr">
        <is>
          <t>TENNIS</t>
        </is>
      </c>
      <c r="F848" s="24" t="inlineStr">
        <is>
          <t>Jelena Ostapenko</t>
        </is>
      </c>
      <c r="G848" s="24" t="inlineStr">
        <is>
          <t>Tatjana Maria</t>
        </is>
      </c>
      <c r="H848" s="24" t="inlineStr">
        <is>
          <t>moneyline</t>
        </is>
      </c>
      <c r="I848" s="24" t="inlineStr">
        <is>
          <t>home</t>
        </is>
      </c>
      <c r="J848" s="25" t="n"/>
      <c r="K848" s="24" t="inlineStr">
        <is>
          <t>polymarket_us</t>
        </is>
      </c>
      <c r="L848" s="26" t="n">
        <v>133</v>
      </c>
      <c r="M848" s="27" t="n">
        <v>2.33</v>
      </c>
      <c r="N848" s="28" t="n">
        <v>0.429185</v>
      </c>
      <c r="O848" s="28" t="n">
        <v>0.5004999999999999</v>
      </c>
      <c r="P848" s="28" t="n">
        <v>0.05</v>
      </c>
      <c r="Q848" s="28" t="n">
        <v>0.071315</v>
      </c>
      <c r="R848" s="26" t="n">
        <v>56</v>
      </c>
      <c r="S848" s="29" t="n">
        <v>1.25</v>
      </c>
      <c r="T848" s="24" t="inlineStr">
        <is>
          <t>tennis-surface-elo-v1</t>
        </is>
      </c>
      <c r="U848" s="24" t="inlineStr">
        <is>
          <t>settled</t>
        </is>
      </c>
      <c r="V848" s="24" t="inlineStr">
        <is>
          <t>win</t>
        </is>
      </c>
      <c r="W848" s="26" t="n">
        <v>0</v>
      </c>
      <c r="X848" s="26" t="n">
        <v>1</v>
      </c>
      <c r="Y848" s="25" t="n"/>
      <c r="Z848" s="26" t="n">
        <v>133</v>
      </c>
      <c r="AA848" s="28" t="n">
        <v>0.43</v>
      </c>
      <c r="AB848" s="28" t="n">
        <v>0.000815</v>
      </c>
      <c r="AC848" s="30" t="n">
        <v>1.6625</v>
      </c>
      <c r="AD848" s="24" t="inlineStr">
        <is>
          <t>2026-09-03T04:31:39.376217Z</t>
        </is>
      </c>
      <c r="AE848" s="31" t="inlineStr">
        <is>
          <t>Surface-blended Elo on Hard: Jelena Ostapenko p=0.500 vs Tatjana Maria. Executable ask 0.4300 (aec-wta-tatmar-jelost-2026-08-30).</t>
        </is>
      </c>
      <c r="AF848" s="31" t="inlineStr">
        <is>
          <t>Surface-blended Elo model; singles only, WTA+ATP market coverage, not yet locked-holdout qualified -- promoted by explicit operator directive, not genuine walk-forward validation.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PAPER_CALL_LOW_EDGE</t>
        </is>
      </c>
      <c r="AP848" s="24" t="inlineStr">
        <is>
          <t>Jelena Ostapenko</t>
        </is>
      </c>
      <c r="AQ848" s="24" t="inlineStr">
        <is>
          <t>Jelena Ostapenko</t>
        </is>
      </c>
      <c r="AR848" s="24" t="inlineStr">
        <is>
          <t>Jelena Ostapenko</t>
        </is>
      </c>
      <c r="AS848" s="24" t="inlineStr">
        <is>
          <t>Tatjana Maria</t>
        </is>
      </c>
      <c r="AT848" s="24" t="inlineStr">
        <is>
          <t>Tatjana Maria</t>
        </is>
      </c>
      <c r="AU848" s="24" t="inlineStr">
        <is>
          <t>Tatjana Maria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0ce66f49b381187fe6255a40ca2fdbfc155d5e36125ccf6d30fe81a72962eafa</t>
        </is>
      </c>
      <c r="BB848" s="24" t="inlineStr">
        <is>
          <t>surface_blended_elo</t>
        </is>
      </c>
      <c r="BC848" s="24" t="inlineStr">
        <is>
          <t>tennis-surface-elo-v1</t>
        </is>
      </c>
      <c r="BD848" s="24" t="inlineStr">
        <is>
          <t>0ce66f49b381187fe6255a40ca2fdbfc155d5e36125ccf6d30fe81a72962eafa</t>
        </is>
      </c>
      <c r="BE848" s="24" t="inlineStr">
        <is>
          <t>tennis-surface-elo-v1</t>
        </is>
      </c>
      <c r="BF848" s="24" t="inlineStr">
        <is>
          <t>1</t>
        </is>
      </c>
      <c r="BG848" s="24" t="inlineStr">
        <is>
          <t>0ce66f49b381187fe6255a40ca2fdbfc155d5e36125ccf6d30fe81a72962eafa</t>
        </is>
      </c>
      <c r="BH848" s="24" t="inlineStr">
        <is>
          <t>2026-09-01T16:03:58.913974Z</t>
        </is>
      </c>
      <c r="BI848" s="24" t="inlineStr">
        <is>
          <t>["same_event","same_team_same_day","same_league_same_day"]</t>
        </is>
      </c>
      <c r="BJ848" s="25" t="n"/>
      <c r="BK848" s="26" t="n">
        <v>133</v>
      </c>
      <c r="BL848" s="27" t="n">
        <v>2.33</v>
      </c>
      <c r="BM848" s="28" t="n">
        <v>0.429185</v>
      </c>
      <c r="BN848" s="28" t="n"/>
      <c r="BO848" s="28" t="n"/>
      <c r="BP848" s="25" t="n"/>
      <c r="BQ848" s="27" t="n">
        <v>2.33</v>
      </c>
      <c r="BR848" s="28" t="n">
        <v>0.43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inlineStr">
        <is>
          <t>8d208eef87fb0cf3f8240fb8f693c047fbb0868374fc82906a64164590ccecb8</t>
        </is>
      </c>
      <c r="DE848" s="24" t="inlineStr">
        <is>
          <t>/Users/vincentc9002/model-prediction/data/odds/tennis/2026-09-01/polymarket_snapshots.jsonl</t>
        </is>
      </c>
      <c r="DF848" s="24" t="inlineStr">
        <is>
          <t>547445:2026-09-01T16:03:58.913974Z</t>
        </is>
      </c>
      <c r="DG848" s="24" t="n"/>
      <c r="DH848" s="24" t="n"/>
      <c r="DI848" s="24" t="n"/>
      <c r="DJ848" s="24" t="inlineStr">
        <is>
          <t>0.429185</t>
        </is>
      </c>
      <c r="DK848" s="24" t="n"/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58a1f37f2ed14a54</t>
        </is>
      </c>
      <c r="B849" s="24" t="inlineStr">
        <is>
          <t>2026-09-01T16:06:19.518222Z</t>
        </is>
      </c>
      <c r="C849" s="24" t="inlineStr">
        <is>
          <t>2026-09-01T18:30Z</t>
        </is>
      </c>
      <c r="D849" s="24" t="inlineStr">
        <is>
          <t>189-2026:182650</t>
        </is>
      </c>
      <c r="E849" s="24" t="inlineStr">
        <is>
          <t>TENNIS</t>
        </is>
      </c>
      <c r="F849" s="24" t="inlineStr">
        <is>
          <t>Darja Semenistaja</t>
        </is>
      </c>
      <c r="G849" s="24" t="inlineStr">
        <is>
          <t>Anastasia Potapova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polymarket_us</t>
        </is>
      </c>
      <c r="L849" s="26" t="n">
        <v>-400</v>
      </c>
      <c r="M849" s="27" t="n">
        <v>1.25</v>
      </c>
      <c r="N849" s="28" t="n">
        <v>0.8</v>
      </c>
      <c r="O849" s="28" t="n">
        <v>0.6309</v>
      </c>
      <c r="P849" s="28" t="n">
        <v>0.05</v>
      </c>
      <c r="Q849" s="28" t="n">
        <v>-0.1691</v>
      </c>
      <c r="R849" s="26" t="n">
        <v>0</v>
      </c>
      <c r="S849" s="29" t="n">
        <v>1</v>
      </c>
      <c r="T849" s="24" t="inlineStr">
        <is>
          <t>tennis-surface-elo-v1</t>
        </is>
      </c>
      <c r="U849" s="24" t="inlineStr">
        <is>
          <t>settled</t>
        </is>
      </c>
      <c r="V849" s="24" t="inlineStr">
        <is>
          <t>win</t>
        </is>
      </c>
      <c r="W849" s="26" t="n">
        <v>0</v>
      </c>
      <c r="X849" s="26" t="n">
        <v>1</v>
      </c>
      <c r="Y849" s="25" t="n"/>
      <c r="Z849" s="26" t="n">
        <v>-400</v>
      </c>
      <c r="AA849" s="28" t="n">
        <v>0.8</v>
      </c>
      <c r="AB849" s="28" t="n">
        <v>0</v>
      </c>
      <c r="AC849" s="30" t="n">
        <v>0.25</v>
      </c>
      <c r="AD849" s="24" t="inlineStr">
        <is>
          <t>2026-09-02T04:33:39.361932Z</t>
        </is>
      </c>
      <c r="AE849" s="31" t="inlineStr">
        <is>
          <t>Surface-blended Elo on Hard: Darja Semenistaja p=0.369 vs Anastasia Potapova. Executable ask 0.8000 (aec-wta-anapot-darsem-2026-09-01).</t>
        </is>
      </c>
      <c r="AF849" s="31" t="inlineStr">
        <is>
          <t>Surface-blended Elo model; singles only, WTA+ATP market coverage, not yet locked-holdout qualified -- promoted by explicit operator directive, not genuine walk-forward validation.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PAPER_CALL_LOW_EDGE</t>
        </is>
      </c>
      <c r="AP849" s="24" t="inlineStr">
        <is>
          <t>Darja Semenistaja</t>
        </is>
      </c>
      <c r="AQ849" s="24" t="inlineStr">
        <is>
          <t>Darja Semenistaja</t>
        </is>
      </c>
      <c r="AR849" s="24" t="inlineStr">
        <is>
          <t>Darja Semenistaja</t>
        </is>
      </c>
      <c r="AS849" s="24" t="inlineStr">
        <is>
          <t>Anastasia Potapova</t>
        </is>
      </c>
      <c r="AT849" s="24" t="inlineStr">
        <is>
          <t>Anastasia Potapova</t>
        </is>
      </c>
      <c r="AU849" s="24" t="inlineStr">
        <is>
          <t>Anastasia Potapova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0ce66f49b381187fe6255a40ca2fdbfc155d5e36125ccf6d30fe81a72962eafa</t>
        </is>
      </c>
      <c r="BB849" s="24" t="inlineStr">
        <is>
          <t>surface_blended_elo</t>
        </is>
      </c>
      <c r="BC849" s="24" t="inlineStr">
        <is>
          <t>tennis-surface-elo-v1</t>
        </is>
      </c>
      <c r="BD849" s="24" t="inlineStr">
        <is>
          <t>0ce66f49b381187fe6255a40ca2fdbfc155d5e36125ccf6d30fe81a72962eafa</t>
        </is>
      </c>
      <c r="BE849" s="24" t="inlineStr">
        <is>
          <t>tennis-surface-elo-v1</t>
        </is>
      </c>
      <c r="BF849" s="24" t="inlineStr">
        <is>
          <t>1</t>
        </is>
      </c>
      <c r="BG849" s="24" t="inlineStr">
        <is>
          <t>0ce66f49b381187fe6255a40ca2fdbfc155d5e36125ccf6d30fe81a72962eafa</t>
        </is>
      </c>
      <c r="BH849" s="24" t="inlineStr">
        <is>
          <t>2026-09-01T16:03:58.891632Z</t>
        </is>
      </c>
      <c r="BI849" s="24" t="inlineStr">
        <is>
          <t>["same_event","same_team_same_day","same_league_same_day"]</t>
        </is>
      </c>
      <c r="BJ849" s="25" t="n"/>
      <c r="BK849" s="26" t="n">
        <v>-400</v>
      </c>
      <c r="BL849" s="27" t="n">
        <v>1.25</v>
      </c>
      <c r="BM849" s="28" t="n">
        <v>0.8</v>
      </c>
      <c r="BN849" s="28" t="n"/>
      <c r="BO849" s="28" t="n"/>
      <c r="BP849" s="25" t="n"/>
      <c r="BQ849" s="27" t="n">
        <v>1.25</v>
      </c>
      <c r="BR849" s="28" t="n">
        <v>0.8</v>
      </c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inlineStr">
        <is>
          <t>bb4bb9e60bfbdb50ac01cb806b40b8be24a87c3bf1751e2b73ad57ff79e87e9c</t>
        </is>
      </c>
      <c r="DE849" s="24" t="inlineStr">
        <is>
          <t>/Users/vincentc9002/model-prediction/data/odds/tennis/2026-09-01/polymarket_snapshots.jsonl</t>
        </is>
      </c>
      <c r="DF849" s="24" t="inlineStr">
        <is>
          <t>602030:2026-09-01T16:03:58.891632Z</t>
        </is>
      </c>
      <c r="DG849" s="24" t="n"/>
      <c r="DH849" s="24" t="n"/>
      <c r="DI849" s="24" t="n"/>
      <c r="DJ849" s="24" t="inlineStr">
        <is>
          <t>0.8</t>
        </is>
      </c>
      <c r="DK849" s="24" t="n"/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8998a3508d79456f</t>
        </is>
      </c>
      <c r="B850" s="24" t="inlineStr">
        <is>
          <t>2026-09-01T16:06:19.518222Z</t>
        </is>
      </c>
      <c r="C850" s="24" t="inlineStr">
        <is>
          <t>2026-09-01T20:00Z</t>
        </is>
      </c>
      <c r="D850" s="24" t="inlineStr">
        <is>
          <t>189-2026:182600</t>
        </is>
      </c>
      <c r="E850" s="24" t="inlineStr">
        <is>
          <t>TENNIS</t>
        </is>
      </c>
      <c r="F850" s="24" t="inlineStr">
        <is>
          <t>Elise Mertens</t>
        </is>
      </c>
      <c r="G850" s="24" t="inlineStr">
        <is>
          <t>Kaitlin Quevedo</t>
        </is>
      </c>
      <c r="H850" s="24" t="inlineStr">
        <is>
          <t>moneyline</t>
        </is>
      </c>
      <c r="I850" s="24" t="inlineStr">
        <is>
          <t>away</t>
        </is>
      </c>
      <c r="J850" s="25" t="n"/>
      <c r="K850" s="24" t="inlineStr">
        <is>
          <t>polymarket_us</t>
        </is>
      </c>
      <c r="L850" s="26" t="n">
        <v>-488</v>
      </c>
      <c r="M850" s="27" t="n">
        <v>1.204918</v>
      </c>
      <c r="N850" s="28" t="n">
        <v>0.829932</v>
      </c>
      <c r="O850" s="28" t="n">
        <v>0.7068</v>
      </c>
      <c r="P850" s="28" t="n">
        <v>0.05</v>
      </c>
      <c r="Q850" s="28" t="n">
        <v>-0.123132</v>
      </c>
      <c r="R850" s="26" t="n">
        <v>0</v>
      </c>
      <c r="S850" s="29" t="n">
        <v>1</v>
      </c>
      <c r="T850" s="24" t="inlineStr">
        <is>
          <t>tennis-surface-elo-v1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0</v>
      </c>
      <c r="Y850" s="25" t="n"/>
      <c r="Z850" s="26" t="n">
        <v>-488</v>
      </c>
      <c r="AA850" s="28" t="n">
        <v>0.83</v>
      </c>
      <c r="AB850" s="28" t="n">
        <v>6.8e-05</v>
      </c>
      <c r="AC850" s="30" t="n">
        <v>0.2049</v>
      </c>
      <c r="AD850" s="24" t="inlineStr">
        <is>
          <t>2026-09-02T04:33:40.144438Z</t>
        </is>
      </c>
      <c r="AE850" s="31" t="inlineStr">
        <is>
          <t>Surface-blended Elo on Hard: Elise Mertens p=0.707 vs Kaitlin Quevedo. Executable ask 0.8300 (aec-wta-kaique-elimer-2026-08-30).</t>
        </is>
      </c>
      <c r="AF850" s="31" t="inlineStr">
        <is>
          <t>Surface-blended Elo model; singles only, WTA+ATP market coverage, not yet locked-holdout qualified -- promoted by explicit operator directive, not genuine walk-forward validation.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paper_call</t>
        </is>
      </c>
      <c r="AL850" s="26" t="n">
        <v>4</v>
      </c>
      <c r="AM850" s="24" t="inlineStr">
        <is>
          <t>RESEARCH_OBSERVATION</t>
        </is>
      </c>
      <c r="AN850" s="24" t="inlineStr">
        <is>
          <t>CALL</t>
        </is>
      </c>
      <c r="AO850" s="24" t="inlineStr">
        <is>
          <t>PAPER_CALL_LOW_EDGE</t>
        </is>
      </c>
      <c r="AP850" s="24" t="inlineStr">
        <is>
          <t>Elise Mertens</t>
        </is>
      </c>
      <c r="AQ850" s="24" t="inlineStr">
        <is>
          <t>Elise Mertens</t>
        </is>
      </c>
      <c r="AR850" s="24" t="inlineStr">
        <is>
          <t>Elise Mertens</t>
        </is>
      </c>
      <c r="AS850" s="24" t="inlineStr">
        <is>
          <t>Kaitlin Quevedo</t>
        </is>
      </c>
      <c r="AT850" s="24" t="inlineStr">
        <is>
          <t>Kaitlin Quevedo</t>
        </is>
      </c>
      <c r="AU850" s="24" t="inlineStr">
        <is>
          <t>Kaitlin Quevedo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0ce66f49b381187fe6255a40ca2fdbfc155d5e36125ccf6d30fe81a72962eafa</t>
        </is>
      </c>
      <c r="BB850" s="24" t="inlineStr">
        <is>
          <t>surface_blended_elo</t>
        </is>
      </c>
      <c r="BC850" s="24" t="inlineStr">
        <is>
          <t>tennis-surface-elo-v1</t>
        </is>
      </c>
      <c r="BD850" s="24" t="inlineStr">
        <is>
          <t>0ce66f49b381187fe6255a40ca2fdbfc155d5e36125ccf6d30fe81a72962eafa</t>
        </is>
      </c>
      <c r="BE850" s="24" t="inlineStr">
        <is>
          <t>tennis-surface-elo-v1</t>
        </is>
      </c>
      <c r="BF850" s="24" t="inlineStr">
        <is>
          <t>1</t>
        </is>
      </c>
      <c r="BG850" s="24" t="inlineStr">
        <is>
          <t>0ce66f49b381187fe6255a40ca2fdbfc155d5e36125ccf6d30fe81a72962eafa</t>
        </is>
      </c>
      <c r="BH850" s="24" t="inlineStr">
        <is>
          <t>2026-09-01T16:03:58.965174Z</t>
        </is>
      </c>
      <c r="BI850" s="24" t="inlineStr">
        <is>
          <t>["same_event","same_team_same_day","same_league_same_day"]</t>
        </is>
      </c>
      <c r="BJ850" s="25" t="n"/>
      <c r="BK850" s="26" t="n">
        <v>-488</v>
      </c>
      <c r="BL850" s="27" t="n">
        <v>1.204918</v>
      </c>
      <c r="BM850" s="28" t="n">
        <v>0.829932</v>
      </c>
      <c r="BN850" s="28" t="n"/>
      <c r="BO850" s="28" t="n"/>
      <c r="BP850" s="25" t="n"/>
      <c r="BQ850" s="27" t="n">
        <v>1.204918</v>
      </c>
      <c r="BR850" s="28" t="n">
        <v>0.83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inlineStr">
        <is>
          <t>be70d50247ffa57c6680bcdc463568683fc0571b3ec8cdfbb535a7bb0675c27e</t>
        </is>
      </c>
      <c r="DE850" s="24" t="inlineStr">
        <is>
          <t>/Users/vincentc9002/model-prediction/data/odds/tennis/2026-09-01/polymarket_snapshots.jsonl</t>
        </is>
      </c>
      <c r="DF850" s="24" t="inlineStr">
        <is>
          <t>547333:2026-09-01T16:03:58.965174Z</t>
        </is>
      </c>
      <c r="DG850" s="24" t="n"/>
      <c r="DH850" s="24" t="n"/>
      <c r="DI850" s="24" t="n"/>
      <c r="DJ850" s="24" t="inlineStr">
        <is>
          <t>0.829932</t>
        </is>
      </c>
      <c r="DK850" s="24" t="n"/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e549c8e949a54524</t>
        </is>
      </c>
      <c r="B851" s="24" t="inlineStr">
        <is>
          <t>2026-09-01T16:06:19.518222Z</t>
        </is>
      </c>
      <c r="C851" s="24" t="inlineStr">
        <is>
          <t>2026-09-01T20:00Z</t>
        </is>
      </c>
      <c r="D851" s="24" t="inlineStr">
        <is>
          <t>189-2026:182636</t>
        </is>
      </c>
      <c r="E851" s="24" t="inlineStr">
        <is>
          <t>TENNIS</t>
        </is>
      </c>
      <c r="F851" s="24" t="inlineStr">
        <is>
          <t>Magdalena Frech</t>
        </is>
      </c>
      <c r="G851" s="24" t="inlineStr">
        <is>
          <t>Iva Jovic</t>
        </is>
      </c>
      <c r="H851" s="24" t="inlineStr">
        <is>
          <t>moneyline</t>
        </is>
      </c>
      <c r="I851" s="24" t="inlineStr">
        <is>
          <t>home</t>
        </is>
      </c>
      <c r="J851" s="25" t="n"/>
      <c r="K851" s="24" t="inlineStr">
        <is>
          <t>polymarket_us</t>
        </is>
      </c>
      <c r="L851" s="26" t="n">
        <v>-300</v>
      </c>
      <c r="M851" s="27" t="n">
        <v>1.333333</v>
      </c>
      <c r="N851" s="28" t="n">
        <v>0.75</v>
      </c>
      <c r="O851" s="28" t="n">
        <v>0.6909</v>
      </c>
      <c r="P851" s="28" t="n">
        <v>0.05</v>
      </c>
      <c r="Q851" s="28" t="n">
        <v>-0.0591</v>
      </c>
      <c r="R851" s="26" t="n">
        <v>0</v>
      </c>
      <c r="S851" s="29" t="n">
        <v>1</v>
      </c>
      <c r="T851" s="24" t="inlineStr">
        <is>
          <t>tennis-surface-elo-v1</t>
        </is>
      </c>
      <c r="U851" s="24" t="inlineStr">
        <is>
          <t>settled</t>
        </is>
      </c>
      <c r="V851" s="24" t="inlineStr">
        <is>
          <t>win</t>
        </is>
      </c>
      <c r="W851" s="26" t="n">
        <v>0</v>
      </c>
      <c r="X851" s="26" t="n">
        <v>1</v>
      </c>
      <c r="Y851" s="25" t="n"/>
      <c r="Z851" s="26" t="n">
        <v>-300</v>
      </c>
      <c r="AA851" s="28" t="n">
        <v>0.75</v>
      </c>
      <c r="AB851" s="28" t="n">
        <v>0</v>
      </c>
      <c r="AC851" s="30" t="n">
        <v>0.3333</v>
      </c>
      <c r="AD851" s="24" t="inlineStr">
        <is>
          <t>2026-09-03T04:31:39.762956Z</t>
        </is>
      </c>
      <c r="AE851" s="31" t="inlineStr">
        <is>
          <t>Surface-blended Elo on Hard: Magdalena Frech p=0.309 vs Iva Jovic. Executable ask 0.7500 (aec-wta-ivajov-magfre-2026-08-30).</t>
        </is>
      </c>
      <c r="AF851" s="31" t="inlineStr">
        <is>
          <t>Surface-blended Elo model; singles only, WTA+ATP market coverage, not yet locked-holdout qualified -- promoted by explicit operator directive, not genuine walk-forward validation.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PAPER_CALL_LOW_EDGE</t>
        </is>
      </c>
      <c r="AP851" s="24" t="inlineStr">
        <is>
          <t>Magdalena Frech</t>
        </is>
      </c>
      <c r="AQ851" s="24" t="inlineStr">
        <is>
          <t>Magdalena Frech</t>
        </is>
      </c>
      <c r="AR851" s="24" t="inlineStr">
        <is>
          <t>Magdalena Frech</t>
        </is>
      </c>
      <c r="AS851" s="24" t="inlineStr">
        <is>
          <t>Iva Jovic</t>
        </is>
      </c>
      <c r="AT851" s="24" t="inlineStr">
        <is>
          <t>Iva Jovic</t>
        </is>
      </c>
      <c r="AU851" s="24" t="inlineStr">
        <is>
          <t>Iva Jovic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0ce66f49b381187fe6255a40ca2fdbfc155d5e36125ccf6d30fe81a72962eafa</t>
        </is>
      </c>
      <c r="BB851" s="24" t="inlineStr">
        <is>
          <t>surface_blended_elo</t>
        </is>
      </c>
      <c r="BC851" s="24" t="inlineStr">
        <is>
          <t>tennis-surface-elo-v1</t>
        </is>
      </c>
      <c r="BD851" s="24" t="inlineStr">
        <is>
          <t>0ce66f49b381187fe6255a40ca2fdbfc155d5e36125ccf6d30fe81a72962eafa</t>
        </is>
      </c>
      <c r="BE851" s="24" t="inlineStr">
        <is>
          <t>tennis-surface-elo-v1</t>
        </is>
      </c>
      <c r="BF851" s="24" t="inlineStr">
        <is>
          <t>1</t>
        </is>
      </c>
      <c r="BG851" s="24" t="inlineStr">
        <is>
          <t>0ce66f49b381187fe6255a40ca2fdbfc155d5e36125ccf6d30fe81a72962eafa</t>
        </is>
      </c>
      <c r="BH851" s="24" t="inlineStr">
        <is>
          <t>2026-09-01T16:03:58.996244Z</t>
        </is>
      </c>
      <c r="BI851" s="24" t="inlineStr">
        <is>
          <t>["same_event","same_team_same_day","same_league_same_day"]</t>
        </is>
      </c>
      <c r="BJ851" s="25" t="n"/>
      <c r="BK851" s="26" t="n">
        <v>-300</v>
      </c>
      <c r="BL851" s="27" t="n">
        <v>1.333333</v>
      </c>
      <c r="BM851" s="28" t="n">
        <v>0.75</v>
      </c>
      <c r="BN851" s="28" t="n"/>
      <c r="BO851" s="28" t="n"/>
      <c r="BP851" s="25" t="n"/>
      <c r="BQ851" s="27" t="n">
        <v>1.333333</v>
      </c>
      <c r="BR851" s="28" t="n">
        <v>0.75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inlineStr">
        <is>
          <t>502362ad244f3f3ba1a1d45e4fe6a4032c2c4119a4889c745978d0629d0cdad8</t>
        </is>
      </c>
      <c r="DE851" s="24" t="inlineStr">
        <is>
          <t>/Users/vincentc9002/model-prediction/data/odds/tennis/2026-09-01/polymarket_snapshots.jsonl</t>
        </is>
      </c>
      <c r="DF851" s="24" t="inlineStr">
        <is>
          <t>547304:2026-09-01T16:03:58.996244Z</t>
        </is>
      </c>
      <c r="DG851" s="24" t="n"/>
      <c r="DH851" s="24" t="n"/>
      <c r="DI851" s="24" t="n"/>
      <c r="DJ851" s="24" t="inlineStr">
        <is>
          <t>0.75</t>
        </is>
      </c>
      <c r="DK851" s="24" t="n"/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098730b935474ffe</t>
        </is>
      </c>
      <c r="B852" s="24" t="inlineStr">
        <is>
          <t>2026-09-01T16:06:19.518222Z</t>
        </is>
      </c>
      <c r="C852" s="24" t="inlineStr">
        <is>
          <t>2026-09-01T20:00Z</t>
        </is>
      </c>
      <c r="D852" s="24" t="inlineStr">
        <is>
          <t>189-2026:182649</t>
        </is>
      </c>
      <c r="E852" s="24" t="inlineStr">
        <is>
          <t>TENNIS</t>
        </is>
      </c>
      <c r="F852" s="24" t="inlineStr">
        <is>
          <t>Leolia Jeanjean</t>
        </is>
      </c>
      <c r="G852" s="24" t="inlineStr">
        <is>
          <t>Arantxa Rus</t>
        </is>
      </c>
      <c r="H852" s="24" t="inlineStr">
        <is>
          <t>moneyline</t>
        </is>
      </c>
      <c r="I852" s="24" t="inlineStr">
        <is>
          <t>away</t>
        </is>
      </c>
      <c r="J852" s="25" t="n"/>
      <c r="K852" s="24" t="inlineStr">
        <is>
          <t>polymarket_us</t>
        </is>
      </c>
      <c r="L852" s="26" t="n">
        <v>-178</v>
      </c>
      <c r="M852" s="27" t="n">
        <v>1.561798</v>
      </c>
      <c r="N852" s="28" t="n">
        <v>0.640288</v>
      </c>
      <c r="O852" s="28" t="n">
        <v>0.5352</v>
      </c>
      <c r="P852" s="28" t="n">
        <v>0.05</v>
      </c>
      <c r="Q852" s="28" t="n">
        <v>-0.105088</v>
      </c>
      <c r="R852" s="26" t="n">
        <v>0</v>
      </c>
      <c r="S852" s="29" t="n">
        <v>1</v>
      </c>
      <c r="T852" s="24" t="inlineStr">
        <is>
          <t>tennis-surface-elo-v1</t>
        </is>
      </c>
      <c r="U852" s="24" t="inlineStr">
        <is>
          <t>settled</t>
        </is>
      </c>
      <c r="V852" s="24" t="inlineStr">
        <is>
          <t>win</t>
        </is>
      </c>
      <c r="W852" s="26" t="n">
        <v>1</v>
      </c>
      <c r="X852" s="26" t="n">
        <v>0</v>
      </c>
      <c r="Y852" s="25" t="n"/>
      <c r="Z852" s="26" t="n">
        <v>-178</v>
      </c>
      <c r="AA852" s="28" t="n">
        <v>0.64</v>
      </c>
      <c r="AB852" s="28" t="n">
        <v>-0.000288</v>
      </c>
      <c r="AC852" s="30" t="n">
        <v>0.5618</v>
      </c>
      <c r="AD852" s="24" t="inlineStr">
        <is>
          <t>2026-09-02T04:33:40.921769Z</t>
        </is>
      </c>
      <c r="AE852" s="31" t="inlineStr">
        <is>
          <t>Surface-blended Elo on Hard: Leolia Jeanjean p=0.535 vs Arantxa Rus. Executable ask 0.6400 (aec-wta-ararus-leojea-2026-08-30).</t>
        </is>
      </c>
      <c r="AF852" s="31" t="inlineStr">
        <is>
          <t>Surface-blended Elo model; singles only, WTA+ATP market coverage, not yet locked-holdout qualified -- promoted by explicit operator directive, not genuine walk-forward validation.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paper_call</t>
        </is>
      </c>
      <c r="AL852" s="26" t="n">
        <v>4</v>
      </c>
      <c r="AM852" s="24" t="inlineStr">
        <is>
          <t>RESEARCH_OBSERVATION</t>
        </is>
      </c>
      <c r="AN852" s="24" t="inlineStr">
        <is>
          <t>CALL</t>
        </is>
      </c>
      <c r="AO852" s="24" t="inlineStr">
        <is>
          <t>PAPER_CALL_LOW_EDGE</t>
        </is>
      </c>
      <c r="AP852" s="24" t="inlineStr">
        <is>
          <t>Leolia Jeanjean</t>
        </is>
      </c>
      <c r="AQ852" s="24" t="inlineStr">
        <is>
          <t>Leolia Jeanjean</t>
        </is>
      </c>
      <c r="AR852" s="24" t="inlineStr">
        <is>
          <t>Leolia Jeanjean</t>
        </is>
      </c>
      <c r="AS852" s="24" t="inlineStr">
        <is>
          <t>Arantxa Rus</t>
        </is>
      </c>
      <c r="AT852" s="24" t="inlineStr">
        <is>
          <t>Arantxa Rus</t>
        </is>
      </c>
      <c r="AU852" s="24" t="inlineStr">
        <is>
          <t>Arantxa Rus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0ce66f49b381187fe6255a40ca2fdbfc155d5e36125ccf6d30fe81a72962eafa</t>
        </is>
      </c>
      <c r="BB852" s="24" t="inlineStr">
        <is>
          <t>surface_blended_elo</t>
        </is>
      </c>
      <c r="BC852" s="24" t="inlineStr">
        <is>
          <t>tennis-surface-elo-v1</t>
        </is>
      </c>
      <c r="BD852" s="24" t="inlineStr">
        <is>
          <t>0ce66f49b381187fe6255a40ca2fdbfc155d5e36125ccf6d30fe81a72962eafa</t>
        </is>
      </c>
      <c r="BE852" s="24" t="inlineStr">
        <is>
          <t>tennis-surface-elo-v1</t>
        </is>
      </c>
      <c r="BF852" s="24" t="inlineStr">
        <is>
          <t>1</t>
        </is>
      </c>
      <c r="BG852" s="24" t="inlineStr">
        <is>
          <t>0ce66f49b381187fe6255a40ca2fdbfc155d5e36125ccf6d30fe81a72962eafa</t>
        </is>
      </c>
      <c r="BH852" s="24" t="inlineStr">
        <is>
          <t>2026-09-01T16:03:59.008660Z</t>
        </is>
      </c>
      <c r="BI852" s="24" t="inlineStr">
        <is>
          <t>["same_event","same_team_same_day","same_league_same_day"]</t>
        </is>
      </c>
      <c r="BJ852" s="25" t="n"/>
      <c r="BK852" s="26" t="n">
        <v>-178</v>
      </c>
      <c r="BL852" s="27" t="n">
        <v>1.561798</v>
      </c>
      <c r="BM852" s="28" t="n">
        <v>0.640288</v>
      </c>
      <c r="BN852" s="28" t="n"/>
      <c r="BO852" s="28" t="n"/>
      <c r="BP852" s="25" t="n"/>
      <c r="BQ852" s="27" t="n">
        <v>1.561798</v>
      </c>
      <c r="BR852" s="28" t="n">
        <v>0.64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inlineStr">
        <is>
          <t>68291aac0ef9cf5ad9c353b6efb7de1aa4b40cad26923052a4a202ab88a69156</t>
        </is>
      </c>
      <c r="DE852" s="24" t="inlineStr">
        <is>
          <t>/Users/vincentc9002/model-prediction/data/odds/tennis/2026-09-01/polymarket_snapshots.jsonl</t>
        </is>
      </c>
      <c r="DF852" s="24" t="inlineStr">
        <is>
          <t>550518:2026-09-01T16:03:59.008660Z</t>
        </is>
      </c>
      <c r="DG852" s="24" t="n"/>
      <c r="DH852" s="24" t="n"/>
      <c r="DI852" s="24" t="n"/>
      <c r="DJ852" s="24" t="inlineStr">
        <is>
          <t>0.640288</t>
        </is>
      </c>
      <c r="DK852" s="24" t="n"/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81b594365e364a09</t>
        </is>
      </c>
      <c r="B853" s="24" t="inlineStr">
        <is>
          <t>2026-09-01T16:06:19.518222Z</t>
        </is>
      </c>
      <c r="C853" s="24" t="inlineStr">
        <is>
          <t>2026-09-01T20:30Z</t>
        </is>
      </c>
      <c r="D853" s="24" t="inlineStr">
        <is>
          <t>189-2026:182631</t>
        </is>
      </c>
      <c r="E853" s="24" t="inlineStr">
        <is>
          <t>TENNIS</t>
        </is>
      </c>
      <c r="F853" s="24" t="inlineStr">
        <is>
          <t>Mayar Sherif</t>
        </is>
      </c>
      <c r="G853" s="24" t="inlineStr">
        <is>
          <t>Nikola Bartunkova</t>
        </is>
      </c>
      <c r="H853" s="24" t="inlineStr">
        <is>
          <t>moneyline</t>
        </is>
      </c>
      <c r="I853" s="24" t="inlineStr">
        <is>
          <t>away</t>
        </is>
      </c>
      <c r="J853" s="25" t="n"/>
      <c r="K853" s="24" t="inlineStr">
        <is>
          <t>polymarket_us</t>
        </is>
      </c>
      <c r="L853" s="26" t="n">
        <v>456</v>
      </c>
      <c r="M853" s="27" t="n">
        <v>5.56</v>
      </c>
      <c r="N853" s="28" t="n">
        <v>0.179856</v>
      </c>
      <c r="O853" s="28" t="n">
        <v>0.5056</v>
      </c>
      <c r="P853" s="28" t="n">
        <v>0.05</v>
      </c>
      <c r="Q853" s="28" t="n">
        <v>0.325744</v>
      </c>
      <c r="R853" s="26" t="n">
        <v>100</v>
      </c>
      <c r="S853" s="29" t="n">
        <v>2</v>
      </c>
      <c r="T853" s="24" t="inlineStr">
        <is>
          <t>tennis-surface-elo-v1</t>
        </is>
      </c>
      <c r="U853" s="24" t="inlineStr">
        <is>
          <t>settled</t>
        </is>
      </c>
      <c r="V853" s="24" t="inlineStr">
        <is>
          <t>loss</t>
        </is>
      </c>
      <c r="W853" s="26" t="n">
        <v>0</v>
      </c>
      <c r="X853" s="26" t="n">
        <v>1</v>
      </c>
      <c r="Y853" s="25" t="n"/>
      <c r="Z853" s="26" t="n">
        <v>456</v>
      </c>
      <c r="AA853" s="28" t="n">
        <v>0.18</v>
      </c>
      <c r="AB853" s="28" t="n">
        <v>0.000144</v>
      </c>
      <c r="AC853" s="30" t="n">
        <v>-2</v>
      </c>
      <c r="AD853" s="24" t="inlineStr">
        <is>
          <t>2026-09-03T04:31:40.247768Z</t>
        </is>
      </c>
      <c r="AE853" s="31" t="inlineStr">
        <is>
          <t>Surface-blended Elo on Hard: Mayar Sherif p=0.506 vs Nikola Bartunkova. Executable ask 0.1800 (aec-wta-nikbar-mayshe-2026-08-30).</t>
        </is>
      </c>
      <c r="AF853" s="31" t="inlineStr">
        <is>
          <t>Surface-blended Elo model; singles only, WTA+ATP market coverage, not yet locked-holdout qualified -- promoted by explicit operator directive, not genuine walk-forward validation.</t>
        </is>
      </c>
      <c r="AG853" s="24" t="inlineStr">
        <is>
          <t>review_required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Mayar Sherif</t>
        </is>
      </c>
      <c r="AQ853" s="24" t="inlineStr">
        <is>
          <t>Mayar Sherif</t>
        </is>
      </c>
      <c r="AR853" s="24" t="inlineStr">
        <is>
          <t>Mayar Sherif</t>
        </is>
      </c>
      <c r="AS853" s="24" t="inlineStr">
        <is>
          <t>Nikola Bartunkova</t>
        </is>
      </c>
      <c r="AT853" s="24" t="inlineStr">
        <is>
          <t>Nikola Bartunkova</t>
        </is>
      </c>
      <c r="AU853" s="24" t="inlineStr">
        <is>
          <t>Nikola Bartunkova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0ce66f49b381187fe6255a40ca2fdbfc155d5e36125ccf6d30fe81a72962eafa</t>
        </is>
      </c>
      <c r="BB853" s="24" t="inlineStr">
        <is>
          <t>surface_blended_elo</t>
        </is>
      </c>
      <c r="BC853" s="24" t="inlineStr">
        <is>
          <t>tennis-surface-elo-v1</t>
        </is>
      </c>
      <c r="BD853" s="24" t="inlineStr">
        <is>
          <t>0ce66f49b381187fe6255a40ca2fdbfc155d5e36125ccf6d30fe81a72962eafa</t>
        </is>
      </c>
      <c r="BE853" s="24" t="inlineStr">
        <is>
          <t>tennis-surface-elo-v1</t>
        </is>
      </c>
      <c r="BF853" s="24" t="inlineStr">
        <is>
          <t>1</t>
        </is>
      </c>
      <c r="BG853" s="24" t="inlineStr">
        <is>
          <t>0ce66f49b381187fe6255a40ca2fdbfc155d5e36125ccf6d30fe81a72962eafa</t>
        </is>
      </c>
      <c r="BH853" s="24" t="inlineStr">
        <is>
          <t>2026-09-01T16:03:59.030815Z</t>
        </is>
      </c>
      <c r="BI853" s="24" t="inlineStr">
        <is>
          <t>["same_event","same_team_same_day","same_league_same_day"]</t>
        </is>
      </c>
      <c r="BJ853" s="25" t="n"/>
      <c r="BK853" s="26" t="n">
        <v>456</v>
      </c>
      <c r="BL853" s="27" t="n">
        <v>5.56</v>
      </c>
      <c r="BM853" s="28" t="n">
        <v>0.179856</v>
      </c>
      <c r="BN853" s="28" t="n"/>
      <c r="BO853" s="28" t="n"/>
      <c r="BP853" s="25" t="n"/>
      <c r="BQ853" s="27" t="n">
        <v>5.56</v>
      </c>
      <c r="BR853" s="28" t="n">
        <v>0.18</v>
      </c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inlineStr">
        <is>
          <t>a899aba95448cbe5b0282ab0372bff589d1125f2ecbb7db131fee168b9dcf635</t>
        </is>
      </c>
      <c r="DE853" s="24" t="inlineStr">
        <is>
          <t>/Users/vincentc9002/model-prediction/data/odds/tennis/2026-09-01/polymarket_snapshots.jsonl</t>
        </is>
      </c>
      <c r="DF853" s="24" t="inlineStr">
        <is>
          <t>547296:2026-09-01T16:03:59.030815Z</t>
        </is>
      </c>
      <c r="DG853" s="24" t="n"/>
      <c r="DH853" s="24" t="n"/>
      <c r="DI853" s="24" t="n"/>
      <c r="DJ853" s="24" t="inlineStr">
        <is>
          <t>0.179856</t>
        </is>
      </c>
      <c r="DK853" s="24" t="n"/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96be94fe6b3e43af</t>
        </is>
      </c>
      <c r="B854" s="24" t="inlineStr">
        <is>
          <t>2026-09-01T16:06:19.518222Z</t>
        </is>
      </c>
      <c r="C854" s="24" t="inlineStr">
        <is>
          <t>2026-09-01T21:30Z</t>
        </is>
      </c>
      <c r="D854" s="24" t="inlineStr">
        <is>
          <t>189-2026:182641</t>
        </is>
      </c>
      <c r="E854" s="24" t="inlineStr">
        <is>
          <t>TENNIS</t>
        </is>
      </c>
      <c r="F854" s="24" t="inlineStr">
        <is>
          <t>Francesca Jones</t>
        </is>
      </c>
      <c r="G854" s="24" t="inlineStr">
        <is>
          <t>Magda Linette</t>
        </is>
      </c>
      <c r="H854" s="24" t="inlineStr">
        <is>
          <t>moneyline</t>
        </is>
      </c>
      <c r="I854" s="24" t="inlineStr">
        <is>
          <t>away</t>
        </is>
      </c>
      <c r="J854" s="25" t="n"/>
      <c r="K854" s="24" t="inlineStr">
        <is>
          <t>polymarket_us</t>
        </is>
      </c>
      <c r="L854" s="26" t="n">
        <v>100</v>
      </c>
      <c r="M854" s="27" t="n">
        <v>2</v>
      </c>
      <c r="N854" s="28" t="n">
        <v>0.5</v>
      </c>
      <c r="O854" s="28" t="n">
        <v>0.5545</v>
      </c>
      <c r="P854" s="28" t="n">
        <v>0.05</v>
      </c>
      <c r="Q854" s="28" t="n">
        <v>0.0545</v>
      </c>
      <c r="R854" s="26" t="n">
        <v>47</v>
      </c>
      <c r="S854" s="29" t="n">
        <v>1</v>
      </c>
      <c r="T854" s="24" t="inlineStr">
        <is>
          <t>tennis-surface-elo-v1</t>
        </is>
      </c>
      <c r="U854" s="24" t="inlineStr">
        <is>
          <t>settled</t>
        </is>
      </c>
      <c r="V854" s="24" t="inlineStr">
        <is>
          <t>win</t>
        </is>
      </c>
      <c r="W854" s="26" t="n">
        <v>1</v>
      </c>
      <c r="X854" s="26" t="n">
        <v>0</v>
      </c>
      <c r="Y854" s="25" t="n"/>
      <c r="Z854" s="26" t="n">
        <v>100</v>
      </c>
      <c r="AA854" s="28" t="n">
        <v>0.5</v>
      </c>
      <c r="AB854" s="28" t="n">
        <v>0</v>
      </c>
      <c r="AC854" s="30" t="n">
        <v>1</v>
      </c>
      <c r="AD854" s="24" t="inlineStr">
        <is>
          <t>2026-09-03T04:31:40.635099Z</t>
        </is>
      </c>
      <c r="AE854" s="31" t="inlineStr">
        <is>
          <t>Surface-blended Elo on Hard: Francesca Jones p=0.555 vs Magda Linette. Executable ask 0.5000 (aec-wta-maglin-frajon-2026-08-30).</t>
        </is>
      </c>
      <c r="AF854" s="31" t="inlineStr">
        <is>
          <t>Surface-blended Elo model; singles only, WTA+ATP market coverage, not yet locked-holdout qualified -- promoted by explicit operator directive, not genuine walk-forward validation.</t>
        </is>
      </c>
      <c r="AG854" s="24" t="inlineStr">
        <is>
          <t>not_applicable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Francesca Jones</t>
        </is>
      </c>
      <c r="AQ854" s="24" t="inlineStr">
        <is>
          <t>Francesca Jones</t>
        </is>
      </c>
      <c r="AR854" s="24" t="inlineStr">
        <is>
          <t>Francesca Jones</t>
        </is>
      </c>
      <c r="AS854" s="24" t="inlineStr">
        <is>
          <t>Magda Linette</t>
        </is>
      </c>
      <c r="AT854" s="24" t="inlineStr">
        <is>
          <t>Magda Linette</t>
        </is>
      </c>
      <c r="AU854" s="24" t="inlineStr">
        <is>
          <t>Magda Linette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0ce66f49b381187fe6255a40ca2fdbfc155d5e36125ccf6d30fe81a72962eafa</t>
        </is>
      </c>
      <c r="BB854" s="24" t="inlineStr">
        <is>
          <t>surface_blended_elo</t>
        </is>
      </c>
      <c r="BC854" s="24" t="inlineStr">
        <is>
          <t>tennis-surface-elo-v1</t>
        </is>
      </c>
      <c r="BD854" s="24" t="inlineStr">
        <is>
          <t>0ce66f49b381187fe6255a40ca2fdbfc155d5e36125ccf6d30fe81a72962eafa</t>
        </is>
      </c>
      <c r="BE854" s="24" t="inlineStr">
        <is>
          <t>tennis-surface-elo-v1</t>
        </is>
      </c>
      <c r="BF854" s="24" t="inlineStr">
        <is>
          <t>1</t>
        </is>
      </c>
      <c r="BG854" s="24" t="inlineStr">
        <is>
          <t>0ce66f49b381187fe6255a40ca2fdbfc155d5e36125ccf6d30fe81a72962eafa</t>
        </is>
      </c>
      <c r="BH854" s="24" t="inlineStr">
        <is>
          <t>2026-09-01T16:03:59.058010Z</t>
        </is>
      </c>
      <c r="BI854" s="24" t="inlineStr">
        <is>
          <t>["same_event","same_team_same_day","same_league_same_day"]</t>
        </is>
      </c>
      <c r="BJ854" s="25" t="n"/>
      <c r="BK854" s="26" t="n">
        <v>100</v>
      </c>
      <c r="BL854" s="27" t="n">
        <v>2</v>
      </c>
      <c r="BM854" s="28" t="n">
        <v>0.5</v>
      </c>
      <c r="BN854" s="28" t="n"/>
      <c r="BO854" s="28" t="n"/>
      <c r="BP854" s="25" t="n"/>
      <c r="BQ854" s="27" t="n">
        <v>2</v>
      </c>
      <c r="BR854" s="28" t="n">
        <v>0.5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inlineStr">
        <is>
          <t>8f6d704c41b748029c7cc381f23b13629cce3676789c93f2dc5201d8aa859b19</t>
        </is>
      </c>
      <c r="DE854" s="24" t="inlineStr">
        <is>
          <t>/Users/vincentc9002/model-prediction/data/odds/tennis/2026-09-01/polymarket_snapshots.jsonl</t>
        </is>
      </c>
      <c r="DF854" s="24" t="inlineStr">
        <is>
          <t>550520:2026-09-01T16:03:59.058010Z</t>
        </is>
      </c>
      <c r="DG854" s="24" t="n"/>
      <c r="DH854" s="24" t="n"/>
      <c r="DI854" s="24" t="n"/>
      <c r="DJ854" s="24" t="inlineStr">
        <is>
          <t>0.5</t>
        </is>
      </c>
      <c r="DK854" s="24" t="n"/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905f369595774b81</t>
        </is>
      </c>
      <c r="B855" s="24" t="inlineStr">
        <is>
          <t>2026-09-01T16:06:19.518222Z</t>
        </is>
      </c>
      <c r="C855" s="24" t="inlineStr">
        <is>
          <t>2026-09-01T22:00Z</t>
        </is>
      </c>
      <c r="D855" s="24" t="inlineStr">
        <is>
          <t>189-2026:182642</t>
        </is>
      </c>
      <c r="E855" s="24" t="inlineStr">
        <is>
          <t>TENNIS</t>
        </is>
      </c>
      <c r="F855" s="24" t="inlineStr">
        <is>
          <t>Reese Brantmeier</t>
        </is>
      </c>
      <c r="G855" s="24" t="inlineStr">
        <is>
          <t>Oleksandra Oliynykova</t>
        </is>
      </c>
      <c r="H855" s="24" t="inlineStr">
        <is>
          <t>moneyline</t>
        </is>
      </c>
      <c r="I855" s="24" t="inlineStr">
        <is>
          <t>home</t>
        </is>
      </c>
      <c r="J855" s="25" t="n"/>
      <c r="K855" s="24" t="inlineStr">
        <is>
          <t>polymarket_us</t>
        </is>
      </c>
      <c r="L855" s="26" t="n">
        <v>-104</v>
      </c>
      <c r="M855" s="27" t="n">
        <v>1.961538</v>
      </c>
      <c r="N855" s="28" t="n">
        <v>0.509804</v>
      </c>
      <c r="O855" s="28" t="n">
        <v>0.7445000000000001</v>
      </c>
      <c r="P855" s="28" t="n">
        <v>0.05</v>
      </c>
      <c r="Q855" s="28" t="n">
        <v>0.234696</v>
      </c>
      <c r="R855" s="26" t="n">
        <v>100</v>
      </c>
      <c r="S855" s="29" t="n">
        <v>2</v>
      </c>
      <c r="T855" s="24" t="inlineStr">
        <is>
          <t>tennis-surface-elo-v1</t>
        </is>
      </c>
      <c r="U855" s="24" t="inlineStr">
        <is>
          <t>settled</t>
        </is>
      </c>
      <c r="V855" s="24" t="inlineStr">
        <is>
          <t>win</t>
        </is>
      </c>
      <c r="W855" s="26" t="n">
        <v>0</v>
      </c>
      <c r="X855" s="26" t="n">
        <v>1</v>
      </c>
      <c r="Y855" s="25" t="n"/>
      <c r="Z855" s="26" t="n">
        <v>-104</v>
      </c>
      <c r="AA855" s="28" t="n">
        <v>0.51</v>
      </c>
      <c r="AB855" s="28" t="n">
        <v>0.000196</v>
      </c>
      <c r="AC855" s="30" t="n">
        <v>1.9231</v>
      </c>
      <c r="AD855" s="24" t="inlineStr">
        <is>
          <t>2026-09-02T04:33:41.773587Z</t>
        </is>
      </c>
      <c r="AE855" s="31" t="inlineStr">
        <is>
          <t>Surface-blended Elo on Hard: Reese Brantmeier p=0.256 vs Oleksandra Oliynykova. Executable ask 0.5100 (aec-wta-oleoli-reebra-2026-08-30).</t>
        </is>
      </c>
      <c r="AF855" s="31" t="inlineStr">
        <is>
          <t>Surface-blended Elo model; singles only, WTA+ATP market coverage, not yet locked-holdout qualified -- promoted by explicit operator directive, not genuine walk-forward validation.</t>
        </is>
      </c>
      <c r="AG855" s="24" t="inlineStr">
        <is>
          <t>not_applicable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PAPER_CALL_MODEL_UNVALIDATED</t>
        </is>
      </c>
      <c r="AP855" s="24" t="inlineStr">
        <is>
          <t>Reese Brantmeier</t>
        </is>
      </c>
      <c r="AQ855" s="24" t="inlineStr">
        <is>
          <t>Reese Brantmeier</t>
        </is>
      </c>
      <c r="AR855" s="24" t="inlineStr">
        <is>
          <t>Reese Brantmeier</t>
        </is>
      </c>
      <c r="AS855" s="24" t="inlineStr">
        <is>
          <t>Oleksandra Oliynykova</t>
        </is>
      </c>
      <c r="AT855" s="24" t="inlineStr">
        <is>
          <t>Oleksandra Oliynykova</t>
        </is>
      </c>
      <c r="AU855" s="24" t="inlineStr">
        <is>
          <t>Oleksandra Oliynykova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0ce66f49b381187fe6255a40ca2fdbfc155d5e36125ccf6d30fe81a72962eafa</t>
        </is>
      </c>
      <c r="BB855" s="24" t="inlineStr">
        <is>
          <t>surface_blended_elo</t>
        </is>
      </c>
      <c r="BC855" s="24" t="inlineStr">
        <is>
          <t>tennis-surface-elo-v1</t>
        </is>
      </c>
      <c r="BD855" s="24" t="inlineStr">
        <is>
          <t>0ce66f49b381187fe6255a40ca2fdbfc155d5e36125ccf6d30fe81a72962eafa</t>
        </is>
      </c>
      <c r="BE855" s="24" t="inlineStr">
        <is>
          <t>tennis-surface-elo-v1</t>
        </is>
      </c>
      <c r="BF855" s="24" t="inlineStr">
        <is>
          <t>1</t>
        </is>
      </c>
      <c r="BG855" s="24" t="inlineStr">
        <is>
          <t>0ce66f49b381187fe6255a40ca2fdbfc155d5e36125ccf6d30fe81a72962eafa</t>
        </is>
      </c>
      <c r="BH855" s="24" t="inlineStr">
        <is>
          <t>2026-09-01T16:03:59.096554Z</t>
        </is>
      </c>
      <c r="BI855" s="24" t="inlineStr">
        <is>
          <t>["same_event","same_team_same_day","same_league_same_day"]</t>
        </is>
      </c>
      <c r="BJ855" s="25" t="n"/>
      <c r="BK855" s="26" t="n">
        <v>-104</v>
      </c>
      <c r="BL855" s="27" t="n">
        <v>1.961538</v>
      </c>
      <c r="BM855" s="28" t="n">
        <v>0.509804</v>
      </c>
      <c r="BN855" s="28" t="n"/>
      <c r="BO855" s="28" t="n"/>
      <c r="BP855" s="25" t="n"/>
      <c r="BQ855" s="27" t="n">
        <v>1.961538</v>
      </c>
      <c r="BR855" s="28" t="n">
        <v>0.51</v>
      </c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inlineStr">
        <is>
          <t>1d2423fe2a797351729479d229ecb09b233ec4bfb78c9d5c2b5e0625c24f11c3</t>
        </is>
      </c>
      <c r="DE855" s="24" t="inlineStr">
        <is>
          <t>/Users/vincentc9002/model-prediction/data/odds/tennis/2026-09-01/polymarket_snapshots.jsonl</t>
        </is>
      </c>
      <c r="DF855" s="24" t="inlineStr">
        <is>
          <t>547306:2026-09-01T16:03:59.096554Z</t>
        </is>
      </c>
      <c r="DG855" s="24" t="n"/>
      <c r="DH855" s="24" t="n"/>
      <c r="DI855" s="24" t="n"/>
      <c r="DJ855" s="24" t="inlineStr">
        <is>
          <t>0.509804</t>
        </is>
      </c>
      <c r="DK855" s="24" t="n"/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c3d19229553a4ccb</t>
        </is>
      </c>
      <c r="B856" s="24" t="inlineStr">
        <is>
          <t>2026-09-01T16:06:19.518222Z</t>
        </is>
      </c>
      <c r="C856" s="24" t="inlineStr">
        <is>
          <t>2026-09-01T23:00Z</t>
        </is>
      </c>
      <c r="D856" s="24" t="inlineStr">
        <is>
          <t>189-2026:182645</t>
        </is>
      </c>
      <c r="E856" s="24" t="inlineStr">
        <is>
          <t>TENNIS</t>
        </is>
      </c>
      <c r="F856" s="24" t="inlineStr">
        <is>
          <t>Coco Gauff</t>
        </is>
      </c>
      <c r="G856" s="24" t="inlineStr">
        <is>
          <t>Zeynep Sonmez</t>
        </is>
      </c>
      <c r="H856" s="24" t="inlineStr">
        <is>
          <t>moneyline</t>
        </is>
      </c>
      <c r="I856" s="24" t="inlineStr">
        <is>
          <t>away</t>
        </is>
      </c>
      <c r="J856" s="25" t="n"/>
      <c r="K856" s="24" t="inlineStr">
        <is>
          <t>polymarket_us</t>
        </is>
      </c>
      <c r="L856" s="26" t="n">
        <v>-1900</v>
      </c>
      <c r="M856" s="27" t="n">
        <v>1.052632</v>
      </c>
      <c r="N856" s="28" t="n">
        <v>0.95</v>
      </c>
      <c r="O856" s="28" t="n">
        <v>0.8307</v>
      </c>
      <c r="P856" s="28" t="n">
        <v>0.05</v>
      </c>
      <c r="Q856" s="28" t="n">
        <v>-0.1193</v>
      </c>
      <c r="R856" s="26" t="n">
        <v>0</v>
      </c>
      <c r="S856" s="29" t="n">
        <v>1</v>
      </c>
      <c r="T856" s="24" t="inlineStr">
        <is>
          <t>tennis-surface-elo-v1</t>
        </is>
      </c>
      <c r="U856" s="24" t="inlineStr">
        <is>
          <t>settled</t>
        </is>
      </c>
      <c r="V856" s="24" t="inlineStr">
        <is>
          <t>win</t>
        </is>
      </c>
      <c r="W856" s="26" t="n">
        <v>1</v>
      </c>
      <c r="X856" s="26" t="n">
        <v>0</v>
      </c>
      <c r="Y856" s="25" t="n"/>
      <c r="Z856" s="26" t="n">
        <v>-1900</v>
      </c>
      <c r="AA856" s="28" t="n">
        <v>0.95</v>
      </c>
      <c r="AB856" s="28" t="n">
        <v>0</v>
      </c>
      <c r="AC856" s="30" t="n">
        <v>0.0526</v>
      </c>
      <c r="AD856" s="24" t="inlineStr">
        <is>
          <t>2026-09-02T04:33:42.525104Z</t>
        </is>
      </c>
      <c r="AE856" s="31" t="inlineStr">
        <is>
          <t>Surface-blended Elo on Hard: Coco Gauff p=0.831 vs Zeynep Sonmez. Executable ask 0.9500 (aec-wta-zeyson-cocgau-2026-08-30).</t>
        </is>
      </c>
      <c r="AF856" s="31" t="inlineStr">
        <is>
          <t>Surface-blended Elo model; singles only, WTA+ATP market coverage, not yet locked-holdout qualified -- promoted by explicit operator directive, not genuine walk-forward validation.</t>
        </is>
      </c>
      <c r="AG856" s="24" t="inlineStr">
        <is>
          <t>not_applicable</t>
        </is>
      </c>
      <c r="AH856" s="24" t="n"/>
      <c r="AI856" s="31" t="n"/>
      <c r="AJ856" s="31" t="n"/>
      <c r="AK856" s="24" t="inlineStr">
        <is>
          <t>paper_call</t>
        </is>
      </c>
      <c r="AL856" s="26" t="n">
        <v>4</v>
      </c>
      <c r="AM856" s="24" t="inlineStr">
        <is>
          <t>RESEARCH_OBSERVATION</t>
        </is>
      </c>
      <c r="AN856" s="24" t="inlineStr">
        <is>
          <t>CALL</t>
        </is>
      </c>
      <c r="AO856" s="24" t="inlineStr">
        <is>
          <t>PAPER_CALL_LOW_EDGE</t>
        </is>
      </c>
      <c r="AP856" s="24" t="inlineStr">
        <is>
          <t>Coco Gauff</t>
        </is>
      </c>
      <c r="AQ856" s="24" t="inlineStr">
        <is>
          <t>Coco Gauff</t>
        </is>
      </c>
      <c r="AR856" s="24" t="inlineStr">
        <is>
          <t>Coco Gauff</t>
        </is>
      </c>
      <c r="AS856" s="24" t="inlineStr">
        <is>
          <t>Zeynep Sonmez</t>
        </is>
      </c>
      <c r="AT856" s="24" t="inlineStr">
        <is>
          <t>Zeynep Sonmez</t>
        </is>
      </c>
      <c r="AU856" s="24" t="inlineStr">
        <is>
          <t>Zeynep Sonmez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0ce66f49b381187fe6255a40ca2fdbfc155d5e36125ccf6d30fe81a72962eafa</t>
        </is>
      </c>
      <c r="BB856" s="24" t="inlineStr">
        <is>
          <t>surface_blended_elo</t>
        </is>
      </c>
      <c r="BC856" s="24" t="inlineStr">
        <is>
          <t>tennis-surface-elo-v1</t>
        </is>
      </c>
      <c r="BD856" s="24" t="inlineStr">
        <is>
          <t>0ce66f49b381187fe6255a40ca2fdbfc155d5e36125ccf6d30fe81a72962eafa</t>
        </is>
      </c>
      <c r="BE856" s="24" t="inlineStr">
        <is>
          <t>tennis-surface-elo-v1</t>
        </is>
      </c>
      <c r="BF856" s="24" t="inlineStr">
        <is>
          <t>1</t>
        </is>
      </c>
      <c r="BG856" s="24" t="inlineStr">
        <is>
          <t>0ce66f49b381187fe6255a40ca2fdbfc155d5e36125ccf6d30fe81a72962eafa</t>
        </is>
      </c>
      <c r="BH856" s="24" t="inlineStr">
        <is>
          <t>2026-09-01T16:03:59.130246Z</t>
        </is>
      </c>
      <c r="BI856" s="24" t="inlineStr">
        <is>
          <t>["same_event","same_team_same_day","same_league_same_day"]</t>
        </is>
      </c>
      <c r="BJ856" s="25" t="n"/>
      <c r="BK856" s="26" t="n">
        <v>-1900</v>
      </c>
      <c r="BL856" s="27" t="n">
        <v>1.052632</v>
      </c>
      <c r="BM856" s="28" t="n">
        <v>0.95</v>
      </c>
      <c r="BN856" s="28" t="n"/>
      <c r="BO856" s="28" t="n"/>
      <c r="BP856" s="25" t="n"/>
      <c r="BQ856" s="27" t="n">
        <v>1.052632</v>
      </c>
      <c r="BR856" s="28" t="n">
        <v>0.95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inlineStr">
        <is>
          <t>c7c162898be1b9f22eb337587057b8b15423877cf1d41144e96abb273ff00155</t>
        </is>
      </c>
      <c r="DE856" s="24" t="inlineStr">
        <is>
          <t>/Users/vincentc9002/model-prediction/data/odds/tennis/2026-09-01/polymarket_snapshots.jsonl</t>
        </is>
      </c>
      <c r="DF856" s="24" t="inlineStr">
        <is>
          <t>547311:2026-09-01T16:03:59.130246Z</t>
        </is>
      </c>
      <c r="DG856" s="24" t="n"/>
      <c r="DH856" s="24" t="n"/>
      <c r="DI856" s="24" t="n"/>
      <c r="DJ856" s="24" t="inlineStr">
        <is>
          <t>0.95</t>
        </is>
      </c>
      <c r="DK856" s="24" t="n"/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e63d5cfa595e48a3</t>
        </is>
      </c>
      <c r="B857" s="24" t="inlineStr">
        <is>
          <t>2026-09-01T16:06:19.518222Z</t>
        </is>
      </c>
      <c r="C857" s="24" t="inlineStr">
        <is>
          <t>2026-09-02T01:00Z</t>
        </is>
      </c>
      <c r="D857" s="24" t="inlineStr">
        <is>
          <t>189-2026:182639</t>
        </is>
      </c>
      <c r="E857" s="24" t="inlineStr">
        <is>
          <t>TENNIS</t>
        </is>
      </c>
      <c r="F857" s="24" t="inlineStr">
        <is>
          <t>Alexandra Eala</t>
        </is>
      </c>
      <c r="G857" s="24" t="inlineStr">
        <is>
          <t>Mary Stoiana</t>
        </is>
      </c>
      <c r="H857" s="24" t="inlineStr">
        <is>
          <t>moneyline</t>
        </is>
      </c>
      <c r="I857" s="24" t="inlineStr">
        <is>
          <t>away</t>
        </is>
      </c>
      <c r="J857" s="25" t="n"/>
      <c r="K857" s="24" t="inlineStr">
        <is>
          <t>polymarket_us</t>
        </is>
      </c>
      <c r="L857" s="26" t="n">
        <v>-400</v>
      </c>
      <c r="M857" s="27" t="n">
        <v>1.25</v>
      </c>
      <c r="N857" s="28" t="n">
        <v>0.8</v>
      </c>
      <c r="O857" s="28" t="n">
        <v>0.6203</v>
      </c>
      <c r="P857" s="28" t="n">
        <v>0.05</v>
      </c>
      <c r="Q857" s="28" t="n">
        <v>-0.1797</v>
      </c>
      <c r="R857" s="26" t="n">
        <v>0</v>
      </c>
      <c r="S857" s="29" t="n">
        <v>1</v>
      </c>
      <c r="T857" s="24" t="inlineStr">
        <is>
          <t>tennis-surface-elo-v1</t>
        </is>
      </c>
      <c r="U857" s="24" t="inlineStr">
        <is>
          <t>settled</t>
        </is>
      </c>
      <c r="V857" s="24" t="inlineStr">
        <is>
          <t>win</t>
        </is>
      </c>
      <c r="W857" s="26" t="n">
        <v>1</v>
      </c>
      <c r="X857" s="26" t="n">
        <v>0</v>
      </c>
      <c r="Y857" s="25" t="n"/>
      <c r="Z857" s="26" t="n">
        <v>-400</v>
      </c>
      <c r="AA857" s="28" t="n">
        <v>0.8</v>
      </c>
      <c r="AB857" s="28" t="n">
        <v>0</v>
      </c>
      <c r="AC857" s="30" t="n">
        <v>0.25</v>
      </c>
      <c r="AD857" s="24" t="inlineStr">
        <is>
          <t>2026-09-02T04:33:44.236788Z</t>
        </is>
      </c>
      <c r="AE857" s="31" t="inlineStr">
        <is>
          <t>Surface-blended Elo on Hard: Alexandra Eala p=0.620 vs Mary Stoiana. Executable ask 0.8000 (aec-wta-marsto-aleeal-2026-08-30).</t>
        </is>
      </c>
      <c r="AF857" s="31" t="inlineStr">
        <is>
          <t>Surface-blended Elo model; singles only, WTA+ATP market coverage, not yet locked-holdout qualified -- promoted by explicit operator directive, not genuine walk-forward validation.</t>
        </is>
      </c>
      <c r="AG857" s="24" t="inlineStr">
        <is>
          <t>not_applicable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PAPER_CALL_LOW_EDGE</t>
        </is>
      </c>
      <c r="AP857" s="24" t="inlineStr">
        <is>
          <t>Alexandra Eala</t>
        </is>
      </c>
      <c r="AQ857" s="24" t="inlineStr">
        <is>
          <t>Alexandra Eala</t>
        </is>
      </c>
      <c r="AR857" s="24" t="inlineStr">
        <is>
          <t>Alexandra Eala</t>
        </is>
      </c>
      <c r="AS857" s="24" t="inlineStr">
        <is>
          <t>Mary Stoiana</t>
        </is>
      </c>
      <c r="AT857" s="24" t="inlineStr">
        <is>
          <t>Mary Stoiana</t>
        </is>
      </c>
      <c r="AU857" s="24" t="inlineStr">
        <is>
          <t>Mary Stoiana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0ce66f49b381187fe6255a40ca2fdbfc155d5e36125ccf6d30fe81a72962eafa</t>
        </is>
      </c>
      <c r="BB857" s="24" t="inlineStr">
        <is>
          <t>surface_blended_elo</t>
        </is>
      </c>
      <c r="BC857" s="24" t="inlineStr">
        <is>
          <t>tennis-surface-elo-v1</t>
        </is>
      </c>
      <c r="BD857" s="24" t="inlineStr">
        <is>
          <t>0ce66f49b381187fe6255a40ca2fdbfc155d5e36125ccf6d30fe81a72962eafa</t>
        </is>
      </c>
      <c r="BE857" s="24" t="inlineStr">
        <is>
          <t>tennis-surface-elo-v1</t>
        </is>
      </c>
      <c r="BF857" s="24" t="inlineStr">
        <is>
          <t>1</t>
        </is>
      </c>
      <c r="BG857" s="24" t="inlineStr">
        <is>
          <t>0ce66f49b381187fe6255a40ca2fdbfc155d5e36125ccf6d30fe81a72962eafa</t>
        </is>
      </c>
      <c r="BH857" s="24" t="inlineStr">
        <is>
          <t>2026-09-01T13:48:08.239184Z</t>
        </is>
      </c>
      <c r="BI857" s="24" t="inlineStr">
        <is>
          <t>["same_event","same_team_same_day","same_league_same_day"]</t>
        </is>
      </c>
      <c r="BJ857" s="25" t="n"/>
      <c r="BK857" s="26" t="n">
        <v>-400</v>
      </c>
      <c r="BL857" s="27" t="n">
        <v>1.25</v>
      </c>
      <c r="BM857" s="28" t="n">
        <v>0.8</v>
      </c>
      <c r="BN857" s="28" t="n"/>
      <c r="BO857" s="28" t="n"/>
      <c r="BP857" s="25" t="n"/>
      <c r="BQ857" s="27" t="n">
        <v>1.25</v>
      </c>
      <c r="BR857" s="28" t="n">
        <v>0.8</v>
      </c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False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inlineStr">
        <is>
          <t>13957e7f79f4c1d55e3371bde62fb01ca69b476556e7210a7860ebc9ed944207</t>
        </is>
      </c>
      <c r="DE857" s="24" t="inlineStr">
        <is>
          <t>/Users/vincentc9002/model-prediction/data/odds/tennis/2026-09-01/polymarket_snapshots.jsonl</t>
        </is>
      </c>
      <c r="DF857" s="24" t="inlineStr">
        <is>
          <t>550522:2026-09-01T13:48:08.239184Z</t>
        </is>
      </c>
      <c r="DG857" s="24" t="n"/>
      <c r="DH857" s="24" t="n"/>
      <c r="DI857" s="24" t="n"/>
      <c r="DJ857" s="24" t="inlineStr">
        <is>
          <t>0.8</t>
        </is>
      </c>
      <c r="DK857" s="24" t="n"/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e0f818db54f640b0</t>
        </is>
      </c>
      <c r="B858" s="24" t="inlineStr">
        <is>
          <t>2026-09-01T16:06:19.518222Z</t>
        </is>
      </c>
      <c r="C858" s="24" t="inlineStr">
        <is>
          <t>2026-09-01T17:00Z</t>
        </is>
      </c>
      <c r="D858" s="24" t="inlineStr">
        <is>
          <t>189-2026:182732</t>
        </is>
      </c>
      <c r="E858" s="24" t="inlineStr">
        <is>
          <t>TENNIS</t>
        </is>
      </c>
      <c r="F858" s="24" t="inlineStr">
        <is>
          <t>Darwin Blanch</t>
        </is>
      </c>
      <c r="G858" s="24" t="inlineStr">
        <is>
          <t>Taylor Fritz</t>
        </is>
      </c>
      <c r="H858" s="24" t="inlineStr">
        <is>
          <t>moneyline</t>
        </is>
      </c>
      <c r="I858" s="24" t="inlineStr">
        <is>
          <t>home</t>
        </is>
      </c>
      <c r="J858" s="25" t="n"/>
      <c r="K858" s="24" t="inlineStr">
        <is>
          <t>polymarket_us</t>
        </is>
      </c>
      <c r="L858" s="26" t="n">
        <v>-3233</v>
      </c>
      <c r="M858" s="27" t="n">
        <v>1.030931</v>
      </c>
      <c r="N858" s="28" t="n">
        <v>0.969997</v>
      </c>
      <c r="O858" s="28" t="n">
        <v>0.851</v>
      </c>
      <c r="P858" s="28" t="n">
        <v>0.05</v>
      </c>
      <c r="Q858" s="28" t="n">
        <v>-0.118997</v>
      </c>
      <c r="R858" s="26" t="n">
        <v>0</v>
      </c>
      <c r="S858" s="29" t="n">
        <v>1</v>
      </c>
      <c r="T858" s="24" t="inlineStr">
        <is>
          <t>tennis-surface-elo-v1</t>
        </is>
      </c>
      <c r="U858" s="24" t="inlineStr">
        <is>
          <t>settled</t>
        </is>
      </c>
      <c r="V858" s="24" t="inlineStr">
        <is>
          <t>win</t>
        </is>
      </c>
      <c r="W858" s="26" t="n">
        <v>0</v>
      </c>
      <c r="X858" s="26" t="n">
        <v>1</v>
      </c>
      <c r="Y858" s="25" t="n"/>
      <c r="Z858" s="26" t="n">
        <v>-3233</v>
      </c>
      <c r="AA858" s="28" t="n">
        <v>0.97</v>
      </c>
      <c r="AB858" s="28" t="n">
        <v>3e-06</v>
      </c>
      <c r="AC858" s="30" t="n">
        <v>0.0309</v>
      </c>
      <c r="AD858" s="24" t="inlineStr">
        <is>
          <t>2026-09-02T04:33:48.927177Z</t>
        </is>
      </c>
      <c r="AE858" s="31" t="inlineStr">
        <is>
          <t>Surface-blended Elo on Hard: Darwin Blanch p=0.149 vs Taylor Fritz. Executable ask 0.9700 (aec-atp-tayfri-darbla-2026-08-30).</t>
        </is>
      </c>
      <c r="AF858" s="31" t="inlineStr">
        <is>
          <t>Surface-blended Elo model; singles only, WTA+ATP market coverage, not yet locked-holdout qualified -- promoted by explicit operator directive, not genuine walk-forward validation.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PAPER_CALL_LOW_EDGE</t>
        </is>
      </c>
      <c r="AP858" s="24" t="inlineStr">
        <is>
          <t>Darwin Blanch</t>
        </is>
      </c>
      <c r="AQ858" s="24" t="inlineStr">
        <is>
          <t>Darwin Blanch</t>
        </is>
      </c>
      <c r="AR858" s="24" t="inlineStr">
        <is>
          <t>Darwin Blanch</t>
        </is>
      </c>
      <c r="AS858" s="24" t="inlineStr">
        <is>
          <t>Taylor Fritz</t>
        </is>
      </c>
      <c r="AT858" s="24" t="inlineStr">
        <is>
          <t>Taylor Fritz</t>
        </is>
      </c>
      <c r="AU858" s="24" t="inlineStr">
        <is>
          <t>Taylor Fritz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0ce66f49b381187fe6255a40ca2fdbfc155d5e36125ccf6d30fe81a72962eafa</t>
        </is>
      </c>
      <c r="BB858" s="24" t="inlineStr">
        <is>
          <t>surface_blended_elo</t>
        </is>
      </c>
      <c r="BC858" s="24" t="inlineStr">
        <is>
          <t>tennis-surface-elo-v1</t>
        </is>
      </c>
      <c r="BD858" s="24" t="inlineStr">
        <is>
          <t>0ce66f49b381187fe6255a40ca2fdbfc155d5e36125ccf6d30fe81a72962eafa</t>
        </is>
      </c>
      <c r="BE858" s="24" t="inlineStr">
        <is>
          <t>tennis-surface-elo-v1</t>
        </is>
      </c>
      <c r="BF858" s="24" t="inlineStr">
        <is>
          <t>1</t>
        </is>
      </c>
      <c r="BG858" s="24" t="inlineStr">
        <is>
          <t>0ce66f49b381187fe6255a40ca2fdbfc155d5e36125ccf6d30fe81a72962eafa</t>
        </is>
      </c>
      <c r="BH858" s="24" t="inlineStr">
        <is>
          <t>2026-09-01T16:03:59.614815Z</t>
        </is>
      </c>
      <c r="BI858" s="24" t="inlineStr">
        <is>
          <t>["same_event","same_team_same_day","same_league_same_day"]</t>
        </is>
      </c>
      <c r="BJ858" s="25" t="n"/>
      <c r="BK858" s="26" t="n">
        <v>-3233</v>
      </c>
      <c r="BL858" s="27" t="n">
        <v>1.030931</v>
      </c>
      <c r="BM858" s="28" t="n">
        <v>0.969997</v>
      </c>
      <c r="BN858" s="28" t="n"/>
      <c r="BO858" s="28" t="n"/>
      <c r="BP858" s="25" t="n"/>
      <c r="BQ858" s="27" t="n">
        <v>1.030931</v>
      </c>
      <c r="BR858" s="28" t="n">
        <v>0.97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False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inlineStr">
        <is>
          <t>856b0fb6e896e49af3421169f9900679d97d4e95a5f3c386032de99253d3ead0</t>
        </is>
      </c>
      <c r="DE858" s="24" t="inlineStr">
        <is>
          <t>/Users/vincentc9002/model-prediction/data/odds/tennis/2026-09-01/polymarket_snapshots.jsonl</t>
        </is>
      </c>
      <c r="DF858" s="24" t="inlineStr">
        <is>
          <t>547285:2026-09-01T16:03:59.614815Z</t>
        </is>
      </c>
      <c r="DG858" s="24" t="n"/>
      <c r="DH858" s="24" t="n"/>
      <c r="DI858" s="24" t="n"/>
      <c r="DJ858" s="24" t="inlineStr">
        <is>
          <t>0.969997</t>
        </is>
      </c>
      <c r="DK858" s="24" t="n"/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d25cae4fec934755</t>
        </is>
      </c>
      <c r="B859" s="24" t="inlineStr">
        <is>
          <t>2026-09-01T16:06:19.518222Z</t>
        </is>
      </c>
      <c r="C859" s="24" t="inlineStr">
        <is>
          <t>2026-09-01T18:00Z</t>
        </is>
      </c>
      <c r="D859" s="24" t="inlineStr">
        <is>
          <t>189-2026:182685</t>
        </is>
      </c>
      <c r="E859" s="24" t="inlineStr">
        <is>
          <t>TENNIS</t>
        </is>
      </c>
      <c r="F859" s="24" t="inlineStr">
        <is>
          <t>Carlos Taberner</t>
        </is>
      </c>
      <c r="G859" s="24" t="inlineStr">
        <is>
          <t>Zizou Bergs</t>
        </is>
      </c>
      <c r="H859" s="24" t="inlineStr">
        <is>
          <t>moneyline</t>
        </is>
      </c>
      <c r="I859" s="24" t="inlineStr">
        <is>
          <t>home</t>
        </is>
      </c>
      <c r="J859" s="25" t="n"/>
      <c r="K859" s="24" t="inlineStr">
        <is>
          <t>polymarket_us</t>
        </is>
      </c>
      <c r="L859" s="26" t="n">
        <v>-1567</v>
      </c>
      <c r="M859" s="27" t="n">
        <v>1.063816</v>
      </c>
      <c r="N859" s="28" t="n">
        <v>0.940012</v>
      </c>
      <c r="O859" s="28" t="n">
        <v>0.6327</v>
      </c>
      <c r="P859" s="28" t="n">
        <v>0.05</v>
      </c>
      <c r="Q859" s="28" t="n">
        <v>-0.307312</v>
      </c>
      <c r="R859" s="26" t="n">
        <v>0</v>
      </c>
      <c r="S859" s="29" t="n">
        <v>1</v>
      </c>
      <c r="T859" s="24" t="inlineStr">
        <is>
          <t>tennis-surface-elo-v1</t>
        </is>
      </c>
      <c r="U859" s="24" t="inlineStr">
        <is>
          <t>settled</t>
        </is>
      </c>
      <c r="V859" s="24" t="inlineStr">
        <is>
          <t>win</t>
        </is>
      </c>
      <c r="W859" s="26" t="n">
        <v>0</v>
      </c>
      <c r="X859" s="26" t="n">
        <v>1</v>
      </c>
      <c r="Y859" s="25" t="n"/>
      <c r="Z859" s="26" t="n">
        <v>-1567</v>
      </c>
      <c r="AA859" s="28" t="n">
        <v>0.9399999999999999</v>
      </c>
      <c r="AB859" s="28" t="n">
        <v>-1.2e-05</v>
      </c>
      <c r="AC859" s="30" t="n">
        <v>0.0638</v>
      </c>
      <c r="AD859" s="24" t="inlineStr">
        <is>
          <t>2026-09-03T04:31:41.029715Z</t>
        </is>
      </c>
      <c r="AE859" s="31" t="inlineStr">
        <is>
          <t>Surface-blended Elo on Hard: Carlos Taberner p=0.367 vs Zizou Bergs. Executable ask 0.9400 (aec-atp-zizber-cartab-2026-08-30).</t>
        </is>
      </c>
      <c r="AF859" s="31" t="inlineStr">
        <is>
          <t>Surface-blended Elo model; singles only, WTA+ATP market coverage, not yet locked-holdout qualified -- promoted by explicit operator directive, not genuine walk-forward validation.</t>
        </is>
      </c>
      <c r="AG859" s="24" t="inlineStr">
        <is>
          <t>not_applicable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PAPER_CALL_LOW_EDGE</t>
        </is>
      </c>
      <c r="AP859" s="24" t="inlineStr">
        <is>
          <t>Carlos Taberner</t>
        </is>
      </c>
      <c r="AQ859" s="24" t="inlineStr">
        <is>
          <t>Carlos Taberner</t>
        </is>
      </c>
      <c r="AR859" s="24" t="inlineStr">
        <is>
          <t>Carlos Taberner</t>
        </is>
      </c>
      <c r="AS859" s="24" t="inlineStr">
        <is>
          <t>Zizou Bergs</t>
        </is>
      </c>
      <c r="AT859" s="24" t="inlineStr">
        <is>
          <t>Zizou Bergs</t>
        </is>
      </c>
      <c r="AU859" s="24" t="inlineStr">
        <is>
          <t>Zizou Bergs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0ce66f49b381187fe6255a40ca2fdbfc155d5e36125ccf6d30fe81a72962eafa</t>
        </is>
      </c>
      <c r="BB859" s="24" t="inlineStr">
        <is>
          <t>surface_blended_elo</t>
        </is>
      </c>
      <c r="BC859" s="24" t="inlineStr">
        <is>
          <t>tennis-surface-elo-v1</t>
        </is>
      </c>
      <c r="BD859" s="24" t="inlineStr">
        <is>
          <t>0ce66f49b381187fe6255a40ca2fdbfc155d5e36125ccf6d30fe81a72962eafa</t>
        </is>
      </c>
      <c r="BE859" s="24" t="inlineStr">
        <is>
          <t>tennis-surface-elo-v1</t>
        </is>
      </c>
      <c r="BF859" s="24" t="inlineStr">
        <is>
          <t>1</t>
        </is>
      </c>
      <c r="BG859" s="24" t="inlineStr">
        <is>
          <t>0ce66f49b381187fe6255a40ca2fdbfc155d5e36125ccf6d30fe81a72962eafa</t>
        </is>
      </c>
      <c r="BH859" s="24" t="inlineStr">
        <is>
          <t>2026-09-01T16:03:59.527887Z</t>
        </is>
      </c>
      <c r="BI859" s="24" t="inlineStr">
        <is>
          <t>["same_event","same_team_same_day","same_league_same_day"]</t>
        </is>
      </c>
      <c r="BJ859" s="25" t="n"/>
      <c r="BK859" s="26" t="n">
        <v>-1567</v>
      </c>
      <c r="BL859" s="27" t="n">
        <v>1.063816</v>
      </c>
      <c r="BM859" s="28" t="n">
        <v>0.940012</v>
      </c>
      <c r="BN859" s="28" t="n"/>
      <c r="BO859" s="28" t="n"/>
      <c r="BP859" s="25" t="n"/>
      <c r="BQ859" s="27" t="n">
        <v>1.063816</v>
      </c>
      <c r="BR859" s="28" t="n">
        <v>0.9399999999999999</v>
      </c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False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inlineStr">
        <is>
          <t>d66059e5887e4b13a254bbd77ecea1a57368b3b5028685113cb50666f600af48</t>
        </is>
      </c>
      <c r="DE859" s="24" t="inlineStr">
        <is>
          <t>/Users/vincentc9002/model-prediction/data/odds/tennis/2026-09-01/polymarket_snapshots.jsonl</t>
        </is>
      </c>
      <c r="DF859" s="24" t="inlineStr">
        <is>
          <t>547271:2026-09-01T16:03:59.527887Z</t>
        </is>
      </c>
      <c r="DG859" s="24" t="n"/>
      <c r="DH859" s="24" t="n"/>
      <c r="DI859" s="24" t="n"/>
      <c r="DJ859" s="24" t="inlineStr">
        <is>
          <t>0.940012</t>
        </is>
      </c>
      <c r="DK859" s="24" t="n"/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944e6c67ddfb4c73</t>
        </is>
      </c>
      <c r="B860" s="24" t="inlineStr">
        <is>
          <t>2026-09-01T16:06:19.518222Z</t>
        </is>
      </c>
      <c r="C860" s="24" t="inlineStr">
        <is>
          <t>2026-09-01T18:00Z</t>
        </is>
      </c>
      <c r="D860" s="24" t="inlineStr">
        <is>
          <t>189-2026:182694</t>
        </is>
      </c>
      <c r="E860" s="24" t="inlineStr">
        <is>
          <t>TENNIS</t>
        </is>
      </c>
      <c r="F860" s="24" t="inlineStr">
        <is>
          <t>Jan-Lennard Struff</t>
        </is>
      </c>
      <c r="G860" s="24" t="inlineStr">
        <is>
          <t>Camilo Ugo Carabelli</t>
        </is>
      </c>
      <c r="H860" s="24" t="inlineStr">
        <is>
          <t>moneyline</t>
        </is>
      </c>
      <c r="I860" s="24" t="inlineStr">
        <is>
          <t>away</t>
        </is>
      </c>
      <c r="J860" s="25" t="n"/>
      <c r="K860" s="24" t="inlineStr">
        <is>
          <t>polymarket_us</t>
        </is>
      </c>
      <c r="L860" s="26" t="n">
        <v>-194</v>
      </c>
      <c r="M860" s="27" t="n">
        <v>1.515464</v>
      </c>
      <c r="N860" s="28" t="n">
        <v>0.659864</v>
      </c>
      <c r="O860" s="28" t="n">
        <v>0.5732</v>
      </c>
      <c r="P860" s="28" t="n">
        <v>0.05</v>
      </c>
      <c r="Q860" s="28" t="n">
        <v>-0.086664</v>
      </c>
      <c r="R860" s="26" t="n">
        <v>0</v>
      </c>
      <c r="S860" s="29" t="n">
        <v>1</v>
      </c>
      <c r="T860" s="24" t="inlineStr">
        <is>
          <t>tennis-surface-elo-v1</t>
        </is>
      </c>
      <c r="U860" s="24" t="inlineStr">
        <is>
          <t>settled</t>
        </is>
      </c>
      <c r="V860" s="24" t="inlineStr">
        <is>
          <t>win</t>
        </is>
      </c>
      <c r="W860" s="26" t="n">
        <v>1</v>
      </c>
      <c r="X860" s="26" t="n">
        <v>0</v>
      </c>
      <c r="Y860" s="25" t="n"/>
      <c r="Z860" s="26" t="n">
        <v>-194</v>
      </c>
      <c r="AA860" s="28" t="n">
        <v>0.66</v>
      </c>
      <c r="AB860" s="28" t="n">
        <v>0.000136</v>
      </c>
      <c r="AC860" s="30" t="n">
        <v>0.5155</v>
      </c>
      <c r="AD860" s="24" t="inlineStr">
        <is>
          <t>2026-09-02T04:33:49.759671Z</t>
        </is>
      </c>
      <c r="AE860" s="31" t="inlineStr">
        <is>
          <t>Surface-blended Elo on Hard: Jan-Lennard Struff p=0.573 vs Camilo Ugo Carabelli. Executable ask 0.6600 (aec-atp-camcar-janstr-2026-08-30).</t>
        </is>
      </c>
      <c r="AF860" s="31" t="inlineStr">
        <is>
          <t>Surface-blended Elo model; singles only, WTA+ATP market coverage, not yet locked-holdout qualified -- promoted by explicit operator directive, not genuine walk-forward validation.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paper_call</t>
        </is>
      </c>
      <c r="AL860" s="26" t="n">
        <v>4</v>
      </c>
      <c r="AM860" s="24" t="inlineStr">
        <is>
          <t>RESEARCH_OBSERVATION</t>
        </is>
      </c>
      <c r="AN860" s="24" t="inlineStr">
        <is>
          <t>CALL</t>
        </is>
      </c>
      <c r="AO860" s="24" t="inlineStr">
        <is>
          <t>PAPER_CALL_LOW_EDGE</t>
        </is>
      </c>
      <c r="AP860" s="24" t="inlineStr">
        <is>
          <t>Jan-Lennard Struff</t>
        </is>
      </c>
      <c r="AQ860" s="24" t="inlineStr">
        <is>
          <t>Jan-Lennard Struff</t>
        </is>
      </c>
      <c r="AR860" s="24" t="inlineStr">
        <is>
          <t>Jan-Lennard Struff</t>
        </is>
      </c>
      <c r="AS860" s="24" t="inlineStr">
        <is>
          <t>Camilo Ugo Carabelli</t>
        </is>
      </c>
      <c r="AT860" s="24" t="inlineStr">
        <is>
          <t>Camilo Ugo Carabelli</t>
        </is>
      </c>
      <c r="AU860" s="24" t="inlineStr">
        <is>
          <t>Camilo Ugo Carabelli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0ce66f49b381187fe6255a40ca2fdbfc155d5e36125ccf6d30fe81a72962eafa</t>
        </is>
      </c>
      <c r="BB860" s="24" t="inlineStr">
        <is>
          <t>surface_blended_elo</t>
        </is>
      </c>
      <c r="BC860" s="24" t="inlineStr">
        <is>
          <t>tennis-surface-elo-v1</t>
        </is>
      </c>
      <c r="BD860" s="24" t="inlineStr">
        <is>
          <t>0ce66f49b381187fe6255a40ca2fdbfc155d5e36125ccf6d30fe81a72962eafa</t>
        </is>
      </c>
      <c r="BE860" s="24" t="inlineStr">
        <is>
          <t>tennis-surface-elo-v1</t>
        </is>
      </c>
      <c r="BF860" s="24" t="inlineStr">
        <is>
          <t>1</t>
        </is>
      </c>
      <c r="BG860" s="24" t="inlineStr">
        <is>
          <t>0ce66f49b381187fe6255a40ca2fdbfc155d5e36125ccf6d30fe81a72962eafa</t>
        </is>
      </c>
      <c r="BH860" s="24" t="inlineStr">
        <is>
          <t>2026-09-01T16:03:59.450993Z</t>
        </is>
      </c>
      <c r="BI860" s="24" t="inlineStr">
        <is>
          <t>["same_event","same_team_same_day","same_league_same_day"]</t>
        </is>
      </c>
      <c r="BJ860" s="25" t="n"/>
      <c r="BK860" s="26" t="n">
        <v>-194</v>
      </c>
      <c r="BL860" s="27" t="n">
        <v>1.515464</v>
      </c>
      <c r="BM860" s="28" t="n">
        <v>0.659864</v>
      </c>
      <c r="BN860" s="28" t="n"/>
      <c r="BO860" s="28" t="n"/>
      <c r="BP860" s="25" t="n"/>
      <c r="BQ860" s="27" t="n">
        <v>1.515464</v>
      </c>
      <c r="BR860" s="28" t="n">
        <v>0.66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inlineStr">
        <is>
          <t>c89e2bb1d164f56fe33095e33c5cbf4caad78a32873351491a2946b8fc0f3449</t>
        </is>
      </c>
      <c r="DE860" s="24" t="inlineStr">
        <is>
          <t>/Users/vincentc9002/model-prediction/data/odds/tennis/2026-09-01/polymarket_snapshots.jsonl</t>
        </is>
      </c>
      <c r="DF860" s="24" t="inlineStr">
        <is>
          <t>547287:2026-09-01T16:03:59.450993Z</t>
        </is>
      </c>
      <c r="DG860" s="24" t="n"/>
      <c r="DH860" s="24" t="n"/>
      <c r="DI860" s="24" t="n"/>
      <c r="DJ860" s="24" t="inlineStr">
        <is>
          <t>0.659864</t>
        </is>
      </c>
      <c r="DK860" s="24" t="n"/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c9327e1d33d54cd0</t>
        </is>
      </c>
      <c r="B861" s="24" t="inlineStr">
        <is>
          <t>2026-09-01T16:06:19.518222Z</t>
        </is>
      </c>
      <c r="C861" s="24" t="inlineStr">
        <is>
          <t>2026-09-01T18:00Z</t>
        </is>
      </c>
      <c r="D861" s="24" t="inlineStr">
        <is>
          <t>189-2026:182702</t>
        </is>
      </c>
      <c r="E861" s="24" t="inlineStr">
        <is>
          <t>TENNIS</t>
        </is>
      </c>
      <c r="F861" s="24" t="inlineStr">
        <is>
          <t>Lorenzo Musetti</t>
        </is>
      </c>
      <c r="G861" s="24" t="inlineStr">
        <is>
          <t>Arthur Fery</t>
        </is>
      </c>
      <c r="H861" s="24" t="inlineStr">
        <is>
          <t>moneyline</t>
        </is>
      </c>
      <c r="I861" s="24" t="inlineStr">
        <is>
          <t>away</t>
        </is>
      </c>
      <c r="J861" s="25" t="n"/>
      <c r="K861" s="24" t="inlineStr">
        <is>
          <t>polymarket_us</t>
        </is>
      </c>
      <c r="L861" s="26" t="n">
        <v>-317</v>
      </c>
      <c r="M861" s="27" t="n">
        <v>1.315457</v>
      </c>
      <c r="N861" s="28" t="n">
        <v>0.760192</v>
      </c>
      <c r="O861" s="28" t="n">
        <v>0.6203</v>
      </c>
      <c r="P861" s="28" t="n">
        <v>0.05</v>
      </c>
      <c r="Q861" s="28" t="n">
        <v>-0.139892</v>
      </c>
      <c r="R861" s="26" t="n">
        <v>0</v>
      </c>
      <c r="S861" s="29" t="n">
        <v>1</v>
      </c>
      <c r="T861" s="24" t="inlineStr">
        <is>
          <t>tennis-surface-elo-v1</t>
        </is>
      </c>
      <c r="U861" s="24" t="inlineStr">
        <is>
          <t>settled</t>
        </is>
      </c>
      <c r="V861" s="24" t="inlineStr">
        <is>
          <t>win</t>
        </is>
      </c>
      <c r="W861" s="26" t="n">
        <v>1</v>
      </c>
      <c r="X861" s="26" t="n">
        <v>0</v>
      </c>
      <c r="Y861" s="25" t="n"/>
      <c r="Z861" s="26" t="n">
        <v>-317</v>
      </c>
      <c r="AA861" s="28" t="n">
        <v>0.76</v>
      </c>
      <c r="AB861" s="28" t="n">
        <v>-0.000192</v>
      </c>
      <c r="AC861" s="30" t="n">
        <v>0.3155</v>
      </c>
      <c r="AD861" s="24" t="inlineStr">
        <is>
          <t>2026-09-02T04:33:50.594370Z</t>
        </is>
      </c>
      <c r="AE861" s="31" t="inlineStr">
        <is>
          <t>Surface-blended Elo on Hard: Lorenzo Musetti p=0.620 vs Arthur Fery. Executable ask 0.7600 (aec-atp-artfer-lormus-2026-08-30).</t>
        </is>
      </c>
      <c r="AF861" s="31" t="inlineStr">
        <is>
          <t>Surface-blended Elo model; singles only, WTA+ATP market coverage, not yet locked-holdout qualified -- promoted by explicit operator directive, not genuine walk-forward validation.</t>
        </is>
      </c>
      <c r="AG861" s="24" t="inlineStr">
        <is>
          <t>not_applicable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PAPER_CALL_LOW_EDGE</t>
        </is>
      </c>
      <c r="AP861" s="24" t="inlineStr">
        <is>
          <t>Lorenzo Musetti</t>
        </is>
      </c>
      <c r="AQ861" s="24" t="inlineStr">
        <is>
          <t>Lorenzo Musetti</t>
        </is>
      </c>
      <c r="AR861" s="24" t="inlineStr">
        <is>
          <t>Lorenzo Musetti</t>
        </is>
      </c>
      <c r="AS861" s="24" t="inlineStr">
        <is>
          <t>Arthur Fery</t>
        </is>
      </c>
      <c r="AT861" s="24" t="inlineStr">
        <is>
          <t>Arthur Fery</t>
        </is>
      </c>
      <c r="AU861" s="24" t="inlineStr">
        <is>
          <t>Arthur Fery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0ce66f49b381187fe6255a40ca2fdbfc155d5e36125ccf6d30fe81a72962eafa</t>
        </is>
      </c>
      <c r="BB861" s="24" t="inlineStr">
        <is>
          <t>surface_blended_elo</t>
        </is>
      </c>
      <c r="BC861" s="24" t="inlineStr">
        <is>
          <t>tennis-surface-elo-v1</t>
        </is>
      </c>
      <c r="BD861" s="24" t="inlineStr">
        <is>
          <t>0ce66f49b381187fe6255a40ca2fdbfc155d5e36125ccf6d30fe81a72962eafa</t>
        </is>
      </c>
      <c r="BE861" s="24" t="inlineStr">
        <is>
          <t>tennis-surface-elo-v1</t>
        </is>
      </c>
      <c r="BF861" s="24" t="inlineStr">
        <is>
          <t>1</t>
        </is>
      </c>
      <c r="BG861" s="24" t="inlineStr">
        <is>
          <t>0ce66f49b381187fe6255a40ca2fdbfc155d5e36125ccf6d30fe81a72962eafa</t>
        </is>
      </c>
      <c r="BH861" s="24" t="inlineStr">
        <is>
          <t>2026-09-01T16:03:59.478736Z</t>
        </is>
      </c>
      <c r="BI861" s="24" t="inlineStr">
        <is>
          <t>["same_event","same_team_same_day","same_league_same_day"]</t>
        </is>
      </c>
      <c r="BJ861" s="25" t="n"/>
      <c r="BK861" s="26" t="n">
        <v>-317</v>
      </c>
      <c r="BL861" s="27" t="n">
        <v>1.315457</v>
      </c>
      <c r="BM861" s="28" t="n">
        <v>0.760192</v>
      </c>
      <c r="BN861" s="28" t="n"/>
      <c r="BO861" s="28" t="n"/>
      <c r="BP861" s="25" t="n"/>
      <c r="BQ861" s="27" t="n">
        <v>1.315457</v>
      </c>
      <c r="BR861" s="28" t="n">
        <v>0.76</v>
      </c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False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inlineStr">
        <is>
          <t>416b717a65d7ee18ccab25c2c34a9575aeb78e828c99b1b75a1bad88191164cc</t>
        </is>
      </c>
      <c r="DE861" s="24" t="inlineStr">
        <is>
          <t>/Users/vincentc9002/model-prediction/data/odds/tennis/2026-09-01/polymarket_snapshots.jsonl</t>
        </is>
      </c>
      <c r="DF861" s="24" t="inlineStr">
        <is>
          <t>547262:2026-09-01T16:03:59.478736Z</t>
        </is>
      </c>
      <c r="DG861" s="24" t="n"/>
      <c r="DH861" s="24" t="n"/>
      <c r="DI861" s="24" t="n"/>
      <c r="DJ861" s="24" t="inlineStr">
        <is>
          <t>0.760192</t>
        </is>
      </c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1f98480557b1439a</t>
        </is>
      </c>
      <c r="B862" s="24" t="inlineStr">
        <is>
          <t>2026-09-01T16:06:19.518222Z</t>
        </is>
      </c>
      <c r="C862" s="24" t="inlineStr">
        <is>
          <t>2026-09-01T18:30Z</t>
        </is>
      </c>
      <c r="D862" s="24" t="inlineStr">
        <is>
          <t>189-2026:182681</t>
        </is>
      </c>
      <c r="E862" s="24" t="inlineStr">
        <is>
          <t>TENNIS</t>
        </is>
      </c>
      <c r="F862" s="24" t="inlineStr">
        <is>
          <t>Francesco Passaro</t>
        </is>
      </c>
      <c r="G862" s="24" t="inlineStr">
        <is>
          <t>Jesper de Jong</t>
        </is>
      </c>
      <c r="H862" s="24" t="inlineStr">
        <is>
          <t>moneyline</t>
        </is>
      </c>
      <c r="I862" s="24" t="inlineStr">
        <is>
          <t>away</t>
        </is>
      </c>
      <c r="J862" s="25" t="n"/>
      <c r="K862" s="24" t="inlineStr">
        <is>
          <t>polymarket_us</t>
        </is>
      </c>
      <c r="L862" s="26" t="n">
        <v>127</v>
      </c>
      <c r="M862" s="27" t="n">
        <v>2.27</v>
      </c>
      <c r="N862" s="28" t="n">
        <v>0.440529</v>
      </c>
      <c r="O862" s="28" t="n">
        <v>0.6415999999999999</v>
      </c>
      <c r="P862" s="28" t="n">
        <v>0.05</v>
      </c>
      <c r="Q862" s="28" t="n">
        <v>0.201071</v>
      </c>
      <c r="R862" s="26" t="n">
        <v>100</v>
      </c>
      <c r="S862" s="29" t="n">
        <v>2</v>
      </c>
      <c r="T862" s="24" t="inlineStr">
        <is>
          <t>tennis-surface-elo-v1</t>
        </is>
      </c>
      <c r="U862" s="24" t="inlineStr">
        <is>
          <t>settled</t>
        </is>
      </c>
      <c r="V862" s="24" t="inlineStr">
        <is>
          <t>loss</t>
        </is>
      </c>
      <c r="W862" s="26" t="n">
        <v>0</v>
      </c>
      <c r="X862" s="26" t="n">
        <v>1</v>
      </c>
      <c r="Y862" s="25" t="n"/>
      <c r="Z862" s="26" t="n">
        <v>127</v>
      </c>
      <c r="AA862" s="28" t="n">
        <v>0.44</v>
      </c>
      <c r="AB862" s="28" t="n">
        <v>-0.000529</v>
      </c>
      <c r="AC862" s="30" t="n">
        <v>-2</v>
      </c>
      <c r="AD862" s="24" t="inlineStr">
        <is>
          <t>2026-09-03T04:31:41.418783Z</t>
        </is>
      </c>
      <c r="AE862" s="31" t="inlineStr">
        <is>
          <t>Surface-blended Elo on Hard: Francesco Passaro p=0.642 vs Jesper de Jong. Executable ask 0.4400 (aec-atp-jesjon-frapas-2026-08-30).</t>
        </is>
      </c>
      <c r="AF862" s="31" t="inlineStr">
        <is>
          <t>Surface-blended Elo model; singles only, WTA+ATP market coverage, not yet locked-holdout qualified -- promoted by explicit operator directive, not genuine walk-forward validation.</t>
        </is>
      </c>
      <c r="AG862" s="24" t="inlineStr">
        <is>
          <t>review_required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Francesco Passaro</t>
        </is>
      </c>
      <c r="AQ862" s="24" t="inlineStr">
        <is>
          <t>Francesco Passaro</t>
        </is>
      </c>
      <c r="AR862" s="24" t="inlineStr">
        <is>
          <t>Francesco Passaro</t>
        </is>
      </c>
      <c r="AS862" s="24" t="inlineStr">
        <is>
          <t>Jesper de Jong</t>
        </is>
      </c>
      <c r="AT862" s="24" t="inlineStr">
        <is>
          <t>Jesper de Jong</t>
        </is>
      </c>
      <c r="AU862" s="24" t="inlineStr">
        <is>
          <t>Jesper de Jong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0ce66f49b381187fe6255a40ca2fdbfc155d5e36125ccf6d30fe81a72962eafa</t>
        </is>
      </c>
      <c r="BB862" s="24" t="inlineStr">
        <is>
          <t>surface_blended_elo</t>
        </is>
      </c>
      <c r="BC862" s="24" t="inlineStr">
        <is>
          <t>tennis-surface-elo-v1</t>
        </is>
      </c>
      <c r="BD862" s="24" t="inlineStr">
        <is>
          <t>0ce66f49b381187fe6255a40ca2fdbfc155d5e36125ccf6d30fe81a72962eafa</t>
        </is>
      </c>
      <c r="BE862" s="24" t="inlineStr">
        <is>
          <t>tennis-surface-elo-v1</t>
        </is>
      </c>
      <c r="BF862" s="24" t="inlineStr">
        <is>
          <t>1</t>
        </is>
      </c>
      <c r="BG862" s="24" t="inlineStr">
        <is>
          <t>0ce66f49b381187fe6255a40ca2fdbfc155d5e36125ccf6d30fe81a72962eafa</t>
        </is>
      </c>
      <c r="BH862" s="24" t="inlineStr">
        <is>
          <t>2026-09-01T16:03:59.597822Z</t>
        </is>
      </c>
      <c r="BI862" s="24" t="inlineStr">
        <is>
          <t>["same_event","same_team_same_day","same_league_same_day"]</t>
        </is>
      </c>
      <c r="BJ862" s="25" t="n"/>
      <c r="BK862" s="26" t="n">
        <v>127</v>
      </c>
      <c r="BL862" s="27" t="n">
        <v>2.27</v>
      </c>
      <c r="BM862" s="28" t="n">
        <v>0.440529</v>
      </c>
      <c r="BN862" s="28" t="n"/>
      <c r="BO862" s="28" t="n"/>
      <c r="BP862" s="25" t="n"/>
      <c r="BQ862" s="27" t="n">
        <v>2.27</v>
      </c>
      <c r="BR862" s="28" t="n">
        <v>0.44</v>
      </c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inlineStr">
        <is>
          <t>8da7e543f3b8445e26bf676d2a4ba96ed68132844d80d88713e329821061f699</t>
        </is>
      </c>
      <c r="DE862" s="24" t="inlineStr">
        <is>
          <t>/Users/vincentc9002/model-prediction/data/odds/tennis/2026-09-01/polymarket_snapshots.jsonl</t>
        </is>
      </c>
      <c r="DF862" s="24" t="inlineStr">
        <is>
          <t>550497:2026-09-01T16:03:59.597822Z</t>
        </is>
      </c>
      <c r="DG862" s="24" t="n"/>
      <c r="DH862" s="24" t="n"/>
      <c r="DI862" s="24" t="n"/>
      <c r="DJ862" s="24" t="inlineStr">
        <is>
          <t>0.440529</t>
        </is>
      </c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ba484334430349aa</t>
        </is>
      </c>
      <c r="B863" s="24" t="inlineStr">
        <is>
          <t>2026-09-01T16:06:19.518222Z</t>
        </is>
      </c>
      <c r="C863" s="24" t="inlineStr">
        <is>
          <t>2026-09-01T19:30Z</t>
        </is>
      </c>
      <c r="D863" s="24" t="inlineStr">
        <is>
          <t>189-2026:182710</t>
        </is>
      </c>
      <c r="E863" s="24" t="inlineStr">
        <is>
          <t>TENNIS</t>
        </is>
      </c>
      <c r="F863" s="24" t="inlineStr">
        <is>
          <t>Arthur Gea</t>
        </is>
      </c>
      <c r="G863" s="24" t="inlineStr">
        <is>
          <t>Juan Manuel Cerundolo</t>
        </is>
      </c>
      <c r="H863" s="24" t="inlineStr">
        <is>
          <t>moneyline</t>
        </is>
      </c>
      <c r="I863" s="24" t="inlineStr">
        <is>
          <t>home</t>
        </is>
      </c>
      <c r="J863" s="25" t="n"/>
      <c r="K863" s="24" t="inlineStr">
        <is>
          <t>polymarket_us</t>
        </is>
      </c>
      <c r="L863" s="26" t="n">
        <v>127</v>
      </c>
      <c r="M863" s="27" t="n">
        <v>2.27</v>
      </c>
      <c r="N863" s="28" t="n">
        <v>0.440529</v>
      </c>
      <c r="O863" s="28" t="n">
        <v>0.5063</v>
      </c>
      <c r="P863" s="28" t="n">
        <v>0.05</v>
      </c>
      <c r="Q863" s="28" t="n">
        <v>0.065771</v>
      </c>
      <c r="R863" s="26" t="n">
        <v>53</v>
      </c>
      <c r="S863" s="29" t="n">
        <v>1</v>
      </c>
      <c r="T863" s="24" t="inlineStr">
        <is>
          <t>tennis-surface-elo-v1</t>
        </is>
      </c>
      <c r="U863" s="24" t="inlineStr">
        <is>
          <t>settled</t>
        </is>
      </c>
      <c r="V863" s="24" t="inlineStr">
        <is>
          <t>loss</t>
        </is>
      </c>
      <c r="W863" s="26" t="n">
        <v>1</v>
      </c>
      <c r="X863" s="26" t="n">
        <v>0</v>
      </c>
      <c r="Y863" s="25" t="n"/>
      <c r="Z863" s="26" t="n">
        <v>127</v>
      </c>
      <c r="AA863" s="28" t="n">
        <v>0.44</v>
      </c>
      <c r="AB863" s="28" t="n">
        <v>-0.000529</v>
      </c>
      <c r="AC863" s="30" t="n">
        <v>-1</v>
      </c>
      <c r="AD863" s="24" t="inlineStr">
        <is>
          <t>2026-09-02T04:33:51.532493Z</t>
        </is>
      </c>
      <c r="AE863" s="31" t="inlineStr">
        <is>
          <t>Surface-blended Elo on Hard: Arthur Gea p=0.494 vs Juan Manuel Cerundolo. Executable ask 0.4400 (aec-atp-juacer-artgea-2026-09-01).</t>
        </is>
      </c>
      <c r="AF863" s="31" t="inlineStr">
        <is>
          <t>Surface-blended Elo model; singles only, WTA+ATP market coverage, not yet locked-holdout qualified -- promoted by explicit operator directive, not genuine walk-forward validation.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PAPER_CALL_LOW_EDGE</t>
        </is>
      </c>
      <c r="AP863" s="24" t="inlineStr">
        <is>
          <t>Arthur Gea</t>
        </is>
      </c>
      <c r="AQ863" s="24" t="inlineStr">
        <is>
          <t>Arthur Gea</t>
        </is>
      </c>
      <c r="AR863" s="24" t="inlineStr">
        <is>
          <t>Arthur Gea</t>
        </is>
      </c>
      <c r="AS863" s="24" t="inlineStr">
        <is>
          <t>Juan Manuel Cerundolo</t>
        </is>
      </c>
      <c r="AT863" s="24" t="inlineStr">
        <is>
          <t>Juan Manuel Cerundolo</t>
        </is>
      </c>
      <c r="AU863" s="24" t="inlineStr">
        <is>
          <t>Juan Manuel Cerundolo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0ce66f49b381187fe6255a40ca2fdbfc155d5e36125ccf6d30fe81a72962eafa</t>
        </is>
      </c>
      <c r="BB863" s="24" t="inlineStr">
        <is>
          <t>surface_blended_elo</t>
        </is>
      </c>
      <c r="BC863" s="24" t="inlineStr">
        <is>
          <t>tennis-surface-elo-v1</t>
        </is>
      </c>
      <c r="BD863" s="24" t="inlineStr">
        <is>
          <t>0ce66f49b381187fe6255a40ca2fdbfc155d5e36125ccf6d30fe81a72962eafa</t>
        </is>
      </c>
      <c r="BE863" s="24" t="inlineStr">
        <is>
          <t>tennis-surface-elo-v1</t>
        </is>
      </c>
      <c r="BF863" s="24" t="inlineStr">
        <is>
          <t>1</t>
        </is>
      </c>
      <c r="BG863" s="24" t="inlineStr">
        <is>
          <t>0ce66f49b381187fe6255a40ca2fdbfc155d5e36125ccf6d30fe81a72962eafa</t>
        </is>
      </c>
      <c r="BH863" s="24" t="inlineStr">
        <is>
          <t>2026-09-01T16:03:59.797316Z</t>
        </is>
      </c>
      <c r="BI863" s="24" t="inlineStr">
        <is>
          <t>["same_event","same_team_same_day","same_league_same_day"]</t>
        </is>
      </c>
      <c r="BJ863" s="25" t="n"/>
      <c r="BK863" s="26" t="n">
        <v>127</v>
      </c>
      <c r="BL863" s="27" t="n">
        <v>2.27</v>
      </c>
      <c r="BM863" s="28" t="n">
        <v>0.440529</v>
      </c>
      <c r="BN863" s="28" t="n"/>
      <c r="BO863" s="28" t="n"/>
      <c r="BP863" s="25" t="n"/>
      <c r="BQ863" s="27" t="n">
        <v>2.27</v>
      </c>
      <c r="BR863" s="28" t="n">
        <v>0.44</v>
      </c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inlineStr">
        <is>
          <t>6efee82af70721b3b866e80ffcb1bbdeecddc362a12923065cab243535c299b0</t>
        </is>
      </c>
      <c r="DE863" s="24" t="inlineStr">
        <is>
          <t>/Users/vincentc9002/model-prediction/data/odds/tennis/2026-09-01/polymarket_snapshots.jsonl</t>
        </is>
      </c>
      <c r="DF863" s="24" t="inlineStr">
        <is>
          <t>582283:2026-09-01T16:03:59.797316Z</t>
        </is>
      </c>
      <c r="DG863" s="24" t="n"/>
      <c r="DH863" s="24" t="n"/>
      <c r="DI863" s="24" t="n"/>
      <c r="DJ863" s="24" t="inlineStr">
        <is>
          <t>0.440529</t>
        </is>
      </c>
      <c r="DK863" s="24" t="n"/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f3a77b6e38774da0</t>
        </is>
      </c>
      <c r="B864" s="24" t="inlineStr">
        <is>
          <t>2026-09-01T16:06:19.518222Z</t>
        </is>
      </c>
      <c r="C864" s="24" t="inlineStr">
        <is>
          <t>2026-09-01T20:00Z</t>
        </is>
      </c>
      <c r="D864" s="24" t="inlineStr">
        <is>
          <t>189-2026:182708</t>
        </is>
      </c>
      <c r="E864" s="24" t="inlineStr">
        <is>
          <t>TENNIS</t>
        </is>
      </c>
      <c r="F864" s="24" t="inlineStr">
        <is>
          <t>Michael Zheng</t>
        </is>
      </c>
      <c r="G864" s="24" t="inlineStr">
        <is>
          <t>Fabian Marozsan</t>
        </is>
      </c>
      <c r="H864" s="24" t="inlineStr">
        <is>
          <t>moneyline</t>
        </is>
      </c>
      <c r="I864" s="24" t="inlineStr">
        <is>
          <t>away</t>
        </is>
      </c>
      <c r="J864" s="25" t="n"/>
      <c r="K864" s="24" t="inlineStr">
        <is>
          <t>polymarket_us</t>
        </is>
      </c>
      <c r="L864" s="26" t="n">
        <v>-144</v>
      </c>
      <c r="M864" s="27" t="n">
        <v>1.694444</v>
      </c>
      <c r="N864" s="28" t="n">
        <v>0.590164</v>
      </c>
      <c r="O864" s="28" t="n">
        <v>0.5449000000000001</v>
      </c>
      <c r="P864" s="28" t="n">
        <v>0.05</v>
      </c>
      <c r="Q864" s="28" t="n">
        <v>-0.045264</v>
      </c>
      <c r="R864" s="26" t="n">
        <v>0</v>
      </c>
      <c r="S864" s="29" t="n">
        <v>1</v>
      </c>
      <c r="T864" s="24" t="inlineStr">
        <is>
          <t>tennis-surface-elo-v1</t>
        </is>
      </c>
      <c r="U864" s="24" t="inlineStr">
        <is>
          <t>settled</t>
        </is>
      </c>
      <c r="V864" s="24" t="inlineStr">
        <is>
          <t>win</t>
        </is>
      </c>
      <c r="W864" s="26" t="n">
        <v>1</v>
      </c>
      <c r="X864" s="26" t="n">
        <v>0</v>
      </c>
      <c r="Y864" s="25" t="n"/>
      <c r="Z864" s="26" t="n">
        <v>-144</v>
      </c>
      <c r="AA864" s="28" t="n">
        <v>0.59</v>
      </c>
      <c r="AB864" s="28" t="n">
        <v>-0.000164</v>
      </c>
      <c r="AC864" s="30" t="n">
        <v>0.6944</v>
      </c>
      <c r="AD864" s="24" t="inlineStr">
        <is>
          <t>2026-09-03T04:31:41.803246Z</t>
        </is>
      </c>
      <c r="AE864" s="31" t="inlineStr">
        <is>
          <t>Surface-blended Elo on Hard: Michael Zheng p=0.545 vs Fabian Marozsan. Executable ask 0.5900 (aec-atp-fabmar-miczhe-2026-08-30).</t>
        </is>
      </c>
      <c r="AF864" s="31" t="inlineStr">
        <is>
          <t>Surface-blended Elo model; singles only, WTA+ATP market coverage, not yet locked-holdout qualified -- promoted by explicit operator directive, not genuine walk-forward validation.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paper_call</t>
        </is>
      </c>
      <c r="AL864" s="26" t="n">
        <v>4</v>
      </c>
      <c r="AM864" s="24" t="inlineStr">
        <is>
          <t>RESEARCH_OBSERVATION</t>
        </is>
      </c>
      <c r="AN864" s="24" t="inlineStr">
        <is>
          <t>CALL</t>
        </is>
      </c>
      <c r="AO864" s="24" t="inlineStr">
        <is>
          <t>PAPER_CALL_LOW_EDGE</t>
        </is>
      </c>
      <c r="AP864" s="24" t="inlineStr">
        <is>
          <t>Michael Zheng</t>
        </is>
      </c>
      <c r="AQ864" s="24" t="inlineStr">
        <is>
          <t>Michael Zheng</t>
        </is>
      </c>
      <c r="AR864" s="24" t="inlineStr">
        <is>
          <t>Michael Zheng</t>
        </is>
      </c>
      <c r="AS864" s="24" t="inlineStr">
        <is>
          <t>Fabian Marozsan</t>
        </is>
      </c>
      <c r="AT864" s="24" t="inlineStr">
        <is>
          <t>Fabian Marozsan</t>
        </is>
      </c>
      <c r="AU864" s="24" t="inlineStr">
        <is>
          <t>Fabian Marozsan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0ce66f49b381187fe6255a40ca2fdbfc155d5e36125ccf6d30fe81a72962eafa</t>
        </is>
      </c>
      <c r="BB864" s="24" t="inlineStr">
        <is>
          <t>surface_blended_elo</t>
        </is>
      </c>
      <c r="BC864" s="24" t="inlineStr">
        <is>
          <t>tennis-surface-elo-v1</t>
        </is>
      </c>
      <c r="BD864" s="24" t="inlineStr">
        <is>
          <t>0ce66f49b381187fe6255a40ca2fdbfc155d5e36125ccf6d30fe81a72962eafa</t>
        </is>
      </c>
      <c r="BE864" s="24" t="inlineStr">
        <is>
          <t>tennis-surface-elo-v1</t>
        </is>
      </c>
      <c r="BF864" s="24" t="inlineStr">
        <is>
          <t>1</t>
        </is>
      </c>
      <c r="BG864" s="24" t="inlineStr">
        <is>
          <t>0ce66f49b381187fe6255a40ca2fdbfc155d5e36125ccf6d30fe81a72962eafa</t>
        </is>
      </c>
      <c r="BH864" s="24" t="inlineStr">
        <is>
          <t>2026-09-01T16:03:59.857119Z</t>
        </is>
      </c>
      <c r="BI864" s="24" t="inlineStr">
        <is>
          <t>["same_event","same_team_same_day","same_league_same_day"]</t>
        </is>
      </c>
      <c r="BJ864" s="25" t="n"/>
      <c r="BK864" s="26" t="n">
        <v>-144</v>
      </c>
      <c r="BL864" s="27" t="n">
        <v>1.694444</v>
      </c>
      <c r="BM864" s="28" t="n">
        <v>0.590164</v>
      </c>
      <c r="BN864" s="28" t="n"/>
      <c r="BO864" s="28" t="n"/>
      <c r="BP864" s="25" t="n"/>
      <c r="BQ864" s="27" t="n">
        <v>1.694444</v>
      </c>
      <c r="BR864" s="28" t="n">
        <v>0.59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False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inlineStr">
        <is>
          <t>752798fd94e55f28b0082aa0d132299dde1d67886ddbd7a13a7706d30f6e3c21</t>
        </is>
      </c>
      <c r="DE864" s="24" t="inlineStr">
        <is>
          <t>/Users/vincentc9002/model-prediction/data/odds/tennis/2026-09-01/polymarket_snapshots.jsonl</t>
        </is>
      </c>
      <c r="DF864" s="24" t="inlineStr">
        <is>
          <t>547438:2026-09-01T16:03:59.857119Z</t>
        </is>
      </c>
      <c r="DG864" s="24" t="n"/>
      <c r="DH864" s="24" t="n"/>
      <c r="DI864" s="24" t="n"/>
      <c r="DJ864" s="24" t="inlineStr">
        <is>
          <t>0.590164</t>
        </is>
      </c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5e953c60cb6d4f8a</t>
        </is>
      </c>
      <c r="B865" s="24" t="inlineStr">
        <is>
          <t>2026-09-01T16:06:19.518222Z</t>
        </is>
      </c>
      <c r="C865" s="24" t="inlineStr">
        <is>
          <t>2026-09-01T20:00Z</t>
        </is>
      </c>
      <c r="D865" s="24" t="inlineStr">
        <is>
          <t>189-2026:182712</t>
        </is>
      </c>
      <c r="E865" s="24" t="inlineStr">
        <is>
          <t>TENNIS</t>
        </is>
      </c>
      <c r="F865" s="24" t="inlineStr">
        <is>
          <t>Daniel Altmaier</t>
        </is>
      </c>
      <c r="G865" s="24" t="inlineStr">
        <is>
          <t>Zachary Svajda</t>
        </is>
      </c>
      <c r="H865" s="24" t="inlineStr">
        <is>
          <t>moneyline</t>
        </is>
      </c>
      <c r="I865" s="24" t="inlineStr">
        <is>
          <t>home</t>
        </is>
      </c>
      <c r="J865" s="25" t="n"/>
      <c r="K865" s="24" t="inlineStr">
        <is>
          <t>polymarket_us</t>
        </is>
      </c>
      <c r="L865" s="26" t="n">
        <v>-156</v>
      </c>
      <c r="M865" s="27" t="n">
        <v>1.641026</v>
      </c>
      <c r="N865" s="28" t="n">
        <v>0.609375</v>
      </c>
      <c r="O865" s="28" t="n">
        <v>0.5538999999999999</v>
      </c>
      <c r="P865" s="28" t="n">
        <v>0.05</v>
      </c>
      <c r="Q865" s="28" t="n">
        <v>-0.055475</v>
      </c>
      <c r="R865" s="26" t="n">
        <v>0</v>
      </c>
      <c r="S865" s="29" t="n">
        <v>1</v>
      </c>
      <c r="T865" s="24" t="inlineStr">
        <is>
          <t>tennis-surface-elo-v1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1</v>
      </c>
      <c r="Y865" s="25" t="n"/>
      <c r="Z865" s="26" t="n">
        <v>-156</v>
      </c>
      <c r="AA865" s="28" t="n">
        <v>0.61</v>
      </c>
      <c r="AB865" s="28" t="n">
        <v>0.000625</v>
      </c>
      <c r="AC865" s="30" t="n">
        <v>0.641</v>
      </c>
      <c r="AD865" s="24" t="inlineStr">
        <is>
          <t>2026-09-03T04:31:42.191036Z</t>
        </is>
      </c>
      <c r="AE865" s="31" t="inlineStr">
        <is>
          <t>Surface-blended Elo on Hard: Daniel Altmaier p=0.446 vs Zachary Svajda. Executable ask 0.6100 (aec-atp-zacsva-danalt-2026-08-30).</t>
        </is>
      </c>
      <c r="AF865" s="31" t="inlineStr">
        <is>
          <t>Surface-blended Elo model; singles only, WTA+ATP market coverage, not yet locked-holdout qualified -- promoted by explicit operator directive, not genuine walk-forward validation.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PAPER_CALL_LOW_EDGE</t>
        </is>
      </c>
      <c r="AP865" s="24" t="inlineStr">
        <is>
          <t>Daniel Altmaier</t>
        </is>
      </c>
      <c r="AQ865" s="24" t="inlineStr">
        <is>
          <t>Daniel Altmaier</t>
        </is>
      </c>
      <c r="AR865" s="24" t="inlineStr">
        <is>
          <t>Daniel Altmaier</t>
        </is>
      </c>
      <c r="AS865" s="24" t="inlineStr">
        <is>
          <t>Zachary Svajda</t>
        </is>
      </c>
      <c r="AT865" s="24" t="inlineStr">
        <is>
          <t>Zachary Svajda</t>
        </is>
      </c>
      <c r="AU865" s="24" t="inlineStr">
        <is>
          <t>Zachary Svajda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0ce66f49b381187fe6255a40ca2fdbfc155d5e36125ccf6d30fe81a72962eafa</t>
        </is>
      </c>
      <c r="BB865" s="24" t="inlineStr">
        <is>
          <t>surface_blended_elo</t>
        </is>
      </c>
      <c r="BC865" s="24" t="inlineStr">
        <is>
          <t>tennis-surface-elo-v1</t>
        </is>
      </c>
      <c r="BD865" s="24" t="inlineStr">
        <is>
          <t>0ce66f49b381187fe6255a40ca2fdbfc155d5e36125ccf6d30fe81a72962eafa</t>
        </is>
      </c>
      <c r="BE865" s="24" t="inlineStr">
        <is>
          <t>tennis-surface-elo-v1</t>
        </is>
      </c>
      <c r="BF865" s="24" t="inlineStr">
        <is>
          <t>1</t>
        </is>
      </c>
      <c r="BG865" s="24" t="inlineStr">
        <is>
          <t>0ce66f49b381187fe6255a40ca2fdbfc155d5e36125ccf6d30fe81a72962eafa</t>
        </is>
      </c>
      <c r="BH865" s="24" t="inlineStr">
        <is>
          <t>2026-09-01T16:03:59.962886Z</t>
        </is>
      </c>
      <c r="BI865" s="24" t="inlineStr">
        <is>
          <t>["same_event","same_team_same_day","same_league_same_day"]</t>
        </is>
      </c>
      <c r="BJ865" s="25" t="n"/>
      <c r="BK865" s="26" t="n">
        <v>-156</v>
      </c>
      <c r="BL865" s="27" t="n">
        <v>1.641026</v>
      </c>
      <c r="BM865" s="28" t="n">
        <v>0.609375</v>
      </c>
      <c r="BN865" s="28" t="n"/>
      <c r="BO865" s="28" t="n"/>
      <c r="BP865" s="25" t="n"/>
      <c r="BQ865" s="27" t="n">
        <v>1.641026</v>
      </c>
      <c r="BR865" s="28" t="n">
        <v>0.61</v>
      </c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False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inlineStr">
        <is>
          <t>619e98c15647788adc3d2f68cf9119a33afbffee16d86ffd18e16a2d614870a0</t>
        </is>
      </c>
      <c r="DE865" s="24" t="inlineStr">
        <is>
          <t>/Users/vincentc9002/model-prediction/data/odds/tennis/2026-09-01/polymarket_snapshots.jsonl</t>
        </is>
      </c>
      <c r="DF865" s="24" t="inlineStr">
        <is>
          <t>547267:2026-09-01T16:03:59.962886Z</t>
        </is>
      </c>
      <c r="DG865" s="24" t="n"/>
      <c r="DH865" s="24" t="n"/>
      <c r="DI865" s="24" t="n"/>
      <c r="DJ865" s="24" t="inlineStr">
        <is>
          <t>0.609375</t>
        </is>
      </c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5f1dc5284277463e</t>
        </is>
      </c>
      <c r="B866" s="24" t="inlineStr">
        <is>
          <t>2026-09-01T16:06:19.518222Z</t>
        </is>
      </c>
      <c r="C866" s="24" t="inlineStr">
        <is>
          <t>2026-09-01T20:00Z</t>
        </is>
      </c>
      <c r="D866" s="24" t="inlineStr">
        <is>
          <t>189-2026:182751</t>
        </is>
      </c>
      <c r="E866" s="24" t="inlineStr">
        <is>
          <t>TENNIS</t>
        </is>
      </c>
      <c r="F866" s="24" t="inlineStr">
        <is>
          <t>Benjamin Bonzi</t>
        </is>
      </c>
      <c r="G866" s="24" t="inlineStr">
        <is>
          <t>Alex Molcan</t>
        </is>
      </c>
      <c r="H866" s="24" t="inlineStr">
        <is>
          <t>moneyline</t>
        </is>
      </c>
      <c r="I866" s="24" t="inlineStr">
        <is>
          <t>home</t>
        </is>
      </c>
      <c r="J866" s="25" t="n"/>
      <c r="K866" s="24" t="inlineStr">
        <is>
          <t>polymarket_us</t>
        </is>
      </c>
      <c r="L866" s="26" t="n">
        <v>178</v>
      </c>
      <c r="M866" s="27" t="n">
        <v>2.78</v>
      </c>
      <c r="N866" s="28" t="n">
        <v>0.359712</v>
      </c>
      <c r="O866" s="28" t="n">
        <v>0.5096000000000001</v>
      </c>
      <c r="P866" s="28" t="n">
        <v>0.05</v>
      </c>
      <c r="Q866" s="28" t="n">
        <v>0.149888</v>
      </c>
      <c r="R866" s="26" t="n">
        <v>95</v>
      </c>
      <c r="S866" s="29" t="n">
        <v>1.75</v>
      </c>
      <c r="T866" s="24" t="inlineStr">
        <is>
          <t>tennis-surface-elo-v1</t>
        </is>
      </c>
      <c r="U866" s="24" t="inlineStr">
        <is>
          <t>settled</t>
        </is>
      </c>
      <c r="V866" s="24" t="inlineStr">
        <is>
          <t>loss</t>
        </is>
      </c>
      <c r="W866" s="26" t="n">
        <v>1</v>
      </c>
      <c r="X866" s="26" t="n">
        <v>0</v>
      </c>
      <c r="Y866" s="25" t="n"/>
      <c r="Z866" s="26" t="n">
        <v>178</v>
      </c>
      <c r="AA866" s="28" t="n">
        <v>0.36</v>
      </c>
      <c r="AB866" s="28" t="n">
        <v>0.000288</v>
      </c>
      <c r="AC866" s="30" t="n">
        <v>-1.75</v>
      </c>
      <c r="AD866" s="24" t="inlineStr">
        <is>
          <t>2026-09-03T04:31:42.578842Z</t>
        </is>
      </c>
      <c r="AE866" s="31" t="inlineStr">
        <is>
          <t>Surface-blended Elo on Hard: Benjamin Bonzi p=0.490 vs Alex Molcan. Executable ask 0.3600 (aec-atp-alemol-benbon-2026-08-30).</t>
        </is>
      </c>
      <c r="AF866" s="31" t="inlineStr">
        <is>
          <t>Surface-blended Elo model; singles only, WTA+ATP market coverage, not yet locked-holdout qualified -- promoted by explicit operator directive, not genuine walk-forward validation.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PAPER_CALL_LOW_EDGE</t>
        </is>
      </c>
      <c r="AP866" s="24" t="inlineStr">
        <is>
          <t>Benjamin Bonzi</t>
        </is>
      </c>
      <c r="AQ866" s="24" t="inlineStr">
        <is>
          <t>Benjamin Bonzi</t>
        </is>
      </c>
      <c r="AR866" s="24" t="inlineStr">
        <is>
          <t>Benjamin Bonzi</t>
        </is>
      </c>
      <c r="AS866" s="24" t="inlineStr">
        <is>
          <t>Alex Molcan</t>
        </is>
      </c>
      <c r="AT866" s="24" t="inlineStr">
        <is>
          <t>Alex Molcan</t>
        </is>
      </c>
      <c r="AU866" s="24" t="inlineStr">
        <is>
          <t>Alex Molcan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0ce66f49b381187fe6255a40ca2fdbfc155d5e36125ccf6d30fe81a72962eafa</t>
        </is>
      </c>
      <c r="BB866" s="24" t="inlineStr">
        <is>
          <t>surface_blended_elo</t>
        </is>
      </c>
      <c r="BC866" s="24" t="inlineStr">
        <is>
          <t>tennis-surface-elo-v1</t>
        </is>
      </c>
      <c r="BD866" s="24" t="inlineStr">
        <is>
          <t>0ce66f49b381187fe6255a40ca2fdbfc155d5e36125ccf6d30fe81a72962eafa</t>
        </is>
      </c>
      <c r="BE866" s="24" t="inlineStr">
        <is>
          <t>tennis-surface-elo-v1</t>
        </is>
      </c>
      <c r="BF866" s="24" t="inlineStr">
        <is>
          <t>1</t>
        </is>
      </c>
      <c r="BG866" s="24" t="inlineStr">
        <is>
          <t>0ce66f49b381187fe6255a40ca2fdbfc155d5e36125ccf6d30fe81a72962eafa</t>
        </is>
      </c>
      <c r="BH866" s="24" t="inlineStr">
        <is>
          <t>2026-09-01T16:03:59.836325Z</t>
        </is>
      </c>
      <c r="BI866" s="24" t="inlineStr">
        <is>
          <t>["same_event","same_team_same_day","same_league_same_day"]</t>
        </is>
      </c>
      <c r="BJ866" s="25" t="n"/>
      <c r="BK866" s="26" t="n">
        <v>178</v>
      </c>
      <c r="BL866" s="27" t="n">
        <v>2.78</v>
      </c>
      <c r="BM866" s="28" t="n">
        <v>0.359712</v>
      </c>
      <c r="BN866" s="28" t="n"/>
      <c r="BO866" s="28" t="n"/>
      <c r="BP866" s="25" t="n"/>
      <c r="BQ866" s="27" t="n">
        <v>2.78</v>
      </c>
      <c r="BR866" s="28" t="n">
        <v>0.36</v>
      </c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inlineStr">
        <is>
          <t>e69bdcc69b7fe0f6f2822ee9be1e34dc1ff6198646115125598d4b1ac79168f1</t>
        </is>
      </c>
      <c r="DE866" s="24" t="inlineStr">
        <is>
          <t>/Users/vincentc9002/model-prediction/data/odds/tennis/2026-09-01/polymarket_snapshots.jsonl</t>
        </is>
      </c>
      <c r="DF866" s="24" t="inlineStr">
        <is>
          <t>547278:2026-09-01T16:03:59.836325Z</t>
        </is>
      </c>
      <c r="DG866" s="24" t="n"/>
      <c r="DH866" s="24" t="n"/>
      <c r="DI866" s="24" t="n"/>
      <c r="DJ866" s="24" t="inlineStr">
        <is>
          <t>0.359712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9c9fbffd973d4bfa</t>
        </is>
      </c>
      <c r="B867" s="24" t="inlineStr">
        <is>
          <t>2026-09-01T16:06:19.518222Z</t>
        </is>
      </c>
      <c r="C867" s="24" t="inlineStr">
        <is>
          <t>2026-09-01T20:30Z</t>
        </is>
      </c>
      <c r="D867" s="24" t="inlineStr">
        <is>
          <t>189-2026:182750</t>
        </is>
      </c>
      <c r="E867" s="24" t="inlineStr">
        <is>
          <t>TENNIS</t>
        </is>
      </c>
      <c r="F867" s="24" t="inlineStr">
        <is>
          <t>Ignacio Buse</t>
        </is>
      </c>
      <c r="G867" s="24" t="inlineStr">
        <is>
          <t>Marcos Giron</t>
        </is>
      </c>
      <c r="H867" s="24" t="inlineStr">
        <is>
          <t>moneyline</t>
        </is>
      </c>
      <c r="I867" s="24" t="inlineStr">
        <is>
          <t>away</t>
        </is>
      </c>
      <c r="J867" s="25" t="n"/>
      <c r="K867" s="24" t="inlineStr">
        <is>
          <t>polymarket_us</t>
        </is>
      </c>
      <c r="L867" s="26" t="n">
        <v>-156</v>
      </c>
      <c r="M867" s="27" t="n">
        <v>1.641026</v>
      </c>
      <c r="N867" s="28" t="n">
        <v>0.609375</v>
      </c>
      <c r="O867" s="28" t="n">
        <v>0.6306</v>
      </c>
      <c r="P867" s="28" t="n">
        <v>0.05</v>
      </c>
      <c r="Q867" s="28" t="n">
        <v>0.021225</v>
      </c>
      <c r="R867" s="26" t="n">
        <v>31</v>
      </c>
      <c r="S867" s="29" t="n">
        <v>1</v>
      </c>
      <c r="T867" s="24" t="inlineStr">
        <is>
          <t>tennis-surface-elo-v1</t>
        </is>
      </c>
      <c r="U867" s="24" t="inlineStr">
        <is>
          <t>settled</t>
        </is>
      </c>
      <c r="V867" s="24" t="inlineStr">
        <is>
          <t>win</t>
        </is>
      </c>
      <c r="W867" s="26" t="n">
        <v>1</v>
      </c>
      <c r="X867" s="26" t="n">
        <v>0</v>
      </c>
      <c r="Y867" s="25" t="n"/>
      <c r="Z867" s="26" t="n">
        <v>-156</v>
      </c>
      <c r="AA867" s="28" t="n">
        <v>0.61</v>
      </c>
      <c r="AB867" s="28" t="n">
        <v>0.000625</v>
      </c>
      <c r="AC867" s="30" t="n">
        <v>0.641</v>
      </c>
      <c r="AD867" s="24" t="inlineStr">
        <is>
          <t>2026-09-03T04:31:42.964997Z</t>
        </is>
      </c>
      <c r="AE867" s="31" t="inlineStr">
        <is>
          <t>Surface-blended Elo on Hard: Ignacio Buse p=0.631 vs Marcos Giron. Executable ask 0.6100 (aec-atp-margir-ignbus-2026-08-30).</t>
        </is>
      </c>
      <c r="AF867" s="31" t="inlineStr">
        <is>
          <t>Surface-blended Elo model; singles only, WTA+ATP market coverage, not yet locked-holdout qualified -- promoted by explicit operator directive, not genuine walk-forward validation.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PAPER_CALL_LOW_EDGE</t>
        </is>
      </c>
      <c r="AP867" s="24" t="inlineStr">
        <is>
          <t>Ignacio Buse</t>
        </is>
      </c>
      <c r="AQ867" s="24" t="inlineStr">
        <is>
          <t>Ignacio Buse</t>
        </is>
      </c>
      <c r="AR867" s="24" t="inlineStr">
        <is>
          <t>Ignacio Buse</t>
        </is>
      </c>
      <c r="AS867" s="24" t="inlineStr">
        <is>
          <t>Marcos Giron</t>
        </is>
      </c>
      <c r="AT867" s="24" t="inlineStr">
        <is>
          <t>Marcos Giron</t>
        </is>
      </c>
      <c r="AU867" s="24" t="inlineStr">
        <is>
          <t>Marcos Giron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0ce66f49b381187fe6255a40ca2fdbfc155d5e36125ccf6d30fe81a72962eafa</t>
        </is>
      </c>
      <c r="BB867" s="24" t="inlineStr">
        <is>
          <t>surface_blended_elo</t>
        </is>
      </c>
      <c r="BC867" s="24" t="inlineStr">
        <is>
          <t>tennis-surface-elo-v1</t>
        </is>
      </c>
      <c r="BD867" s="24" t="inlineStr">
        <is>
          <t>0ce66f49b381187fe6255a40ca2fdbfc155d5e36125ccf6d30fe81a72962eafa</t>
        </is>
      </c>
      <c r="BE867" s="24" t="inlineStr">
        <is>
          <t>tennis-surface-elo-v1</t>
        </is>
      </c>
      <c r="BF867" s="24" t="inlineStr">
        <is>
          <t>1</t>
        </is>
      </c>
      <c r="BG867" s="24" t="inlineStr">
        <is>
          <t>0ce66f49b381187fe6255a40ca2fdbfc155d5e36125ccf6d30fe81a72962eafa</t>
        </is>
      </c>
      <c r="BH867" s="24" t="inlineStr">
        <is>
          <t>2026-09-01T16:04:00.189796Z</t>
        </is>
      </c>
      <c r="BI867" s="24" t="inlineStr">
        <is>
          <t>["same_event","same_team_same_day","same_league_same_day"]</t>
        </is>
      </c>
      <c r="BJ867" s="25" t="n"/>
      <c r="BK867" s="26" t="n">
        <v>-156</v>
      </c>
      <c r="BL867" s="27" t="n">
        <v>1.641026</v>
      </c>
      <c r="BM867" s="28" t="n">
        <v>0.609375</v>
      </c>
      <c r="BN867" s="28" t="n"/>
      <c r="BO867" s="28" t="n"/>
      <c r="BP867" s="25" t="n"/>
      <c r="BQ867" s="27" t="n">
        <v>1.641026</v>
      </c>
      <c r="BR867" s="28" t="n">
        <v>0.61</v>
      </c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inlineStr">
        <is>
          <t>f7902dfc1a8545b2cd5fb35fcdbefeac48013a379e088ffcaf318e01649f472b</t>
        </is>
      </c>
      <c r="DE867" s="24" t="inlineStr">
        <is>
          <t>/Users/vincentc9002/model-prediction/data/odds/tennis/2026-09-01/polymarket_snapshots.jsonl</t>
        </is>
      </c>
      <c r="DF867" s="24" t="inlineStr">
        <is>
          <t>547279:2026-09-01T16:04:00.189796Z</t>
        </is>
      </c>
      <c r="DG867" s="24" t="n"/>
      <c r="DH867" s="24" t="n"/>
      <c r="DI867" s="24" t="n"/>
      <c r="DJ867" s="24" t="inlineStr">
        <is>
          <t>0.609375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2ec5d7b015d64a3c</t>
        </is>
      </c>
      <c r="B868" s="24" t="inlineStr">
        <is>
          <t>2026-09-01T16:06:19.518222Z</t>
        </is>
      </c>
      <c r="C868" s="24" t="inlineStr">
        <is>
          <t>2026-09-01T21:00Z</t>
        </is>
      </c>
      <c r="D868" s="24" t="inlineStr">
        <is>
          <t>189-2026:182696</t>
        </is>
      </c>
      <c r="E868" s="24" t="inlineStr">
        <is>
          <t>TENNIS</t>
        </is>
      </c>
      <c r="F868" s="24" t="inlineStr">
        <is>
          <t>Alex de Minaur</t>
        </is>
      </c>
      <c r="G868" s="24" t="inlineStr">
        <is>
          <t>Andrea Guerrieri</t>
        </is>
      </c>
      <c r="H868" s="24" t="inlineStr">
        <is>
          <t>moneyline</t>
        </is>
      </c>
      <c r="I868" s="24" t="inlineStr">
        <is>
          <t>away</t>
        </is>
      </c>
      <c r="J868" s="25" t="n"/>
      <c r="K868" s="24" t="inlineStr">
        <is>
          <t>polymarket_us</t>
        </is>
      </c>
      <c r="L868" s="26" t="n">
        <v>-1900</v>
      </c>
      <c r="M868" s="27" t="n">
        <v>1.052632</v>
      </c>
      <c r="N868" s="28" t="n">
        <v>0.95</v>
      </c>
      <c r="O868" s="28" t="n">
        <v>0.7811</v>
      </c>
      <c r="P868" s="28" t="n">
        <v>0.05</v>
      </c>
      <c r="Q868" s="28" t="n">
        <v>-0.1689</v>
      </c>
      <c r="R868" s="26" t="n">
        <v>0</v>
      </c>
      <c r="S868" s="29" t="n">
        <v>1</v>
      </c>
      <c r="T868" s="24" t="inlineStr">
        <is>
          <t>tennis-surface-elo-v1</t>
        </is>
      </c>
      <c r="U868" s="24" t="inlineStr">
        <is>
          <t>settled</t>
        </is>
      </c>
      <c r="V868" s="24" t="inlineStr">
        <is>
          <t>win</t>
        </is>
      </c>
      <c r="W868" s="26" t="n">
        <v>1</v>
      </c>
      <c r="X868" s="26" t="n">
        <v>0</v>
      </c>
      <c r="Y868" s="25" t="n"/>
      <c r="Z868" s="26" t="n">
        <v>-1900</v>
      </c>
      <c r="AA868" s="28" t="n">
        <v>0.95</v>
      </c>
      <c r="AB868" s="28" t="n">
        <v>0</v>
      </c>
      <c r="AC868" s="30" t="n">
        <v>0.0526</v>
      </c>
      <c r="AD868" s="24" t="inlineStr">
        <is>
          <t>2026-09-03T04:31:43.357221Z</t>
        </is>
      </c>
      <c r="AE868" s="31" t="inlineStr">
        <is>
          <t>Surface-blended Elo on Hard: Alex de Minaur p=0.781 vs Andrea Guerrieri. Executable ask 0.9500 (aec-atp-andgue-alemin-2026-08-30).</t>
        </is>
      </c>
      <c r="AF868" s="31" t="inlineStr">
        <is>
          <t>Surface-blended Elo model; singles only, WTA+ATP market coverage, not yet locked-holdout qualified -- promoted by explicit operator directive, not genuine walk-forward validation.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Alex de Minaur</t>
        </is>
      </c>
      <c r="AQ868" s="24" t="inlineStr">
        <is>
          <t>Alex de Minaur</t>
        </is>
      </c>
      <c r="AR868" s="24" t="inlineStr">
        <is>
          <t>Alex de Minaur</t>
        </is>
      </c>
      <c r="AS868" s="24" t="inlineStr">
        <is>
          <t>Andrea Guerrieri</t>
        </is>
      </c>
      <c r="AT868" s="24" t="inlineStr">
        <is>
          <t>Andrea Guerrieri</t>
        </is>
      </c>
      <c r="AU868" s="24" t="inlineStr">
        <is>
          <t>Andrea Guerrieri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0ce66f49b381187fe6255a40ca2fdbfc155d5e36125ccf6d30fe81a72962eafa</t>
        </is>
      </c>
      <c r="BB868" s="24" t="inlineStr">
        <is>
          <t>surface_blended_elo</t>
        </is>
      </c>
      <c r="BC868" s="24" t="inlineStr">
        <is>
          <t>tennis-surface-elo-v1</t>
        </is>
      </c>
      <c r="BD868" s="24" t="inlineStr">
        <is>
          <t>0ce66f49b381187fe6255a40ca2fdbfc155d5e36125ccf6d30fe81a72962eafa</t>
        </is>
      </c>
      <c r="BE868" s="24" t="inlineStr">
        <is>
          <t>tennis-surface-elo-v1</t>
        </is>
      </c>
      <c r="BF868" s="24" t="inlineStr">
        <is>
          <t>1</t>
        </is>
      </c>
      <c r="BG868" s="24" t="inlineStr">
        <is>
          <t>0ce66f49b381187fe6255a40ca2fdbfc155d5e36125ccf6d30fe81a72962eafa</t>
        </is>
      </c>
      <c r="BH868" s="24" t="inlineStr">
        <is>
          <t>2026-09-01T16:04:00.270537Z</t>
        </is>
      </c>
      <c r="BI868" s="24" t="inlineStr">
        <is>
          <t>["same_event","same_team_same_day","same_league_same_day"]</t>
        </is>
      </c>
      <c r="BJ868" s="25" t="n"/>
      <c r="BK868" s="26" t="n">
        <v>-1900</v>
      </c>
      <c r="BL868" s="27" t="n">
        <v>1.052632</v>
      </c>
      <c r="BM868" s="28" t="n">
        <v>0.95</v>
      </c>
      <c r="BN868" s="28" t="n"/>
      <c r="BO868" s="28" t="n"/>
      <c r="BP868" s="25" t="n"/>
      <c r="BQ868" s="27" t="n">
        <v>1.052632</v>
      </c>
      <c r="BR868" s="28" t="n">
        <v>0.95</v>
      </c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inlineStr">
        <is>
          <t>5c416044a30997cc3dec14d0508ba982b58f08e332691ec882762d1709db05a2</t>
        </is>
      </c>
      <c r="DE868" s="24" t="inlineStr">
        <is>
          <t>/Users/vincentc9002/model-prediction/data/odds/tennis/2026-09-01/polymarket_snapshots.jsonl</t>
        </is>
      </c>
      <c r="DF868" s="24" t="inlineStr">
        <is>
          <t>550498:2026-09-01T16:04:00.270537Z</t>
        </is>
      </c>
      <c r="DG868" s="24" t="n"/>
      <c r="DH868" s="24" t="n"/>
      <c r="DI868" s="24" t="n"/>
      <c r="DJ868" s="24" t="inlineStr">
        <is>
          <t>0.95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8fc32e47bc3649bd</t>
        </is>
      </c>
      <c r="B869" s="24" t="inlineStr">
        <is>
          <t>2026-09-01T16:06:19.518222Z</t>
        </is>
      </c>
      <c r="C869" s="24" t="inlineStr">
        <is>
          <t>2026-09-01T21:30Z</t>
        </is>
      </c>
      <c r="D869" s="24" t="inlineStr">
        <is>
          <t>189-2026:182697</t>
        </is>
      </c>
      <c r="E869" s="24" t="inlineStr">
        <is>
          <t>TENNIS</t>
        </is>
      </c>
      <c r="F869" s="24" t="inlineStr">
        <is>
          <t>Botic Van De Zandschulp</t>
        </is>
      </c>
      <c r="G869" s="24" t="inlineStr">
        <is>
          <t>Jan Choinski</t>
        </is>
      </c>
      <c r="H869" s="24" t="inlineStr">
        <is>
          <t>moneyline</t>
        </is>
      </c>
      <c r="I869" s="24" t="inlineStr">
        <is>
          <t>away</t>
        </is>
      </c>
      <c r="J869" s="25" t="n"/>
      <c r="K869" s="24" t="inlineStr">
        <is>
          <t>polymarket_us</t>
        </is>
      </c>
      <c r="L869" s="26" t="n">
        <v>-335</v>
      </c>
      <c r="M869" s="27" t="n">
        <v>1.298507</v>
      </c>
      <c r="N869" s="28" t="n">
        <v>0.770115</v>
      </c>
      <c r="O869" s="28" t="n">
        <v>0.7441</v>
      </c>
      <c r="P869" s="28" t="n">
        <v>0.05</v>
      </c>
      <c r="Q869" s="28" t="n">
        <v>-0.026015</v>
      </c>
      <c r="R869" s="26" t="n">
        <v>7</v>
      </c>
      <c r="S869" s="29" t="n">
        <v>1</v>
      </c>
      <c r="T869" s="24" t="inlineStr">
        <is>
          <t>tennis-surface-elo-v1</t>
        </is>
      </c>
      <c r="U869" s="24" t="inlineStr">
        <is>
          <t>settled</t>
        </is>
      </c>
      <c r="V869" s="24" t="inlineStr">
        <is>
          <t>win</t>
        </is>
      </c>
      <c r="W869" s="26" t="n">
        <v>1</v>
      </c>
      <c r="X869" s="26" t="n">
        <v>0</v>
      </c>
      <c r="Y869" s="25" t="n"/>
      <c r="Z869" s="26" t="n">
        <v>-335</v>
      </c>
      <c r="AA869" s="28" t="n">
        <v>0.77</v>
      </c>
      <c r="AB869" s="28" t="n">
        <v>-0.000115</v>
      </c>
      <c r="AC869" s="30" t="n">
        <v>0.2985</v>
      </c>
      <c r="AD869" s="24" t="inlineStr">
        <is>
          <t>2026-09-03T04:31:43.750320Z</t>
        </is>
      </c>
      <c r="AE869" s="31" t="inlineStr">
        <is>
          <t>Surface-blended Elo on Hard: Botic Van De Zandschulp p=0.744 vs Jan Choinski. Executable ask 0.7700 (aec-atp-jancho-botzan-2026-08-30).</t>
        </is>
      </c>
      <c r="AF869" s="31" t="inlineStr">
        <is>
          <t>Surface-blended Elo model; singles only, WTA+ATP market coverage, not yet locked-holdout qualified -- promoted by explicit operator directive, not genuine walk-forward validation.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PAPER_CALL_LOW_EDGE</t>
        </is>
      </c>
      <c r="AP869" s="24" t="inlineStr">
        <is>
          <t>Botic Van De Zandschulp</t>
        </is>
      </c>
      <c r="AQ869" s="24" t="inlineStr">
        <is>
          <t>Botic Van De Zandschulp</t>
        </is>
      </c>
      <c r="AR869" s="24" t="inlineStr">
        <is>
          <t>Botic Van De Zandschulp</t>
        </is>
      </c>
      <c r="AS869" s="24" t="inlineStr">
        <is>
          <t>Jan Choinski</t>
        </is>
      </c>
      <c r="AT869" s="24" t="inlineStr">
        <is>
          <t>Jan Choinski</t>
        </is>
      </c>
      <c r="AU869" s="24" t="inlineStr">
        <is>
          <t>Jan Choinski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0ce66f49b381187fe6255a40ca2fdbfc155d5e36125ccf6d30fe81a72962eafa</t>
        </is>
      </c>
      <c r="BB869" s="24" t="inlineStr">
        <is>
          <t>surface_blended_elo</t>
        </is>
      </c>
      <c r="BC869" s="24" t="inlineStr">
        <is>
          <t>tennis-surface-elo-v1</t>
        </is>
      </c>
      <c r="BD869" s="24" t="inlineStr">
        <is>
          <t>0ce66f49b381187fe6255a40ca2fdbfc155d5e36125ccf6d30fe81a72962eafa</t>
        </is>
      </c>
      <c r="BE869" s="24" t="inlineStr">
        <is>
          <t>tennis-surface-elo-v1</t>
        </is>
      </c>
      <c r="BF869" s="24" t="inlineStr">
        <is>
          <t>1</t>
        </is>
      </c>
      <c r="BG869" s="24" t="inlineStr">
        <is>
          <t>0ce66f49b381187fe6255a40ca2fdbfc155d5e36125ccf6d30fe81a72962eafa</t>
        </is>
      </c>
      <c r="BH869" s="24" t="inlineStr">
        <is>
          <t>2026-09-01T16:04:00.067333Z</t>
        </is>
      </c>
      <c r="BI869" s="24" t="inlineStr">
        <is>
          <t>["same_event","same_team_same_day","same_league_same_day"]</t>
        </is>
      </c>
      <c r="BJ869" s="25" t="n"/>
      <c r="BK869" s="26" t="n">
        <v>-335</v>
      </c>
      <c r="BL869" s="27" t="n">
        <v>1.298507</v>
      </c>
      <c r="BM869" s="28" t="n">
        <v>0.770115</v>
      </c>
      <c r="BN869" s="28" t="n"/>
      <c r="BO869" s="28" t="n"/>
      <c r="BP869" s="25" t="n"/>
      <c r="BQ869" s="27" t="n">
        <v>1.298507</v>
      </c>
      <c r="BR869" s="28" t="n">
        <v>0.77</v>
      </c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inlineStr">
        <is>
          <t>7354ad830753b75cf70eae600dc346d55c4a023dd6c70f184dd985e68043c572</t>
        </is>
      </c>
      <c r="DE869" s="24" t="inlineStr">
        <is>
          <t>/Users/vincentc9002/model-prediction/data/odds/tennis/2026-09-01/polymarket_snapshots.jsonl</t>
        </is>
      </c>
      <c r="DF869" s="24" t="inlineStr">
        <is>
          <t>547272:2026-09-01T16:04:00.067333Z</t>
        </is>
      </c>
      <c r="DG869" s="24" t="n"/>
      <c r="DH869" s="24" t="n"/>
      <c r="DI869" s="24" t="n"/>
      <c r="DJ869" s="24" t="inlineStr">
        <is>
          <t>0.770115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bd54cee718204de0</t>
        </is>
      </c>
      <c r="B870" s="24" t="inlineStr">
        <is>
          <t>2026-09-01T16:06:19.518222Z</t>
        </is>
      </c>
      <c r="C870" s="24" t="inlineStr">
        <is>
          <t>2026-09-01T23:00Z</t>
        </is>
      </c>
      <c r="D870" s="24" t="inlineStr">
        <is>
          <t>189-2026:182729</t>
        </is>
      </c>
      <c r="E870" s="24" t="inlineStr">
        <is>
          <t>TENNIS</t>
        </is>
      </c>
      <c r="F870" s="24" t="inlineStr">
        <is>
          <t>Gael Monfils</t>
        </is>
      </c>
      <c r="G870" s="24" t="inlineStr">
        <is>
          <t>Adolfo Daniel Vallejo</t>
        </is>
      </c>
      <c r="H870" s="24" t="inlineStr">
        <is>
          <t>moneyline</t>
        </is>
      </c>
      <c r="I870" s="24" t="inlineStr">
        <is>
          <t>home</t>
        </is>
      </c>
      <c r="J870" s="25" t="n"/>
      <c r="K870" s="24" t="inlineStr">
        <is>
          <t>polymarket_us</t>
        </is>
      </c>
      <c r="L870" s="26" t="n">
        <v>-127</v>
      </c>
      <c r="M870" s="27" t="n">
        <v>1.787402</v>
      </c>
      <c r="N870" s="28" t="n">
        <v>0.5594710000000001</v>
      </c>
      <c r="O870" s="28" t="n">
        <v>0.545</v>
      </c>
      <c r="P870" s="28" t="n">
        <v>0.05</v>
      </c>
      <c r="Q870" s="28" t="n">
        <v>-0.014471</v>
      </c>
      <c r="R870" s="26" t="n">
        <v>13</v>
      </c>
      <c r="S870" s="29" t="n">
        <v>1</v>
      </c>
      <c r="T870" s="24" t="inlineStr">
        <is>
          <t>tennis-surface-elo-v1</t>
        </is>
      </c>
      <c r="U870" s="24" t="inlineStr">
        <is>
          <t>settled</t>
        </is>
      </c>
      <c r="V870" s="24" t="inlineStr">
        <is>
          <t>loss</t>
        </is>
      </c>
      <c r="W870" s="26" t="n">
        <v>1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2026-09-02T04:33:52.409549Z</t>
        </is>
      </c>
      <c r="AE870" s="31" t="inlineStr">
        <is>
          <t>Surface-blended Elo on Hard: Gael Monfils p=0.455 vs Adolfo Daniel Vallejo. Executable ask 0.5600 (aec-atp-adoval-gaemon-2026-08-30).</t>
        </is>
      </c>
      <c r="AF870" s="31" t="inlineStr">
        <is>
          <t>Surface-blended Elo model; singles only, WTA+ATP market coverage, not yet locked-holdout qualified -- promoted by explicit operator directive, not genuine walk-forward validation.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PAPER_CALL_LOW_EDGE</t>
        </is>
      </c>
      <c r="AP870" s="24" t="inlineStr">
        <is>
          <t>Gael Monfils</t>
        </is>
      </c>
      <c r="AQ870" s="24" t="inlineStr">
        <is>
          <t>Gael Monfils</t>
        </is>
      </c>
      <c r="AR870" s="24" t="inlineStr">
        <is>
          <t>Gael Monfils</t>
        </is>
      </c>
      <c r="AS870" s="24" t="inlineStr">
        <is>
          <t>Adolfo Daniel Vallejo</t>
        </is>
      </c>
      <c r="AT870" s="24" t="inlineStr">
        <is>
          <t>Adolfo Daniel Vallejo</t>
        </is>
      </c>
      <c r="AU870" s="24" t="inlineStr">
        <is>
          <t>Adolfo Daniel Vallejo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0ce66f49b381187fe6255a40ca2fdbfc155d5e36125ccf6d30fe81a72962eafa</t>
        </is>
      </c>
      <c r="BB870" s="24" t="inlineStr">
        <is>
          <t>surface_blended_elo</t>
        </is>
      </c>
      <c r="BC870" s="24" t="inlineStr">
        <is>
          <t>tennis-surface-elo-v1</t>
        </is>
      </c>
      <c r="BD870" s="24" t="inlineStr">
        <is>
          <t>0ce66f49b381187fe6255a40ca2fdbfc155d5e36125ccf6d30fe81a72962eafa</t>
        </is>
      </c>
      <c r="BE870" s="24" t="inlineStr">
        <is>
          <t>tennis-surface-elo-v1</t>
        </is>
      </c>
      <c r="BF870" s="24" t="inlineStr">
        <is>
          <t>1</t>
        </is>
      </c>
      <c r="BG870" s="24" t="inlineStr">
        <is>
          <t>0ce66f49b381187fe6255a40ca2fdbfc155d5e36125ccf6d30fe81a72962eafa</t>
        </is>
      </c>
      <c r="BH870" s="24" t="inlineStr">
        <is>
          <t>2026-09-01T16:04:00.253997Z</t>
        </is>
      </c>
      <c r="BI870" s="24" t="inlineStr">
        <is>
          <t>["same_event","same_team_same_day","same_league_same_day"]</t>
        </is>
      </c>
      <c r="BJ870" s="25" t="n"/>
      <c r="BK870" s="26" t="n">
        <v>-127</v>
      </c>
      <c r="BL870" s="27" t="n">
        <v>1.787402</v>
      </c>
      <c r="BM870" s="28" t="n">
        <v>0.5594710000000001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False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inlineStr">
        <is>
          <t>8790fc6e8551f4266313f380c2a356ed9d39525873e9b82cb7e3dccd813495cb</t>
        </is>
      </c>
      <c r="DE870" s="24" t="inlineStr">
        <is>
          <t>/Users/vincentc9002/model-prediction/data/odds/tennis/2026-09-01/polymarket_snapshots.jsonl</t>
        </is>
      </c>
      <c r="DF870" s="24" t="inlineStr">
        <is>
          <t>547281:2026-09-01T16:04:00.253997Z</t>
        </is>
      </c>
      <c r="DG870" s="24" t="n"/>
      <c r="DH870" s="24" t="n"/>
      <c r="DI870" s="24" t="n"/>
      <c r="DJ870" s="24" t="inlineStr">
        <is>
          <t>0.559471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b9469f4096cf44ba</t>
        </is>
      </c>
      <c r="B871" s="24" t="inlineStr">
        <is>
          <t>2026-09-01T16:06:19.518222Z</t>
        </is>
      </c>
      <c r="C871" s="24" t="inlineStr">
        <is>
          <t>2026-09-02T00:30Z</t>
        </is>
      </c>
      <c r="D871" s="24" t="inlineStr">
        <is>
          <t>189-2026:182660</t>
        </is>
      </c>
      <c r="E871" s="24" t="inlineStr">
        <is>
          <t>TENNIS</t>
        </is>
      </c>
      <c r="F871" s="24" t="inlineStr">
        <is>
          <t>Lorenzo Sonego</t>
        </is>
      </c>
      <c r="G871" s="24" t="inlineStr">
        <is>
          <t>Alexander Zverev</t>
        </is>
      </c>
      <c r="H871" s="24" t="inlineStr">
        <is>
          <t>moneyline</t>
        </is>
      </c>
      <c r="I871" s="24" t="inlineStr">
        <is>
          <t>home</t>
        </is>
      </c>
      <c r="J871" s="25" t="n"/>
      <c r="K871" s="24" t="inlineStr">
        <is>
          <t>polymarket_us</t>
        </is>
      </c>
      <c r="L871" s="26" t="n">
        <v>-1567</v>
      </c>
      <c r="M871" s="27" t="n">
        <v>1.063816</v>
      </c>
      <c r="N871" s="28" t="n">
        <v>0.940012</v>
      </c>
      <c r="O871" s="28" t="n">
        <v>0.8409</v>
      </c>
      <c r="P871" s="28" t="n">
        <v>0.05</v>
      </c>
      <c r="Q871" s="28" t="n">
        <v>-0.09911200000000001</v>
      </c>
      <c r="R871" s="26" t="n">
        <v>0</v>
      </c>
      <c r="S871" s="29" t="n">
        <v>1</v>
      </c>
      <c r="T871" s="24" t="inlineStr">
        <is>
          <t>tennis-surface-elo-v1</t>
        </is>
      </c>
      <c r="U871" s="24" t="inlineStr">
        <is>
          <t>settled</t>
        </is>
      </c>
      <c r="V871" s="24" t="inlineStr">
        <is>
          <t>win</t>
        </is>
      </c>
      <c r="W871" s="26" t="n">
        <v>0</v>
      </c>
      <c r="X871" s="26" t="n">
        <v>1</v>
      </c>
      <c r="Y871" s="25" t="n"/>
      <c r="Z871" s="26" t="n">
        <v>-1567</v>
      </c>
      <c r="AA871" s="28" t="n">
        <v>0.9399999999999999</v>
      </c>
      <c r="AB871" s="28" t="n">
        <v>-1.2e-05</v>
      </c>
      <c r="AC871" s="30" t="n">
        <v>0.0638</v>
      </c>
      <c r="AD871" s="24" t="inlineStr">
        <is>
          <t>2026-09-02T16:03:39.313331Z</t>
        </is>
      </c>
      <c r="AE871" s="31" t="inlineStr">
        <is>
          <t>Surface-blended Elo on Hard: Lorenzo Sonego p=0.159 vs Alexander Zverev. Executable ask 0.9400 (aec-atp-alezve-lorson-2026-08-30).</t>
        </is>
      </c>
      <c r="AF871" s="31" t="inlineStr">
        <is>
          <t>Surface-blended Elo model; singles only, WTA+ATP market coverage, not yet locked-holdout qualified -- promoted by explicit operator directive, not genuine walk-forward validation.</t>
        </is>
      </c>
      <c r="AG871" s="24" t="inlineStr">
        <is>
          <t>not_applicable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PAPER_CALL_LOW_EDGE</t>
        </is>
      </c>
      <c r="AP871" s="24" t="inlineStr">
        <is>
          <t>Lorenzo Sonego</t>
        </is>
      </c>
      <c r="AQ871" s="24" t="inlineStr">
        <is>
          <t>Lorenzo Sonego</t>
        </is>
      </c>
      <c r="AR871" s="24" t="inlineStr">
        <is>
          <t>Lorenzo Sonego</t>
        </is>
      </c>
      <c r="AS871" s="24" t="inlineStr">
        <is>
          <t>Alexander Zverev</t>
        </is>
      </c>
      <c r="AT871" s="24" t="inlineStr">
        <is>
          <t>Alexander Zverev</t>
        </is>
      </c>
      <c r="AU871" s="24" t="inlineStr">
        <is>
          <t>Alexander Zverev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0ce66f49b381187fe6255a40ca2fdbfc155d5e36125ccf6d30fe81a72962eafa</t>
        </is>
      </c>
      <c r="BB871" s="24" t="inlineStr">
        <is>
          <t>surface_blended_elo</t>
        </is>
      </c>
      <c r="BC871" s="24" t="inlineStr">
        <is>
          <t>tennis-surface-elo-v1</t>
        </is>
      </c>
      <c r="BD871" s="24" t="inlineStr">
        <is>
          <t>0ce66f49b381187fe6255a40ca2fdbfc155d5e36125ccf6d30fe81a72962eafa</t>
        </is>
      </c>
      <c r="BE871" s="24" t="inlineStr">
        <is>
          <t>tennis-surface-elo-v1</t>
        </is>
      </c>
      <c r="BF871" s="24" t="inlineStr">
        <is>
          <t>1</t>
        </is>
      </c>
      <c r="BG871" s="24" t="inlineStr">
        <is>
          <t>0ce66f49b381187fe6255a40ca2fdbfc155d5e36125ccf6d30fe81a72962eafa</t>
        </is>
      </c>
      <c r="BH871" s="24" t="inlineStr">
        <is>
          <t>2026-09-01T16:04:00.345079Z</t>
        </is>
      </c>
      <c r="BI871" s="24" t="inlineStr">
        <is>
          <t>["same_event","same_team_same_day","same_league_same_day"]</t>
        </is>
      </c>
      <c r="BJ871" s="25" t="n"/>
      <c r="BK871" s="26" t="n">
        <v>-1567</v>
      </c>
      <c r="BL871" s="27" t="n">
        <v>1.063816</v>
      </c>
      <c r="BM871" s="28" t="n">
        <v>0.940012</v>
      </c>
      <c r="BN871" s="28" t="n"/>
      <c r="BO871" s="28" t="n"/>
      <c r="BP871" s="25" t="n"/>
      <c r="BQ871" s="27" t="n">
        <v>1.063816</v>
      </c>
      <c r="BR871" s="28" t="n">
        <v>0.9399999999999999</v>
      </c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inlineStr">
        <is>
          <t>70beeb8a073bd85abdd3993b2c32035c71a3ea304ccd10918914f26e26c3ae18</t>
        </is>
      </c>
      <c r="DE871" s="24" t="inlineStr">
        <is>
          <t>/Users/vincentc9002/model-prediction/data/odds/tennis/2026-09-01/polymarket_snapshots.jsonl</t>
        </is>
      </c>
      <c r="DF871" s="24" t="inlineStr">
        <is>
          <t>547254:2026-09-01T16:04:00.345079Z</t>
        </is>
      </c>
      <c r="DG871" s="24" t="n"/>
      <c r="DH871" s="24" t="n"/>
      <c r="DI871" s="24" t="n"/>
      <c r="DJ871" s="24" t="inlineStr">
        <is>
          <t>0.940012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889bcfbc70474c08</t>
        </is>
      </c>
      <c r="B872" s="24" t="inlineStr">
        <is>
          <t>2026-09-02T04:38:14.292410Z</t>
        </is>
      </c>
      <c r="C872" s="24" t="inlineStr">
        <is>
          <t>2026-09-02T15:00Z</t>
        </is>
      </c>
      <c r="D872" s="24" t="inlineStr">
        <is>
          <t>189-2026:182544</t>
        </is>
      </c>
      <c r="E872" s="24" t="inlineStr">
        <is>
          <t>TENNIS</t>
        </is>
      </c>
      <c r="F872" s="24" t="inlineStr">
        <is>
          <t>Sorana Cirstea</t>
        </is>
      </c>
      <c r="G872" s="24" t="inlineStr">
        <is>
          <t>Diane Parry</t>
        </is>
      </c>
      <c r="H872" s="24" t="inlineStr">
        <is>
          <t>moneyline</t>
        </is>
      </c>
      <c r="I872" s="24" t="inlineStr">
        <is>
          <t>away</t>
        </is>
      </c>
      <c r="J872" s="25" t="n"/>
      <c r="K872" s="24" t="inlineStr">
        <is>
          <t>polymarket_us</t>
        </is>
      </c>
      <c r="L872" s="26" t="n">
        <v>-257</v>
      </c>
      <c r="M872" s="27" t="n">
        <v>1.389105</v>
      </c>
      <c r="N872" s="28" t="n">
        <v>0.719888</v>
      </c>
      <c r="O872" s="28" t="n">
        <v>0.6293</v>
      </c>
      <c r="P872" s="28" t="n">
        <v>0.05</v>
      </c>
      <c r="Q872" s="28" t="n">
        <v>-0.090588</v>
      </c>
      <c r="R872" s="26" t="n">
        <v>0</v>
      </c>
      <c r="S872" s="29" t="n">
        <v>1</v>
      </c>
      <c r="T872" s="24" t="inlineStr">
        <is>
          <t>tennis-surface-elo-v1</t>
        </is>
      </c>
      <c r="U872" s="24" t="inlineStr">
        <is>
          <t>settled</t>
        </is>
      </c>
      <c r="V872" s="24" t="inlineStr">
        <is>
          <t>win</t>
        </is>
      </c>
      <c r="W872" s="26" t="n">
        <v>1</v>
      </c>
      <c r="X872" s="26" t="n">
        <v>0</v>
      </c>
      <c r="Y872" s="25" t="n"/>
      <c r="Z872" s="26" t="n">
        <v>-257</v>
      </c>
      <c r="AA872" s="28" t="n">
        <v>0.72</v>
      </c>
      <c r="AB872" s="28" t="n">
        <v>0.000112</v>
      </c>
      <c r="AC872" s="30" t="n">
        <v>0.3891</v>
      </c>
      <c r="AD872" s="24" t="inlineStr">
        <is>
          <t>2026-09-03T04:31:44.139751Z</t>
        </is>
      </c>
      <c r="AE872" s="31" t="inlineStr">
        <is>
          <t>Surface-blended Elo on Hard: Sorana Cirstea p=0.629 vs Diane Parry. Executable ask 0.7200 (aec-wta-diapar-sorcir-2026-09-01).</t>
        </is>
      </c>
      <c r="AF872" s="31" t="inlineStr">
        <is>
          <t>Surface-blended Elo model; singles only, WTA+ATP market coverage, not yet locked-holdout qualified -- promoted by explicit operator directive, not genuine walk-forward validation.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PAPER_CALL_LOW_EDGE</t>
        </is>
      </c>
      <c r="AP872" s="24" t="inlineStr">
        <is>
          <t>Sorana Cirstea</t>
        </is>
      </c>
      <c r="AQ872" s="24" t="inlineStr">
        <is>
          <t>Sorana Cirstea</t>
        </is>
      </c>
      <c r="AR872" s="24" t="inlineStr">
        <is>
          <t>Sorana Cirstea</t>
        </is>
      </c>
      <c r="AS872" s="24" t="inlineStr">
        <is>
          <t>Diane Parry</t>
        </is>
      </c>
      <c r="AT872" s="24" t="inlineStr">
        <is>
          <t>Diane Parry</t>
        </is>
      </c>
      <c r="AU872" s="24" t="inlineStr">
        <is>
          <t>Diane Parry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0ce66f49b381187fe6255a40ca2fdbfc155d5e36125ccf6d30fe81a72962eafa</t>
        </is>
      </c>
      <c r="BB872" s="24" t="inlineStr">
        <is>
          <t>surface_blended_elo</t>
        </is>
      </c>
      <c r="BC872" s="24" t="inlineStr">
        <is>
          <t>tennis-surface-elo-v1</t>
        </is>
      </c>
      <c r="BD872" s="24" t="inlineStr">
        <is>
          <t>0ce66f49b381187fe6255a40ca2fdbfc155d5e36125ccf6d30fe81a72962eafa</t>
        </is>
      </c>
      <c r="BE872" s="24" t="inlineStr">
        <is>
          <t>tennis-surface-elo-v1</t>
        </is>
      </c>
      <c r="BF872" s="24" t="inlineStr">
        <is>
          <t>1</t>
        </is>
      </c>
      <c r="BG872" s="24" t="inlineStr">
        <is>
          <t>0ce66f49b381187fe6255a40ca2fdbfc155d5e36125ccf6d30fe81a72962eafa</t>
        </is>
      </c>
      <c r="BH872" s="24" t="inlineStr">
        <is>
          <t>2026-09-02T04:37:02.601738Z</t>
        </is>
      </c>
      <c r="BI872" s="24" t="inlineStr">
        <is>
          <t>["same_event","same_team_same_day","same_league_same_day"]</t>
        </is>
      </c>
      <c r="BJ872" s="25" t="n"/>
      <c r="BK872" s="26" t="n">
        <v>-257</v>
      </c>
      <c r="BL872" s="27" t="n">
        <v>1.389105</v>
      </c>
      <c r="BM872" s="28" t="n">
        <v>0.719888</v>
      </c>
      <c r="BN872" s="28" t="n"/>
      <c r="BO872" s="28" t="n"/>
      <c r="BP872" s="25" t="n"/>
      <c r="BQ872" s="27" t="n">
        <v>1.389105</v>
      </c>
      <c r="BR872" s="28" t="n">
        <v>0.72</v>
      </c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False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inlineStr">
        <is>
          <t>2be16aa7969866c2d1c1605f227cbf129136465535047d7925578a5494cebf38</t>
        </is>
      </c>
      <c r="DE872" s="24" t="inlineStr">
        <is>
          <t>/Users/vincentc9002/model-prediction/data/odds/tennis/2026-09-02/polymarket_snapshots.jsonl</t>
        </is>
      </c>
      <c r="DF872" s="24" t="inlineStr">
        <is>
          <t>600215:2026-09-02T04:37:02.601738Z</t>
        </is>
      </c>
      <c r="DG872" s="24" t="n"/>
      <c r="DH872" s="24" t="n"/>
      <c r="DI872" s="24" t="n"/>
      <c r="DJ872" s="24" t="inlineStr">
        <is>
          <t>0.719888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0efa9a9a7bdb4e1c</t>
        </is>
      </c>
      <c r="B873" s="24" t="inlineStr">
        <is>
          <t>2026-09-02T04:38:14.292410Z</t>
        </is>
      </c>
      <c r="C873" s="24" t="inlineStr">
        <is>
          <t>2026-09-02T15:00Z</t>
        </is>
      </c>
      <c r="D873" s="24" t="inlineStr">
        <is>
          <t>189-2026:182558</t>
        </is>
      </c>
      <c r="E873" s="24" t="inlineStr">
        <is>
          <t>TENNIS</t>
        </is>
      </c>
      <c r="F873" s="24" t="inlineStr">
        <is>
          <t>Leylah Fernandez</t>
        </is>
      </c>
      <c r="G873" s="24" t="inlineStr">
        <is>
          <t>Mananchaya Sawangkaew</t>
        </is>
      </c>
      <c r="H873" s="24" t="inlineStr">
        <is>
          <t>moneyline</t>
        </is>
      </c>
      <c r="I873" s="24" t="inlineStr">
        <is>
          <t>away</t>
        </is>
      </c>
      <c r="J873" s="25" t="n"/>
      <c r="K873" s="24" t="inlineStr">
        <is>
          <t>polymarket_us</t>
        </is>
      </c>
      <c r="L873" s="26" t="n">
        <v>-257</v>
      </c>
      <c r="M873" s="27" t="n">
        <v>1.389105</v>
      </c>
      <c r="N873" s="28" t="n">
        <v>0.719888</v>
      </c>
      <c r="O873" s="28" t="n">
        <v>0.5359</v>
      </c>
      <c r="P873" s="28" t="n">
        <v>0.05</v>
      </c>
      <c r="Q873" s="28" t="n">
        <v>-0.183988</v>
      </c>
      <c r="R873" s="26" t="n">
        <v>0</v>
      </c>
      <c r="S873" s="29" t="n">
        <v>1</v>
      </c>
      <c r="T873" s="24" t="inlineStr">
        <is>
          <t>tennis-surface-elo-v1</t>
        </is>
      </c>
      <c r="U873" s="24" t="inlineStr">
        <is>
          <t>settled</t>
        </is>
      </c>
      <c r="V873" s="24" t="inlineStr">
        <is>
          <t>win</t>
        </is>
      </c>
      <c r="W873" s="26" t="n">
        <v>1</v>
      </c>
      <c r="X873" s="26" t="n">
        <v>0</v>
      </c>
      <c r="Y873" s="25" t="n"/>
      <c r="Z873" s="26" t="n">
        <v>-257</v>
      </c>
      <c r="AA873" s="28" t="n">
        <v>0.72</v>
      </c>
      <c r="AB873" s="28" t="n">
        <v>0.000112</v>
      </c>
      <c r="AC873" s="30" t="n">
        <v>0.3891</v>
      </c>
      <c r="AD873" s="24" t="inlineStr">
        <is>
          <t>2026-09-03T04:31:44.523901Z</t>
        </is>
      </c>
      <c r="AE873" s="31" t="inlineStr">
        <is>
          <t>Surface-blended Elo on Hard: Leylah Fernandez p=0.536 vs Mananchaya Sawangkaew. Executable ask 0.7200 (aec-wta-mansaw-leyfer-2026-09-01).</t>
        </is>
      </c>
      <c r="AF873" s="31" t="inlineStr">
        <is>
          <t>Surface-blended Elo model; singles only, WTA+ATP market coverage, not yet locked-holdout qualified -- promoted by explicit operator directive, not genuine walk-forward validation.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PAPER_CALL_LOW_EDGE</t>
        </is>
      </c>
      <c r="AP873" s="24" t="inlineStr">
        <is>
          <t>Leylah Fernandez</t>
        </is>
      </c>
      <c r="AQ873" s="24" t="inlineStr">
        <is>
          <t>Leylah Fernandez</t>
        </is>
      </c>
      <c r="AR873" s="24" t="inlineStr">
        <is>
          <t>Leylah Fernandez</t>
        </is>
      </c>
      <c r="AS873" s="24" t="inlineStr">
        <is>
          <t>Mananchaya Sawangkaew</t>
        </is>
      </c>
      <c r="AT873" s="24" t="inlineStr">
        <is>
          <t>Mananchaya Sawangkaew</t>
        </is>
      </c>
      <c r="AU873" s="24" t="inlineStr">
        <is>
          <t>Mananchaya Sawangkaew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0ce66f49b381187fe6255a40ca2fdbfc155d5e36125ccf6d30fe81a72962eafa</t>
        </is>
      </c>
      <c r="BB873" s="24" t="inlineStr">
        <is>
          <t>surface_blended_elo</t>
        </is>
      </c>
      <c r="BC873" s="24" t="inlineStr">
        <is>
          <t>tennis-surface-elo-v1</t>
        </is>
      </c>
      <c r="BD873" s="24" t="inlineStr">
        <is>
          <t>0ce66f49b381187fe6255a40ca2fdbfc155d5e36125ccf6d30fe81a72962eafa</t>
        </is>
      </c>
      <c r="BE873" s="24" t="inlineStr">
        <is>
          <t>tennis-surface-elo-v1</t>
        </is>
      </c>
      <c r="BF873" s="24" t="inlineStr">
        <is>
          <t>1</t>
        </is>
      </c>
      <c r="BG873" s="24" t="inlineStr">
        <is>
          <t>0ce66f49b381187fe6255a40ca2fdbfc155d5e36125ccf6d30fe81a72962eafa</t>
        </is>
      </c>
      <c r="BH873" s="24" t="inlineStr">
        <is>
          <t>2026-09-02T04:37:03.093693Z</t>
        </is>
      </c>
      <c r="BI873" s="24" t="inlineStr">
        <is>
          <t>["same_event","same_team_same_day","same_league_same_day"]</t>
        </is>
      </c>
      <c r="BJ873" s="25" t="n"/>
      <c r="BK873" s="26" t="n">
        <v>-257</v>
      </c>
      <c r="BL873" s="27" t="n">
        <v>1.389105</v>
      </c>
      <c r="BM873" s="28" t="n">
        <v>0.719888</v>
      </c>
      <c r="BN873" s="28" t="n"/>
      <c r="BO873" s="28" t="n"/>
      <c r="BP873" s="25" t="n"/>
      <c r="BQ873" s="27" t="n">
        <v>1.389105</v>
      </c>
      <c r="BR873" s="28" t="n">
        <v>0.72</v>
      </c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inlineStr">
        <is>
          <t>13b7513e4221cea6571d38f65fc8b2ce982d3756d13c8796b104ad320840222a</t>
        </is>
      </c>
      <c r="DE873" s="24" t="inlineStr">
        <is>
          <t>/Users/vincentc9002/model-prediction/data/odds/tennis/2026-09-02/polymarket_snapshots.jsonl</t>
        </is>
      </c>
      <c r="DF873" s="24" t="inlineStr">
        <is>
          <t>597137:2026-09-02T04:37:03.093693Z</t>
        </is>
      </c>
      <c r="DG873" s="24" t="n"/>
      <c r="DH873" s="24" t="n"/>
      <c r="DI873" s="24" t="n"/>
      <c r="DJ873" s="24" t="inlineStr">
        <is>
          <t>0.719888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86d671e869894467</t>
        </is>
      </c>
      <c r="B874" s="24" t="inlineStr">
        <is>
          <t>2026-09-02T04:38:14.292410Z</t>
        </is>
      </c>
      <c r="C874" s="24" t="inlineStr">
        <is>
          <t>2026-09-02T15:00Z</t>
        </is>
      </c>
      <c r="D874" s="24" t="inlineStr">
        <is>
          <t>189-2026:182561</t>
        </is>
      </c>
      <c r="E874" s="24" t="inlineStr">
        <is>
          <t>TENNIS</t>
        </is>
      </c>
      <c r="F874" s="24" t="inlineStr">
        <is>
          <t>Lucrezia Stefanini</t>
        </is>
      </c>
      <c r="G874" s="24" t="inlineStr">
        <is>
          <t>Jasmine Paolini</t>
        </is>
      </c>
      <c r="H874" s="24" t="inlineStr">
        <is>
          <t>moneyline</t>
        </is>
      </c>
      <c r="I874" s="24" t="inlineStr">
        <is>
          <t>home</t>
        </is>
      </c>
      <c r="J874" s="25" t="n"/>
      <c r="K874" s="24" t="inlineStr">
        <is>
          <t>polymarket_us</t>
        </is>
      </c>
      <c r="L874" s="26" t="n">
        <v>-223</v>
      </c>
      <c r="M874" s="27" t="n">
        <v>1.44843</v>
      </c>
      <c r="N874" s="28" t="n">
        <v>0.690402</v>
      </c>
      <c r="O874" s="28" t="n">
        <v>0.6506</v>
      </c>
      <c r="P874" s="28" t="n">
        <v>0.05</v>
      </c>
      <c r="Q874" s="28" t="n">
        <v>-0.039802</v>
      </c>
      <c r="R874" s="26" t="n">
        <v>0</v>
      </c>
      <c r="S874" s="29" t="n">
        <v>1</v>
      </c>
      <c r="T874" s="24" t="inlineStr">
        <is>
          <t>tennis-surface-elo-v1</t>
        </is>
      </c>
      <c r="U874" s="24" t="inlineStr">
        <is>
          <t>settled</t>
        </is>
      </c>
      <c r="V874" s="24" t="inlineStr">
        <is>
          <t>win</t>
        </is>
      </c>
      <c r="W874" s="26" t="n">
        <v>0</v>
      </c>
      <c r="X874" s="26" t="n">
        <v>1</v>
      </c>
      <c r="Y874" s="25" t="n"/>
      <c r="Z874" s="26" t="n">
        <v>-223</v>
      </c>
      <c r="AA874" s="28" t="n">
        <v>0.6899999999999999</v>
      </c>
      <c r="AB874" s="28" t="n">
        <v>-0.000402</v>
      </c>
      <c r="AC874" s="30" t="n">
        <v>0.4484</v>
      </c>
      <c r="AD874" s="24" t="inlineStr">
        <is>
          <t>2026-09-03T04:31:44.913226Z</t>
        </is>
      </c>
      <c r="AE874" s="31" t="inlineStr">
        <is>
          <t>Surface-blended Elo on Hard: Lucrezia Stefanini p=0.349 vs Jasmine Paolini. Executable ask 0.6900 (aec-wta-jaspao-lucste-2026-09-02).</t>
        </is>
      </c>
      <c r="AF874" s="31" t="inlineStr">
        <is>
          <t>Surface-blended Elo model; singles only, WTA+ATP market coverage, not yet locked-holdout qualified -- promoted by explicit operator directive, not genuine walk-forward validation.</t>
        </is>
      </c>
      <c r="AG874" s="24" t="inlineStr">
        <is>
          <t>not_applicable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PAPER_CALL_LOW_EDGE</t>
        </is>
      </c>
      <c r="AP874" s="24" t="inlineStr">
        <is>
          <t>Lucrezia Stefanini</t>
        </is>
      </c>
      <c r="AQ874" s="24" t="inlineStr">
        <is>
          <t>Lucrezia Stefanini</t>
        </is>
      </c>
      <c r="AR874" s="24" t="inlineStr">
        <is>
          <t>Lucrezia Stefanini</t>
        </is>
      </c>
      <c r="AS874" s="24" t="inlineStr">
        <is>
          <t>Jasmine Paolini</t>
        </is>
      </c>
      <c r="AT874" s="24" t="inlineStr">
        <is>
          <t>Jasmine Paolini</t>
        </is>
      </c>
      <c r="AU874" s="24" t="inlineStr">
        <is>
          <t>Jasmine Paolini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0ce66f49b381187fe6255a40ca2fdbfc155d5e36125ccf6d30fe81a72962eafa</t>
        </is>
      </c>
      <c r="BB874" s="24" t="inlineStr">
        <is>
          <t>surface_blended_elo</t>
        </is>
      </c>
      <c r="BC874" s="24" t="inlineStr">
        <is>
          <t>tennis-surface-elo-v1</t>
        </is>
      </c>
      <c r="BD874" s="24" t="inlineStr">
        <is>
          <t>0ce66f49b381187fe6255a40ca2fdbfc155d5e36125ccf6d30fe81a72962eafa</t>
        </is>
      </c>
      <c r="BE874" s="24" t="inlineStr">
        <is>
          <t>tennis-surface-elo-v1</t>
        </is>
      </c>
      <c r="BF874" s="24" t="inlineStr">
        <is>
          <t>1</t>
        </is>
      </c>
      <c r="BG874" s="24" t="inlineStr">
        <is>
          <t>0ce66f49b381187fe6255a40ca2fdbfc155d5e36125ccf6d30fe81a72962eafa</t>
        </is>
      </c>
      <c r="BH874" s="24" t="inlineStr">
        <is>
          <t>2026-09-02T04:37:02.942261Z</t>
        </is>
      </c>
      <c r="BI874" s="24" t="inlineStr">
        <is>
          <t>["same_event","same_team_same_day","same_league_same_day"]</t>
        </is>
      </c>
      <c r="BJ874" s="25" t="n"/>
      <c r="BK874" s="26" t="n">
        <v>-223</v>
      </c>
      <c r="BL874" s="27" t="n">
        <v>1.44843</v>
      </c>
      <c r="BM874" s="28" t="n">
        <v>0.690402</v>
      </c>
      <c r="BN874" s="28" t="n"/>
      <c r="BO874" s="28" t="n"/>
      <c r="BP874" s="25" t="n"/>
      <c r="BQ874" s="27" t="n">
        <v>1.44843</v>
      </c>
      <c r="BR874" s="28" t="n">
        <v>0.6899999999999999</v>
      </c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False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inlineStr">
        <is>
          <t>2b3f8d3a1c350426746eedee1771960fcd3baff5373db7876318cab36f2a0c37</t>
        </is>
      </c>
      <c r="DE874" s="24" t="inlineStr">
        <is>
          <t>/Users/vincentc9002/model-prediction/data/odds/tennis/2026-09-02/polymarket_snapshots.jsonl</t>
        </is>
      </c>
      <c r="DF874" s="24" t="inlineStr">
        <is>
          <t>596768:2026-09-02T04:37:02.942261Z</t>
        </is>
      </c>
      <c r="DG874" s="24" t="n"/>
      <c r="DH874" s="24" t="n"/>
      <c r="DI874" s="24" t="n"/>
      <c r="DJ874" s="24" t="inlineStr">
        <is>
          <t>0.690402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5dd6fea004104079</t>
        </is>
      </c>
      <c r="B875" s="24" t="inlineStr">
        <is>
          <t>2026-09-02T04:38:14.292410Z</t>
        </is>
      </c>
      <c r="C875" s="24" t="inlineStr">
        <is>
          <t>2026-09-02T15:00Z</t>
        </is>
      </c>
      <c r="D875" s="24" t="inlineStr">
        <is>
          <t>189-2026:182567</t>
        </is>
      </c>
      <c r="E875" s="24" t="inlineStr">
        <is>
          <t>TENNIS</t>
        </is>
      </c>
      <c r="F875" s="24" t="inlineStr">
        <is>
          <t>Taylah Preston</t>
        </is>
      </c>
      <c r="G875" s="24" t="inlineStr">
        <is>
          <t>Taylor Townsend</t>
        </is>
      </c>
      <c r="H875" s="24" t="inlineStr">
        <is>
          <t>moneyline</t>
        </is>
      </c>
      <c r="I875" s="24" t="inlineStr">
        <is>
          <t>home</t>
        </is>
      </c>
      <c r="J875" s="25" t="n"/>
      <c r="K875" s="24" t="inlineStr">
        <is>
          <t>polymarket_us</t>
        </is>
      </c>
      <c r="L875" s="26" t="n">
        <v>-376</v>
      </c>
      <c r="M875" s="27" t="n">
        <v>1.265957</v>
      </c>
      <c r="N875" s="28" t="n">
        <v>0.789916</v>
      </c>
      <c r="O875" s="28" t="n">
        <v>0.79</v>
      </c>
      <c r="P875" s="28" t="n">
        <v>0.05</v>
      </c>
      <c r="Q875" s="28" t="n">
        <v>8.4e-05</v>
      </c>
      <c r="R875" s="26" t="n">
        <v>20</v>
      </c>
      <c r="S875" s="29" t="n">
        <v>1</v>
      </c>
      <c r="T875" s="24" t="inlineStr">
        <is>
          <t>tennis-surface-elo-v1</t>
        </is>
      </c>
      <c r="U875" s="24" t="inlineStr">
        <is>
          <t>settled</t>
        </is>
      </c>
      <c r="V875" s="24" t="inlineStr">
        <is>
          <t>win</t>
        </is>
      </c>
      <c r="W875" s="26" t="n">
        <v>0</v>
      </c>
      <c r="X875" s="26" t="n">
        <v>1</v>
      </c>
      <c r="Y875" s="25" t="n"/>
      <c r="Z875" s="26" t="n">
        <v>-376</v>
      </c>
      <c r="AA875" s="28" t="n">
        <v>0.79</v>
      </c>
      <c r="AB875" s="28" t="n">
        <v>8.4e-05</v>
      </c>
      <c r="AC875" s="30" t="n">
        <v>0.266</v>
      </c>
      <c r="AD875" s="24" t="inlineStr">
        <is>
          <t>2026-09-02T16:03:40.077438Z</t>
        </is>
      </c>
      <c r="AE875" s="31" t="inlineStr">
        <is>
          <t>Surface-blended Elo on Hard: Taylah Preston p=0.210 vs Taylor Townsend. Executable ask 0.7900 (aec-wta-taytow-taypre-2026-09-01).</t>
        </is>
      </c>
      <c r="AF875" s="31" t="inlineStr">
        <is>
          <t>Surface-blended Elo model; singles only, WTA+ATP market coverage, not yet locked-holdout qualified -- promoted by explicit operator directive, not genuine walk-forward validation.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PAPER_CALL_LOW_EDGE</t>
        </is>
      </c>
      <c r="AP875" s="24" t="inlineStr">
        <is>
          <t>Taylah Preston</t>
        </is>
      </c>
      <c r="AQ875" s="24" t="inlineStr">
        <is>
          <t>Taylah Preston</t>
        </is>
      </c>
      <c r="AR875" s="24" t="inlineStr">
        <is>
          <t>Taylah Preston</t>
        </is>
      </c>
      <c r="AS875" s="24" t="inlineStr">
        <is>
          <t>Taylor Townsend</t>
        </is>
      </c>
      <c r="AT875" s="24" t="inlineStr">
        <is>
          <t>Taylor Townsend</t>
        </is>
      </c>
      <c r="AU875" s="24" t="inlineStr">
        <is>
          <t>Taylor Townsend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0ce66f49b381187fe6255a40ca2fdbfc155d5e36125ccf6d30fe81a72962eafa</t>
        </is>
      </c>
      <c r="BB875" s="24" t="inlineStr">
        <is>
          <t>surface_blended_elo</t>
        </is>
      </c>
      <c r="BC875" s="24" t="inlineStr">
        <is>
          <t>tennis-surface-elo-v1</t>
        </is>
      </c>
      <c r="BD875" s="24" t="inlineStr">
        <is>
          <t>0ce66f49b381187fe6255a40ca2fdbfc155d5e36125ccf6d30fe81a72962eafa</t>
        </is>
      </c>
      <c r="BE875" s="24" t="inlineStr">
        <is>
          <t>tennis-surface-elo-v1</t>
        </is>
      </c>
      <c r="BF875" s="24" t="inlineStr">
        <is>
          <t>1</t>
        </is>
      </c>
      <c r="BG875" s="24" t="inlineStr">
        <is>
          <t>0ce66f49b381187fe6255a40ca2fdbfc155d5e36125ccf6d30fe81a72962eafa</t>
        </is>
      </c>
      <c r="BH875" s="24" t="inlineStr">
        <is>
          <t>2026-09-02T04:37:02.333917Z</t>
        </is>
      </c>
      <c r="BI875" s="24" t="inlineStr">
        <is>
          <t>["same_event","same_team_same_day","same_league_same_day"]</t>
        </is>
      </c>
      <c r="BJ875" s="25" t="n"/>
      <c r="BK875" s="26" t="n">
        <v>-376</v>
      </c>
      <c r="BL875" s="27" t="n">
        <v>1.265957</v>
      </c>
      <c r="BM875" s="28" t="n">
        <v>0.789916</v>
      </c>
      <c r="BN875" s="28" t="n"/>
      <c r="BO875" s="28" t="n"/>
      <c r="BP875" s="25" t="n"/>
      <c r="BQ875" s="27" t="n">
        <v>1.265957</v>
      </c>
      <c r="BR875" s="28" t="n">
        <v>0.79</v>
      </c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inlineStr">
        <is>
          <t>e397100b27ec1beb046c72b2022014e1959bf1304073132a3989229335aad2a4</t>
        </is>
      </c>
      <c r="DE875" s="24" t="inlineStr">
        <is>
          <t>/Users/vincentc9002/model-prediction/data/odds/tennis/2026-09-02/polymarket_snapshots.jsonl</t>
        </is>
      </c>
      <c r="DF875" s="24" t="inlineStr">
        <is>
          <t>598429:2026-09-02T04:37:02.333917Z</t>
        </is>
      </c>
      <c r="DG875" s="24" t="n"/>
      <c r="DH875" s="24" t="n"/>
      <c r="DI875" s="24" t="n"/>
      <c r="DJ875" s="24" t="inlineStr">
        <is>
          <t>0.789916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e53610e155884783</t>
        </is>
      </c>
      <c r="B876" s="24" t="inlineStr">
        <is>
          <t>2026-09-02T04:38:14.292410Z</t>
        </is>
      </c>
      <c r="C876" s="24" t="inlineStr">
        <is>
          <t>2026-09-02T15:00Z</t>
        </is>
      </c>
      <c r="D876" s="24" t="inlineStr">
        <is>
          <t>189-2026:182575</t>
        </is>
      </c>
      <c r="E876" s="24" t="inlineStr">
        <is>
          <t>TENNIS</t>
        </is>
      </c>
      <c r="F876" s="24" t="inlineStr">
        <is>
          <t>Diana Shnaider</t>
        </is>
      </c>
      <c r="G876" s="24" t="inlineStr">
        <is>
          <t>Karolina Pliskova</t>
        </is>
      </c>
      <c r="H876" s="24" t="inlineStr">
        <is>
          <t>moneyline</t>
        </is>
      </c>
      <c r="I876" s="24" t="inlineStr">
        <is>
          <t>away</t>
        </is>
      </c>
      <c r="J876" s="25" t="n"/>
      <c r="K876" s="24" t="inlineStr">
        <is>
          <t>polymarket_us</t>
        </is>
      </c>
      <c r="L876" s="26" t="n">
        <v>-355</v>
      </c>
      <c r="M876" s="27" t="n">
        <v>1.28169</v>
      </c>
      <c r="N876" s="28" t="n">
        <v>0.78022</v>
      </c>
      <c r="O876" s="28" t="n">
        <v>0.6491</v>
      </c>
      <c r="P876" s="28" t="n">
        <v>0.05</v>
      </c>
      <c r="Q876" s="28" t="n">
        <v>-0.13112</v>
      </c>
      <c r="R876" s="26" t="n">
        <v>0</v>
      </c>
      <c r="S876" s="29" t="n">
        <v>1</v>
      </c>
      <c r="T876" s="24" t="inlineStr">
        <is>
          <t>tennis-surface-elo-v1</t>
        </is>
      </c>
      <c r="U876" s="24" t="inlineStr">
        <is>
          <t>settled</t>
        </is>
      </c>
      <c r="V876" s="24" t="inlineStr">
        <is>
          <t>win</t>
        </is>
      </c>
      <c r="W876" s="26" t="n">
        <v>1</v>
      </c>
      <c r="X876" s="26" t="n">
        <v>0</v>
      </c>
      <c r="Y876" s="25" t="n"/>
      <c r="Z876" s="26" t="n">
        <v>-355</v>
      </c>
      <c r="AA876" s="28" t="n">
        <v>0.78</v>
      </c>
      <c r="AB876" s="28" t="n">
        <v>-0.00022</v>
      </c>
      <c r="AC876" s="30" t="n">
        <v>0.2817</v>
      </c>
      <c r="AD876" s="24" t="inlineStr">
        <is>
          <t>2026-09-03T04:31:45.301561Z</t>
        </is>
      </c>
      <c r="AE876" s="31" t="inlineStr">
        <is>
          <t>Surface-blended Elo on Hard: Diana Shnaider p=0.649 vs Karolina Pliskova. Executable ask 0.7800 (aec-wta-karpli-diashn-2026-09-02).</t>
        </is>
      </c>
      <c r="AF876" s="31" t="inlineStr">
        <is>
          <t>Surface-blended Elo model; singles only, WTA+ATP market coverage, not yet locked-holdout qualified -- promoted by explicit operator directive, not genuine walk-forward validation.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PAPER_CALL_LOW_EDGE</t>
        </is>
      </c>
      <c r="AP876" s="24" t="inlineStr">
        <is>
          <t>Diana Shnaider</t>
        </is>
      </c>
      <c r="AQ876" s="24" t="inlineStr">
        <is>
          <t>Diana Shnaider</t>
        </is>
      </c>
      <c r="AR876" s="24" t="inlineStr">
        <is>
          <t>Diana Shnaider</t>
        </is>
      </c>
      <c r="AS876" s="24" t="inlineStr">
        <is>
          <t>Karolina Pliskova</t>
        </is>
      </c>
      <c r="AT876" s="24" t="inlineStr">
        <is>
          <t>Karolina Pliskova</t>
        </is>
      </c>
      <c r="AU876" s="24" t="inlineStr">
        <is>
          <t>Karolina Pliskova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0ce66f49b381187fe6255a40ca2fdbfc155d5e36125ccf6d30fe81a72962eafa</t>
        </is>
      </c>
      <c r="BB876" s="24" t="inlineStr">
        <is>
          <t>surface_blended_elo</t>
        </is>
      </c>
      <c r="BC876" s="24" t="inlineStr">
        <is>
          <t>tennis-surface-elo-v1</t>
        </is>
      </c>
      <c r="BD876" s="24" t="inlineStr">
        <is>
          <t>0ce66f49b381187fe6255a40ca2fdbfc155d5e36125ccf6d30fe81a72962eafa</t>
        </is>
      </c>
      <c r="BE876" s="24" t="inlineStr">
        <is>
          <t>tennis-surface-elo-v1</t>
        </is>
      </c>
      <c r="BF876" s="24" t="inlineStr">
        <is>
          <t>1</t>
        </is>
      </c>
      <c r="BG876" s="24" t="inlineStr">
        <is>
          <t>0ce66f49b381187fe6255a40ca2fdbfc155d5e36125ccf6d30fe81a72962eafa</t>
        </is>
      </c>
      <c r="BH876" s="24" t="inlineStr">
        <is>
          <t>2026-09-02T04:37:02.881520Z</t>
        </is>
      </c>
      <c r="BI876" s="24" t="inlineStr">
        <is>
          <t>["same_event","same_team_same_day","same_league_same_day"]</t>
        </is>
      </c>
      <c r="BJ876" s="25" t="n"/>
      <c r="BK876" s="26" t="n">
        <v>-355</v>
      </c>
      <c r="BL876" s="27" t="n">
        <v>1.28169</v>
      </c>
      <c r="BM876" s="28" t="n">
        <v>0.78022</v>
      </c>
      <c r="BN876" s="28" t="n"/>
      <c r="BO876" s="28" t="n"/>
      <c r="BP876" s="25" t="n"/>
      <c r="BQ876" s="27" t="n">
        <v>1.28169</v>
      </c>
      <c r="BR876" s="28" t="n">
        <v>0.78</v>
      </c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inlineStr">
        <is>
          <t>fa9b3bd53082768865cc3b95f82691e1cef51e6322c3b28e0a2018e4cafc1276</t>
        </is>
      </c>
      <c r="DE876" s="24" t="inlineStr">
        <is>
          <t>/Users/vincentc9002/model-prediction/data/odds/tennis/2026-09-02/polymarket_snapshots.jsonl</t>
        </is>
      </c>
      <c r="DF876" s="24" t="inlineStr">
        <is>
          <t>599826:2026-09-02T04:37:02.881520Z</t>
        </is>
      </c>
      <c r="DG876" s="24" t="n"/>
      <c r="DH876" s="24" t="n"/>
      <c r="DI876" s="24" t="n"/>
      <c r="DJ876" s="24" t="inlineStr">
        <is>
          <t>0.78022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5d5a5fe1d1f94395</t>
        </is>
      </c>
      <c r="B877" s="24" t="inlineStr">
        <is>
          <t>2026-09-02T04:38:14.292410Z</t>
        </is>
      </c>
      <c r="C877" s="24" t="inlineStr">
        <is>
          <t>2026-09-02T15:30Z</t>
        </is>
      </c>
      <c r="D877" s="24" t="inlineStr">
        <is>
          <t>189-2026:182550</t>
        </is>
      </c>
      <c r="E877" s="24" t="inlineStr">
        <is>
          <t>TENNIS</t>
        </is>
      </c>
      <c r="F877" s="24" t="inlineStr">
        <is>
          <t>Sofia Kenin</t>
        </is>
      </c>
      <c r="G877" s="24" t="inlineStr">
        <is>
          <t>Jessica Pegula</t>
        </is>
      </c>
      <c r="H877" s="24" t="inlineStr">
        <is>
          <t>moneyline</t>
        </is>
      </c>
      <c r="I877" s="24" t="inlineStr">
        <is>
          <t>home</t>
        </is>
      </c>
      <c r="J877" s="25" t="n"/>
      <c r="K877" s="24" t="inlineStr">
        <is>
          <t>polymarket_us</t>
        </is>
      </c>
      <c r="L877" s="26" t="n">
        <v>-1567</v>
      </c>
      <c r="M877" s="27" t="n">
        <v>1.063816</v>
      </c>
      <c r="N877" s="28" t="n">
        <v>0.940012</v>
      </c>
      <c r="O877" s="28" t="n">
        <v>0.9406</v>
      </c>
      <c r="P877" s="28" t="n">
        <v>0.05</v>
      </c>
      <c r="Q877" s="28" t="n">
        <v>0.000588</v>
      </c>
      <c r="R877" s="26" t="n">
        <v>20</v>
      </c>
      <c r="S877" s="29" t="n">
        <v>1</v>
      </c>
      <c r="T877" s="24" t="inlineStr">
        <is>
          <t>tennis-surface-elo-v1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>
        <v>-1567</v>
      </c>
      <c r="AA877" s="28" t="n">
        <v>0.9399999999999999</v>
      </c>
      <c r="AB877" s="28" t="n">
        <v>-1.2e-05</v>
      </c>
      <c r="AC877" s="30" t="n">
        <v>0.0638</v>
      </c>
      <c r="AD877" s="24" t="inlineStr">
        <is>
          <t>2026-09-03T04:31:45.688884Z</t>
        </is>
      </c>
      <c r="AE877" s="31" t="inlineStr">
        <is>
          <t>Surface-blended Elo on Hard: Sofia Kenin p=0.059 vs Jessica Pegula. Executable ask 0.9400 (aec-wta-jespeg-sofken-2026-09-02).</t>
        </is>
      </c>
      <c r="AF877" s="31" t="inlineStr">
        <is>
          <t>Surface-blended Elo model; singles only, WTA+ATP market coverage, not yet locked-holdout qualified -- promoted by explicit operator directive, not genuine walk-forward validation.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PAPER_CALL_LOW_EDGE</t>
        </is>
      </c>
      <c r="AP877" s="24" t="inlineStr">
        <is>
          <t>Sofia Kenin</t>
        </is>
      </c>
      <c r="AQ877" s="24" t="inlineStr">
        <is>
          <t>Sofia Kenin</t>
        </is>
      </c>
      <c r="AR877" s="24" t="inlineStr">
        <is>
          <t>Sofia Kenin</t>
        </is>
      </c>
      <c r="AS877" s="24" t="inlineStr">
        <is>
          <t>Jessica Pegula</t>
        </is>
      </c>
      <c r="AT877" s="24" t="inlineStr">
        <is>
          <t>Jessica Pegula</t>
        </is>
      </c>
      <c r="AU877" s="24" t="inlineStr">
        <is>
          <t>Jessica Pegula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0ce66f49b381187fe6255a40ca2fdbfc155d5e36125ccf6d30fe81a72962eafa</t>
        </is>
      </c>
      <c r="BB877" s="24" t="inlineStr">
        <is>
          <t>surface_blended_elo</t>
        </is>
      </c>
      <c r="BC877" s="24" t="inlineStr">
        <is>
          <t>tennis-surface-elo-v1</t>
        </is>
      </c>
      <c r="BD877" s="24" t="inlineStr">
        <is>
          <t>0ce66f49b381187fe6255a40ca2fdbfc155d5e36125ccf6d30fe81a72962eafa</t>
        </is>
      </c>
      <c r="BE877" s="24" t="inlineStr">
        <is>
          <t>tennis-surface-elo-v1</t>
        </is>
      </c>
      <c r="BF877" s="24" t="inlineStr">
        <is>
          <t>1</t>
        </is>
      </c>
      <c r="BG877" s="24" t="inlineStr">
        <is>
          <t>0ce66f49b381187fe6255a40ca2fdbfc155d5e36125ccf6d30fe81a72962eafa</t>
        </is>
      </c>
      <c r="BH877" s="24" t="inlineStr">
        <is>
          <t>2026-09-02T04:37:02.991650Z</t>
        </is>
      </c>
      <c r="BI877" s="24" t="inlineStr">
        <is>
          <t>["same_event","same_team_same_day","same_league_same_day"]</t>
        </is>
      </c>
      <c r="BJ877" s="25" t="n"/>
      <c r="BK877" s="26" t="n">
        <v>-1567</v>
      </c>
      <c r="BL877" s="27" t="n">
        <v>1.063816</v>
      </c>
      <c r="BM877" s="28" t="n">
        <v>0.940012</v>
      </c>
      <c r="BN877" s="28" t="n"/>
      <c r="BO877" s="28" t="n"/>
      <c r="BP877" s="25" t="n"/>
      <c r="BQ877" s="27" t="n">
        <v>1.063816</v>
      </c>
      <c r="BR877" s="28" t="n">
        <v>0.9399999999999999</v>
      </c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inlineStr">
        <is>
          <t>c36244f3f3ce69d411ff735dab3e14acbdc498d7521ee118a16bb989bc6b1694</t>
        </is>
      </c>
      <c r="DE877" s="24" t="inlineStr">
        <is>
          <t>/Users/vincentc9002/model-prediction/data/odds/tennis/2026-09-02/polymarket_snapshots.jsonl</t>
        </is>
      </c>
      <c r="DF877" s="24" t="inlineStr">
        <is>
          <t>596769:2026-09-02T04:37:02.991650Z</t>
        </is>
      </c>
      <c r="DG877" s="24" t="n"/>
      <c r="DH877" s="24" t="n"/>
      <c r="DI877" s="24" t="n"/>
      <c r="DJ877" s="24" t="inlineStr">
        <is>
          <t>0.940012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a809a9b7495e40da</t>
        </is>
      </c>
      <c r="B878" s="24" t="inlineStr">
        <is>
          <t>2026-09-02T04:38:14.292410Z</t>
        </is>
      </c>
      <c r="C878" s="24" t="inlineStr">
        <is>
          <t>2026-09-02T15:00Z</t>
        </is>
      </c>
      <c r="D878" s="24" t="inlineStr">
        <is>
          <t>189-2026:182690</t>
        </is>
      </c>
      <c r="E878" s="24" t="inlineStr">
        <is>
          <t>TENNIS</t>
        </is>
      </c>
      <c r="F878" s="24" t="inlineStr">
        <is>
          <t>Arthur Rinderknech</t>
        </is>
      </c>
      <c r="G878" s="24" t="inlineStr">
        <is>
          <t>Jaume Munar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156</v>
      </c>
      <c r="M878" s="27" t="n">
        <v>2.56</v>
      </c>
      <c r="N878" s="28" t="n">
        <v>0.390625</v>
      </c>
      <c r="O878" s="28" t="n">
        <v>0.546</v>
      </c>
      <c r="P878" s="28" t="n">
        <v>0.05</v>
      </c>
      <c r="Q878" s="28" t="n">
        <v>0.155375</v>
      </c>
      <c r="R878" s="26" t="n">
        <v>98</v>
      </c>
      <c r="S878" s="29" t="n">
        <v>1.75</v>
      </c>
      <c r="T878" s="24" t="inlineStr">
        <is>
          <t>tennis-surface-elo-v1</t>
        </is>
      </c>
      <c r="U878" s="24" t="inlineStr">
        <is>
          <t>settled</t>
        </is>
      </c>
      <c r="V878" s="24" t="inlineStr">
        <is>
          <t>loss</t>
        </is>
      </c>
      <c r="W878" s="26" t="n">
        <v>1</v>
      </c>
      <c r="X878" s="26" t="n">
        <v>0</v>
      </c>
      <c r="Y878" s="25" t="n"/>
      <c r="Z878" s="26" t="n">
        <v>156</v>
      </c>
      <c r="AA878" s="28" t="n">
        <v>0.39</v>
      </c>
      <c r="AB878" s="28" t="n">
        <v>-0.000625</v>
      </c>
      <c r="AC878" s="30" t="n">
        <v>-1.75</v>
      </c>
      <c r="AD878" s="24" t="inlineStr">
        <is>
          <t>2026-09-03T04:31:46.076593Z</t>
        </is>
      </c>
      <c r="AE878" s="31" t="inlineStr">
        <is>
          <t>Surface-blended Elo on Hard: Arthur Rinderknech p=0.454 vs Jaume Munar. Executable ask 0.3900 (aec-atp-jaumun-artrin-2026-08-31).</t>
        </is>
      </c>
      <c r="AF878" s="31" t="inlineStr">
        <is>
          <t>Surface-blended Elo model; singles only, WTA+ATP market coverage, not yet locked-holdout qualified -- promoted by explicit operator directive, not genuine walk-forward validation.</t>
        </is>
      </c>
      <c r="AG878" s="24" t="inlineStr">
        <is>
          <t>review_required</t>
        </is>
      </c>
      <c r="AH878" s="24" t="n"/>
      <c r="AI878" s="31" t="n"/>
      <c r="AJ878" s="31" t="n"/>
      <c r="AK878" s="24" t="inlineStr">
        <is>
          <t>model_qualified</t>
        </is>
      </c>
      <c r="AL878" s="26" t="n">
        <v>4</v>
      </c>
      <c r="AM878" s="24" t="inlineStr">
        <is>
          <t>QUALIFIED_SHADOW_CALL</t>
        </is>
      </c>
      <c r="AN878" s="24" t="inlineStr">
        <is>
          <t>CALL</t>
        </is>
      </c>
      <c r="AO878" s="24" t="inlineStr">
        <is>
          <t>QUALIFIED</t>
        </is>
      </c>
      <c r="AP878" s="24" t="inlineStr">
        <is>
          <t>Arthur Rinderknech</t>
        </is>
      </c>
      <c r="AQ878" s="24" t="inlineStr">
        <is>
          <t>Arthur Rinderknech</t>
        </is>
      </c>
      <c r="AR878" s="24" t="inlineStr">
        <is>
          <t>Arthur Rinderknech</t>
        </is>
      </c>
      <c r="AS878" s="24" t="inlineStr">
        <is>
          <t>Jaume Munar</t>
        </is>
      </c>
      <c r="AT878" s="24" t="inlineStr">
        <is>
          <t>Jaume Munar</t>
        </is>
      </c>
      <c r="AU878" s="24" t="inlineStr">
        <is>
          <t>Jaume Munar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0ce66f49b381187fe6255a40ca2fdbfc155d5e36125ccf6d30fe81a72962eafa</t>
        </is>
      </c>
      <c r="BB878" s="24" t="inlineStr">
        <is>
          <t>surface_blended_elo</t>
        </is>
      </c>
      <c r="BC878" s="24" t="inlineStr">
        <is>
          <t>tennis-surface-elo-v1</t>
        </is>
      </c>
      <c r="BD878" s="24" t="inlineStr">
        <is>
          <t>0ce66f49b381187fe6255a40ca2fdbfc155d5e36125ccf6d30fe81a72962eafa</t>
        </is>
      </c>
      <c r="BE878" s="24" t="inlineStr">
        <is>
          <t>tennis-surface-elo-v1</t>
        </is>
      </c>
      <c r="BF878" s="24" t="inlineStr">
        <is>
          <t>1</t>
        </is>
      </c>
      <c r="BG878" s="24" t="inlineStr">
        <is>
          <t>0ce66f49b381187fe6255a40ca2fdbfc155d5e36125ccf6d30fe81a72962eafa</t>
        </is>
      </c>
      <c r="BH878" s="24" t="inlineStr">
        <is>
          <t>2026-09-02T04:37:03.418103Z</t>
        </is>
      </c>
      <c r="BI878" s="24" t="inlineStr">
        <is>
          <t>["same_event","same_team_same_day","same_league_same_day"]</t>
        </is>
      </c>
      <c r="BJ878" s="25" t="n"/>
      <c r="BK878" s="26" t="n">
        <v>156</v>
      </c>
      <c r="BL878" s="27" t="n">
        <v>2.56</v>
      </c>
      <c r="BM878" s="28" t="n">
        <v>0.390625</v>
      </c>
      <c r="BN878" s="28" t="n"/>
      <c r="BO878" s="28" t="n"/>
      <c r="BP878" s="25" t="n"/>
      <c r="BQ878" s="27" t="n">
        <v>2.56</v>
      </c>
      <c r="BR878" s="28" t="n">
        <v>0.39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inlineStr">
        <is>
          <t>0d4a29054496b1911cb5c38bab841ba2b8122151a52fafff3d09280146aec545</t>
        </is>
      </c>
      <c r="DE878" s="24" t="inlineStr">
        <is>
          <t>/Users/vincentc9002/model-prediction/data/odds/tennis/2026-09-02/polymarket_snapshots.jsonl</t>
        </is>
      </c>
      <c r="DF878" s="24" t="inlineStr">
        <is>
          <t>577283:2026-09-02T04:37:03.418103Z</t>
        </is>
      </c>
      <c r="DG878" s="24" t="n"/>
      <c r="DH878" s="24" t="n"/>
      <c r="DI878" s="24" t="n"/>
      <c r="DJ878" s="24" t="inlineStr">
        <is>
          <t>0.390625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a5d86df408df4434</t>
        </is>
      </c>
      <c r="B879" s="24" t="inlineStr">
        <is>
          <t>2026-09-02T04:38:14.292410Z</t>
        </is>
      </c>
      <c r="C879" s="24" t="inlineStr">
        <is>
          <t>2026-09-02T15:00Z</t>
        </is>
      </c>
      <c r="D879" s="24" t="inlineStr">
        <is>
          <t>189-2026:182746</t>
        </is>
      </c>
      <c r="E879" s="24" t="inlineStr">
        <is>
          <t>TENNIS</t>
        </is>
      </c>
      <c r="F879" s="24" t="inlineStr">
        <is>
          <t>Alex Michelsen</t>
        </is>
      </c>
      <c r="G879" s="24" t="inlineStr">
        <is>
          <t>Brandon Nakashima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-194</v>
      </c>
      <c r="M879" s="27" t="n">
        <v>1.515464</v>
      </c>
      <c r="N879" s="28" t="n">
        <v>0.659864</v>
      </c>
      <c r="O879" s="28" t="n">
        <v>0.6372</v>
      </c>
      <c r="P879" s="28" t="n">
        <v>0.05</v>
      </c>
      <c r="Q879" s="28" t="n">
        <v>-0.022664</v>
      </c>
      <c r="R879" s="26" t="n">
        <v>9</v>
      </c>
      <c r="S879" s="29" t="n">
        <v>1</v>
      </c>
      <c r="T879" s="24" t="inlineStr">
        <is>
          <t>tennis-surface-elo-v1</t>
        </is>
      </c>
      <c r="U879" s="24" t="inlineStr">
        <is>
          <t>settled</t>
        </is>
      </c>
      <c r="V879" s="24" t="inlineStr">
        <is>
          <t>loss</t>
        </is>
      </c>
      <c r="W879" s="26" t="n">
        <v>1</v>
      </c>
      <c r="X879" s="26" t="n">
        <v>0</v>
      </c>
      <c r="Y879" s="25" t="n"/>
      <c r="Z879" s="26" t="n">
        <v>-194</v>
      </c>
      <c r="AA879" s="28" t="n">
        <v>0.66</v>
      </c>
      <c r="AB879" s="28" t="n">
        <v>0.000136</v>
      </c>
      <c r="AC879" s="30" t="n">
        <v>-1</v>
      </c>
      <c r="AD879" s="24" t="inlineStr">
        <is>
          <t>2026-09-03T04:31:46.476909Z</t>
        </is>
      </c>
      <c r="AE879" s="31" t="inlineStr">
        <is>
          <t>Surface-blended Elo on Hard: Alex Michelsen p=0.363 vs Brandon Nakashima. Executable ask 0.6600 (aec-atp-branak-alemic-2026-09-02).</t>
        </is>
      </c>
      <c r="AF879" s="31" t="inlineStr">
        <is>
          <t>Surface-blended Elo model; singles only, WTA+ATP market coverage, not yet locked-holdout qualified -- promoted by explicit operator directive, not genuine walk-forward validation.</t>
        </is>
      </c>
      <c r="AG879" s="24" t="inlineStr">
        <is>
          <t>review_required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PAPER_CALL_LOW_EDGE</t>
        </is>
      </c>
      <c r="AP879" s="24" t="inlineStr">
        <is>
          <t>Alex Michelsen</t>
        </is>
      </c>
      <c r="AQ879" s="24" t="inlineStr">
        <is>
          <t>Alex Michelsen</t>
        </is>
      </c>
      <c r="AR879" s="24" t="inlineStr">
        <is>
          <t>Alex Michelsen</t>
        </is>
      </c>
      <c r="AS879" s="24" t="inlineStr">
        <is>
          <t>Brandon Nakashima</t>
        </is>
      </c>
      <c r="AT879" s="24" t="inlineStr">
        <is>
          <t>Brandon Nakashima</t>
        </is>
      </c>
      <c r="AU879" s="24" t="inlineStr">
        <is>
          <t>Brandon Nakashima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0ce66f49b381187fe6255a40ca2fdbfc155d5e36125ccf6d30fe81a72962eafa</t>
        </is>
      </c>
      <c r="BB879" s="24" t="inlineStr">
        <is>
          <t>surface_blended_elo</t>
        </is>
      </c>
      <c r="BC879" s="24" t="inlineStr">
        <is>
          <t>tennis-surface-elo-v1</t>
        </is>
      </c>
      <c r="BD879" s="24" t="inlineStr">
        <is>
          <t>0ce66f49b381187fe6255a40ca2fdbfc155d5e36125ccf6d30fe81a72962eafa</t>
        </is>
      </c>
      <c r="BE879" s="24" t="inlineStr">
        <is>
          <t>tennis-surface-elo-v1</t>
        </is>
      </c>
      <c r="BF879" s="24" t="inlineStr">
        <is>
          <t>1</t>
        </is>
      </c>
      <c r="BG879" s="24" t="inlineStr">
        <is>
          <t>0ce66f49b381187fe6255a40ca2fdbfc155d5e36125ccf6d30fe81a72962eafa</t>
        </is>
      </c>
      <c r="BH879" s="24" t="inlineStr">
        <is>
          <t>2026-09-02T04:37:03.416801Z</t>
        </is>
      </c>
      <c r="BI879" s="24" t="inlineStr">
        <is>
          <t>["same_event","same_team_same_day","same_league_same_day"]</t>
        </is>
      </c>
      <c r="BJ879" s="25" t="n"/>
      <c r="BK879" s="26" t="n">
        <v>-194</v>
      </c>
      <c r="BL879" s="27" t="n">
        <v>1.515464</v>
      </c>
      <c r="BM879" s="28" t="n">
        <v>0.659864</v>
      </c>
      <c r="BN879" s="28" t="n"/>
      <c r="BO879" s="28" t="n"/>
      <c r="BP879" s="25" t="n"/>
      <c r="BQ879" s="27" t="n">
        <v>1.515464</v>
      </c>
      <c r="BR879" s="28" t="n">
        <v>0.66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False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inlineStr">
        <is>
          <t>a1c32365e8c59e53f4dd277ab5f8de00da27b0f823954ebd7152193555f10e62</t>
        </is>
      </c>
      <c r="DE879" s="24" t="inlineStr">
        <is>
          <t>/Users/vincentc9002/model-prediction/data/odds/tennis/2026-09-02/polymarket_snapshots.jsonl</t>
        </is>
      </c>
      <c r="DF879" s="24" t="inlineStr">
        <is>
          <t>600038:2026-09-02T04:37:03.416801Z</t>
        </is>
      </c>
      <c r="DG879" s="24" t="n"/>
      <c r="DH879" s="24" t="n"/>
      <c r="DI879" s="24" t="n"/>
      <c r="DJ879" s="24" t="inlineStr">
        <is>
          <t>0.659864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771553a81e574aae</t>
        </is>
      </c>
      <c r="B880" s="24" t="inlineStr">
        <is>
          <t>2026-09-02T04:38:14.292410Z</t>
        </is>
      </c>
      <c r="C880" s="24" t="inlineStr">
        <is>
          <t>2026-09-02T15:00Z</t>
        </is>
      </c>
      <c r="D880" s="24" t="inlineStr">
        <is>
          <t>189-2026:182748</t>
        </is>
      </c>
      <c r="E880" s="24" t="inlineStr">
        <is>
          <t>TENNIS</t>
        </is>
      </c>
      <c r="F880" s="24" t="inlineStr">
        <is>
          <t>Andrey Rublev</t>
        </is>
      </c>
      <c r="G880" s="24" t="inlineStr">
        <is>
          <t>Daniel Merida</t>
        </is>
      </c>
      <c r="H880" s="24" t="inlineStr">
        <is>
          <t>moneyline</t>
        </is>
      </c>
      <c r="I880" s="24" t="inlineStr">
        <is>
          <t>away</t>
        </is>
      </c>
      <c r="J880" s="25" t="n"/>
      <c r="K880" s="24" t="inlineStr">
        <is>
          <t>polymarket_us</t>
        </is>
      </c>
      <c r="L880" s="26" t="n">
        <v>-133</v>
      </c>
      <c r="M880" s="27" t="n">
        <v>1.75188</v>
      </c>
      <c r="N880" s="28" t="n">
        <v>0.570815</v>
      </c>
      <c r="O880" s="28" t="n">
        <v>0.5016</v>
      </c>
      <c r="P880" s="28" t="n">
        <v>0.05</v>
      </c>
      <c r="Q880" s="28" t="n">
        <v>-0.069215</v>
      </c>
      <c r="R880" s="26" t="n">
        <v>0</v>
      </c>
      <c r="S880" s="29" t="n">
        <v>1</v>
      </c>
      <c r="T880" s="24" t="inlineStr">
        <is>
          <t>tennis-surface-elo-v1</t>
        </is>
      </c>
      <c r="U880" s="24" t="inlineStr">
        <is>
          <t>settled</t>
        </is>
      </c>
      <c r="V880" s="24" t="inlineStr">
        <is>
          <t>loss</t>
        </is>
      </c>
      <c r="W880" s="26" t="n">
        <v>0</v>
      </c>
      <c r="X880" s="26" t="n">
        <v>1</v>
      </c>
      <c r="Y880" s="25" t="n"/>
      <c r="Z880" s="26" t="n">
        <v>-133</v>
      </c>
      <c r="AA880" s="28" t="n">
        <v>0.57</v>
      </c>
      <c r="AB880" s="28" t="n">
        <v>-0.000815</v>
      </c>
      <c r="AC880" s="30" t="n">
        <v>-1</v>
      </c>
      <c r="AD880" s="24" t="inlineStr">
        <is>
          <t>2026-09-03T04:31:46.866888Z</t>
        </is>
      </c>
      <c r="AE880" s="31" t="inlineStr">
        <is>
          <t>Surface-blended Elo on Hard: Andrey Rublev p=0.502 vs Daniel Merida. Executable ask 0.5700 (aec-atp-danagu-andrub-2026-09-01).</t>
        </is>
      </c>
      <c r="AF880" s="31" t="inlineStr">
        <is>
          <t>Surface-blended Elo model; singles only, WTA+ATP market coverage, not yet locked-holdout qualified -- promoted by explicit operator directive, not genuine walk-forward validation.</t>
        </is>
      </c>
      <c r="AG880" s="24" t="inlineStr">
        <is>
          <t>review_required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Andrey Rublev</t>
        </is>
      </c>
      <c r="AQ880" s="24" t="inlineStr">
        <is>
          <t>Andrey Rublev</t>
        </is>
      </c>
      <c r="AR880" s="24" t="inlineStr">
        <is>
          <t>Andrey Rublev</t>
        </is>
      </c>
      <c r="AS880" s="24" t="inlineStr">
        <is>
          <t>Daniel Merida</t>
        </is>
      </c>
      <c r="AT880" s="24" t="inlineStr">
        <is>
          <t>Daniel Merida</t>
        </is>
      </c>
      <c r="AU880" s="24" t="inlineStr">
        <is>
          <t>Daniel Merida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0ce66f49b381187fe6255a40ca2fdbfc155d5e36125ccf6d30fe81a72962eafa</t>
        </is>
      </c>
      <c r="BB880" s="24" t="inlineStr">
        <is>
          <t>surface_blended_elo</t>
        </is>
      </c>
      <c r="BC880" s="24" t="inlineStr">
        <is>
          <t>tennis-surface-elo-v1</t>
        </is>
      </c>
      <c r="BD880" s="24" t="inlineStr">
        <is>
          <t>0ce66f49b381187fe6255a40ca2fdbfc155d5e36125ccf6d30fe81a72962eafa</t>
        </is>
      </c>
      <c r="BE880" s="24" t="inlineStr">
        <is>
          <t>tennis-surface-elo-v1</t>
        </is>
      </c>
      <c r="BF880" s="24" t="inlineStr">
        <is>
          <t>1</t>
        </is>
      </c>
      <c r="BG880" s="24" t="inlineStr">
        <is>
          <t>0ce66f49b381187fe6255a40ca2fdbfc155d5e36125ccf6d30fe81a72962eafa</t>
        </is>
      </c>
      <c r="BH880" s="24" t="inlineStr">
        <is>
          <t>2026-09-02T04:37:03.296856Z</t>
        </is>
      </c>
      <c r="BI880" s="24" t="inlineStr">
        <is>
          <t>["same_event","same_team_same_day","same_league_same_day"]</t>
        </is>
      </c>
      <c r="BJ880" s="25" t="n"/>
      <c r="BK880" s="26" t="n">
        <v>-133</v>
      </c>
      <c r="BL880" s="27" t="n">
        <v>1.75188</v>
      </c>
      <c r="BM880" s="28" t="n">
        <v>0.570815</v>
      </c>
      <c r="BN880" s="28" t="n"/>
      <c r="BO880" s="28" t="n"/>
      <c r="BP880" s="25" t="n"/>
      <c r="BQ880" s="27" t="n">
        <v>1.75188</v>
      </c>
      <c r="BR880" s="28" t="n">
        <v>0.57</v>
      </c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inlineStr">
        <is>
          <t>7b4f5d118b834fd2c901f11c4ceb3e131086bad2ca1c1ba024731981a402e5b4</t>
        </is>
      </c>
      <c r="DE880" s="24" t="inlineStr">
        <is>
          <t>/Users/vincentc9002/model-prediction/data/odds/tennis/2026-09-02/polymarket_snapshots.jsonl</t>
        </is>
      </c>
      <c r="DF880" s="24" t="inlineStr">
        <is>
          <t>598158:2026-09-02T04:37:03.296856Z</t>
        </is>
      </c>
      <c r="DG880" s="24" t="n"/>
      <c r="DH880" s="24" t="n"/>
      <c r="DI880" s="24" t="n"/>
      <c r="DJ880" s="24" t="inlineStr">
        <is>
          <t>0.570815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d46abd25e25f493c</t>
        </is>
      </c>
      <c r="B881" s="24" t="inlineStr">
        <is>
          <t>2026-09-02T04:38:14.292410Z</t>
        </is>
      </c>
      <c r="C881" s="24" t="inlineStr">
        <is>
          <t>2026-09-02T15:00Z</t>
        </is>
      </c>
      <c r="D881" s="24" t="inlineStr">
        <is>
          <t>189-2026:182771</t>
        </is>
      </c>
      <c r="E881" s="24" t="inlineStr">
        <is>
          <t>TENNIS</t>
        </is>
      </c>
      <c r="F881" s="24" t="inlineStr">
        <is>
          <t>Sebastian Gorzny</t>
        </is>
      </c>
      <c r="G881" s="24" t="inlineStr">
        <is>
          <t>Daniil Medvedev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-1900</v>
      </c>
      <c r="M881" s="27" t="n">
        <v>1.052632</v>
      </c>
      <c r="N881" s="28" t="n">
        <v>0.95</v>
      </c>
      <c r="O881" s="28" t="n">
        <v>0.82</v>
      </c>
      <c r="P881" s="28" t="n">
        <v>0.05</v>
      </c>
      <c r="Q881" s="28" t="n">
        <v>-0.13</v>
      </c>
      <c r="R881" s="26" t="n">
        <v>0</v>
      </c>
      <c r="S881" s="29" t="n">
        <v>1</v>
      </c>
      <c r="T881" s="24" t="inlineStr">
        <is>
          <t>tennis-surface-elo-v1</t>
        </is>
      </c>
      <c r="U881" s="24" t="inlineStr">
        <is>
          <t>settled</t>
        </is>
      </c>
      <c r="V881" s="24" t="inlineStr">
        <is>
          <t>win</t>
        </is>
      </c>
      <c r="W881" s="26" t="n">
        <v>0</v>
      </c>
      <c r="X881" s="26" t="n">
        <v>1</v>
      </c>
      <c r="Y881" s="25" t="n"/>
      <c r="Z881" s="26" t="n">
        <v>-1900</v>
      </c>
      <c r="AA881" s="28" t="n">
        <v>0.95</v>
      </c>
      <c r="AB881" s="28" t="n">
        <v>0</v>
      </c>
      <c r="AC881" s="30" t="n">
        <v>0.0526</v>
      </c>
      <c r="AD881" s="24" t="inlineStr">
        <is>
          <t>2026-09-03T04:31:47.253091Z</t>
        </is>
      </c>
      <c r="AE881" s="31" t="inlineStr">
        <is>
          <t>Surface-blended Elo on Hard: Sebastian Gorzny p=0.180 vs Daniil Medvedev. Executable ask 0.9500 (aec-atp-danmed-sebgor-2026-09-02).</t>
        </is>
      </c>
      <c r="AF881" s="31" t="inlineStr">
        <is>
          <t>Surface-blended Elo model; singles only, WTA+ATP market coverage, not yet locked-holdout qualified -- promoted by explicit operator directive, not genuine walk-forward validation.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PAPER_CALL_MODEL_UNVALIDATED</t>
        </is>
      </c>
      <c r="AP881" s="24" t="inlineStr">
        <is>
          <t>Sebastian Gorzny</t>
        </is>
      </c>
      <c r="AQ881" s="24" t="inlineStr">
        <is>
          <t>Sebastian Gorzny</t>
        </is>
      </c>
      <c r="AR881" s="24" t="inlineStr">
        <is>
          <t>Sebastian Gorzny</t>
        </is>
      </c>
      <c r="AS881" s="24" t="inlineStr">
        <is>
          <t>Daniil Medvedev</t>
        </is>
      </c>
      <c r="AT881" s="24" t="inlineStr">
        <is>
          <t>Daniil Medvedev</t>
        </is>
      </c>
      <c r="AU881" s="24" t="inlineStr">
        <is>
          <t>Daniil Medvedev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0ce66f49b381187fe6255a40ca2fdbfc155d5e36125ccf6d30fe81a72962eafa</t>
        </is>
      </c>
      <c r="BB881" s="24" t="inlineStr">
        <is>
          <t>surface_blended_elo</t>
        </is>
      </c>
      <c r="BC881" s="24" t="inlineStr">
        <is>
          <t>tennis-surface-elo-v1</t>
        </is>
      </c>
      <c r="BD881" s="24" t="inlineStr">
        <is>
          <t>0ce66f49b381187fe6255a40ca2fdbfc155d5e36125ccf6d30fe81a72962eafa</t>
        </is>
      </c>
      <c r="BE881" s="24" t="inlineStr">
        <is>
          <t>tennis-surface-elo-v1</t>
        </is>
      </c>
      <c r="BF881" s="24" t="inlineStr">
        <is>
          <t>1</t>
        </is>
      </c>
      <c r="BG881" s="24" t="inlineStr">
        <is>
          <t>0ce66f49b381187fe6255a40ca2fdbfc155d5e36125ccf6d30fe81a72962eafa</t>
        </is>
      </c>
      <c r="BH881" s="24" t="inlineStr">
        <is>
          <t>2026-09-02T04:37:03.189106Z</t>
        </is>
      </c>
      <c r="BI881" s="24" t="inlineStr">
        <is>
          <t>["same_event","same_team_same_day","same_league_same_day"]</t>
        </is>
      </c>
      <c r="BJ881" s="25" t="n"/>
      <c r="BK881" s="26" t="n">
        <v>-1900</v>
      </c>
      <c r="BL881" s="27" t="n">
        <v>1.052632</v>
      </c>
      <c r="BM881" s="28" t="n">
        <v>0.95</v>
      </c>
      <c r="BN881" s="28" t="n"/>
      <c r="BO881" s="28" t="n"/>
      <c r="BP881" s="25" t="n"/>
      <c r="BQ881" s="27" t="n">
        <v>1.052632</v>
      </c>
      <c r="BR881" s="28" t="n">
        <v>0.95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inlineStr">
        <is>
          <t>dd8e259d468888512b38d3215087669fef9916febe9d405d0e1fe93e537d01c1</t>
        </is>
      </c>
      <c r="DE881" s="24" t="inlineStr">
        <is>
          <t>/Users/vincentc9002/model-prediction/data/odds/tennis/2026-09-02/polymarket_snapshots.jsonl</t>
        </is>
      </c>
      <c r="DF881" s="24" t="inlineStr">
        <is>
          <t>598503:2026-09-02T04:37:03.189106Z</t>
        </is>
      </c>
      <c r="DG881" s="24" t="n"/>
      <c r="DH881" s="24" t="n"/>
      <c r="DI881" s="24" t="n"/>
      <c r="DJ881" s="24" t="inlineStr">
        <is>
          <t>0.95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ae20005b3fd64a81</t>
        </is>
      </c>
      <c r="B882" s="24" t="inlineStr">
        <is>
          <t>2026-09-02T16:08:38.156783Z</t>
        </is>
      </c>
      <c r="C882" s="24" t="inlineStr">
        <is>
          <t>2026-09-02T17:00Z</t>
        </is>
      </c>
      <c r="D882" s="24" t="inlineStr">
        <is>
          <t>189-2026:182547</t>
        </is>
      </c>
      <c r="E882" s="24" t="inlineStr">
        <is>
          <t>TENNIS</t>
        </is>
      </c>
      <c r="F882" s="24" t="inlineStr">
        <is>
          <t>Catherine McNally</t>
        </is>
      </c>
      <c r="G882" s="24" t="inlineStr">
        <is>
          <t>Emma Navarro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-127</v>
      </c>
      <c r="M882" s="27" t="n">
        <v>1.787402</v>
      </c>
      <c r="N882" s="28" t="n">
        <v>0.5594710000000001</v>
      </c>
      <c r="O882" s="28" t="n">
        <v>0.5244</v>
      </c>
      <c r="P882" s="28" t="n">
        <v>0.05</v>
      </c>
      <c r="Q882" s="28" t="n">
        <v>-0.035071</v>
      </c>
      <c r="R882" s="26" t="n">
        <v>2</v>
      </c>
      <c r="S882" s="29" t="n">
        <v>1</v>
      </c>
      <c r="T882" s="24" t="inlineStr">
        <is>
          <t>tennis-surface-elo-v1</t>
        </is>
      </c>
      <c r="U882" s="24" t="inlineStr">
        <is>
          <t>settled</t>
        </is>
      </c>
      <c r="V882" s="24" t="inlineStr">
        <is>
          <t>win</t>
        </is>
      </c>
      <c r="W882" s="26" t="n">
        <v>0</v>
      </c>
      <c r="X882" s="26" t="n">
        <v>1</v>
      </c>
      <c r="Y882" s="25" t="n"/>
      <c r="Z882" s="26" t="n">
        <v>-127</v>
      </c>
      <c r="AA882" s="28" t="n">
        <v>0.5600000000000001</v>
      </c>
      <c r="AB882" s="28" t="n">
        <v>0.000529</v>
      </c>
      <c r="AC882" s="30" t="n">
        <v>0.7874</v>
      </c>
      <c r="AD882" s="24" t="inlineStr">
        <is>
          <t>2026-09-03T04:32:12.342831Z</t>
        </is>
      </c>
      <c r="AE882" s="31" t="inlineStr">
        <is>
          <t>Surface-blended Elo on Hard: Catherine McNally p=0.476 vs Emma Navarro. Executable ask 0.5600 (aec-wta-emmnav-catmcn-2026-09-02).</t>
        </is>
      </c>
      <c r="AF882" s="31" t="inlineStr">
        <is>
          <t>Surface-blended Elo model; singles only, WTA+ATP market coverage, not yet locked-holdout qualified -- promoted by explicit operator directive, not genuine walk-forward validation.</t>
        </is>
      </c>
      <c r="AG882" s="24" t="inlineStr">
        <is>
          <t>not_applicable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PAPER_CALL_LOW_EDGE</t>
        </is>
      </c>
      <c r="AP882" s="24" t="inlineStr">
        <is>
          <t>Catherine McNally</t>
        </is>
      </c>
      <c r="AQ882" s="24" t="inlineStr">
        <is>
          <t>Catherine McNally</t>
        </is>
      </c>
      <c r="AR882" s="24" t="inlineStr">
        <is>
          <t>Catherine McNally</t>
        </is>
      </c>
      <c r="AS882" s="24" t="inlineStr">
        <is>
          <t>Emma Navarro</t>
        </is>
      </c>
      <c r="AT882" s="24" t="inlineStr">
        <is>
          <t>Emma Navarro</t>
        </is>
      </c>
      <c r="AU882" s="24" t="inlineStr">
        <is>
          <t>Emma Navarro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0ce66f49b381187fe6255a40ca2fdbfc155d5e36125ccf6d30fe81a72962eafa</t>
        </is>
      </c>
      <c r="BB882" s="24" t="inlineStr">
        <is>
          <t>surface_blended_elo</t>
        </is>
      </c>
      <c r="BC882" s="24" t="inlineStr">
        <is>
          <t>tennis-surface-elo-v1</t>
        </is>
      </c>
      <c r="BD882" s="24" t="inlineStr">
        <is>
          <t>0ce66f49b381187fe6255a40ca2fdbfc155d5e36125ccf6d30fe81a72962eafa</t>
        </is>
      </c>
      <c r="BE882" s="24" t="inlineStr">
        <is>
          <t>tennis-surface-elo-v1</t>
        </is>
      </c>
      <c r="BF882" s="24" t="inlineStr">
        <is>
          <t>1</t>
        </is>
      </c>
      <c r="BG882" s="24" t="inlineStr">
        <is>
          <t>0ce66f49b381187fe6255a40ca2fdbfc155d5e36125ccf6d30fe81a72962eafa</t>
        </is>
      </c>
      <c r="BH882" s="24" t="inlineStr">
        <is>
          <t>2026-09-02T16:07:11.216732Z</t>
        </is>
      </c>
      <c r="BI882" s="24" t="inlineStr">
        <is>
          <t>["same_event","same_team_same_day","same_league_same_day"]</t>
        </is>
      </c>
      <c r="BJ882" s="25" t="n"/>
      <c r="BK882" s="26" t="n">
        <v>-127</v>
      </c>
      <c r="BL882" s="27" t="n">
        <v>1.787402</v>
      </c>
      <c r="BM882" s="28" t="n">
        <v>0.5594710000000001</v>
      </c>
      <c r="BN882" s="28" t="n"/>
      <c r="BO882" s="28" t="n"/>
      <c r="BP882" s="25" t="n"/>
      <c r="BQ882" s="27" t="n">
        <v>1.787402</v>
      </c>
      <c r="BR882" s="28" t="n">
        <v>0.5600000000000001</v>
      </c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inlineStr">
        <is>
          <t>a3bffd5193341ef545bc340edfb1f2a39a3b866dcb04f06b1e5139fad7861d78</t>
        </is>
      </c>
      <c r="DE882" s="24" t="inlineStr">
        <is>
          <t>/Users/vincentc9002/model-prediction/data/odds/tennis/2026-09-02/polymarket_snapshots.jsonl</t>
        </is>
      </c>
      <c r="DF882" s="24" t="inlineStr">
        <is>
          <t>599827:2026-09-02T16:07:11.216732Z</t>
        </is>
      </c>
      <c r="DG882" s="24" t="n"/>
      <c r="DH882" s="24" t="n"/>
      <c r="DI882" s="24" t="n"/>
      <c r="DJ882" s="24" t="inlineStr">
        <is>
          <t>0.559471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6fed863a2c794421</t>
        </is>
      </c>
      <c r="B883" s="24" t="inlineStr">
        <is>
          <t>2026-09-02T16:08:38.156783Z</t>
        </is>
      </c>
      <c r="C883" s="24" t="inlineStr">
        <is>
          <t>2026-09-02T17:00Z</t>
        </is>
      </c>
      <c r="D883" s="24" t="inlineStr">
        <is>
          <t>189-2026:182580</t>
        </is>
      </c>
      <c r="E883" s="24" t="inlineStr">
        <is>
          <t>TENNIS</t>
        </is>
      </c>
      <c r="F883" s="24" t="inlineStr">
        <is>
          <t>Sloane Stephens</t>
        </is>
      </c>
      <c r="G883" s="24" t="inlineStr">
        <is>
          <t>Marta Kostyuk</t>
        </is>
      </c>
      <c r="H883" s="24" t="inlineStr">
        <is>
          <t>moneyline</t>
        </is>
      </c>
      <c r="I883" s="24" t="inlineStr">
        <is>
          <t>home</t>
        </is>
      </c>
      <c r="J883" s="25" t="n"/>
      <c r="K883" s="24" t="inlineStr">
        <is>
          <t>polymarket_us</t>
        </is>
      </c>
      <c r="L883" s="26" t="n">
        <v>-669</v>
      </c>
      <c r="M883" s="27" t="n">
        <v>1.149477</v>
      </c>
      <c r="N883" s="28" t="n">
        <v>0.869961</v>
      </c>
      <c r="O883" s="28" t="n">
        <v>0.8598</v>
      </c>
      <c r="P883" s="28" t="n">
        <v>0.05</v>
      </c>
      <c r="Q883" s="28" t="n">
        <v>-0.010161</v>
      </c>
      <c r="R883" s="26" t="n">
        <v>15</v>
      </c>
      <c r="S883" s="29" t="n">
        <v>1</v>
      </c>
      <c r="T883" s="24" t="inlineStr">
        <is>
          <t>tennis-surface-elo-v1</t>
        </is>
      </c>
      <c r="U883" s="24" t="inlineStr">
        <is>
          <t>settled</t>
        </is>
      </c>
      <c r="V883" s="24" t="inlineStr">
        <is>
          <t>win</t>
        </is>
      </c>
      <c r="W883" s="26" t="n">
        <v>0</v>
      </c>
      <c r="X883" s="26" t="n">
        <v>1</v>
      </c>
      <c r="Y883" s="25" t="n"/>
      <c r="Z883" s="26" t="n">
        <v>-669</v>
      </c>
      <c r="AA883" s="28" t="n">
        <v>0.87</v>
      </c>
      <c r="AB883" s="28" t="n">
        <v>3.9e-05</v>
      </c>
      <c r="AC883" s="30" t="n">
        <v>0.1495</v>
      </c>
      <c r="AD883" s="24" t="inlineStr">
        <is>
          <t>2026-09-03T04:32:12.738329Z</t>
        </is>
      </c>
      <c r="AE883" s="31" t="inlineStr">
        <is>
          <t>Surface-blended Elo on Hard: Sloane Stephens p=0.140 vs Marta Kostyuk. Executable ask 0.8700 (aec-wta-markos-sloste-2026-09-02).</t>
        </is>
      </c>
      <c r="AF883" s="31" t="inlineStr">
        <is>
          <t>Surface-blended Elo model; singles only, WTA+ATP market coverage, not yet locked-holdout qualified -- promoted by explicit operator directive, not genuine walk-forward validation.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PAPER_CALL_LOW_EDGE</t>
        </is>
      </c>
      <c r="AP883" s="24" t="inlineStr">
        <is>
          <t>Sloane Stephens</t>
        </is>
      </c>
      <c r="AQ883" s="24" t="inlineStr">
        <is>
          <t>Sloane Stephens</t>
        </is>
      </c>
      <c r="AR883" s="24" t="inlineStr">
        <is>
          <t>Sloane Stephens</t>
        </is>
      </c>
      <c r="AS883" s="24" t="inlineStr">
        <is>
          <t>Marta Kostyuk</t>
        </is>
      </c>
      <c r="AT883" s="24" t="inlineStr">
        <is>
          <t>Marta Kostyuk</t>
        </is>
      </c>
      <c r="AU883" s="24" t="inlineStr">
        <is>
          <t>Marta Kostyuk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0ce66f49b381187fe6255a40ca2fdbfc155d5e36125ccf6d30fe81a72962eafa</t>
        </is>
      </c>
      <c r="BB883" s="24" t="inlineStr">
        <is>
          <t>surface_blended_elo</t>
        </is>
      </c>
      <c r="BC883" s="24" t="inlineStr">
        <is>
          <t>tennis-surface-elo-v1</t>
        </is>
      </c>
      <c r="BD883" s="24" t="inlineStr">
        <is>
          <t>0ce66f49b381187fe6255a40ca2fdbfc155d5e36125ccf6d30fe81a72962eafa</t>
        </is>
      </c>
      <c r="BE883" s="24" t="inlineStr">
        <is>
          <t>tennis-surface-elo-v1</t>
        </is>
      </c>
      <c r="BF883" s="24" t="inlineStr">
        <is>
          <t>1</t>
        </is>
      </c>
      <c r="BG883" s="24" t="inlineStr">
        <is>
          <t>0ce66f49b381187fe6255a40ca2fdbfc155d5e36125ccf6d30fe81a72962eafa</t>
        </is>
      </c>
      <c r="BH883" s="24" t="inlineStr">
        <is>
          <t>2026-09-02T16:07:11.332262Z</t>
        </is>
      </c>
      <c r="BI883" s="24" t="inlineStr">
        <is>
          <t>["same_event","same_team_same_day","same_league_same_day"]</t>
        </is>
      </c>
      <c r="BJ883" s="25" t="n"/>
      <c r="BK883" s="26" t="n">
        <v>-669</v>
      </c>
      <c r="BL883" s="27" t="n">
        <v>1.149477</v>
      </c>
      <c r="BM883" s="28" t="n">
        <v>0.869961</v>
      </c>
      <c r="BN883" s="28" t="n"/>
      <c r="BO883" s="28" t="n"/>
      <c r="BP883" s="25" t="n"/>
      <c r="BQ883" s="27" t="n">
        <v>1.149477</v>
      </c>
      <c r="BR883" s="28" t="n">
        <v>0.87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False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inlineStr">
        <is>
          <t>39a0ea090c08c076146856d2c2dde18b80bf8e86e39978e90a75addad2f55bd0</t>
        </is>
      </c>
      <c r="DE883" s="24" t="inlineStr">
        <is>
          <t>/Users/vincentc9002/model-prediction/data/odds/tennis/2026-09-02/polymarket_snapshots.jsonl</t>
        </is>
      </c>
      <c r="DF883" s="24" t="inlineStr">
        <is>
          <t>600233:2026-09-02T16:07:11.332262Z</t>
        </is>
      </c>
      <c r="DG883" s="24" t="n"/>
      <c r="DH883" s="24" t="n"/>
      <c r="DI883" s="24" t="n"/>
      <c r="DJ883" s="24" t="inlineStr">
        <is>
          <t>0.869961</t>
        </is>
      </c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3b9e468459314521</t>
        </is>
      </c>
      <c r="B884" s="24" t="inlineStr">
        <is>
          <t>2026-09-02T16:08:38.156783Z</t>
        </is>
      </c>
      <c r="C884" s="24" t="inlineStr">
        <is>
          <t>2026-09-02T18:30Z</t>
        </is>
      </c>
      <c r="D884" s="24" t="inlineStr">
        <is>
          <t>189-2026:182548</t>
        </is>
      </c>
      <c r="E884" s="24" t="inlineStr">
        <is>
          <t>TENNIS</t>
        </is>
      </c>
      <c r="F884" s="24" t="inlineStr">
        <is>
          <t>Anna Kalinskaya</t>
        </is>
      </c>
      <c r="G884" s="24" t="inlineStr">
        <is>
          <t>Wang Xinyu</t>
        </is>
      </c>
      <c r="H884" s="24" t="inlineStr">
        <is>
          <t>moneyline</t>
        </is>
      </c>
      <c r="I884" s="24" t="inlineStr">
        <is>
          <t>away</t>
        </is>
      </c>
      <c r="J884" s="25" t="n"/>
      <c r="K884" s="24" t="inlineStr">
        <is>
          <t>polymarket_us</t>
        </is>
      </c>
      <c r="L884" s="26" t="n">
        <v>-194</v>
      </c>
      <c r="M884" s="27" t="n">
        <v>1.515464</v>
      </c>
      <c r="N884" s="28" t="n">
        <v>0.659864</v>
      </c>
      <c r="O884" s="28" t="n">
        <v>0.5893</v>
      </c>
      <c r="P884" s="28" t="n">
        <v>0.05</v>
      </c>
      <c r="Q884" s="28" t="n">
        <v>-0.070564</v>
      </c>
      <c r="R884" s="26" t="n">
        <v>0</v>
      </c>
      <c r="S884" s="29" t="n">
        <v>1</v>
      </c>
      <c r="T884" s="24" t="inlineStr">
        <is>
          <t>tennis-surface-elo-v1</t>
        </is>
      </c>
      <c r="U884" s="24" t="inlineStr">
        <is>
          <t>settled</t>
        </is>
      </c>
      <c r="V884" s="24" t="inlineStr">
        <is>
          <t>win</t>
        </is>
      </c>
      <c r="W884" s="26" t="n">
        <v>1</v>
      </c>
      <c r="X884" s="26" t="n">
        <v>0</v>
      </c>
      <c r="Y884" s="25" t="n"/>
      <c r="Z884" s="26" t="n">
        <v>-194</v>
      </c>
      <c r="AA884" s="28" t="n">
        <v>0.66</v>
      </c>
      <c r="AB884" s="28" t="n">
        <v>0.000136</v>
      </c>
      <c r="AC884" s="30" t="n">
        <v>0.5155</v>
      </c>
      <c r="AD884" s="24" t="inlineStr">
        <is>
          <t>2026-09-03T04:32:13.225661Z</t>
        </is>
      </c>
      <c r="AE884" s="31" t="inlineStr">
        <is>
          <t>Surface-blended Elo on Hard: Anna Kalinskaya p=0.589 vs Wang Xinyu. Executable ask 0.6600 (aec-wta-xinwan-annkal-2026-09-01).</t>
        </is>
      </c>
      <c r="AF884" s="31" t="inlineStr">
        <is>
          <t>Surface-blended Elo model; singles only, WTA+ATP market coverage, not yet locked-holdout qualified -- promoted by explicit operator directive, not genuine walk-forward validation.</t>
        </is>
      </c>
      <c r="AG884" s="24" t="inlineStr">
        <is>
          <t>not_applicable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PAPER_CALL_LOW_EDGE</t>
        </is>
      </c>
      <c r="AP884" s="24" t="inlineStr">
        <is>
          <t>Anna Kalinskaya</t>
        </is>
      </c>
      <c r="AQ884" s="24" t="inlineStr">
        <is>
          <t>Anna Kalinskaya</t>
        </is>
      </c>
      <c r="AR884" s="24" t="inlineStr">
        <is>
          <t>Anna Kalinskaya</t>
        </is>
      </c>
      <c r="AS884" s="24" t="inlineStr">
        <is>
          <t>Wang Xinyu</t>
        </is>
      </c>
      <c r="AT884" s="24" t="inlineStr">
        <is>
          <t>Wang Xinyu</t>
        </is>
      </c>
      <c r="AU884" s="24" t="inlineStr">
        <is>
          <t>Wang Xinyu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0ce66f49b381187fe6255a40ca2fdbfc155d5e36125ccf6d30fe81a72962eafa</t>
        </is>
      </c>
      <c r="BB884" s="24" t="inlineStr">
        <is>
          <t>surface_blended_elo</t>
        </is>
      </c>
      <c r="BC884" s="24" t="inlineStr">
        <is>
          <t>tennis-surface-elo-v1</t>
        </is>
      </c>
      <c r="BD884" s="24" t="inlineStr">
        <is>
          <t>0ce66f49b381187fe6255a40ca2fdbfc155d5e36125ccf6d30fe81a72962eafa</t>
        </is>
      </c>
      <c r="BE884" s="24" t="inlineStr">
        <is>
          <t>tennis-surface-elo-v1</t>
        </is>
      </c>
      <c r="BF884" s="24" t="inlineStr">
        <is>
          <t>1</t>
        </is>
      </c>
      <c r="BG884" s="24" t="inlineStr">
        <is>
          <t>0ce66f49b381187fe6255a40ca2fdbfc155d5e36125ccf6d30fe81a72962eafa</t>
        </is>
      </c>
      <c r="BH884" s="24" t="inlineStr">
        <is>
          <t>2026-09-02T16:07:11.172583Z</t>
        </is>
      </c>
      <c r="BI884" s="24" t="inlineStr">
        <is>
          <t>["same_event","same_team_same_day","same_league_same_day"]</t>
        </is>
      </c>
      <c r="BJ884" s="25" t="n"/>
      <c r="BK884" s="26" t="n">
        <v>-194</v>
      </c>
      <c r="BL884" s="27" t="n">
        <v>1.515464</v>
      </c>
      <c r="BM884" s="28" t="n">
        <v>0.659864</v>
      </c>
      <c r="BN884" s="28" t="n"/>
      <c r="BO884" s="28" t="n"/>
      <c r="BP884" s="25" t="n"/>
      <c r="BQ884" s="27" t="n">
        <v>1.515464</v>
      </c>
      <c r="BR884" s="28" t="n">
        <v>0.66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False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inlineStr">
        <is>
          <t>fbfb5c46ccf21d6b8e675fac40e81d3f663e8a9c2a92fad02e42357ef7ea253b</t>
        </is>
      </c>
      <c r="DE884" s="24" t="inlineStr">
        <is>
          <t>/Users/vincentc9002/model-prediction/data/odds/tennis/2026-09-02/polymarket_snapshots.jsonl</t>
        </is>
      </c>
      <c r="DF884" s="24" t="inlineStr">
        <is>
          <t>597945:2026-09-02T16:07:11.172583Z</t>
        </is>
      </c>
      <c r="DG884" s="24" t="n"/>
      <c r="DH884" s="24" t="n"/>
      <c r="DI884" s="24" t="n"/>
      <c r="DJ884" s="24" t="inlineStr">
        <is>
          <t>0.659864</t>
        </is>
      </c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865a8263fef54eac</t>
        </is>
      </c>
      <c r="B885" s="24" t="inlineStr">
        <is>
          <t>2026-09-02T16:08:38.156783Z</t>
        </is>
      </c>
      <c r="C885" s="24" t="inlineStr">
        <is>
          <t>2026-09-02T19:00Z</t>
        </is>
      </c>
      <c r="D885" s="24" t="inlineStr">
        <is>
          <t>189-2026:182531</t>
        </is>
      </c>
      <c r="E885" s="24" t="inlineStr">
        <is>
          <t>TENNIS</t>
        </is>
      </c>
      <c r="F885" s="24" t="inlineStr">
        <is>
          <t>Karolina Muchova</t>
        </is>
      </c>
      <c r="G885" s="24" t="inlineStr">
        <is>
          <t>Katie Boulter</t>
        </is>
      </c>
      <c r="H885" s="24" t="inlineStr">
        <is>
          <t>moneyline</t>
        </is>
      </c>
      <c r="I885" s="24" t="inlineStr">
        <is>
          <t>away</t>
        </is>
      </c>
      <c r="J885" s="25" t="n"/>
      <c r="K885" s="24" t="inlineStr">
        <is>
          <t>polymarket_us</t>
        </is>
      </c>
      <c r="L885" s="26" t="n">
        <v>-614</v>
      </c>
      <c r="M885" s="27" t="n">
        <v>1.162866</v>
      </c>
      <c r="N885" s="28" t="n">
        <v>0.859944</v>
      </c>
      <c r="O885" s="28" t="n">
        <v>0.8316</v>
      </c>
      <c r="P885" s="28" t="n">
        <v>0.05</v>
      </c>
      <c r="Q885" s="28" t="n">
        <v>-0.028344</v>
      </c>
      <c r="R885" s="26" t="n">
        <v>6</v>
      </c>
      <c r="S885" s="29" t="n">
        <v>1</v>
      </c>
      <c r="T885" s="24" t="inlineStr">
        <is>
          <t>tennis-surface-elo-v1</t>
        </is>
      </c>
      <c r="U885" s="24" t="inlineStr">
        <is>
          <t>settled</t>
        </is>
      </c>
      <c r="V885" s="24" t="inlineStr">
        <is>
          <t>win</t>
        </is>
      </c>
      <c r="W885" s="26" t="n">
        <v>1</v>
      </c>
      <c r="X885" s="26" t="n">
        <v>0</v>
      </c>
      <c r="Y885" s="25" t="n"/>
      <c r="Z885" s="26" t="n">
        <v>-614</v>
      </c>
      <c r="AA885" s="28" t="n">
        <v>0.86</v>
      </c>
      <c r="AB885" s="28" t="n">
        <v>5.6e-05</v>
      </c>
      <c r="AC885" s="30" t="n">
        <v>0.1629</v>
      </c>
      <c r="AD885" s="24" t="inlineStr">
        <is>
          <t>2026-09-03T04:32:13.621186Z</t>
        </is>
      </c>
      <c r="AE885" s="31" t="inlineStr">
        <is>
          <t>Surface-blended Elo on Hard: Karolina Muchova p=0.832 vs Katie Boulter. Executable ask 0.8600 (aec-wta-katbou-karmuc-2026-09-01).</t>
        </is>
      </c>
      <c r="AF885" s="31" t="inlineStr">
        <is>
          <t>Surface-blended Elo model; singles only, WTA+ATP market coverage, not yet locked-holdout qualified -- promoted by explicit operator directive, not genuine walk-forward validation.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Karolina Muchova</t>
        </is>
      </c>
      <c r="AQ885" s="24" t="inlineStr">
        <is>
          <t>Karolina Muchova</t>
        </is>
      </c>
      <c r="AR885" s="24" t="inlineStr">
        <is>
          <t>Karolina Muchova</t>
        </is>
      </c>
      <c r="AS885" s="24" t="inlineStr">
        <is>
          <t>Katie Boulter</t>
        </is>
      </c>
      <c r="AT885" s="24" t="inlineStr">
        <is>
          <t>Katie Boulter</t>
        </is>
      </c>
      <c r="AU885" s="24" t="inlineStr">
        <is>
          <t>Katie Boulter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0ce66f49b381187fe6255a40ca2fdbfc155d5e36125ccf6d30fe81a72962eafa</t>
        </is>
      </c>
      <c r="BB885" s="24" t="inlineStr">
        <is>
          <t>surface_blended_elo</t>
        </is>
      </c>
      <c r="BC885" s="24" t="inlineStr">
        <is>
          <t>tennis-surface-elo-v1</t>
        </is>
      </c>
      <c r="BD885" s="24" t="inlineStr">
        <is>
          <t>0ce66f49b381187fe6255a40ca2fdbfc155d5e36125ccf6d30fe81a72962eafa</t>
        </is>
      </c>
      <c r="BE885" s="24" t="inlineStr">
        <is>
          <t>tennis-surface-elo-v1</t>
        </is>
      </c>
      <c r="BF885" s="24" t="inlineStr">
        <is>
          <t>1</t>
        </is>
      </c>
      <c r="BG885" s="24" t="inlineStr">
        <is>
          <t>0ce66f49b381187fe6255a40ca2fdbfc155d5e36125ccf6d30fe81a72962eafa</t>
        </is>
      </c>
      <c r="BH885" s="24" t="inlineStr">
        <is>
          <t>2026-09-02T16:07:11.666446Z</t>
        </is>
      </c>
      <c r="BI885" s="24" t="inlineStr">
        <is>
          <t>["same_event","same_team_same_day","same_league_same_day"]</t>
        </is>
      </c>
      <c r="BJ885" s="25" t="n"/>
      <c r="BK885" s="26" t="n">
        <v>-614</v>
      </c>
      <c r="BL885" s="27" t="n">
        <v>1.162866</v>
      </c>
      <c r="BM885" s="28" t="n">
        <v>0.859944</v>
      </c>
      <c r="BN885" s="28" t="n"/>
      <c r="BO885" s="28" t="n"/>
      <c r="BP885" s="25" t="n"/>
      <c r="BQ885" s="27" t="n">
        <v>1.162866</v>
      </c>
      <c r="BR885" s="28" t="n">
        <v>0.86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inlineStr">
        <is>
          <t>8aab7f844e3889071ea33a52e651562a997a59bca34e3a41e92d281dc4ba76b5</t>
        </is>
      </c>
      <c r="DE885" s="24" t="inlineStr">
        <is>
          <t>/Users/vincentc9002/model-prediction/data/odds/tennis/2026-09-02/polymarket_snapshots.jsonl</t>
        </is>
      </c>
      <c r="DF885" s="24" t="inlineStr">
        <is>
          <t>597043:2026-09-02T16:07:11.666446Z</t>
        </is>
      </c>
      <c r="DG885" s="24" t="n"/>
      <c r="DH885" s="24" t="n"/>
      <c r="DI885" s="24" t="n"/>
      <c r="DJ885" s="24" t="inlineStr">
        <is>
          <t>0.859944</t>
        </is>
      </c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82e999528cb54d79</t>
        </is>
      </c>
      <c r="B886" s="24" t="inlineStr">
        <is>
          <t>2026-09-02T16:08:38.156783Z</t>
        </is>
      </c>
      <c r="C886" s="24" t="inlineStr">
        <is>
          <t>2026-09-02T19:30Z</t>
        </is>
      </c>
      <c r="D886" s="24" t="inlineStr">
        <is>
          <t>189-2026:182569</t>
        </is>
      </c>
      <c r="E886" s="24" t="inlineStr">
        <is>
          <t>TENNIS</t>
        </is>
      </c>
      <c r="F886" s="24" t="inlineStr">
        <is>
          <t>Kamilla Rakhimova</t>
        </is>
      </c>
      <c r="G886" s="24" t="inlineStr">
        <is>
          <t>Oksana Selekhmeteva</t>
        </is>
      </c>
      <c r="H886" s="24" t="inlineStr">
        <is>
          <t>moneyline</t>
        </is>
      </c>
      <c r="I886" s="24" t="inlineStr">
        <is>
          <t>away</t>
        </is>
      </c>
      <c r="J886" s="25" t="n"/>
      <c r="K886" s="24" t="inlineStr">
        <is>
          <t>polymarket_us</t>
        </is>
      </c>
      <c r="L886" s="26" t="n">
        <v>-170</v>
      </c>
      <c r="M886" s="27" t="n">
        <v>1.588235</v>
      </c>
      <c r="N886" s="28" t="n">
        <v>0.62963</v>
      </c>
      <c r="O886" s="28" t="n">
        <v>0.5049</v>
      </c>
      <c r="P886" s="28" t="n">
        <v>0.05</v>
      </c>
      <c r="Q886" s="28" t="n">
        <v>-0.12473</v>
      </c>
      <c r="R886" s="26" t="n">
        <v>0</v>
      </c>
      <c r="S886" s="29" t="n">
        <v>1</v>
      </c>
      <c r="T886" s="24" t="inlineStr">
        <is>
          <t>tennis-surface-elo-v1</t>
        </is>
      </c>
      <c r="U886" s="24" t="inlineStr">
        <is>
          <t>settled</t>
        </is>
      </c>
      <c r="V886" s="24" t="inlineStr">
        <is>
          <t>win</t>
        </is>
      </c>
      <c r="W886" s="26" t="n">
        <v>1</v>
      </c>
      <c r="X886" s="26" t="n">
        <v>0</v>
      </c>
      <c r="Y886" s="25" t="n"/>
      <c r="Z886" s="26" t="n">
        <v>-170</v>
      </c>
      <c r="AA886" s="28" t="n">
        <v>0.63</v>
      </c>
      <c r="AB886" s="28" t="n">
        <v>0.00037</v>
      </c>
      <c r="AC886" s="30" t="n">
        <v>0.5881999999999999</v>
      </c>
      <c r="AD886" s="24" t="inlineStr">
        <is>
          <t>2026-09-03T04:32:14.015244Z</t>
        </is>
      </c>
      <c r="AE886" s="31" t="inlineStr">
        <is>
          <t>Surface-blended Elo on Hard: Kamilla Rakhimova p=0.505 vs Oksana Selekhmeteva. Executable ask 0.6300 (aec-wta-okssel-kamrak-2026-09-01).</t>
        </is>
      </c>
      <c r="AF886" s="31" t="inlineStr">
        <is>
          <t>Surface-blended Elo model; singles only, WTA+ATP market coverage, not yet locked-holdout qualified -- promoted by explicit operator directive, not genuine walk-forward validation.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Kamilla Rakhimova</t>
        </is>
      </c>
      <c r="AQ886" s="24" t="inlineStr">
        <is>
          <t>Kamilla Rakhimova</t>
        </is>
      </c>
      <c r="AR886" s="24" t="inlineStr">
        <is>
          <t>Kamilla Rakhimova</t>
        </is>
      </c>
      <c r="AS886" s="24" t="inlineStr">
        <is>
          <t>Oksana Selekhmeteva</t>
        </is>
      </c>
      <c r="AT886" s="24" t="inlineStr">
        <is>
          <t>Oksana Selekhmeteva</t>
        </is>
      </c>
      <c r="AU886" s="24" t="inlineStr">
        <is>
          <t>Oksana Selekhmeteva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0ce66f49b381187fe6255a40ca2fdbfc155d5e36125ccf6d30fe81a72962eafa</t>
        </is>
      </c>
      <c r="BB886" s="24" t="inlineStr">
        <is>
          <t>surface_blended_elo</t>
        </is>
      </c>
      <c r="BC886" s="24" t="inlineStr">
        <is>
          <t>tennis-surface-elo-v1</t>
        </is>
      </c>
      <c r="BD886" s="24" t="inlineStr">
        <is>
          <t>0ce66f49b381187fe6255a40ca2fdbfc155d5e36125ccf6d30fe81a72962eafa</t>
        </is>
      </c>
      <c r="BE886" s="24" t="inlineStr">
        <is>
          <t>tennis-surface-elo-v1</t>
        </is>
      </c>
      <c r="BF886" s="24" t="inlineStr">
        <is>
          <t>1</t>
        </is>
      </c>
      <c r="BG886" s="24" t="inlineStr">
        <is>
          <t>0ce66f49b381187fe6255a40ca2fdbfc155d5e36125ccf6d30fe81a72962eafa</t>
        </is>
      </c>
      <c r="BH886" s="24" t="inlineStr">
        <is>
          <t>2026-09-02T16:07:11.100845Z</t>
        </is>
      </c>
      <c r="BI886" s="24" t="inlineStr">
        <is>
          <t>["same_event","same_team_same_day","same_league_same_day"]</t>
        </is>
      </c>
      <c r="BJ886" s="25" t="n"/>
      <c r="BK886" s="26" t="n">
        <v>-170</v>
      </c>
      <c r="BL886" s="27" t="n">
        <v>1.588235</v>
      </c>
      <c r="BM886" s="28" t="n">
        <v>0.62963</v>
      </c>
      <c r="BN886" s="28" t="n"/>
      <c r="BO886" s="28" t="n"/>
      <c r="BP886" s="25" t="n"/>
      <c r="BQ886" s="27" t="n">
        <v>1.588235</v>
      </c>
      <c r="BR886" s="28" t="n">
        <v>0.63</v>
      </c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inlineStr">
        <is>
          <t>13366c81e1eb62bdac43d5ad15950d04e263af3691c288583503ded830edc466</t>
        </is>
      </c>
      <c r="DE886" s="24" t="inlineStr">
        <is>
          <t>/Users/vincentc9002/model-prediction/data/odds/tennis/2026-09-02/polymarket_snapshots.jsonl</t>
        </is>
      </c>
      <c r="DF886" s="24" t="inlineStr">
        <is>
          <t>597572:2026-09-02T16:07:11.100845Z</t>
        </is>
      </c>
      <c r="DG886" s="24" t="n"/>
      <c r="DH886" s="24" t="n"/>
      <c r="DI886" s="24" t="n"/>
      <c r="DJ886" s="24" t="inlineStr">
        <is>
          <t>0.62963</t>
        </is>
      </c>
      <c r="DK886" s="24" t="n"/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3f7bfbb234f648ee</t>
        </is>
      </c>
      <c r="B887" s="24" t="inlineStr">
        <is>
          <t>2026-09-02T16:08:38.156783Z</t>
        </is>
      </c>
      <c r="C887" s="24" t="inlineStr">
        <is>
          <t>2026-09-02T19:30Z</t>
        </is>
      </c>
      <c r="D887" s="24" t="inlineStr">
        <is>
          <t>189-2026:182587</t>
        </is>
      </c>
      <c r="E887" s="24" t="inlineStr">
        <is>
          <t>TENNIS</t>
        </is>
      </c>
      <c r="F887" s="24" t="inlineStr">
        <is>
          <t>Ekaterina Alexandrova</t>
        </is>
      </c>
      <c r="G887" s="24" t="inlineStr">
        <is>
          <t>Kimberly Birrell</t>
        </is>
      </c>
      <c r="H887" s="24" t="inlineStr">
        <is>
          <t>moneyline</t>
        </is>
      </c>
      <c r="I887" s="24" t="inlineStr">
        <is>
          <t>away</t>
        </is>
      </c>
      <c r="J887" s="25" t="n"/>
      <c r="K887" s="24" t="inlineStr">
        <is>
          <t>polymarket_us</t>
        </is>
      </c>
      <c r="L887" s="26" t="n">
        <v>-376</v>
      </c>
      <c r="M887" s="27" t="n">
        <v>1.265957</v>
      </c>
      <c r="N887" s="28" t="n">
        <v>0.789916</v>
      </c>
      <c r="O887" s="28" t="n">
        <v>0.5931</v>
      </c>
      <c r="P887" s="28" t="n">
        <v>0.05</v>
      </c>
      <c r="Q887" s="28" t="n">
        <v>-0.196816</v>
      </c>
      <c r="R887" s="26" t="n">
        <v>0</v>
      </c>
      <c r="S887" s="29" t="n">
        <v>1</v>
      </c>
      <c r="T887" s="24" t="inlineStr">
        <is>
          <t>tennis-surface-elo-v1</t>
        </is>
      </c>
      <c r="U887" s="24" t="inlineStr">
        <is>
          <t>settled</t>
        </is>
      </c>
      <c r="V887" s="24" t="inlineStr">
        <is>
          <t>win</t>
        </is>
      </c>
      <c r="W887" s="26" t="n">
        <v>1</v>
      </c>
      <c r="X887" s="26" t="n">
        <v>0</v>
      </c>
      <c r="Y887" s="25" t="n"/>
      <c r="Z887" s="26" t="n">
        <v>-376</v>
      </c>
      <c r="AA887" s="28" t="n">
        <v>0.79</v>
      </c>
      <c r="AB887" s="28" t="n">
        <v>8.4e-05</v>
      </c>
      <c r="AC887" s="30" t="n">
        <v>0.266</v>
      </c>
      <c r="AD887" s="24" t="inlineStr">
        <is>
          <t>2026-09-03T04:32:14.406608Z</t>
        </is>
      </c>
      <c r="AE887" s="31" t="inlineStr">
        <is>
          <t>Surface-blended Elo on Hard: Ekaterina Alexandrova p=0.593 vs Kimberly Birrell. Executable ask 0.7900 (aec-wta-kimbir-ekaale-2026-09-01).</t>
        </is>
      </c>
      <c r="AF887" s="31" t="inlineStr">
        <is>
          <t>Surface-blended Elo model; singles only, WTA+ATP market coverage, not yet locked-holdout qualified -- promoted by explicit operator directive, not genuine walk-forward validation.</t>
        </is>
      </c>
      <c r="AG887" s="24" t="inlineStr">
        <is>
          <t>not_applicable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PAPER_CALL_LOW_EDGE</t>
        </is>
      </c>
      <c r="AP887" s="24" t="inlineStr">
        <is>
          <t>Ekaterina Alexandrova</t>
        </is>
      </c>
      <c r="AQ887" s="24" t="inlineStr">
        <is>
          <t>Ekaterina Alexandrova</t>
        </is>
      </c>
      <c r="AR887" s="24" t="inlineStr">
        <is>
          <t>Ekaterina Alexandrova</t>
        </is>
      </c>
      <c r="AS887" s="24" t="inlineStr">
        <is>
          <t>Kimberly Birrell</t>
        </is>
      </c>
      <c r="AT887" s="24" t="inlineStr">
        <is>
          <t>Kimberly Birrell</t>
        </is>
      </c>
      <c r="AU887" s="24" t="inlineStr">
        <is>
          <t>Kimberly Birrell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0ce66f49b381187fe6255a40ca2fdbfc155d5e36125ccf6d30fe81a72962eafa</t>
        </is>
      </c>
      <c r="BB887" s="24" t="inlineStr">
        <is>
          <t>surface_blended_elo</t>
        </is>
      </c>
      <c r="BC887" s="24" t="inlineStr">
        <is>
          <t>tennis-surface-elo-v1</t>
        </is>
      </c>
      <c r="BD887" s="24" t="inlineStr">
        <is>
          <t>0ce66f49b381187fe6255a40ca2fdbfc155d5e36125ccf6d30fe81a72962eafa</t>
        </is>
      </c>
      <c r="BE887" s="24" t="inlineStr">
        <is>
          <t>tennis-surface-elo-v1</t>
        </is>
      </c>
      <c r="BF887" s="24" t="inlineStr">
        <is>
          <t>1</t>
        </is>
      </c>
      <c r="BG887" s="24" t="inlineStr">
        <is>
          <t>0ce66f49b381187fe6255a40ca2fdbfc155d5e36125ccf6d30fe81a72962eafa</t>
        </is>
      </c>
      <c r="BH887" s="24" t="inlineStr">
        <is>
          <t>2026-09-02T16:07:11.137275Z</t>
        </is>
      </c>
      <c r="BI887" s="24" t="inlineStr">
        <is>
          <t>["same_event","same_team_same_day","same_league_same_day"]</t>
        </is>
      </c>
      <c r="BJ887" s="25" t="n"/>
      <c r="BK887" s="26" t="n">
        <v>-376</v>
      </c>
      <c r="BL887" s="27" t="n">
        <v>1.265957</v>
      </c>
      <c r="BM887" s="28" t="n">
        <v>0.789916</v>
      </c>
      <c r="BN887" s="28" t="n"/>
      <c r="BO887" s="28" t="n"/>
      <c r="BP887" s="25" t="n"/>
      <c r="BQ887" s="27" t="n">
        <v>1.265957</v>
      </c>
      <c r="BR887" s="28" t="n">
        <v>0.79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inlineStr">
        <is>
          <t>4a1fd1746a17f50ef1735ca60dc48f1b6c7f550ebb1bccd2de54ae17ba4c73f7</t>
        </is>
      </c>
      <c r="DE887" s="24" t="inlineStr">
        <is>
          <t>/Users/vincentc9002/model-prediction/data/odds/tennis/2026-09-02/polymarket_snapshots.jsonl</t>
        </is>
      </c>
      <c r="DF887" s="24" t="inlineStr">
        <is>
          <t>597581:2026-09-02T16:07:11.137275Z</t>
        </is>
      </c>
      <c r="DG887" s="24" t="n"/>
      <c r="DH887" s="24" t="n"/>
      <c r="DI887" s="24" t="n"/>
      <c r="DJ887" s="24" t="inlineStr">
        <is>
          <t>0.789916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bc7f0a1a9d914b53</t>
        </is>
      </c>
      <c r="B888" s="24" t="inlineStr">
        <is>
          <t>2026-09-02T16:08:38.156783Z</t>
        </is>
      </c>
      <c r="C888" s="24" t="inlineStr">
        <is>
          <t>2026-09-02T20:30Z</t>
        </is>
      </c>
      <c r="D888" s="24" t="inlineStr">
        <is>
          <t>189-2026:182584</t>
        </is>
      </c>
      <c r="E888" s="24" t="inlineStr">
        <is>
          <t>TENNIS</t>
        </is>
      </c>
      <c r="F888" s="24" t="inlineStr">
        <is>
          <t>Donna Vekic</t>
        </is>
      </c>
      <c r="G888" s="24" t="inlineStr">
        <is>
          <t>Ann Li</t>
        </is>
      </c>
      <c r="H888" s="24" t="inlineStr">
        <is>
          <t>moneyline</t>
        </is>
      </c>
      <c r="I888" s="24" t="inlineStr">
        <is>
          <t>home</t>
        </is>
      </c>
      <c r="J888" s="25" t="n"/>
      <c r="K888" s="24" t="inlineStr">
        <is>
          <t>polymarket_us</t>
        </is>
      </c>
      <c r="L888" s="26" t="n">
        <v>-163</v>
      </c>
      <c r="M888" s="27" t="n">
        <v>1.613497</v>
      </c>
      <c r="N888" s="28" t="n">
        <v>0.619772</v>
      </c>
      <c r="O888" s="28" t="n">
        <v>0.5165999999999999</v>
      </c>
      <c r="P888" s="28" t="n">
        <v>0.05</v>
      </c>
      <c r="Q888" s="28" t="n">
        <v>-0.103172</v>
      </c>
      <c r="R888" s="26" t="n">
        <v>0</v>
      </c>
      <c r="S888" s="29" t="n">
        <v>1</v>
      </c>
      <c r="T888" s="24" t="inlineStr">
        <is>
          <t>tennis-surface-elo-v1</t>
        </is>
      </c>
      <c r="U888" s="24" t="inlineStr">
        <is>
          <t>settled</t>
        </is>
      </c>
      <c r="V888" s="24" t="inlineStr">
        <is>
          <t>win</t>
        </is>
      </c>
      <c r="W888" s="26" t="n">
        <v>0</v>
      </c>
      <c r="X888" s="26" t="n">
        <v>1</v>
      </c>
      <c r="Y888" s="25" t="n"/>
      <c r="Z888" s="26" t="n">
        <v>-163</v>
      </c>
      <c r="AA888" s="28" t="n">
        <v>0.62</v>
      </c>
      <c r="AB888" s="28" t="n">
        <v>0.000228</v>
      </c>
      <c r="AC888" s="30" t="n">
        <v>0.6135</v>
      </c>
      <c r="AD888" s="24" t="inlineStr">
        <is>
          <t>2026-09-03T04:32:14.796803Z</t>
        </is>
      </c>
      <c r="AE888" s="31" t="inlineStr">
        <is>
          <t>Surface-blended Elo on Hard: Donna Vekic p=0.483 vs Ann Li. Executable ask 0.6200 (aec-wta-annli-donvek-2026-09-02).</t>
        </is>
      </c>
      <c r="AF888" s="31" t="inlineStr">
        <is>
          <t>Surface-blended Elo model; singles only, WTA+ATP market coverage, not yet locked-holdout qualified -- promoted by explicit operator directive, not genuine walk-forward validation.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PAPER_CALL_LOW_EDGE</t>
        </is>
      </c>
      <c r="AP888" s="24" t="inlineStr">
        <is>
          <t>Donna Vekic</t>
        </is>
      </c>
      <c r="AQ888" s="24" t="inlineStr">
        <is>
          <t>Donna Vekic</t>
        </is>
      </c>
      <c r="AR888" s="24" t="inlineStr">
        <is>
          <t>Donna Vekic</t>
        </is>
      </c>
      <c r="AS888" s="24" t="inlineStr">
        <is>
          <t>Ann Li</t>
        </is>
      </c>
      <c r="AT888" s="24" t="inlineStr">
        <is>
          <t>Ann Li</t>
        </is>
      </c>
      <c r="AU888" s="24" t="inlineStr">
        <is>
          <t>Ann Li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0ce66f49b381187fe6255a40ca2fdbfc155d5e36125ccf6d30fe81a72962eafa</t>
        </is>
      </c>
      <c r="BB888" s="24" t="inlineStr">
        <is>
          <t>surface_blended_elo</t>
        </is>
      </c>
      <c r="BC888" s="24" t="inlineStr">
        <is>
          <t>tennis-surface-elo-v1</t>
        </is>
      </c>
      <c r="BD888" s="24" t="inlineStr">
        <is>
          <t>0ce66f49b381187fe6255a40ca2fdbfc155d5e36125ccf6d30fe81a72962eafa</t>
        </is>
      </c>
      <c r="BE888" s="24" t="inlineStr">
        <is>
          <t>tennis-surface-elo-v1</t>
        </is>
      </c>
      <c r="BF888" s="24" t="inlineStr">
        <is>
          <t>1</t>
        </is>
      </c>
      <c r="BG888" s="24" t="inlineStr">
        <is>
          <t>0ce66f49b381187fe6255a40ca2fdbfc155d5e36125ccf6d30fe81a72962eafa</t>
        </is>
      </c>
      <c r="BH888" s="24" t="inlineStr">
        <is>
          <t>2026-09-02T16:07:11.386619Z</t>
        </is>
      </c>
      <c r="BI888" s="24" t="inlineStr">
        <is>
          <t>["same_event","same_team_same_day","same_league_same_day"]</t>
        </is>
      </c>
      <c r="BJ888" s="25" t="n"/>
      <c r="BK888" s="26" t="n">
        <v>-163</v>
      </c>
      <c r="BL888" s="27" t="n">
        <v>1.613497</v>
      </c>
      <c r="BM888" s="28" t="n">
        <v>0.619772</v>
      </c>
      <c r="BN888" s="28" t="n"/>
      <c r="BO888" s="28" t="n"/>
      <c r="BP888" s="25" t="n"/>
      <c r="BQ888" s="27" t="n">
        <v>1.613497</v>
      </c>
      <c r="BR888" s="28" t="n">
        <v>0.62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False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inlineStr">
        <is>
          <t>21a1835fe21ea2040039dfba60541d54f485ca3cf9a693a1935af0d453be79c6</t>
        </is>
      </c>
      <c r="DE888" s="24" t="inlineStr">
        <is>
          <t>/Users/vincentc9002/model-prediction/data/odds/tennis/2026-09-02/polymarket_snapshots.jsonl</t>
        </is>
      </c>
      <c r="DF888" s="24" t="inlineStr">
        <is>
          <t>600341:2026-09-02T16:07:11.386619Z</t>
        </is>
      </c>
      <c r="DG888" s="24" t="n"/>
      <c r="DH888" s="24" t="n"/>
      <c r="DI888" s="24" t="n"/>
      <c r="DJ888" s="24" t="inlineStr">
        <is>
          <t>0.619772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f20c4e286af1451c</t>
        </is>
      </c>
      <c r="B889" s="24" t="inlineStr">
        <is>
          <t>2026-09-02T16:08:38.156783Z</t>
        </is>
      </c>
      <c r="C889" s="24" t="inlineStr">
        <is>
          <t>2026-09-02T21:00Z</t>
        </is>
      </c>
      <c r="D889" s="24" t="inlineStr">
        <is>
          <t>189-2026:182546</t>
        </is>
      </c>
      <c r="E889" s="24" t="inlineStr">
        <is>
          <t>TENNIS</t>
        </is>
      </c>
      <c r="F889" s="24" t="inlineStr">
        <is>
          <t>Maya Joint</t>
        </is>
      </c>
      <c r="G889" s="24" t="inlineStr">
        <is>
          <t>Elina Svitolina</t>
        </is>
      </c>
      <c r="H889" s="24" t="inlineStr">
        <is>
          <t>moneyline</t>
        </is>
      </c>
      <c r="I889" s="24" t="inlineStr">
        <is>
          <t>home</t>
        </is>
      </c>
      <c r="J889" s="25" t="n"/>
      <c r="K889" s="24" t="inlineStr">
        <is>
          <t>polymarket_us</t>
        </is>
      </c>
      <c r="L889" s="26" t="n">
        <v>-733</v>
      </c>
      <c r="M889" s="27" t="n">
        <v>1.136426</v>
      </c>
      <c r="N889" s="28" t="n">
        <v>0.879952</v>
      </c>
      <c r="O889" s="28" t="n">
        <v>0.799</v>
      </c>
      <c r="P889" s="28" t="n">
        <v>0.05</v>
      </c>
      <c r="Q889" s="28" t="n">
        <v>-0.080952</v>
      </c>
      <c r="R889" s="26" t="n">
        <v>0</v>
      </c>
      <c r="S889" s="29" t="n">
        <v>1</v>
      </c>
      <c r="T889" s="24" t="inlineStr">
        <is>
          <t>tennis-surface-elo-v1</t>
        </is>
      </c>
      <c r="U889" s="24" t="inlineStr">
        <is>
          <t>settled</t>
        </is>
      </c>
      <c r="V889" s="24" t="inlineStr">
        <is>
          <t>win</t>
        </is>
      </c>
      <c r="W889" s="26" t="n">
        <v>0</v>
      </c>
      <c r="X889" s="26" t="n">
        <v>1</v>
      </c>
      <c r="Y889" s="25" t="n"/>
      <c r="Z889" s="26" t="n">
        <v>-733</v>
      </c>
      <c r="AA889" s="28" t="n">
        <v>0.88</v>
      </c>
      <c r="AB889" s="28" t="n">
        <v>4.8e-05</v>
      </c>
      <c r="AC889" s="30" t="n">
        <v>0.1364</v>
      </c>
      <c r="AD889" s="24" t="inlineStr">
        <is>
          <t>2026-09-03T04:32:15.300420Z</t>
        </is>
      </c>
      <c r="AE889" s="31" t="inlineStr">
        <is>
          <t>Surface-blended Elo on Hard: Maya Joint p=0.201 vs Elina Svitolina. Executable ask 0.8800 (aec-wta-elisvi-mayjoi-2026-09-02).</t>
        </is>
      </c>
      <c r="AF889" s="31" t="inlineStr">
        <is>
          <t>Surface-blended Elo model; singles only, WTA+ATP market coverage, not yet locked-holdout qualified -- promoted by explicit operator directive, not genuine walk-forward validation.</t>
        </is>
      </c>
      <c r="AG889" s="24" t="inlineStr">
        <is>
          <t>not_applicable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PAPER_CALL_LOW_EDGE</t>
        </is>
      </c>
      <c r="AP889" s="24" t="inlineStr">
        <is>
          <t>Maya Joint</t>
        </is>
      </c>
      <c r="AQ889" s="24" t="inlineStr">
        <is>
          <t>Maya Joint</t>
        </is>
      </c>
      <c r="AR889" s="24" t="inlineStr">
        <is>
          <t>Maya Joint</t>
        </is>
      </c>
      <c r="AS889" s="24" t="inlineStr">
        <is>
          <t>Elina Svitolina</t>
        </is>
      </c>
      <c r="AT889" s="24" t="inlineStr">
        <is>
          <t>Elina Svitolina</t>
        </is>
      </c>
      <c r="AU889" s="24" t="inlineStr">
        <is>
          <t>Elina Svitolina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0ce66f49b381187fe6255a40ca2fdbfc155d5e36125ccf6d30fe81a72962eafa</t>
        </is>
      </c>
      <c r="BB889" s="24" t="inlineStr">
        <is>
          <t>surface_blended_elo</t>
        </is>
      </c>
      <c r="BC889" s="24" t="inlineStr">
        <is>
          <t>tennis-surface-elo-v1</t>
        </is>
      </c>
      <c r="BD889" s="24" t="inlineStr">
        <is>
          <t>0ce66f49b381187fe6255a40ca2fdbfc155d5e36125ccf6d30fe81a72962eafa</t>
        </is>
      </c>
      <c r="BE889" s="24" t="inlineStr">
        <is>
          <t>tennis-surface-elo-v1</t>
        </is>
      </c>
      <c r="BF889" s="24" t="inlineStr">
        <is>
          <t>1</t>
        </is>
      </c>
      <c r="BG889" s="24" t="inlineStr">
        <is>
          <t>0ce66f49b381187fe6255a40ca2fdbfc155d5e36125ccf6d30fe81a72962eafa</t>
        </is>
      </c>
      <c r="BH889" s="24" t="inlineStr">
        <is>
          <t>2026-09-02T16:07:11.412821Z</t>
        </is>
      </c>
      <c r="BI889" s="24" t="inlineStr">
        <is>
          <t>["same_event","same_team_same_day","same_league_same_day"]</t>
        </is>
      </c>
      <c r="BJ889" s="25" t="n"/>
      <c r="BK889" s="26" t="n">
        <v>-733</v>
      </c>
      <c r="BL889" s="27" t="n">
        <v>1.136426</v>
      </c>
      <c r="BM889" s="28" t="n">
        <v>0.879952</v>
      </c>
      <c r="BN889" s="28" t="n"/>
      <c r="BO889" s="28" t="n"/>
      <c r="BP889" s="25" t="n"/>
      <c r="BQ889" s="27" t="n">
        <v>1.136426</v>
      </c>
      <c r="BR889" s="28" t="n">
        <v>0.88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inlineStr">
        <is>
          <t>142bf8cb9f456e58b0a42b5fe70c7255d10637af1b513d9f83b7528bcdc15748</t>
        </is>
      </c>
      <c r="DE889" s="24" t="inlineStr">
        <is>
          <t>/Users/vincentc9002/model-prediction/data/odds/tennis/2026-09-02/polymarket_snapshots.jsonl</t>
        </is>
      </c>
      <c r="DF889" s="24" t="inlineStr">
        <is>
          <t>600430:2026-09-02T16:07:11.412821Z</t>
        </is>
      </c>
      <c r="DG889" s="24" t="n"/>
      <c r="DH889" s="24" t="n"/>
      <c r="DI889" s="24" t="n"/>
      <c r="DJ889" s="24" t="inlineStr">
        <is>
          <t>0.879952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d801fbf13eb24b44</t>
        </is>
      </c>
      <c r="B890" s="24" t="inlineStr">
        <is>
          <t>2026-09-02T16:08:38.156783Z</t>
        </is>
      </c>
      <c r="C890" s="24" t="inlineStr">
        <is>
          <t>2026-09-02T23:00Z</t>
        </is>
      </c>
      <c r="D890" s="24" t="inlineStr">
        <is>
          <t>189-2026:182539</t>
        </is>
      </c>
      <c r="E890" s="24" t="inlineStr">
        <is>
          <t>TENNIS</t>
        </is>
      </c>
      <c r="F890" s="24" t="inlineStr">
        <is>
          <t>Polina Iatcenko</t>
        </is>
      </c>
      <c r="G890" s="24" t="inlineStr">
        <is>
          <t>Aryna Sabalenka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-2400</v>
      </c>
      <c r="M890" s="27" t="n">
        <v>1.041667</v>
      </c>
      <c r="N890" s="28" t="n">
        <v>0.96</v>
      </c>
      <c r="O890" s="28" t="n">
        <v>0.9344</v>
      </c>
      <c r="P890" s="28" t="n">
        <v>0.05</v>
      </c>
      <c r="Q890" s="28" t="n">
        <v>-0.0256</v>
      </c>
      <c r="R890" s="26" t="n">
        <v>7</v>
      </c>
      <c r="S890" s="29" t="n">
        <v>1</v>
      </c>
      <c r="T890" s="24" t="inlineStr">
        <is>
          <t>tennis-surface-elo-v1</t>
        </is>
      </c>
      <c r="U890" s="24" t="inlineStr">
        <is>
          <t>settled</t>
        </is>
      </c>
      <c r="V890" s="24" t="inlineStr">
        <is>
          <t>win</t>
        </is>
      </c>
      <c r="W890" s="26" t="n">
        <v>0</v>
      </c>
      <c r="X890" s="26" t="n">
        <v>1</v>
      </c>
      <c r="Y890" s="25" t="n"/>
      <c r="Z890" s="26" t="n">
        <v>-2400</v>
      </c>
      <c r="AA890" s="28" t="n">
        <v>0.96</v>
      </c>
      <c r="AB890" s="28" t="n">
        <v>0</v>
      </c>
      <c r="AC890" s="30" t="n">
        <v>0.0417</v>
      </c>
      <c r="AD890" s="24" t="inlineStr">
        <is>
          <t>2026-09-03T04:32:15.688103Z</t>
        </is>
      </c>
      <c r="AE890" s="31" t="inlineStr">
        <is>
          <t>Surface-blended Elo on Hard: Polina Iatcenko p=0.066 vs Aryna Sabalenka. Executable ask 0.9600 (aec-wta-arysab-poliat-2026-09-01).</t>
        </is>
      </c>
      <c r="AF890" s="31" t="inlineStr">
        <is>
          <t>Surface-blended Elo model; singles only, WTA+ATP market coverage, not yet locked-holdout qualified -- promoted by explicit operator directive, not genuine walk-forward validation.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PAPER_CALL_LOW_EDGE</t>
        </is>
      </c>
      <c r="AP890" s="24" t="inlineStr">
        <is>
          <t>Polina Iatcenko</t>
        </is>
      </c>
      <c r="AQ890" s="24" t="inlineStr">
        <is>
          <t>Polina Iatcenko</t>
        </is>
      </c>
      <c r="AR890" s="24" t="inlineStr">
        <is>
          <t>Polina Iatcenko</t>
        </is>
      </c>
      <c r="AS890" s="24" t="inlineStr">
        <is>
          <t>Aryna Sabalenka</t>
        </is>
      </c>
      <c r="AT890" s="24" t="inlineStr">
        <is>
          <t>Aryna Sabalenka</t>
        </is>
      </c>
      <c r="AU890" s="24" t="inlineStr">
        <is>
          <t>Aryna Sabalenka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0ce66f49b381187fe6255a40ca2fdbfc155d5e36125ccf6d30fe81a72962eafa</t>
        </is>
      </c>
      <c r="BB890" s="24" t="inlineStr">
        <is>
          <t>surface_blended_elo</t>
        </is>
      </c>
      <c r="BC890" s="24" t="inlineStr">
        <is>
          <t>tennis-surface-elo-v1</t>
        </is>
      </c>
      <c r="BD890" s="24" t="inlineStr">
        <is>
          <t>0ce66f49b381187fe6255a40ca2fdbfc155d5e36125ccf6d30fe81a72962eafa</t>
        </is>
      </c>
      <c r="BE890" s="24" t="inlineStr">
        <is>
          <t>tennis-surface-elo-v1</t>
        </is>
      </c>
      <c r="BF890" s="24" t="inlineStr">
        <is>
          <t>1</t>
        </is>
      </c>
      <c r="BG890" s="24" t="inlineStr">
        <is>
          <t>0ce66f49b381187fe6255a40ca2fdbfc155d5e36125ccf6d30fe81a72962eafa</t>
        </is>
      </c>
      <c r="BH890" s="24" t="inlineStr">
        <is>
          <t>2026-09-02T16:07:10.926098Z</t>
        </is>
      </c>
      <c r="BI890" s="24" t="inlineStr">
        <is>
          <t>["same_event","same_team_same_day","same_league_same_day"]</t>
        </is>
      </c>
      <c r="BJ890" s="25" t="n"/>
      <c r="BK890" s="26" t="n">
        <v>-2400</v>
      </c>
      <c r="BL890" s="27" t="n">
        <v>1.041667</v>
      </c>
      <c r="BM890" s="28" t="n">
        <v>0.96</v>
      </c>
      <c r="BN890" s="28" t="n"/>
      <c r="BO890" s="28" t="n"/>
      <c r="BP890" s="25" t="n"/>
      <c r="BQ890" s="27" t="n">
        <v>1.041667</v>
      </c>
      <c r="BR890" s="28" t="n">
        <v>0.96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inlineStr">
        <is>
          <t>edc348193ed53a3e90aef8236f681f3cb38f25822123c4fe335c3dc81617f073</t>
        </is>
      </c>
      <c r="DE890" s="24" t="inlineStr">
        <is>
          <t>/Users/vincentc9002/model-prediction/data/odds/tennis/2026-09-02/polymarket_snapshots.jsonl</t>
        </is>
      </c>
      <c r="DF890" s="24" t="inlineStr">
        <is>
          <t>597239:2026-09-02T16:07:10.926098Z</t>
        </is>
      </c>
      <c r="DG890" s="24" t="n"/>
      <c r="DH890" s="24" t="n"/>
      <c r="DI890" s="24" t="n"/>
      <c r="DJ890" s="24" t="inlineStr">
        <is>
          <t>0.96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9b08f570f910439d</t>
        </is>
      </c>
      <c r="B891" s="24" t="inlineStr">
        <is>
          <t>2026-09-02T16:08:38.156783Z</t>
        </is>
      </c>
      <c r="C891" s="24" t="inlineStr">
        <is>
          <t>2026-09-03T01:00Z</t>
        </is>
      </c>
      <c r="D891" s="24" t="inlineStr">
        <is>
          <t>189-2026:182552</t>
        </is>
      </c>
      <c r="E891" s="24" t="inlineStr">
        <is>
          <t>TENNIS</t>
        </is>
      </c>
      <c r="F891" s="24" t="inlineStr">
        <is>
          <t>Linda Noskova</t>
        </is>
      </c>
      <c r="G891" s="24" t="inlineStr">
        <is>
          <t>Lanlana Tararudee</t>
        </is>
      </c>
      <c r="H891" s="24" t="inlineStr">
        <is>
          <t>moneyline</t>
        </is>
      </c>
      <c r="I891" s="24" t="inlineStr">
        <is>
          <t>away</t>
        </is>
      </c>
      <c r="J891" s="25" t="n"/>
      <c r="K891" s="24" t="inlineStr">
        <is>
          <t>polymarket_us</t>
        </is>
      </c>
      <c r="L891" s="26" t="n">
        <v>-426</v>
      </c>
      <c r="M891" s="27" t="n">
        <v>1.234742</v>
      </c>
      <c r="N891" s="28" t="n">
        <v>0.809886</v>
      </c>
      <c r="O891" s="28" t="n">
        <v>0.6339</v>
      </c>
      <c r="P891" s="28" t="n">
        <v>0.05</v>
      </c>
      <c r="Q891" s="28" t="n">
        <v>-0.175986</v>
      </c>
      <c r="R891" s="26" t="n">
        <v>0</v>
      </c>
      <c r="S891" s="29" t="n">
        <v>1</v>
      </c>
      <c r="T891" s="24" t="inlineStr">
        <is>
          <t>tennis-surface-elo-v1</t>
        </is>
      </c>
      <c r="U891" s="24" t="inlineStr">
        <is>
          <t>settled</t>
        </is>
      </c>
      <c r="V891" s="24" t="inlineStr">
        <is>
          <t>win</t>
        </is>
      </c>
      <c r="W891" s="26" t="n">
        <v>1</v>
      </c>
      <c r="X891" s="26" t="n">
        <v>0</v>
      </c>
      <c r="Y891" s="25" t="n"/>
      <c r="Z891" s="26" t="n">
        <v>-426</v>
      </c>
      <c r="AA891" s="28" t="n">
        <v>0.8100000000000001</v>
      </c>
      <c r="AB891" s="28" t="n">
        <v>0.000114</v>
      </c>
      <c r="AC891" s="30" t="n">
        <v>0.2347</v>
      </c>
      <c r="AD891" s="24" t="inlineStr">
        <is>
          <t>2026-09-03T04:32:16.075627Z</t>
        </is>
      </c>
      <c r="AE891" s="31" t="inlineStr">
        <is>
          <t>Surface-blended Elo on Hard: Linda Noskova p=0.634 vs Lanlana Tararudee. Executable ask 0.8100 (aec-wta-lantar-linnos-2026-09-02).</t>
        </is>
      </c>
      <c r="AF891" s="31" t="inlineStr">
        <is>
          <t>Surface-blended Elo model; singles only, WTA+ATP market coverage, not yet locked-holdout qualified -- promoted by explicit operator directive, not genuine walk-forward validation.</t>
        </is>
      </c>
      <c r="AG891" s="24" t="inlineStr">
        <is>
          <t>not_applicable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PAPER_CALL_LOW_EDGE</t>
        </is>
      </c>
      <c r="AP891" s="24" t="inlineStr">
        <is>
          <t>Linda Noskova</t>
        </is>
      </c>
      <c r="AQ891" s="24" t="inlineStr">
        <is>
          <t>Linda Noskova</t>
        </is>
      </c>
      <c r="AR891" s="24" t="inlineStr">
        <is>
          <t>Linda Noskova</t>
        </is>
      </c>
      <c r="AS891" s="24" t="inlineStr">
        <is>
          <t>Lanlana Tararudee</t>
        </is>
      </c>
      <c r="AT891" s="24" t="inlineStr">
        <is>
          <t>Lanlana Tararudee</t>
        </is>
      </c>
      <c r="AU891" s="24" t="inlineStr">
        <is>
          <t>Lanlana Tararudee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0ce66f49b381187fe6255a40ca2fdbfc155d5e36125ccf6d30fe81a72962eafa</t>
        </is>
      </c>
      <c r="BB891" s="24" t="inlineStr">
        <is>
          <t>surface_blended_elo</t>
        </is>
      </c>
      <c r="BC891" s="24" t="inlineStr">
        <is>
          <t>tennis-surface-elo-v1</t>
        </is>
      </c>
      <c r="BD891" s="24" t="inlineStr">
        <is>
          <t>0ce66f49b381187fe6255a40ca2fdbfc155d5e36125ccf6d30fe81a72962eafa</t>
        </is>
      </c>
      <c r="BE891" s="24" t="inlineStr">
        <is>
          <t>tennis-surface-elo-v1</t>
        </is>
      </c>
      <c r="BF891" s="24" t="inlineStr">
        <is>
          <t>1</t>
        </is>
      </c>
      <c r="BG891" s="24" t="inlineStr">
        <is>
          <t>0ce66f49b381187fe6255a40ca2fdbfc155d5e36125ccf6d30fe81a72962eafa</t>
        </is>
      </c>
      <c r="BH891" s="24" t="inlineStr">
        <is>
          <t>2026-09-02T16:07:11.290976Z</t>
        </is>
      </c>
      <c r="BI891" s="24" t="inlineStr">
        <is>
          <t>["same_event","same_team_same_day","same_league_same_day"]</t>
        </is>
      </c>
      <c r="BJ891" s="25" t="n"/>
      <c r="BK891" s="26" t="n">
        <v>-426</v>
      </c>
      <c r="BL891" s="27" t="n">
        <v>1.234742</v>
      </c>
      <c r="BM891" s="28" t="n">
        <v>0.809886</v>
      </c>
      <c r="BN891" s="28" t="n"/>
      <c r="BO891" s="28" t="n"/>
      <c r="BP891" s="25" t="n"/>
      <c r="BQ891" s="27" t="n">
        <v>1.234742</v>
      </c>
      <c r="BR891" s="28" t="n">
        <v>0.8100000000000001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inlineStr">
        <is>
          <t>d6d1d41bb14dcd0aa570a50bd6926fe2735cd21c13cd41af92785cfefc267d41</t>
        </is>
      </c>
      <c r="DE891" s="24" t="inlineStr">
        <is>
          <t>/Users/vincentc9002/model-prediction/data/odds/tennis/2026-09-02/polymarket_snapshots.jsonl</t>
        </is>
      </c>
      <c r="DF891" s="24" t="inlineStr">
        <is>
          <t>599868:2026-09-02T16:07:11.290976Z</t>
        </is>
      </c>
      <c r="DG891" s="24" t="n"/>
      <c r="DH891" s="24" t="n"/>
      <c r="DI891" s="24" t="n"/>
      <c r="DJ891" s="24" t="inlineStr">
        <is>
          <t>0.809886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1b653eb9e3ef4023</t>
        </is>
      </c>
      <c r="B892" s="24" t="inlineStr">
        <is>
          <t>2026-09-02T16:08:38.156783Z</t>
        </is>
      </c>
      <c r="C892" s="24" t="inlineStr">
        <is>
          <t>2026-09-03T04:00Z</t>
        </is>
      </c>
      <c r="D892" s="24" t="inlineStr">
        <is>
          <t>189-2026:182528</t>
        </is>
      </c>
      <c r="E892" s="24" t="inlineStr">
        <is>
          <t>TENNIS</t>
        </is>
      </c>
      <c r="F892" s="24" t="inlineStr">
        <is>
          <t>Nadia Podoroska</t>
        </is>
      </c>
      <c r="G892" s="24" t="inlineStr">
        <is>
          <t>Iga Swiatek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-4900</v>
      </c>
      <c r="M892" s="27" t="n">
        <v>1.020408</v>
      </c>
      <c r="N892" s="28" t="n">
        <v>0.98</v>
      </c>
      <c r="O892" s="28" t="n">
        <v>0.909</v>
      </c>
      <c r="P892" s="28" t="n">
        <v>0.05</v>
      </c>
      <c r="Q892" s="28" t="n">
        <v>-0.07099999999999999</v>
      </c>
      <c r="R892" s="26" t="n">
        <v>0</v>
      </c>
      <c r="S892" s="29" t="n">
        <v>1</v>
      </c>
      <c r="T892" s="24" t="inlineStr">
        <is>
          <t>tennis-surface-elo-v1</t>
        </is>
      </c>
      <c r="U892" s="24" t="inlineStr">
        <is>
          <t>settled</t>
        </is>
      </c>
      <c r="V892" s="24" t="inlineStr">
        <is>
          <t>win</t>
        </is>
      </c>
      <c r="W892" s="26" t="n">
        <v>0</v>
      </c>
      <c r="X892" s="26" t="n">
        <v>1</v>
      </c>
      <c r="Y892" s="25" t="n"/>
      <c r="Z892" s="26" t="n">
        <v>-4900</v>
      </c>
      <c r="AA892" s="28" t="n">
        <v>0.98</v>
      </c>
      <c r="AB892" s="28" t="n">
        <v>0</v>
      </c>
      <c r="AC892" s="30" t="n">
        <v>0.0204</v>
      </c>
      <c r="AD892" s="24" t="inlineStr">
        <is>
          <t>2026-09-04T04:32:03.295355Z</t>
        </is>
      </c>
      <c r="AE892" s="31" t="inlineStr">
        <is>
          <t>Surface-blended Elo on Hard: Nadia Podoroska p=0.091 vs Iga Swiatek. Executable ask 0.9800 (aec-wta-igaswi-nadpod-2026-09-02).</t>
        </is>
      </c>
      <c r="AF892" s="31" t="inlineStr">
        <is>
          <t>Surface-blended Elo model; singles only, WTA+ATP market coverage, not yet locked-holdout qualified -- promoted by explicit operator directive, not genuine walk-forward validation.</t>
        </is>
      </c>
      <c r="AG892" s="24" t="inlineStr">
        <is>
          <t>not_applicable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Nadia Podoroska</t>
        </is>
      </c>
      <c r="AQ892" s="24" t="inlineStr">
        <is>
          <t>Nadia Podoroska</t>
        </is>
      </c>
      <c r="AR892" s="24" t="inlineStr">
        <is>
          <t>Nadia Podoroska</t>
        </is>
      </c>
      <c r="AS892" s="24" t="inlineStr">
        <is>
          <t>Iga Swiatek</t>
        </is>
      </c>
      <c r="AT892" s="24" t="inlineStr">
        <is>
          <t>Iga Swiatek</t>
        </is>
      </c>
      <c r="AU892" s="24" t="inlineStr">
        <is>
          <t>Iga Swiatek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0ce66f49b381187fe6255a40ca2fdbfc155d5e36125ccf6d30fe81a72962eafa</t>
        </is>
      </c>
      <c r="BB892" s="24" t="inlineStr">
        <is>
          <t>surface_blended_elo</t>
        </is>
      </c>
      <c r="BC892" s="24" t="inlineStr">
        <is>
          <t>tennis-surface-elo-v1</t>
        </is>
      </c>
      <c r="BD892" s="24" t="inlineStr">
        <is>
          <t>0ce66f49b381187fe6255a40ca2fdbfc155d5e36125ccf6d30fe81a72962eafa</t>
        </is>
      </c>
      <c r="BE892" s="24" t="inlineStr">
        <is>
          <t>tennis-surface-elo-v1</t>
        </is>
      </c>
      <c r="BF892" s="24" t="inlineStr">
        <is>
          <t>1</t>
        </is>
      </c>
      <c r="BG892" s="24" t="inlineStr">
        <is>
          <t>0ce66f49b381187fe6255a40ca2fdbfc155d5e36125ccf6d30fe81a72962eafa</t>
        </is>
      </c>
      <c r="BH892" s="24" t="inlineStr">
        <is>
          <t>2026-09-02T16:07:11.445482Z</t>
        </is>
      </c>
      <c r="BI892" s="24" t="inlineStr">
        <is>
          <t>["same_event","same_team_same_day","same_league_same_day"]</t>
        </is>
      </c>
      <c r="BJ892" s="25" t="n"/>
      <c r="BK892" s="26" t="n">
        <v>-4900</v>
      </c>
      <c r="BL892" s="27" t="n">
        <v>1.020408</v>
      </c>
      <c r="BM892" s="28" t="n">
        <v>0.98</v>
      </c>
      <c r="BN892" s="28" t="n"/>
      <c r="BO892" s="28" t="n"/>
      <c r="BP892" s="25" t="n"/>
      <c r="BQ892" s="27" t="n">
        <v>1.020408</v>
      </c>
      <c r="BR892" s="28" t="n">
        <v>0.98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inlineStr">
        <is>
          <t>ba75a759d3a5282dcbfa8ff40c2bd46b12ee5da2812233b0ef0af3dce3ab5fdc</t>
        </is>
      </c>
      <c r="DE892" s="24" t="inlineStr">
        <is>
          <t>/Users/vincentc9002/model-prediction/data/odds/tennis/2026-09-02/polymarket_snapshots.jsonl</t>
        </is>
      </c>
      <c r="DF892" s="24" t="inlineStr">
        <is>
          <t>601433:2026-09-02T16:07:11.445482Z</t>
        </is>
      </c>
      <c r="DG892" s="24" t="n"/>
      <c r="DH892" s="24" t="n"/>
      <c r="DI892" s="24" t="n"/>
      <c r="DJ892" s="24" t="inlineStr">
        <is>
          <t>0.98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8aaeffc6f97a4db4</t>
        </is>
      </c>
      <c r="B893" s="24" t="inlineStr">
        <is>
          <t>2026-09-02T16:08:38.156783Z</t>
        </is>
      </c>
      <c r="C893" s="24" t="inlineStr">
        <is>
          <t>2026-09-03T04:00Z</t>
        </is>
      </c>
      <c r="D893" s="24" t="inlineStr">
        <is>
          <t>189-2026:182532</t>
        </is>
      </c>
      <c r="E893" s="24" t="inlineStr">
        <is>
          <t>TENNIS</t>
        </is>
      </c>
      <c r="F893" s="24" t="inlineStr">
        <is>
          <t>Marie Bouzkova</t>
        </is>
      </c>
      <c r="G893" s="24" t="inlineStr">
        <is>
          <t>Harriet Dart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-525</v>
      </c>
      <c r="M893" s="27" t="n">
        <v>1.190476</v>
      </c>
      <c r="N893" s="28" t="n">
        <v>0.84</v>
      </c>
      <c r="O893" s="28" t="n">
        <v>0.7157</v>
      </c>
      <c r="P893" s="28" t="n">
        <v>0.05</v>
      </c>
      <c r="Q893" s="28" t="n">
        <v>-0.1243</v>
      </c>
      <c r="R893" s="26" t="n">
        <v>0</v>
      </c>
      <c r="S893" s="29" t="n">
        <v>1</v>
      </c>
      <c r="T893" s="24" t="inlineStr">
        <is>
          <t>tennis-surface-elo-v1</t>
        </is>
      </c>
      <c r="U893" s="24" t="inlineStr">
        <is>
          <t>settled</t>
        </is>
      </c>
      <c r="V893" s="24" t="inlineStr">
        <is>
          <t>win</t>
        </is>
      </c>
      <c r="W893" s="26" t="n">
        <v>1</v>
      </c>
      <c r="X893" s="26" t="n">
        <v>0</v>
      </c>
      <c r="Y893" s="25" t="n"/>
      <c r="Z893" s="26" t="n">
        <v>-525</v>
      </c>
      <c r="AA893" s="28" t="n">
        <v>0.84</v>
      </c>
      <c r="AB893" s="28" t="n">
        <v>0</v>
      </c>
      <c r="AC893" s="30" t="n">
        <v>0.1905</v>
      </c>
      <c r="AD893" s="24" t="inlineStr">
        <is>
          <t>2026-09-04T04:32:04.154916Z</t>
        </is>
      </c>
      <c r="AE893" s="31" t="inlineStr">
        <is>
          <t>Surface-blended Elo on Hard: Marie Bouzkova p=0.716 vs Harriet Dart. Executable ask 0.8400 (aec-wta-hardar-marbou-2026-09-02).</t>
        </is>
      </c>
      <c r="AF893" s="31" t="inlineStr">
        <is>
          <t>Surface-blended Elo model; singles only, WTA+ATP market coverage, not yet locked-holdout qualified -- promoted by explicit operator directive, not genuine walk-forward validation.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paper_call</t>
        </is>
      </c>
      <c r="AL893" s="26" t="n">
        <v>4</v>
      </c>
      <c r="AM893" s="24" t="inlineStr">
        <is>
          <t>RESEARCH_OBSERVATION</t>
        </is>
      </c>
      <c r="AN893" s="24" t="inlineStr">
        <is>
          <t>CALL</t>
        </is>
      </c>
      <c r="AO893" s="24" t="inlineStr">
        <is>
          <t>PAPER_CALL_LOW_EDGE</t>
        </is>
      </c>
      <c r="AP893" s="24" t="inlineStr">
        <is>
          <t>Marie Bouzkova</t>
        </is>
      </c>
      <c r="AQ893" s="24" t="inlineStr">
        <is>
          <t>Marie Bouzkova</t>
        </is>
      </c>
      <c r="AR893" s="24" t="inlineStr">
        <is>
          <t>Marie Bouzkova</t>
        </is>
      </c>
      <c r="AS893" s="24" t="inlineStr">
        <is>
          <t>Harriet Dart</t>
        </is>
      </c>
      <c r="AT893" s="24" t="inlineStr">
        <is>
          <t>Harriet Dart</t>
        </is>
      </c>
      <c r="AU893" s="24" t="inlineStr">
        <is>
          <t>Harriet Dart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0ce66f49b381187fe6255a40ca2fdbfc155d5e36125ccf6d30fe81a72962eafa</t>
        </is>
      </c>
      <c r="BB893" s="24" t="inlineStr">
        <is>
          <t>surface_blended_elo</t>
        </is>
      </c>
      <c r="BC893" s="24" t="inlineStr">
        <is>
          <t>tennis-surface-elo-v1</t>
        </is>
      </c>
      <c r="BD893" s="24" t="inlineStr">
        <is>
          <t>0ce66f49b381187fe6255a40ca2fdbfc155d5e36125ccf6d30fe81a72962eafa</t>
        </is>
      </c>
      <c r="BE893" s="24" t="inlineStr">
        <is>
          <t>tennis-surface-elo-v1</t>
        </is>
      </c>
      <c r="BF893" s="24" t="inlineStr">
        <is>
          <t>1</t>
        </is>
      </c>
      <c r="BG893" s="24" t="inlineStr">
        <is>
          <t>0ce66f49b381187fe6255a40ca2fdbfc155d5e36125ccf6d30fe81a72962eafa</t>
        </is>
      </c>
      <c r="BH893" s="24" t="inlineStr">
        <is>
          <t>2026-09-02T16:07:11.015583Z</t>
        </is>
      </c>
      <c r="BI893" s="24" t="inlineStr">
        <is>
          <t>["same_event","same_team_same_day","same_league_same_day"]</t>
        </is>
      </c>
      <c r="BJ893" s="25" t="n"/>
      <c r="BK893" s="26" t="n">
        <v>-525</v>
      </c>
      <c r="BL893" s="27" t="n">
        <v>1.190476</v>
      </c>
      <c r="BM893" s="28" t="n">
        <v>0.84</v>
      </c>
      <c r="BN893" s="28" t="n"/>
      <c r="BO893" s="28" t="n"/>
      <c r="BP893" s="25" t="n"/>
      <c r="BQ893" s="27" t="n">
        <v>1.190476</v>
      </c>
      <c r="BR893" s="28" t="n">
        <v>0.84</v>
      </c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False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inlineStr">
        <is>
          <t>e22f54d945d964f75f12f76c69e789830fba555bc680c1a2809b80066f080a88</t>
        </is>
      </c>
      <c r="DE893" s="24" t="inlineStr">
        <is>
          <t>/Users/vincentc9002/model-prediction/data/odds/tennis/2026-09-02/polymarket_snapshots.jsonl</t>
        </is>
      </c>
      <c r="DF893" s="24" t="inlineStr">
        <is>
          <t>597259:2026-09-02T16:07:11.015583Z</t>
        </is>
      </c>
      <c r="DG893" s="24" t="n"/>
      <c r="DH893" s="24" t="n"/>
      <c r="DI893" s="24" t="n"/>
      <c r="DJ893" s="24" t="inlineStr">
        <is>
          <t>0.84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13d99e5c71ed4be2</t>
        </is>
      </c>
      <c r="B894" s="24" t="inlineStr">
        <is>
          <t>2026-09-02T16:08:38.156783Z</t>
        </is>
      </c>
      <c r="C894" s="24" t="inlineStr">
        <is>
          <t>2026-09-03T04:00Z</t>
        </is>
      </c>
      <c r="D894" s="24" t="inlineStr">
        <is>
          <t>189-2026:182559</t>
        </is>
      </c>
      <c r="E894" s="24" t="inlineStr">
        <is>
          <t>TENNIS</t>
        </is>
      </c>
      <c r="F894" s="24" t="inlineStr">
        <is>
          <t>Himeno Sakatsume</t>
        </is>
      </c>
      <c r="G894" s="24" t="inlineStr">
        <is>
          <t>Cristina Bucsa</t>
        </is>
      </c>
      <c r="H894" s="24" t="inlineStr">
        <is>
          <t>moneyline</t>
        </is>
      </c>
      <c r="I894" s="24" t="inlineStr">
        <is>
          <t>home</t>
        </is>
      </c>
      <c r="J894" s="25" t="n"/>
      <c r="K894" s="24" t="inlineStr">
        <is>
          <t>polymarket_us</t>
        </is>
      </c>
      <c r="L894" s="26" t="n">
        <v>-203</v>
      </c>
      <c r="M894" s="27" t="n">
        <v>1.492611</v>
      </c>
      <c r="N894" s="28" t="n">
        <v>0.669967</v>
      </c>
      <c r="O894" s="28" t="n">
        <v>0.5683</v>
      </c>
      <c r="P894" s="28" t="n">
        <v>0.05</v>
      </c>
      <c r="Q894" s="28" t="n">
        <v>-0.101667</v>
      </c>
      <c r="R894" s="26" t="n">
        <v>0</v>
      </c>
      <c r="S894" s="29" t="n">
        <v>1</v>
      </c>
      <c r="T894" s="24" t="inlineStr">
        <is>
          <t>tennis-surface-elo-v1</t>
        </is>
      </c>
      <c r="U894" s="24" t="inlineStr">
        <is>
          <t>settled</t>
        </is>
      </c>
      <c r="V894" s="24" t="inlineStr">
        <is>
          <t>win</t>
        </is>
      </c>
      <c r="W894" s="26" t="n">
        <v>0</v>
      </c>
      <c r="X894" s="26" t="n">
        <v>1</v>
      </c>
      <c r="Y894" s="25" t="n"/>
      <c r="Z894" s="26" t="n">
        <v>-203</v>
      </c>
      <c r="AA894" s="28" t="n">
        <v>0.67</v>
      </c>
      <c r="AB894" s="28" t="n">
        <v>3.3e-05</v>
      </c>
      <c r="AC894" s="30" t="n">
        <v>0.4926</v>
      </c>
      <c r="AD894" s="24" t="inlineStr">
        <is>
          <t>2026-09-04T04:32:05.165199Z</t>
        </is>
      </c>
      <c r="AE894" s="31" t="inlineStr">
        <is>
          <t>Surface-blended Elo on Hard: Himeno Sakatsume p=0.432 vs Cristina Bucsa. Executable ask 0.6700 (aec-wta-cribuc-himsak-2026-09-01).</t>
        </is>
      </c>
      <c r="AF894" s="31" t="inlineStr">
        <is>
          <t>Surface-blended Elo model; singles only, WTA+ATP market coverage, not yet locked-holdout qualified -- promoted by explicit operator directive, not genuine walk-forward validation.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PAPER_CALL_LOW_EDGE</t>
        </is>
      </c>
      <c r="AP894" s="24" t="inlineStr">
        <is>
          <t>Himeno Sakatsume</t>
        </is>
      </c>
      <c r="AQ894" s="24" t="inlineStr">
        <is>
          <t>Himeno Sakatsume</t>
        </is>
      </c>
      <c r="AR894" s="24" t="inlineStr">
        <is>
          <t>Himeno Sakatsume</t>
        </is>
      </c>
      <c r="AS894" s="24" t="inlineStr">
        <is>
          <t>Cristina Bucsa</t>
        </is>
      </c>
      <c r="AT894" s="24" t="inlineStr">
        <is>
          <t>Cristina Bucsa</t>
        </is>
      </c>
      <c r="AU894" s="24" t="inlineStr">
        <is>
          <t>Cristina Bucsa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0ce66f49b381187fe6255a40ca2fdbfc155d5e36125ccf6d30fe81a72962eafa</t>
        </is>
      </c>
      <c r="BB894" s="24" t="inlineStr">
        <is>
          <t>surface_blended_elo</t>
        </is>
      </c>
      <c r="BC894" s="24" t="inlineStr">
        <is>
          <t>tennis-surface-elo-v1</t>
        </is>
      </c>
      <c r="BD894" s="24" t="inlineStr">
        <is>
          <t>0ce66f49b381187fe6255a40ca2fdbfc155d5e36125ccf6d30fe81a72962eafa</t>
        </is>
      </c>
      <c r="BE894" s="24" t="inlineStr">
        <is>
          <t>tennis-surface-elo-v1</t>
        </is>
      </c>
      <c r="BF894" s="24" t="inlineStr">
        <is>
          <t>1</t>
        </is>
      </c>
      <c r="BG894" s="24" t="inlineStr">
        <is>
          <t>0ce66f49b381187fe6255a40ca2fdbfc155d5e36125ccf6d30fe81a72962eafa</t>
        </is>
      </c>
      <c r="BH894" s="24" t="inlineStr">
        <is>
          <t>2026-09-02T16:07:10.935150Z</t>
        </is>
      </c>
      <c r="BI894" s="24" t="inlineStr">
        <is>
          <t>["same_event","same_team_same_day","same_league_same_day"]</t>
        </is>
      </c>
      <c r="BJ894" s="25" t="n"/>
      <c r="BK894" s="26" t="n">
        <v>-203</v>
      </c>
      <c r="BL894" s="27" t="n">
        <v>1.492611</v>
      </c>
      <c r="BM894" s="28" t="n">
        <v>0.669967</v>
      </c>
      <c r="BN894" s="28" t="n"/>
      <c r="BO894" s="28" t="n"/>
      <c r="BP894" s="25" t="n"/>
      <c r="BQ894" s="27" t="n">
        <v>1.492611</v>
      </c>
      <c r="BR894" s="28" t="n">
        <v>0.67</v>
      </c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False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inlineStr">
        <is>
          <t>dd9afc7f2cc14d2f2c2649a6a623b35852c0e17799ab2f6b128134fc07a85e31</t>
        </is>
      </c>
      <c r="DE894" s="24" t="inlineStr">
        <is>
          <t>/Users/vincentc9002/model-prediction/data/odds/tennis/2026-09-02/polymarket_snapshots.jsonl</t>
        </is>
      </c>
      <c r="DF894" s="24" t="inlineStr">
        <is>
          <t>597240:2026-09-02T16:07:10.935150Z</t>
        </is>
      </c>
      <c r="DG894" s="24" t="n"/>
      <c r="DH894" s="24" t="n"/>
      <c r="DI894" s="24" t="n"/>
      <c r="DJ894" s="24" t="inlineStr">
        <is>
          <t>0.669967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637207436c804895</t>
        </is>
      </c>
      <c r="B895" s="24" t="inlineStr">
        <is>
          <t>2026-09-02T16:08:38.156783Z</t>
        </is>
      </c>
      <c r="C895" s="24" t="inlineStr">
        <is>
          <t>2026-09-03T04:00Z</t>
        </is>
      </c>
      <c r="D895" s="24" t="inlineStr">
        <is>
          <t>189-2026:182568</t>
        </is>
      </c>
      <c r="E895" s="24" t="inlineStr">
        <is>
          <t>TENNIS</t>
        </is>
      </c>
      <c r="F895" s="24" t="inlineStr">
        <is>
          <t>Katerina Siniakova</t>
        </is>
      </c>
      <c r="G895" s="24" t="inlineStr">
        <is>
          <t>Naomi Osaka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-355</v>
      </c>
      <c r="M895" s="27" t="n">
        <v>1.28169</v>
      </c>
      <c r="N895" s="28" t="n">
        <v>0.78022</v>
      </c>
      <c r="O895" s="28" t="n">
        <v>0.7246</v>
      </c>
      <c r="P895" s="28" t="n">
        <v>0.05</v>
      </c>
      <c r="Q895" s="28" t="n">
        <v>-0.05562</v>
      </c>
      <c r="R895" s="26" t="n">
        <v>0</v>
      </c>
      <c r="S895" s="29" t="n">
        <v>1</v>
      </c>
      <c r="T895" s="24" t="inlineStr">
        <is>
          <t>tennis-surface-elo-v1</t>
        </is>
      </c>
      <c r="U895" s="24" t="inlineStr">
        <is>
          <t>settled</t>
        </is>
      </c>
      <c r="V895" s="24" t="inlineStr">
        <is>
          <t>win</t>
        </is>
      </c>
      <c r="W895" s="26" t="n">
        <v>0</v>
      </c>
      <c r="X895" s="26" t="n">
        <v>1</v>
      </c>
      <c r="Y895" s="25" t="n"/>
      <c r="Z895" s="26" t="n">
        <v>-355</v>
      </c>
      <c r="AA895" s="28" t="n">
        <v>0.78</v>
      </c>
      <c r="AB895" s="28" t="n">
        <v>-0.00022</v>
      </c>
      <c r="AC895" s="30" t="n">
        <v>0.2817</v>
      </c>
      <c r="AD895" s="24" t="inlineStr">
        <is>
          <t>2026-09-04T04:32:05.996944Z</t>
        </is>
      </c>
      <c r="AE895" s="31" t="inlineStr">
        <is>
          <t>Surface-blended Elo on Hard: Katerina Siniakova p=0.275 vs Naomi Osaka. Executable ask 0.7800 (aec-wta-naoosa-katsin-2026-09-02).</t>
        </is>
      </c>
      <c r="AF895" s="31" t="inlineStr">
        <is>
          <t>Surface-blended Elo model; singles only, WTA+ATP market coverage, not yet locked-holdout qualified -- promoted by explicit operator directive, not genuine walk-forward validation.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PAPER_CALL_LOW_EDGE</t>
        </is>
      </c>
      <c r="AP895" s="24" t="inlineStr">
        <is>
          <t>Katerina Siniakova</t>
        </is>
      </c>
      <c r="AQ895" s="24" t="inlineStr">
        <is>
          <t>Katerina Siniakova</t>
        </is>
      </c>
      <c r="AR895" s="24" t="inlineStr">
        <is>
          <t>Katerina Siniakova</t>
        </is>
      </c>
      <c r="AS895" s="24" t="inlineStr">
        <is>
          <t>Naomi Osaka</t>
        </is>
      </c>
      <c r="AT895" s="24" t="inlineStr">
        <is>
          <t>Naomi Osaka</t>
        </is>
      </c>
      <c r="AU895" s="24" t="inlineStr">
        <is>
          <t>Naomi Osaka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0ce66f49b381187fe6255a40ca2fdbfc155d5e36125ccf6d30fe81a72962eafa</t>
        </is>
      </c>
      <c r="BB895" s="24" t="inlineStr">
        <is>
          <t>surface_blended_elo</t>
        </is>
      </c>
      <c r="BC895" s="24" t="inlineStr">
        <is>
          <t>tennis-surface-elo-v1</t>
        </is>
      </c>
      <c r="BD895" s="24" t="inlineStr">
        <is>
          <t>0ce66f49b381187fe6255a40ca2fdbfc155d5e36125ccf6d30fe81a72962eafa</t>
        </is>
      </c>
      <c r="BE895" s="24" t="inlineStr">
        <is>
          <t>tennis-surface-elo-v1</t>
        </is>
      </c>
      <c r="BF895" s="24" t="inlineStr">
        <is>
          <t>1</t>
        </is>
      </c>
      <c r="BG895" s="24" t="inlineStr">
        <is>
          <t>0ce66f49b381187fe6255a40ca2fdbfc155d5e36125ccf6d30fe81a72962eafa</t>
        </is>
      </c>
      <c r="BH895" s="24" t="inlineStr">
        <is>
          <t>2026-09-02T16:07:11.491605Z</t>
        </is>
      </c>
      <c r="BI895" s="24" t="inlineStr">
        <is>
          <t>["same_event","same_team_same_day","same_league_same_day"]</t>
        </is>
      </c>
      <c r="BJ895" s="25" t="n"/>
      <c r="BK895" s="26" t="n">
        <v>-355</v>
      </c>
      <c r="BL895" s="27" t="n">
        <v>1.28169</v>
      </c>
      <c r="BM895" s="28" t="n">
        <v>0.78022</v>
      </c>
      <c r="BN895" s="28" t="n"/>
      <c r="BO895" s="28" t="n"/>
      <c r="BP895" s="25" t="n"/>
      <c r="BQ895" s="27" t="n">
        <v>1.28169</v>
      </c>
      <c r="BR895" s="28" t="n">
        <v>0.78</v>
      </c>
      <c r="BS895" s="28" t="n"/>
      <c r="BT895" s="28" t="n"/>
      <c r="BU895" s="25" t="n"/>
      <c r="BV895" s="29" t="n"/>
      <c r="BW895" s="24" t="n"/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False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inlineStr">
        <is>
          <t>cd0f9dae58cda2da566132d933d1bec973b62ff9748373a67b7815043df0c5b8</t>
        </is>
      </c>
      <c r="DE895" s="24" t="inlineStr">
        <is>
          <t>/Users/vincentc9002/model-prediction/data/odds/tennis/2026-09-02/polymarket_snapshots.jsonl</t>
        </is>
      </c>
      <c r="DF895" s="24" t="inlineStr">
        <is>
          <t>602715:2026-09-02T16:07:11.491605Z</t>
        </is>
      </c>
      <c r="DG895" s="24" t="n"/>
      <c r="DH895" s="24" t="n"/>
      <c r="DI895" s="24" t="n"/>
      <c r="DJ895" s="24" t="inlineStr">
        <is>
          <t>0.78022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65f2e1873edb4cab</t>
        </is>
      </c>
      <c r="B896" s="24" t="inlineStr">
        <is>
          <t>2026-09-02T16:08:38.156783Z</t>
        </is>
      </c>
      <c r="C896" s="24" t="inlineStr">
        <is>
          <t>2026-09-03T04:00Z</t>
        </is>
      </c>
      <c r="D896" s="24" t="inlineStr">
        <is>
          <t>189-2026:182579</t>
        </is>
      </c>
      <c r="E896" s="24" t="inlineStr">
        <is>
          <t>TENNIS</t>
        </is>
      </c>
      <c r="F896" s="24" t="inlineStr">
        <is>
          <t>Amanda Anisimova</t>
        </is>
      </c>
      <c r="G896" s="24" t="inlineStr">
        <is>
          <t>Lilli Tagger</t>
        </is>
      </c>
      <c r="H896" s="24" t="inlineStr">
        <is>
          <t>moneyline</t>
        </is>
      </c>
      <c r="I896" s="24" t="inlineStr">
        <is>
          <t>away</t>
        </is>
      </c>
      <c r="J896" s="25" t="n"/>
      <c r="K896" s="24" t="inlineStr">
        <is>
          <t>polymarket_us</t>
        </is>
      </c>
      <c r="L896" s="26" t="n">
        <v>-456</v>
      </c>
      <c r="M896" s="27" t="n">
        <v>1.219298</v>
      </c>
      <c r="N896" s="28" t="n">
        <v>0.820144</v>
      </c>
      <c r="O896" s="28" t="n">
        <v>0.7416</v>
      </c>
      <c r="P896" s="28" t="n">
        <v>0.05</v>
      </c>
      <c r="Q896" s="28" t="n">
        <v>-0.078544</v>
      </c>
      <c r="R896" s="26" t="n">
        <v>0</v>
      </c>
      <c r="S896" s="29" t="n">
        <v>1</v>
      </c>
      <c r="T896" s="24" t="inlineStr">
        <is>
          <t>tennis-surface-elo-v1</t>
        </is>
      </c>
      <c r="U896" s="24" t="inlineStr">
        <is>
          <t>settled</t>
        </is>
      </c>
      <c r="V896" s="24" t="inlineStr">
        <is>
          <t>win</t>
        </is>
      </c>
      <c r="W896" s="26" t="n">
        <v>1</v>
      </c>
      <c r="X896" s="26" t="n">
        <v>0</v>
      </c>
      <c r="Y896" s="25" t="n"/>
      <c r="Z896" s="26" t="n">
        <v>-456</v>
      </c>
      <c r="AA896" s="28" t="n">
        <v>0.82</v>
      </c>
      <c r="AB896" s="28" t="n">
        <v>-0.000144</v>
      </c>
      <c r="AC896" s="30" t="n">
        <v>0.2193</v>
      </c>
      <c r="AD896" s="24" t="inlineStr">
        <is>
          <t>2026-09-04T04:32:06.815861Z</t>
        </is>
      </c>
      <c r="AE896" s="31" t="inlineStr">
        <is>
          <t>Surface-blended Elo on Hard: Amanda Anisimova p=0.742 vs Lilli Tagger. Executable ask 0.8200 (aec-wta-liltag-amaani-2026-09-02).</t>
        </is>
      </c>
      <c r="AF896" s="31" t="inlineStr">
        <is>
          <t>Surface-blended Elo model; singles only, WTA+ATP market coverage, not yet locked-holdout qualified -- promoted by explicit operator directive, not genuine walk-forward validation.</t>
        </is>
      </c>
      <c r="AG896" s="24" t="inlineStr">
        <is>
          <t>not_applicable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PAPER_CALL_LOW_EDGE</t>
        </is>
      </c>
      <c r="AP896" s="24" t="inlineStr">
        <is>
          <t>Amanda Anisimova</t>
        </is>
      </c>
      <c r="AQ896" s="24" t="inlineStr">
        <is>
          <t>Amanda Anisimova</t>
        </is>
      </c>
      <c r="AR896" s="24" t="inlineStr">
        <is>
          <t>Amanda Anisimova</t>
        </is>
      </c>
      <c r="AS896" s="24" t="inlineStr">
        <is>
          <t>Lilli Tagger</t>
        </is>
      </c>
      <c r="AT896" s="24" t="inlineStr">
        <is>
          <t>Lilli Tagger</t>
        </is>
      </c>
      <c r="AU896" s="24" t="inlineStr">
        <is>
          <t>Lilli Tagger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0ce66f49b381187fe6255a40ca2fdbfc155d5e36125ccf6d30fe81a72962eafa</t>
        </is>
      </c>
      <c r="BB896" s="24" t="inlineStr">
        <is>
          <t>surface_blended_elo</t>
        </is>
      </c>
      <c r="BC896" s="24" t="inlineStr">
        <is>
          <t>tennis-surface-elo-v1</t>
        </is>
      </c>
      <c r="BD896" s="24" t="inlineStr">
        <is>
          <t>0ce66f49b381187fe6255a40ca2fdbfc155d5e36125ccf6d30fe81a72962eafa</t>
        </is>
      </c>
      <c r="BE896" s="24" t="inlineStr">
        <is>
          <t>tennis-surface-elo-v1</t>
        </is>
      </c>
      <c r="BF896" s="24" t="inlineStr">
        <is>
          <t>1</t>
        </is>
      </c>
      <c r="BG896" s="24" t="inlineStr">
        <is>
          <t>0ce66f49b381187fe6255a40ca2fdbfc155d5e36125ccf6d30fe81a72962eafa</t>
        </is>
      </c>
      <c r="BH896" s="24" t="inlineStr">
        <is>
          <t>2026-09-02T16:07:11.188329Z</t>
        </is>
      </c>
      <c r="BI896" s="24" t="inlineStr">
        <is>
          <t>["same_event","same_team_same_day","same_league_same_day"]</t>
        </is>
      </c>
      <c r="BJ896" s="25" t="n"/>
      <c r="BK896" s="26" t="n">
        <v>-456</v>
      </c>
      <c r="BL896" s="27" t="n">
        <v>1.219298</v>
      </c>
      <c r="BM896" s="28" t="n">
        <v>0.820144</v>
      </c>
      <c r="BN896" s="28" t="n"/>
      <c r="BO896" s="28" t="n"/>
      <c r="BP896" s="25" t="n"/>
      <c r="BQ896" s="27" t="n">
        <v>1.219298</v>
      </c>
      <c r="BR896" s="28" t="n">
        <v>0.82</v>
      </c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False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inlineStr">
        <is>
          <t>1284285a0ae021685bcfde93b2b2a55a71a977bbe4245d40c5d96b649005c8d8</t>
        </is>
      </c>
      <c r="DE896" s="24" t="inlineStr">
        <is>
          <t>/Users/vincentc9002/model-prediction/data/odds/tennis/2026-09-02/polymarket_snapshots.jsonl</t>
        </is>
      </c>
      <c r="DF896" s="24" t="inlineStr">
        <is>
          <t>598515:2026-09-02T16:07:11.188329Z</t>
        </is>
      </c>
      <c r="DG896" s="24" t="n"/>
      <c r="DH896" s="24" t="n"/>
      <c r="DI896" s="24" t="n"/>
      <c r="DJ896" s="24" t="inlineStr">
        <is>
          <t>0.820144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5777eaababc64f7d</t>
        </is>
      </c>
      <c r="B897" s="24" t="inlineStr">
        <is>
          <t>2026-09-02T16:08:38.156783Z</t>
        </is>
      </c>
      <c r="C897" s="24" t="inlineStr">
        <is>
          <t>2026-09-02T16:30Z</t>
        </is>
      </c>
      <c r="D897" s="24" t="inlineStr">
        <is>
          <t>189-2026:182714</t>
        </is>
      </c>
      <c r="E897" s="24" t="inlineStr">
        <is>
          <t>TENNIS</t>
        </is>
      </c>
      <c r="F897" s="24" t="inlineStr">
        <is>
          <t>Jacob Fearnley</t>
        </is>
      </c>
      <c r="G897" s="24" t="inlineStr">
        <is>
          <t>Tomas Martin Etcheverry</t>
        </is>
      </c>
      <c r="H897" s="24" t="inlineStr">
        <is>
          <t>moneyline</t>
        </is>
      </c>
      <c r="I897" s="24" t="inlineStr">
        <is>
          <t>home</t>
        </is>
      </c>
      <c r="J897" s="25" t="n"/>
      <c r="K897" s="24" t="inlineStr">
        <is>
          <t>polymarket_us</t>
        </is>
      </c>
      <c r="L897" s="26" t="n">
        <v>-133</v>
      </c>
      <c r="M897" s="27" t="n">
        <v>1.75188</v>
      </c>
      <c r="N897" s="28" t="n">
        <v>0.570815</v>
      </c>
      <c r="O897" s="28" t="n">
        <v>0.627</v>
      </c>
      <c r="P897" s="28" t="n">
        <v>0.05</v>
      </c>
      <c r="Q897" s="28" t="n">
        <v>0.056185</v>
      </c>
      <c r="R897" s="26" t="n">
        <v>48</v>
      </c>
      <c r="S897" s="29" t="n">
        <v>1</v>
      </c>
      <c r="T897" s="24" t="inlineStr">
        <is>
          <t>tennis-surface-elo-v1</t>
        </is>
      </c>
      <c r="U897" s="24" t="inlineStr">
        <is>
          <t>settled</t>
        </is>
      </c>
      <c r="V897" s="24" t="inlineStr">
        <is>
          <t>win</t>
        </is>
      </c>
      <c r="W897" s="26" t="n">
        <v>0</v>
      </c>
      <c r="X897" s="26" t="n">
        <v>1</v>
      </c>
      <c r="Y897" s="25" t="n"/>
      <c r="Z897" s="26" t="n"/>
      <c r="AA897" s="28" t="n"/>
      <c r="AB897" s="28" t="n"/>
      <c r="AC897" s="30" t="n">
        <v>0.7519</v>
      </c>
      <c r="AD897" s="24" t="inlineStr">
        <is>
          <t>2026-09-03T04:32:16.471544Z</t>
        </is>
      </c>
      <c r="AE897" s="31" t="inlineStr">
        <is>
          <t>Surface-blended Elo on Hard: Jacob Fearnley p=0.373 vs Tomas Martin Etcheverry. Executable ask 0.5700 (aec-atp-tometc-jacfea-2026-09-02).</t>
        </is>
      </c>
      <c r="AF897" s="31" t="inlineStr">
        <is>
          <t>Surface-blended Elo model; singles only, WTA+ATP market coverage, not yet locked-holdout qualified -- promoted by explicit operator directive, not genuine walk-forward validation.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model_qualified</t>
        </is>
      </c>
      <c r="AL897" s="26" t="n">
        <v>4</v>
      </c>
      <c r="AM897" s="24" t="inlineStr">
        <is>
          <t>QUALIFIED_SHADOW_CALL</t>
        </is>
      </c>
      <c r="AN897" s="24" t="inlineStr">
        <is>
          <t>CALL</t>
        </is>
      </c>
      <c r="AO897" s="24" t="inlineStr">
        <is>
          <t>QUALIFIED</t>
        </is>
      </c>
      <c r="AP897" s="24" t="inlineStr">
        <is>
          <t>Jacob Fearnley</t>
        </is>
      </c>
      <c r="AQ897" s="24" t="inlineStr">
        <is>
          <t>Jacob Fearnley</t>
        </is>
      </c>
      <c r="AR897" s="24" t="inlineStr">
        <is>
          <t>Jacob Fearnley</t>
        </is>
      </c>
      <c r="AS897" s="24" t="inlineStr">
        <is>
          <t>Tomas Martin Etcheverry</t>
        </is>
      </c>
      <c r="AT897" s="24" t="inlineStr">
        <is>
          <t>Tomas Martin Etcheverry</t>
        </is>
      </c>
      <c r="AU897" s="24" t="inlineStr">
        <is>
          <t>Tomas Martin Etcheverry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0ce66f49b381187fe6255a40ca2fdbfc155d5e36125ccf6d30fe81a72962eafa</t>
        </is>
      </c>
      <c r="BB897" s="24" t="inlineStr">
        <is>
          <t>surface_blended_elo</t>
        </is>
      </c>
      <c r="BC897" s="24" t="inlineStr">
        <is>
          <t>tennis-surface-elo-v1</t>
        </is>
      </c>
      <c r="BD897" s="24" t="inlineStr">
        <is>
          <t>0ce66f49b381187fe6255a40ca2fdbfc155d5e36125ccf6d30fe81a72962eafa</t>
        </is>
      </c>
      <c r="BE897" s="24" t="inlineStr">
        <is>
          <t>tennis-surface-elo-v1</t>
        </is>
      </c>
      <c r="BF897" s="24" t="inlineStr">
        <is>
          <t>1</t>
        </is>
      </c>
      <c r="BG897" s="24" t="inlineStr">
        <is>
          <t>0ce66f49b381187fe6255a40ca2fdbfc155d5e36125ccf6d30fe81a72962eafa</t>
        </is>
      </c>
      <c r="BH897" s="24" t="inlineStr">
        <is>
          <t>2026-09-02T16:07:12.524534Z</t>
        </is>
      </c>
      <c r="BI897" s="24" t="inlineStr">
        <is>
          <t>["same_event","same_team_same_day","same_league_same_day"]</t>
        </is>
      </c>
      <c r="BJ897" s="25" t="n"/>
      <c r="BK897" s="26" t="n">
        <v>-133</v>
      </c>
      <c r="BL897" s="27" t="n">
        <v>1.75188</v>
      </c>
      <c r="BM897" s="28" t="n">
        <v>0.570815</v>
      </c>
      <c r="BN897" s="28" t="n"/>
      <c r="BO897" s="28" t="n"/>
      <c r="BP897" s="25" t="n"/>
      <c r="BQ897" s="27" t="n"/>
      <c r="BR897" s="28" t="n"/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inlineStr">
        <is>
          <t>e8f7d0904f8cc99a30a254f8a5d9ec5e35293ee087c21a5626c13d8b43a32277</t>
        </is>
      </c>
      <c r="DE897" s="24" t="inlineStr">
        <is>
          <t>/Users/vincentc9002/model-prediction/data/odds/tennis/2026-09-02/polymarket_snapshots.jsonl</t>
        </is>
      </c>
      <c r="DF897" s="24" t="inlineStr">
        <is>
          <t>600040:2026-09-02T16:07:12.524534Z</t>
        </is>
      </c>
      <c r="DG897" s="24" t="n"/>
      <c r="DH897" s="24" t="n"/>
      <c r="DI897" s="24" t="n"/>
      <c r="DJ897" s="24" t="inlineStr">
        <is>
          <t>0.570815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05525a5444024b53</t>
        </is>
      </c>
      <c r="B898" s="24" t="inlineStr">
        <is>
          <t>2026-09-02T16:08:38.156783Z</t>
        </is>
      </c>
      <c r="C898" s="24" t="inlineStr">
        <is>
          <t>2026-09-02T17:00Z</t>
        </is>
      </c>
      <c r="D898" s="24" t="inlineStr">
        <is>
          <t>189-2026:182730</t>
        </is>
      </c>
      <c r="E898" s="24" t="inlineStr">
        <is>
          <t>TENNIS</t>
        </is>
      </c>
      <c r="F898" s="24" t="inlineStr">
        <is>
          <t>Hubert Hurkacz</t>
        </is>
      </c>
      <c r="G898" s="24" t="inlineStr">
        <is>
          <t>Ben Shelton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-233</v>
      </c>
      <c r="M898" s="27" t="n">
        <v>1.429185</v>
      </c>
      <c r="N898" s="28" t="n">
        <v>0.6997</v>
      </c>
      <c r="O898" s="28" t="n">
        <v>0.8131</v>
      </c>
      <c r="P898" s="28" t="n">
        <v>0.05</v>
      </c>
      <c r="Q898" s="28" t="n">
        <v>0.1134</v>
      </c>
      <c r="R898" s="26" t="n">
        <v>77</v>
      </c>
      <c r="S898" s="29" t="n">
        <v>1.5</v>
      </c>
      <c r="T898" s="24" t="inlineStr">
        <is>
          <t>tennis-surface-elo-v1</t>
        </is>
      </c>
      <c r="U898" s="24" t="inlineStr">
        <is>
          <t>settled</t>
        </is>
      </c>
      <c r="V898" s="24" t="inlineStr">
        <is>
          <t>win</t>
        </is>
      </c>
      <c r="W898" s="26" t="n">
        <v>0</v>
      </c>
      <c r="X898" s="26" t="n">
        <v>1</v>
      </c>
      <c r="Y898" s="25" t="n"/>
      <c r="Z898" s="26" t="n">
        <v>-233</v>
      </c>
      <c r="AA898" s="28" t="n">
        <v>0.7</v>
      </c>
      <c r="AB898" s="28" t="n">
        <v>0.0003</v>
      </c>
      <c r="AC898" s="30" t="n">
        <v>0.6438</v>
      </c>
      <c r="AD898" s="24" t="inlineStr">
        <is>
          <t>2026-09-03T04:32:16.861514Z</t>
        </is>
      </c>
      <c r="AE898" s="31" t="inlineStr">
        <is>
          <t>Surface-blended Elo on Hard: Hubert Hurkacz p=0.187 vs Ben Shelton. Executable ask 0.7000 (aec-atp-benshe-hubhur-2026-09-02).</t>
        </is>
      </c>
      <c r="AF898" s="31" t="inlineStr">
        <is>
          <t>Surface-blended Elo model; singles only, WTA+ATP market coverage, not yet locked-holdout qualified -- promoted by explicit operator directive, not genuine walk-forward validation.</t>
        </is>
      </c>
      <c r="AG898" s="24" t="inlineStr">
        <is>
          <t>not_applicable</t>
        </is>
      </c>
      <c r="AH898" s="24" t="n"/>
      <c r="AI898" s="31" t="n"/>
      <c r="AJ898" s="31" t="n"/>
      <c r="AK898" s="24" t="inlineStr">
        <is>
          <t>model_qualified</t>
        </is>
      </c>
      <c r="AL898" s="26" t="n">
        <v>4</v>
      </c>
      <c r="AM898" s="24" t="inlineStr">
        <is>
          <t>QUALIFIED_SHADOW_CALL</t>
        </is>
      </c>
      <c r="AN898" s="24" t="inlineStr">
        <is>
          <t>CALL</t>
        </is>
      </c>
      <c r="AO898" s="24" t="inlineStr">
        <is>
          <t>QUALIFIED</t>
        </is>
      </c>
      <c r="AP898" s="24" t="inlineStr">
        <is>
          <t>Hubert Hurkacz</t>
        </is>
      </c>
      <c r="AQ898" s="24" t="inlineStr">
        <is>
          <t>Hubert Hurkacz</t>
        </is>
      </c>
      <c r="AR898" s="24" t="inlineStr">
        <is>
          <t>Hubert Hurkacz</t>
        </is>
      </c>
      <c r="AS898" s="24" t="inlineStr">
        <is>
          <t>Ben Shelton</t>
        </is>
      </c>
      <c r="AT898" s="24" t="inlineStr">
        <is>
          <t>Ben Shelton</t>
        </is>
      </c>
      <c r="AU898" s="24" t="inlineStr">
        <is>
          <t>Ben Shelton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0ce66f49b381187fe6255a40ca2fdbfc155d5e36125ccf6d30fe81a72962eafa</t>
        </is>
      </c>
      <c r="BB898" s="24" t="inlineStr">
        <is>
          <t>surface_blended_elo</t>
        </is>
      </c>
      <c r="BC898" s="24" t="inlineStr">
        <is>
          <t>tennis-surface-elo-v1</t>
        </is>
      </c>
      <c r="BD898" s="24" t="inlineStr">
        <is>
          <t>0ce66f49b381187fe6255a40ca2fdbfc155d5e36125ccf6d30fe81a72962eafa</t>
        </is>
      </c>
      <c r="BE898" s="24" t="inlineStr">
        <is>
          <t>tennis-surface-elo-v1</t>
        </is>
      </c>
      <c r="BF898" s="24" t="inlineStr">
        <is>
          <t>1</t>
        </is>
      </c>
      <c r="BG898" s="24" t="inlineStr">
        <is>
          <t>0ce66f49b381187fe6255a40ca2fdbfc155d5e36125ccf6d30fe81a72962eafa</t>
        </is>
      </c>
      <c r="BH898" s="24" t="inlineStr">
        <is>
          <t>2026-09-02T16:07:12.750932Z</t>
        </is>
      </c>
      <c r="BI898" s="24" t="inlineStr">
        <is>
          <t>["same_event","same_team_same_day","same_league_same_day"]</t>
        </is>
      </c>
      <c r="BJ898" s="25" t="n"/>
      <c r="BK898" s="26" t="n">
        <v>-233</v>
      </c>
      <c r="BL898" s="27" t="n">
        <v>1.429185</v>
      </c>
      <c r="BM898" s="28" t="n">
        <v>0.6997</v>
      </c>
      <c r="BN898" s="28" t="n"/>
      <c r="BO898" s="28" t="n"/>
      <c r="BP898" s="25" t="n"/>
      <c r="BQ898" s="27" t="n">
        <v>1.429185</v>
      </c>
      <c r="BR898" s="28" t="n">
        <v>0.7</v>
      </c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inlineStr">
        <is>
          <t>a9b0b9221f44b954d8e89b7bef3555e75a2c2a7efd44dfe1ca65e2ccc93c86a9</t>
        </is>
      </c>
      <c r="DE898" s="24" t="inlineStr">
        <is>
          <t>/Users/vincentc9002/model-prediction/data/odds/tennis/2026-09-02/polymarket_snapshots.jsonl</t>
        </is>
      </c>
      <c r="DF898" s="24" t="inlineStr">
        <is>
          <t>601945:2026-09-02T16:07:12.750932Z</t>
        </is>
      </c>
      <c r="DG898" s="24" t="n"/>
      <c r="DH898" s="24" t="n"/>
      <c r="DI898" s="24" t="n"/>
      <c r="DJ898" s="24" t="inlineStr">
        <is>
          <t>0.6997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34216c19de2340c2</t>
        </is>
      </c>
      <c r="B899" s="24" t="inlineStr">
        <is>
          <t>2026-09-02T16:08:38.156783Z</t>
        </is>
      </c>
      <c r="C899" s="24" t="inlineStr">
        <is>
          <t>2026-09-02T18:30Z</t>
        </is>
      </c>
      <c r="D899" s="24" t="inlineStr">
        <is>
          <t>189-2026:182759</t>
        </is>
      </c>
      <c r="E899" s="24" t="inlineStr">
        <is>
          <t>TENNIS</t>
        </is>
      </c>
      <c r="F899" s="24" t="inlineStr">
        <is>
          <t>Wu Yibing</t>
        </is>
      </c>
      <c r="G899" s="24" t="inlineStr">
        <is>
          <t>James Duckworth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138</v>
      </c>
      <c r="M899" s="27" t="n">
        <v>2.38</v>
      </c>
      <c r="N899" s="28" t="n">
        <v>0.420168</v>
      </c>
      <c r="O899" s="28" t="n">
        <v>0.5033</v>
      </c>
      <c r="P899" s="28" t="n">
        <v>0.05</v>
      </c>
      <c r="Q899" s="28" t="n">
        <v>0.083132</v>
      </c>
      <c r="R899" s="26" t="n">
        <v>62</v>
      </c>
      <c r="S899" s="29" t="n">
        <v>1.25</v>
      </c>
      <c r="T899" s="24" t="inlineStr">
        <is>
          <t>tennis-surface-elo-v1</t>
        </is>
      </c>
      <c r="U899" s="24" t="inlineStr">
        <is>
          <t>settled</t>
        </is>
      </c>
      <c r="V899" s="24" t="inlineStr">
        <is>
          <t>loss</t>
        </is>
      </c>
      <c r="W899" s="26" t="n">
        <v>1</v>
      </c>
      <c r="X899" s="26" t="n">
        <v>0</v>
      </c>
      <c r="Y899" s="25" t="n"/>
      <c r="Z899" s="26" t="n">
        <v>138</v>
      </c>
      <c r="AA899" s="28" t="n">
        <v>0.42</v>
      </c>
      <c r="AB899" s="28" t="n">
        <v>-0.000168</v>
      </c>
      <c r="AC899" s="30" t="n">
        <v>-1.25</v>
      </c>
      <c r="AD899" s="24" t="inlineStr">
        <is>
          <t>2026-09-03T04:32:17.249298Z</t>
        </is>
      </c>
      <c r="AE899" s="31" t="inlineStr">
        <is>
          <t>Surface-blended Elo on Hard: Wu Yibing p=0.497 vs James Duckworth. Executable ask 0.4200 (aec-atp-jamduc-yibwu-2026-09-02).</t>
        </is>
      </c>
      <c r="AF899" s="31" t="inlineStr">
        <is>
          <t>Surface-blended Elo model; singles only, WTA+ATP market coverage, not yet locked-holdout qualified -- promoted by explicit operator directive, not genuine walk-forward validation.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PAPER_CALL_LOW_EDGE</t>
        </is>
      </c>
      <c r="AP899" s="24" t="inlineStr">
        <is>
          <t>Wu Yibing</t>
        </is>
      </c>
      <c r="AQ899" s="24" t="inlineStr">
        <is>
          <t>Wu Yibing</t>
        </is>
      </c>
      <c r="AR899" s="24" t="inlineStr">
        <is>
          <t>Wu Yibing</t>
        </is>
      </c>
      <c r="AS899" s="24" t="inlineStr">
        <is>
          <t>James Duckworth</t>
        </is>
      </c>
      <c r="AT899" s="24" t="inlineStr">
        <is>
          <t>James Duckworth</t>
        </is>
      </c>
      <c r="AU899" s="24" t="inlineStr">
        <is>
          <t>James Duckworth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0ce66f49b381187fe6255a40ca2fdbfc155d5e36125ccf6d30fe81a72962eafa</t>
        </is>
      </c>
      <c r="BB899" s="24" t="inlineStr">
        <is>
          <t>surface_blended_elo</t>
        </is>
      </c>
      <c r="BC899" s="24" t="inlineStr">
        <is>
          <t>tennis-surface-elo-v1</t>
        </is>
      </c>
      <c r="BD899" s="24" t="inlineStr">
        <is>
          <t>0ce66f49b381187fe6255a40ca2fdbfc155d5e36125ccf6d30fe81a72962eafa</t>
        </is>
      </c>
      <c r="BE899" s="24" t="inlineStr">
        <is>
          <t>tennis-surface-elo-v1</t>
        </is>
      </c>
      <c r="BF899" s="24" t="inlineStr">
        <is>
          <t>1</t>
        </is>
      </c>
      <c r="BG899" s="24" t="inlineStr">
        <is>
          <t>0ce66f49b381187fe6255a40ca2fdbfc155d5e36125ccf6d30fe81a72962eafa</t>
        </is>
      </c>
      <c r="BH899" s="24" t="inlineStr">
        <is>
          <t>2026-09-02T16:07:13.105943Z</t>
        </is>
      </c>
      <c r="BI899" s="24" t="inlineStr">
        <is>
          <t>["same_event","same_team_same_day","same_league_same_day"]</t>
        </is>
      </c>
      <c r="BJ899" s="25" t="n"/>
      <c r="BK899" s="26" t="n">
        <v>138</v>
      </c>
      <c r="BL899" s="27" t="n">
        <v>2.38</v>
      </c>
      <c r="BM899" s="28" t="n">
        <v>0.420168</v>
      </c>
      <c r="BN899" s="28" t="n"/>
      <c r="BO899" s="28" t="n"/>
      <c r="BP899" s="25" t="n"/>
      <c r="BQ899" s="27" t="n">
        <v>2.38</v>
      </c>
      <c r="BR899" s="28" t="n">
        <v>0.42</v>
      </c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inlineStr">
        <is>
          <t>aec46a43acc921d5e4614c71c058ddb94ef04d28eb6db33abc245ab960859dc2</t>
        </is>
      </c>
      <c r="DE899" s="24" t="inlineStr">
        <is>
          <t>/Users/vincentc9002/model-prediction/data/odds/tennis/2026-09-02/polymarket_snapshots.jsonl</t>
        </is>
      </c>
      <c r="DF899" s="24" t="inlineStr">
        <is>
          <t>600037:2026-09-02T16:07:13.105943Z</t>
        </is>
      </c>
      <c r="DG899" s="24" t="n"/>
      <c r="DH899" s="24" t="n"/>
      <c r="DI899" s="24" t="n"/>
      <c r="DJ899" s="24" t="inlineStr">
        <is>
          <t>0.420168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cc2854e3b958401b</t>
        </is>
      </c>
      <c r="B900" s="24" t="inlineStr">
        <is>
          <t>2026-09-02T16:08:38.156783Z</t>
        </is>
      </c>
      <c r="C900" s="24" t="inlineStr">
        <is>
          <t>2026-09-02T18:30Z</t>
        </is>
      </c>
      <c r="D900" s="24" t="inlineStr">
        <is>
          <t>189-2026:182773</t>
        </is>
      </c>
      <c r="E900" s="24" t="inlineStr">
        <is>
          <t>TENNIS</t>
        </is>
      </c>
      <c r="F900" s="24" t="inlineStr">
        <is>
          <t>Luca Van Assche</t>
        </is>
      </c>
      <c r="G900" s="24" t="inlineStr">
        <is>
          <t>Denis Shapovalov</t>
        </is>
      </c>
      <c r="H900" s="24" t="inlineStr">
        <is>
          <t>moneyline</t>
        </is>
      </c>
      <c r="I900" s="24" t="inlineStr">
        <is>
          <t>home</t>
        </is>
      </c>
      <c r="J900" s="25" t="n"/>
      <c r="K900" s="24" t="inlineStr">
        <is>
          <t>polymarket_us</t>
        </is>
      </c>
      <c r="L900" s="26" t="n">
        <v>-144</v>
      </c>
      <c r="M900" s="27" t="n">
        <v>1.694444</v>
      </c>
      <c r="N900" s="28" t="n">
        <v>0.590164</v>
      </c>
      <c r="O900" s="28" t="n">
        <v>0.6155</v>
      </c>
      <c r="P900" s="28" t="n">
        <v>0.05</v>
      </c>
      <c r="Q900" s="28" t="n">
        <v>0.025336</v>
      </c>
      <c r="R900" s="26" t="n">
        <v>33</v>
      </c>
      <c r="S900" s="29" t="n">
        <v>1</v>
      </c>
      <c r="T900" s="24" t="inlineStr">
        <is>
          <t>tennis-surface-elo-v1</t>
        </is>
      </c>
      <c r="U900" s="24" t="inlineStr">
        <is>
          <t>settled</t>
        </is>
      </c>
      <c r="V900" s="24" t="inlineStr">
        <is>
          <t>win</t>
        </is>
      </c>
      <c r="W900" s="26" t="n">
        <v>0</v>
      </c>
      <c r="X900" s="26" t="n">
        <v>1</v>
      </c>
      <c r="Y900" s="25" t="n"/>
      <c r="Z900" s="26" t="n">
        <v>-144</v>
      </c>
      <c r="AA900" s="28" t="n">
        <v>0.59</v>
      </c>
      <c r="AB900" s="28" t="n">
        <v>-0.000164</v>
      </c>
      <c r="AC900" s="30" t="n">
        <v>0.6944</v>
      </c>
      <c r="AD900" s="24" t="inlineStr">
        <is>
          <t>2026-09-03T04:32:17.640873Z</t>
        </is>
      </c>
      <c r="AE900" s="31" t="inlineStr">
        <is>
          <t>Surface-blended Elo on Hard: Luca Van Assche p=0.384 vs Denis Shapovalov. Executable ask 0.5900 (aec-atp-densha-lucass-2026-08-31).</t>
        </is>
      </c>
      <c r="AF900" s="31" t="inlineStr">
        <is>
          <t>Surface-blended Elo model; singles only, WTA+ATP market coverage, not yet locked-holdout qualified -- promoted by explicit operator directive, not genuine walk-forward validation.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Luca Van Assche</t>
        </is>
      </c>
      <c r="AQ900" s="24" t="inlineStr">
        <is>
          <t>Luca Van Assche</t>
        </is>
      </c>
      <c r="AR900" s="24" t="inlineStr">
        <is>
          <t>Luca Van Assche</t>
        </is>
      </c>
      <c r="AS900" s="24" t="inlineStr">
        <is>
          <t>Denis Shapovalov</t>
        </is>
      </c>
      <c r="AT900" s="24" t="inlineStr">
        <is>
          <t>Denis Shapovalov</t>
        </is>
      </c>
      <c r="AU900" s="24" t="inlineStr">
        <is>
          <t>Denis Shapovalov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0ce66f49b381187fe6255a40ca2fdbfc155d5e36125ccf6d30fe81a72962eafa</t>
        </is>
      </c>
      <c r="BB900" s="24" t="inlineStr">
        <is>
          <t>surface_blended_elo</t>
        </is>
      </c>
      <c r="BC900" s="24" t="inlineStr">
        <is>
          <t>tennis-surface-elo-v1</t>
        </is>
      </c>
      <c r="BD900" s="24" t="inlineStr">
        <is>
          <t>0ce66f49b381187fe6255a40ca2fdbfc155d5e36125ccf6d30fe81a72962eafa</t>
        </is>
      </c>
      <c r="BE900" s="24" t="inlineStr">
        <is>
          <t>tennis-surface-elo-v1</t>
        </is>
      </c>
      <c r="BF900" s="24" t="inlineStr">
        <is>
          <t>1</t>
        </is>
      </c>
      <c r="BG900" s="24" t="inlineStr">
        <is>
          <t>0ce66f49b381187fe6255a40ca2fdbfc155d5e36125ccf6d30fe81a72962eafa</t>
        </is>
      </c>
      <c r="BH900" s="24" t="inlineStr">
        <is>
          <t>2026-09-02T16:07:12.974361Z</t>
        </is>
      </c>
      <c r="BI900" s="24" t="inlineStr">
        <is>
          <t>["same_event","same_team_same_day","same_league_same_day"]</t>
        </is>
      </c>
      <c r="BJ900" s="25" t="n"/>
      <c r="BK900" s="26" t="n">
        <v>-144</v>
      </c>
      <c r="BL900" s="27" t="n">
        <v>1.694444</v>
      </c>
      <c r="BM900" s="28" t="n">
        <v>0.590164</v>
      </c>
      <c r="BN900" s="28" t="n"/>
      <c r="BO900" s="28" t="n"/>
      <c r="BP900" s="25" t="n"/>
      <c r="BQ900" s="27" t="n">
        <v>1.694444</v>
      </c>
      <c r="BR900" s="28" t="n">
        <v>0.59</v>
      </c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inlineStr">
        <is>
          <t>a767d9d18660822d25b05b8924b1be8f34d239a96cf83f8bfdb760c1f81811fb</t>
        </is>
      </c>
      <c r="DE900" s="24" t="inlineStr">
        <is>
          <t>/Users/vincentc9002/model-prediction/data/odds/tennis/2026-09-02/polymarket_snapshots.jsonl</t>
        </is>
      </c>
      <c r="DF900" s="24" t="inlineStr">
        <is>
          <t>577284:2026-09-02T16:07:12.974361Z</t>
        </is>
      </c>
      <c r="DG900" s="24" t="n"/>
      <c r="DH900" s="24" t="n"/>
      <c r="DI900" s="24" t="n"/>
      <c r="DJ900" s="24" t="inlineStr">
        <is>
          <t>0.590164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f9562b265d2f439c</t>
        </is>
      </c>
      <c r="B901" s="24" t="inlineStr">
        <is>
          <t>2026-09-02T16:08:38.156783Z</t>
        </is>
      </c>
      <c r="C901" s="24" t="inlineStr">
        <is>
          <t>2026-09-02T19:30Z</t>
        </is>
      </c>
      <c r="D901" s="24" t="inlineStr">
        <is>
          <t>189-2026:182761</t>
        </is>
      </c>
      <c r="E901" s="24" t="inlineStr">
        <is>
          <t>TENNIS</t>
        </is>
      </c>
      <c r="F901" s="24" t="inlineStr">
        <is>
          <t>Tommy Paul</t>
        </is>
      </c>
      <c r="G901" s="24" t="inlineStr">
        <is>
          <t>Dino Prizmic</t>
        </is>
      </c>
      <c r="H901" s="24" t="inlineStr">
        <is>
          <t>moneyline</t>
        </is>
      </c>
      <c r="I901" s="24" t="inlineStr">
        <is>
          <t>away</t>
        </is>
      </c>
      <c r="J901" s="25" t="n"/>
      <c r="K901" s="24" t="inlineStr">
        <is>
          <t>polymarket_us</t>
        </is>
      </c>
      <c r="L901" s="26" t="n">
        <v>-456</v>
      </c>
      <c r="M901" s="27" t="n">
        <v>1.219298</v>
      </c>
      <c r="N901" s="28" t="n">
        <v>0.820144</v>
      </c>
      <c r="O901" s="28" t="n">
        <v>0.7652</v>
      </c>
      <c r="P901" s="28" t="n">
        <v>0.05</v>
      </c>
      <c r="Q901" s="28" t="n">
        <v>-0.054944</v>
      </c>
      <c r="R901" s="26" t="n">
        <v>0</v>
      </c>
      <c r="S901" s="29" t="n">
        <v>1</v>
      </c>
      <c r="T901" s="24" t="inlineStr">
        <is>
          <t>tennis-surface-elo-v1</t>
        </is>
      </c>
      <c r="U901" s="24" t="inlineStr">
        <is>
          <t>settled</t>
        </is>
      </c>
      <c r="V901" s="24" t="inlineStr">
        <is>
          <t>win</t>
        </is>
      </c>
      <c r="W901" s="26" t="n">
        <v>1</v>
      </c>
      <c r="X901" s="26" t="n">
        <v>0</v>
      </c>
      <c r="Y901" s="25" t="n"/>
      <c r="Z901" s="26" t="n">
        <v>-456</v>
      </c>
      <c r="AA901" s="28" t="n">
        <v>0.82</v>
      </c>
      <c r="AB901" s="28" t="n">
        <v>-0.000144</v>
      </c>
      <c r="AC901" s="30" t="n">
        <v>0.2193</v>
      </c>
      <c r="AD901" s="24" t="inlineStr">
        <is>
          <t>2026-09-03T04:32:18.034810Z</t>
        </is>
      </c>
      <c r="AE901" s="31" t="inlineStr">
        <is>
          <t>Surface-blended Elo on Hard: Tommy Paul p=0.765 vs Dino Prizmic. Executable ask 0.8200 (aec-atp-dinpri-tompau-2026-08-31).</t>
        </is>
      </c>
      <c r="AF901" s="31" t="inlineStr">
        <is>
          <t>Surface-blended Elo model; singles only, WTA+ATP market coverage, not yet locked-holdout qualified -- promoted by explicit operator directive, not genuine walk-forward validation.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PAPER_CALL_LOW_EDGE</t>
        </is>
      </c>
      <c r="AP901" s="24" t="inlineStr">
        <is>
          <t>Tommy Paul</t>
        </is>
      </c>
      <c r="AQ901" s="24" t="inlineStr">
        <is>
          <t>Tommy Paul</t>
        </is>
      </c>
      <c r="AR901" s="24" t="inlineStr">
        <is>
          <t>Tommy Paul</t>
        </is>
      </c>
      <c r="AS901" s="24" t="inlineStr">
        <is>
          <t>Dino Prizmic</t>
        </is>
      </c>
      <c r="AT901" s="24" t="inlineStr">
        <is>
          <t>Dino Prizmic</t>
        </is>
      </c>
      <c r="AU901" s="24" t="inlineStr">
        <is>
          <t>Dino Prizmic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0ce66f49b381187fe6255a40ca2fdbfc155d5e36125ccf6d30fe81a72962eafa</t>
        </is>
      </c>
      <c r="BB901" s="24" t="inlineStr">
        <is>
          <t>surface_blended_elo</t>
        </is>
      </c>
      <c r="BC901" s="24" t="inlineStr">
        <is>
          <t>tennis-surface-elo-v1</t>
        </is>
      </c>
      <c r="BD901" s="24" t="inlineStr">
        <is>
          <t>0ce66f49b381187fe6255a40ca2fdbfc155d5e36125ccf6d30fe81a72962eafa</t>
        </is>
      </c>
      <c r="BE901" s="24" t="inlineStr">
        <is>
          <t>tennis-surface-elo-v1</t>
        </is>
      </c>
      <c r="BF901" s="24" t="inlineStr">
        <is>
          <t>1</t>
        </is>
      </c>
      <c r="BG901" s="24" t="inlineStr">
        <is>
          <t>0ce66f49b381187fe6255a40ca2fdbfc155d5e36125ccf6d30fe81a72962eafa</t>
        </is>
      </c>
      <c r="BH901" s="24" t="inlineStr">
        <is>
          <t>2026-09-02T16:07:13.519519Z</t>
        </is>
      </c>
      <c r="BI901" s="24" t="inlineStr">
        <is>
          <t>["same_event","same_team_same_day","same_league_same_day"]</t>
        </is>
      </c>
      <c r="BJ901" s="25" t="n"/>
      <c r="BK901" s="26" t="n">
        <v>-456</v>
      </c>
      <c r="BL901" s="27" t="n">
        <v>1.219298</v>
      </c>
      <c r="BM901" s="28" t="n">
        <v>0.820144</v>
      </c>
      <c r="BN901" s="28" t="n"/>
      <c r="BO901" s="28" t="n"/>
      <c r="BP901" s="25" t="n"/>
      <c r="BQ901" s="27" t="n">
        <v>1.219298</v>
      </c>
      <c r="BR901" s="28" t="n">
        <v>0.82</v>
      </c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False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inlineStr">
        <is>
          <t>e93f54822ecd4e6ecafcc17db1e14a791584f25ee631ca1079d5d0b988dd28a7</t>
        </is>
      </c>
      <c r="DE901" s="24" t="inlineStr">
        <is>
          <t>/Users/vincentc9002/model-prediction/data/odds/tennis/2026-09-02/polymarket_snapshots.jsonl</t>
        </is>
      </c>
      <c r="DF901" s="24" t="inlineStr">
        <is>
          <t>575736:2026-09-02T16:07:13.519519Z</t>
        </is>
      </c>
      <c r="DG901" s="24" t="n"/>
      <c r="DH901" s="24" t="n"/>
      <c r="DI901" s="24" t="n"/>
      <c r="DJ901" s="24" t="inlineStr">
        <is>
          <t>0.820144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6eb695f7043c4ed6</t>
        </is>
      </c>
      <c r="B902" s="24" t="inlineStr">
        <is>
          <t>2026-09-02T16:08:38.156783Z</t>
        </is>
      </c>
      <c r="C902" s="24" t="inlineStr">
        <is>
          <t>2026-09-02T19:30Z</t>
        </is>
      </c>
      <c r="D902" s="24" t="inlineStr">
        <is>
          <t>189-2026:182776</t>
        </is>
      </c>
      <c r="E902" s="24" t="inlineStr">
        <is>
          <t>TENNIS</t>
        </is>
      </c>
      <c r="F902" s="24" t="inlineStr">
        <is>
          <t>Toby Samuel</t>
        </is>
      </c>
      <c r="G902" s="24" t="inlineStr">
        <is>
          <t>Jiri Lehecka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-270</v>
      </c>
      <c r="M902" s="27" t="n">
        <v>1.37037</v>
      </c>
      <c r="N902" s="28" t="n">
        <v>0.72973</v>
      </c>
      <c r="O902" s="28" t="n">
        <v>0.7131999999999999</v>
      </c>
      <c r="P902" s="28" t="n">
        <v>0.05</v>
      </c>
      <c r="Q902" s="28" t="n">
        <v>-0.01653</v>
      </c>
      <c r="R902" s="26" t="n">
        <v>12</v>
      </c>
      <c r="S902" s="29" t="n">
        <v>1</v>
      </c>
      <c r="T902" s="24" t="inlineStr">
        <is>
          <t>tennis-surface-elo-v1</t>
        </is>
      </c>
      <c r="U902" s="24" t="inlineStr">
        <is>
          <t>settled</t>
        </is>
      </c>
      <c r="V902" s="24" t="inlineStr">
        <is>
          <t>win</t>
        </is>
      </c>
      <c r="W902" s="26" t="n">
        <v>0</v>
      </c>
      <c r="X902" s="26" t="n">
        <v>1</v>
      </c>
      <c r="Y902" s="25" t="n"/>
      <c r="Z902" s="26" t="n">
        <v>-270</v>
      </c>
      <c r="AA902" s="28" t="n">
        <v>0.73</v>
      </c>
      <c r="AB902" s="28" t="n">
        <v>0.00027</v>
      </c>
      <c r="AC902" s="30" t="n">
        <v>0.3704</v>
      </c>
      <c r="AD902" s="24" t="inlineStr">
        <is>
          <t>2026-09-03T04:32:18.423042Z</t>
        </is>
      </c>
      <c r="AE902" s="31" t="inlineStr">
        <is>
          <t>Surface-blended Elo on Hard: Toby Samuel p=0.287 vs Jiri Lehecka. Executable ask 0.7300 (aec-atp-jirleh-tobsam-2026-09-02).</t>
        </is>
      </c>
      <c r="AF902" s="31" t="inlineStr">
        <is>
          <t>Surface-blended Elo model; singles only, WTA+ATP market coverage, not yet locked-holdout qualified -- promoted by explicit operator directive, not genuine walk-forward validation.</t>
        </is>
      </c>
      <c r="AG902" s="24" t="inlineStr">
        <is>
          <t>not_applicable</t>
        </is>
      </c>
      <c r="AH902" s="24" t="n"/>
      <c r="AI902" s="31" t="n"/>
      <c r="AJ902" s="31" t="n"/>
      <c r="AK902" s="24" t="inlineStr">
        <is>
          <t>paper_call</t>
        </is>
      </c>
      <c r="AL902" s="26" t="n">
        <v>4</v>
      </c>
      <c r="AM902" s="24" t="inlineStr">
        <is>
          <t>RESEARCH_OBSERVATION</t>
        </is>
      </c>
      <c r="AN902" s="24" t="inlineStr">
        <is>
          <t>CALL</t>
        </is>
      </c>
      <c r="AO902" s="24" t="inlineStr">
        <is>
          <t>PAPER_CALL_LOW_EDGE</t>
        </is>
      </c>
      <c r="AP902" s="24" t="inlineStr">
        <is>
          <t>Toby Samuel</t>
        </is>
      </c>
      <c r="AQ902" s="24" t="inlineStr">
        <is>
          <t>Toby Samuel</t>
        </is>
      </c>
      <c r="AR902" s="24" t="inlineStr">
        <is>
          <t>Toby Samuel</t>
        </is>
      </c>
      <c r="AS902" s="24" t="inlineStr">
        <is>
          <t>Jiri Lehecka</t>
        </is>
      </c>
      <c r="AT902" s="24" t="inlineStr">
        <is>
          <t>Jiri Lehecka</t>
        </is>
      </c>
      <c r="AU902" s="24" t="inlineStr">
        <is>
          <t>Jiri Lehecka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0ce66f49b381187fe6255a40ca2fdbfc155d5e36125ccf6d30fe81a72962eafa</t>
        </is>
      </c>
      <c r="BB902" s="24" t="inlineStr">
        <is>
          <t>surface_blended_elo</t>
        </is>
      </c>
      <c r="BC902" s="24" t="inlineStr">
        <is>
          <t>tennis-surface-elo-v1</t>
        </is>
      </c>
      <c r="BD902" s="24" t="inlineStr">
        <is>
          <t>0ce66f49b381187fe6255a40ca2fdbfc155d5e36125ccf6d30fe81a72962eafa</t>
        </is>
      </c>
      <c r="BE902" s="24" t="inlineStr">
        <is>
          <t>tennis-surface-elo-v1</t>
        </is>
      </c>
      <c r="BF902" s="24" t="inlineStr">
        <is>
          <t>1</t>
        </is>
      </c>
      <c r="BG902" s="24" t="inlineStr">
        <is>
          <t>0ce66f49b381187fe6255a40ca2fdbfc155d5e36125ccf6d30fe81a72962eafa</t>
        </is>
      </c>
      <c r="BH902" s="24" t="inlineStr">
        <is>
          <t>2026-09-02T16:07:13.158851Z</t>
        </is>
      </c>
      <c r="BI902" s="24" t="inlineStr">
        <is>
          <t>["same_event","same_team_same_day","same_league_same_day"]</t>
        </is>
      </c>
      <c r="BJ902" s="25" t="n"/>
      <c r="BK902" s="26" t="n">
        <v>-270</v>
      </c>
      <c r="BL902" s="27" t="n">
        <v>1.37037</v>
      </c>
      <c r="BM902" s="28" t="n">
        <v>0.72973</v>
      </c>
      <c r="BN902" s="28" t="n"/>
      <c r="BO902" s="28" t="n"/>
      <c r="BP902" s="25" t="n"/>
      <c r="BQ902" s="27" t="n">
        <v>1.37037</v>
      </c>
      <c r="BR902" s="28" t="n">
        <v>0.73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inlineStr">
        <is>
          <t>cb87e323fbcd3a882e38d001bab28962d69513fc7ab79c2839f7453643f1bd60</t>
        </is>
      </c>
      <c r="DE902" s="24" t="inlineStr">
        <is>
          <t>/Users/vincentc9002/model-prediction/data/odds/tennis/2026-09-02/polymarket_snapshots.jsonl</t>
        </is>
      </c>
      <c r="DF902" s="24" t="inlineStr">
        <is>
          <t>596778:2026-09-02T16:07:13.158851Z</t>
        </is>
      </c>
      <c r="DG902" s="24" t="n"/>
      <c r="DH902" s="24" t="n"/>
      <c r="DI902" s="24" t="n"/>
      <c r="DJ902" s="24" t="inlineStr">
        <is>
          <t>0.72973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71c780fad4a3426e</t>
        </is>
      </c>
      <c r="B903" s="24" t="inlineStr">
        <is>
          <t>2026-09-02T16:08:38.156783Z</t>
        </is>
      </c>
      <c r="C903" s="24" t="inlineStr">
        <is>
          <t>2026-09-02T20:00Z</t>
        </is>
      </c>
      <c r="D903" s="24" t="inlineStr">
        <is>
          <t>189-2026:182720</t>
        </is>
      </c>
      <c r="E903" s="24" t="inlineStr">
        <is>
          <t>TENNIS</t>
        </is>
      </c>
      <c r="F903" s="24" t="inlineStr">
        <is>
          <t>Mariano Navone</t>
        </is>
      </c>
      <c r="G903" s="24" t="inlineStr">
        <is>
          <t>Matteo Berrettini</t>
        </is>
      </c>
      <c r="H903" s="24" t="inlineStr">
        <is>
          <t>moneyline</t>
        </is>
      </c>
      <c r="I903" s="24" t="inlineStr">
        <is>
          <t>home</t>
        </is>
      </c>
      <c r="J903" s="25" t="n"/>
      <c r="K903" s="24" t="inlineStr">
        <is>
          <t>polymarket_us</t>
        </is>
      </c>
      <c r="L903" s="26" t="n">
        <v>-170</v>
      </c>
      <c r="M903" s="27" t="n">
        <v>1.588235</v>
      </c>
      <c r="N903" s="28" t="n">
        <v>0.62963</v>
      </c>
      <c r="O903" s="28" t="n">
        <v>0.537</v>
      </c>
      <c r="P903" s="28" t="n">
        <v>0.05</v>
      </c>
      <c r="Q903" s="28" t="n">
        <v>-0.09263</v>
      </c>
      <c r="R903" s="26" t="n">
        <v>0</v>
      </c>
      <c r="S903" s="29" t="n">
        <v>1</v>
      </c>
      <c r="T903" s="24" t="inlineStr">
        <is>
          <t>tennis-surface-elo-v1</t>
        </is>
      </c>
      <c r="U903" s="24" t="inlineStr">
        <is>
          <t>settled</t>
        </is>
      </c>
      <c r="V903" s="24" t="inlineStr">
        <is>
          <t>loss</t>
        </is>
      </c>
      <c r="W903" s="26" t="n">
        <v>1</v>
      </c>
      <c r="X903" s="26" t="n">
        <v>0</v>
      </c>
      <c r="Y903" s="25" t="n"/>
      <c r="Z903" s="26" t="n">
        <v>-170</v>
      </c>
      <c r="AA903" s="28" t="n">
        <v>0.63</v>
      </c>
      <c r="AB903" s="28" t="n">
        <v>0.00037</v>
      </c>
      <c r="AC903" s="30" t="n">
        <v>-1</v>
      </c>
      <c r="AD903" s="24" t="inlineStr">
        <is>
          <t>2026-09-03T04:32:18.814508Z</t>
        </is>
      </c>
      <c r="AE903" s="31" t="inlineStr">
        <is>
          <t>Surface-blended Elo on Hard: Mariano Navone p=0.463 vs Matteo Berrettini. Executable ask 0.6300 (aec-atp-matber-marnav-2026-09-01).</t>
        </is>
      </c>
      <c r="AF903" s="31" t="inlineStr">
        <is>
          <t>Surface-blended Elo model; singles only, WTA+ATP market coverage, not yet locked-holdout qualified -- promoted by explicit operator directive, not genuine walk-forward validation.</t>
        </is>
      </c>
      <c r="AG903" s="24" t="inlineStr">
        <is>
          <t>review_required</t>
        </is>
      </c>
      <c r="AH903" s="24" t="n"/>
      <c r="AI903" s="31" t="n"/>
      <c r="AJ903" s="31" t="n"/>
      <c r="AK903" s="24" t="inlineStr">
        <is>
          <t>paper_call</t>
        </is>
      </c>
      <c r="AL903" s="26" t="n">
        <v>4</v>
      </c>
      <c r="AM903" s="24" t="inlineStr">
        <is>
          <t>RESEARCH_OBSERVATION</t>
        </is>
      </c>
      <c r="AN903" s="24" t="inlineStr">
        <is>
          <t>CALL</t>
        </is>
      </c>
      <c r="AO903" s="24" t="inlineStr">
        <is>
          <t>PAPER_CALL_LOW_EDGE</t>
        </is>
      </c>
      <c r="AP903" s="24" t="inlineStr">
        <is>
          <t>Mariano Navone</t>
        </is>
      </c>
      <c r="AQ903" s="24" t="inlineStr">
        <is>
          <t>Mariano Navone</t>
        </is>
      </c>
      <c r="AR903" s="24" t="inlineStr">
        <is>
          <t>Mariano Navone</t>
        </is>
      </c>
      <c r="AS903" s="24" t="inlineStr">
        <is>
          <t>Matteo Berrettini</t>
        </is>
      </c>
      <c r="AT903" s="24" t="inlineStr">
        <is>
          <t>Matteo Berrettini</t>
        </is>
      </c>
      <c r="AU903" s="24" t="inlineStr">
        <is>
          <t>Matteo Berrettini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0ce66f49b381187fe6255a40ca2fdbfc155d5e36125ccf6d30fe81a72962eafa</t>
        </is>
      </c>
      <c r="BB903" s="24" t="inlineStr">
        <is>
          <t>surface_blended_elo</t>
        </is>
      </c>
      <c r="BC903" s="24" t="inlineStr">
        <is>
          <t>tennis-surface-elo-v1</t>
        </is>
      </c>
      <c r="BD903" s="24" t="inlineStr">
        <is>
          <t>0ce66f49b381187fe6255a40ca2fdbfc155d5e36125ccf6d30fe81a72962eafa</t>
        </is>
      </c>
      <c r="BE903" s="24" t="inlineStr">
        <is>
          <t>tennis-surface-elo-v1</t>
        </is>
      </c>
      <c r="BF903" s="24" t="inlineStr">
        <is>
          <t>1</t>
        </is>
      </c>
      <c r="BG903" s="24" t="inlineStr">
        <is>
          <t>0ce66f49b381187fe6255a40ca2fdbfc155d5e36125ccf6d30fe81a72962eafa</t>
        </is>
      </c>
      <c r="BH903" s="24" t="inlineStr">
        <is>
          <t>2026-09-02T16:07:13.337560Z</t>
        </is>
      </c>
      <c r="BI903" s="24" t="inlineStr">
        <is>
          <t>["same_event","same_team_same_day","same_league_same_day"]</t>
        </is>
      </c>
      <c r="BJ903" s="25" t="n"/>
      <c r="BK903" s="26" t="n">
        <v>-170</v>
      </c>
      <c r="BL903" s="27" t="n">
        <v>1.588235</v>
      </c>
      <c r="BM903" s="28" t="n">
        <v>0.62963</v>
      </c>
      <c r="BN903" s="28" t="n"/>
      <c r="BO903" s="28" t="n"/>
      <c r="BP903" s="25" t="n"/>
      <c r="BQ903" s="27" t="n">
        <v>1.588235</v>
      </c>
      <c r="BR903" s="28" t="n">
        <v>0.63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inlineStr">
        <is>
          <t>0cc33da978c6909c0cf96b486889a2d5feaed7e0796ffa3af75863539aca1f27</t>
        </is>
      </c>
      <c r="DE903" s="24" t="inlineStr">
        <is>
          <t>/Users/vincentc9002/model-prediction/data/odds/tennis/2026-09-02/polymarket_snapshots.jsonl</t>
        </is>
      </c>
      <c r="DF903" s="24" t="inlineStr">
        <is>
          <t>600236:2026-09-02T16:07:13.337560Z</t>
        </is>
      </c>
      <c r="DG903" s="24" t="n"/>
      <c r="DH903" s="24" t="n"/>
      <c r="DI903" s="24" t="n"/>
      <c r="DJ903" s="24" t="inlineStr">
        <is>
          <t>0.62963</t>
        </is>
      </c>
      <c r="DK903" s="24" t="n"/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74cac85798d54e64</t>
        </is>
      </c>
      <c r="B904" s="24" t="inlineStr">
        <is>
          <t>2026-09-02T16:08:38.156783Z</t>
        </is>
      </c>
      <c r="C904" s="24" t="inlineStr">
        <is>
          <t>2026-09-02T20:00Z</t>
        </is>
      </c>
      <c r="D904" s="24" t="inlineStr">
        <is>
          <t>189-2026:182779</t>
        </is>
      </c>
      <c r="E904" s="24" t="inlineStr">
        <is>
          <t>TENNIS</t>
        </is>
      </c>
      <c r="F904" s="24" t="inlineStr">
        <is>
          <t>Adrian Mannarino</t>
        </is>
      </c>
      <c r="G904" s="24" t="inlineStr">
        <is>
          <t>Alexander Bublik</t>
        </is>
      </c>
      <c r="H904" s="24" t="inlineStr">
        <is>
          <t>moneyline</t>
        </is>
      </c>
      <c r="I904" s="24" t="inlineStr">
        <is>
          <t>home</t>
        </is>
      </c>
      <c r="J904" s="25" t="n"/>
      <c r="K904" s="24" t="inlineStr">
        <is>
          <t>polymarket_us</t>
        </is>
      </c>
      <c r="L904" s="26" t="n">
        <v>-335</v>
      </c>
      <c r="M904" s="27" t="n">
        <v>1.298507</v>
      </c>
      <c r="N904" s="28" t="n">
        <v>0.770115</v>
      </c>
      <c r="O904" s="28" t="n">
        <v>0.7271</v>
      </c>
      <c r="P904" s="28" t="n">
        <v>0.05</v>
      </c>
      <c r="Q904" s="28" t="n">
        <v>-0.043015</v>
      </c>
      <c r="R904" s="26" t="n">
        <v>0</v>
      </c>
      <c r="S904" s="29" t="n">
        <v>1</v>
      </c>
      <c r="T904" s="24" t="inlineStr">
        <is>
          <t>tennis-surface-elo-v1</t>
        </is>
      </c>
      <c r="U904" s="24" t="inlineStr">
        <is>
          <t>settled</t>
        </is>
      </c>
      <c r="V904" s="24" t="inlineStr">
        <is>
          <t>win</t>
        </is>
      </c>
      <c r="W904" s="26" t="n">
        <v>0</v>
      </c>
      <c r="X904" s="26" t="n">
        <v>1</v>
      </c>
      <c r="Y904" s="25" t="n"/>
      <c r="Z904" s="26" t="n">
        <v>-335</v>
      </c>
      <c r="AA904" s="28" t="n">
        <v>0.77</v>
      </c>
      <c r="AB904" s="28" t="n">
        <v>-0.000115</v>
      </c>
      <c r="AC904" s="30" t="n">
        <v>0.2985</v>
      </c>
      <c r="AD904" s="24" t="inlineStr">
        <is>
          <t>2026-09-03T04:32:19.209032Z</t>
        </is>
      </c>
      <c r="AE904" s="31" t="inlineStr">
        <is>
          <t>Surface-blended Elo on Hard: Adrian Mannarino p=0.273 vs Alexander Bublik. Executable ask 0.7700 (aec-atp-alebub-adrman-2026-09-02).</t>
        </is>
      </c>
      <c r="AF904" s="31" t="inlineStr">
        <is>
          <t>Surface-blended Elo model; singles only, WTA+ATP market coverage, not yet locked-holdout qualified -- promoted by explicit operator directive, not genuine walk-forward validation.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PAPER_CALL_LOW_EDGE</t>
        </is>
      </c>
      <c r="AP904" s="24" t="inlineStr">
        <is>
          <t>Adrian Mannarino</t>
        </is>
      </c>
      <c r="AQ904" s="24" t="inlineStr">
        <is>
          <t>Adrian Mannarino</t>
        </is>
      </c>
      <c r="AR904" s="24" t="inlineStr">
        <is>
          <t>Adrian Mannarino</t>
        </is>
      </c>
      <c r="AS904" s="24" t="inlineStr">
        <is>
          <t>Alexander Bublik</t>
        </is>
      </c>
      <c r="AT904" s="24" t="inlineStr">
        <is>
          <t>Alexander Bublik</t>
        </is>
      </c>
      <c r="AU904" s="24" t="inlineStr">
        <is>
          <t>Alexander Bublik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0ce66f49b381187fe6255a40ca2fdbfc155d5e36125ccf6d30fe81a72962eafa</t>
        </is>
      </c>
      <c r="BB904" s="24" t="inlineStr">
        <is>
          <t>surface_blended_elo</t>
        </is>
      </c>
      <c r="BC904" s="24" t="inlineStr">
        <is>
          <t>tennis-surface-elo-v1</t>
        </is>
      </c>
      <c r="BD904" s="24" t="inlineStr">
        <is>
          <t>0ce66f49b381187fe6255a40ca2fdbfc155d5e36125ccf6d30fe81a72962eafa</t>
        </is>
      </c>
      <c r="BE904" s="24" t="inlineStr">
        <is>
          <t>tennis-surface-elo-v1</t>
        </is>
      </c>
      <c r="BF904" s="24" t="inlineStr">
        <is>
          <t>1</t>
        </is>
      </c>
      <c r="BG904" s="24" t="inlineStr">
        <is>
          <t>0ce66f49b381187fe6255a40ca2fdbfc155d5e36125ccf6d30fe81a72962eafa</t>
        </is>
      </c>
      <c r="BH904" s="24" t="inlineStr">
        <is>
          <t>2026-09-02T16:07:13.544963Z</t>
        </is>
      </c>
      <c r="BI904" s="24" t="inlineStr">
        <is>
          <t>["same_event","same_team_same_day","same_league_same_day"]</t>
        </is>
      </c>
      <c r="BJ904" s="25" t="n"/>
      <c r="BK904" s="26" t="n">
        <v>-335</v>
      </c>
      <c r="BL904" s="27" t="n">
        <v>1.298507</v>
      </c>
      <c r="BM904" s="28" t="n">
        <v>0.770115</v>
      </c>
      <c r="BN904" s="28" t="n"/>
      <c r="BO904" s="28" t="n"/>
      <c r="BP904" s="25" t="n"/>
      <c r="BQ904" s="27" t="n">
        <v>1.298507</v>
      </c>
      <c r="BR904" s="28" t="n">
        <v>0.77</v>
      </c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False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inlineStr">
        <is>
          <t>c22de0e2834387d6aa2a735f580beec2287b74ad3e1dc7d1c61b536f0bac97f3</t>
        </is>
      </c>
      <c r="DE904" s="24" t="inlineStr">
        <is>
          <t>/Users/vincentc9002/model-prediction/data/odds/tennis/2026-09-02/polymarket_snapshots.jsonl</t>
        </is>
      </c>
      <c r="DF904" s="24" t="inlineStr">
        <is>
          <t>597245:2026-09-02T16:07:13.544963Z</t>
        </is>
      </c>
      <c r="DG904" s="24" t="n"/>
      <c r="DH904" s="24" t="n"/>
      <c r="DI904" s="24" t="n"/>
      <c r="DJ904" s="24" t="inlineStr">
        <is>
          <t>0.770115</t>
        </is>
      </c>
      <c r="DK904" s="24" t="n"/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1cc2c8b60ca14a74</t>
        </is>
      </c>
      <c r="B905" s="24" t="inlineStr">
        <is>
          <t>2026-09-02T16:08:38.156783Z</t>
        </is>
      </c>
      <c r="C905" s="24" t="inlineStr">
        <is>
          <t>2026-09-02T20:30Z</t>
        </is>
      </c>
      <c r="D905" s="24" t="inlineStr">
        <is>
          <t>189-2026:182775</t>
        </is>
      </c>
      <c r="E905" s="24" t="inlineStr">
        <is>
          <t>TENNIS</t>
        </is>
      </c>
      <c r="F905" s="24" t="inlineStr">
        <is>
          <t>Stefanos Tsitsipas</t>
        </is>
      </c>
      <c r="G905" s="24" t="inlineStr">
        <is>
          <t>Lloyd Harris</t>
        </is>
      </c>
      <c r="H905" s="24" t="inlineStr">
        <is>
          <t>moneyline</t>
        </is>
      </c>
      <c r="I905" s="24" t="inlineStr">
        <is>
          <t>away</t>
        </is>
      </c>
      <c r="J905" s="25" t="n"/>
      <c r="K905" s="24" t="inlineStr">
        <is>
          <t>polymarket_us</t>
        </is>
      </c>
      <c r="L905" s="26" t="n">
        <v>-223</v>
      </c>
      <c r="M905" s="27" t="n">
        <v>1.44843</v>
      </c>
      <c r="N905" s="28" t="n">
        <v>0.690402</v>
      </c>
      <c r="O905" s="28" t="n">
        <v>0.5682</v>
      </c>
      <c r="P905" s="28" t="n">
        <v>0.05</v>
      </c>
      <c r="Q905" s="28" t="n">
        <v>-0.122202</v>
      </c>
      <c r="R905" s="26" t="n">
        <v>0</v>
      </c>
      <c r="S905" s="29" t="n">
        <v>1</v>
      </c>
      <c r="T905" s="24" t="inlineStr">
        <is>
          <t>tennis-surface-elo-v1</t>
        </is>
      </c>
      <c r="U905" s="24" t="inlineStr">
        <is>
          <t>settled</t>
        </is>
      </c>
      <c r="V905" s="24" t="inlineStr">
        <is>
          <t>win</t>
        </is>
      </c>
      <c r="W905" s="26" t="n">
        <v>1</v>
      </c>
      <c r="X905" s="26" t="n">
        <v>0</v>
      </c>
      <c r="Y905" s="25" t="n"/>
      <c r="Z905" s="26" t="n">
        <v>-223</v>
      </c>
      <c r="AA905" s="28" t="n">
        <v>0.6899999999999999</v>
      </c>
      <c r="AB905" s="28" t="n">
        <v>-0.000402</v>
      </c>
      <c r="AC905" s="30" t="n">
        <v>0.4484</v>
      </c>
      <c r="AD905" s="24" t="inlineStr">
        <is>
          <t>2026-09-03T04:32:19.602746Z</t>
        </is>
      </c>
      <c r="AE905" s="31" t="inlineStr">
        <is>
          <t>Surface-blended Elo on Hard: Stefanos Tsitsipas p=0.568 vs Lloyd Harris. Executable ask 0.6900 (aec-atp-llohar-stetsi-2026-09-01).</t>
        </is>
      </c>
      <c r="AF905" s="31" t="inlineStr">
        <is>
          <t>Surface-blended Elo model; singles only, WTA+ATP market coverage, not yet locked-holdout qualified -- promoted by explicit operator directive, not genuine walk-forward validation.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paper_call</t>
        </is>
      </c>
      <c r="AL905" s="26" t="n">
        <v>4</v>
      </c>
      <c r="AM905" s="24" t="inlineStr">
        <is>
          <t>RESEARCH_OBSERVATION</t>
        </is>
      </c>
      <c r="AN905" s="24" t="inlineStr">
        <is>
          <t>CALL</t>
        </is>
      </c>
      <c r="AO905" s="24" t="inlineStr">
        <is>
          <t>PAPER_CALL_LOW_EDGE</t>
        </is>
      </c>
      <c r="AP905" s="24" t="inlineStr">
        <is>
          <t>Stefanos Tsitsipas</t>
        </is>
      </c>
      <c r="AQ905" s="24" t="inlineStr">
        <is>
          <t>Stefanos Tsitsipas</t>
        </is>
      </c>
      <c r="AR905" s="24" t="inlineStr">
        <is>
          <t>Stefanos Tsitsipas</t>
        </is>
      </c>
      <c r="AS905" s="24" t="inlineStr">
        <is>
          <t>Lloyd Harris</t>
        </is>
      </c>
      <c r="AT905" s="24" t="inlineStr">
        <is>
          <t>Lloyd Harris</t>
        </is>
      </c>
      <c r="AU905" s="24" t="inlineStr">
        <is>
          <t>Lloyd Harris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0ce66f49b381187fe6255a40ca2fdbfc155d5e36125ccf6d30fe81a72962eafa</t>
        </is>
      </c>
      <c r="BB905" s="24" t="inlineStr">
        <is>
          <t>surface_blended_elo</t>
        </is>
      </c>
      <c r="BC905" s="24" t="inlineStr">
        <is>
          <t>tennis-surface-elo-v1</t>
        </is>
      </c>
      <c r="BD905" s="24" t="inlineStr">
        <is>
          <t>0ce66f49b381187fe6255a40ca2fdbfc155d5e36125ccf6d30fe81a72962eafa</t>
        </is>
      </c>
      <c r="BE905" s="24" t="inlineStr">
        <is>
          <t>tennis-surface-elo-v1</t>
        </is>
      </c>
      <c r="BF905" s="24" t="inlineStr">
        <is>
          <t>1</t>
        </is>
      </c>
      <c r="BG905" s="24" t="inlineStr">
        <is>
          <t>0ce66f49b381187fe6255a40ca2fdbfc155d5e36125ccf6d30fe81a72962eafa</t>
        </is>
      </c>
      <c r="BH905" s="24" t="inlineStr">
        <is>
          <t>2026-09-02T16:07:13.668314Z</t>
        </is>
      </c>
      <c r="BI905" s="24" t="inlineStr">
        <is>
          <t>["same_event","same_team_same_day","same_league_same_day"]</t>
        </is>
      </c>
      <c r="BJ905" s="25" t="n"/>
      <c r="BK905" s="26" t="n">
        <v>-223</v>
      </c>
      <c r="BL905" s="27" t="n">
        <v>1.44843</v>
      </c>
      <c r="BM905" s="28" t="n">
        <v>0.690402</v>
      </c>
      <c r="BN905" s="28" t="n"/>
      <c r="BO905" s="28" t="n"/>
      <c r="BP905" s="25" t="n"/>
      <c r="BQ905" s="27" t="n">
        <v>1.44843</v>
      </c>
      <c r="BR905" s="28" t="n">
        <v>0.6899999999999999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inlineStr">
        <is>
          <t>cc0659f05ca0d9b3834a53e1102148d89f9796a429baf9e8b4b2132d248fa77f</t>
        </is>
      </c>
      <c r="DE905" s="24" t="inlineStr">
        <is>
          <t>/Users/vincentc9002/model-prediction/data/odds/tennis/2026-09-02/polymarket_snapshots.jsonl</t>
        </is>
      </c>
      <c r="DF905" s="24" t="inlineStr">
        <is>
          <t>597623:2026-09-02T16:07:13.668314Z</t>
        </is>
      </c>
      <c r="DG905" s="24" t="n"/>
      <c r="DH905" s="24" t="n"/>
      <c r="DI905" s="24" t="n"/>
      <c r="DJ905" s="24" t="inlineStr">
        <is>
          <t>0.690402</t>
        </is>
      </c>
      <c r="DK905" s="24" t="n"/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688e6b0dec8f4ea4</t>
        </is>
      </c>
      <c r="B906" s="24" t="inlineStr">
        <is>
          <t>2026-09-02T16:08:38.156783Z</t>
        </is>
      </c>
      <c r="C906" s="24" t="inlineStr">
        <is>
          <t>2026-09-02T22:00Z</t>
        </is>
      </c>
      <c r="D906" s="24" t="inlineStr">
        <is>
          <t>189-2026:182693</t>
        </is>
      </c>
      <c r="E906" s="24" t="inlineStr">
        <is>
          <t>TENNIS</t>
        </is>
      </c>
      <c r="F906" s="24" t="inlineStr">
        <is>
          <t>Kamil Majchrzak</t>
        </is>
      </c>
      <c r="G906" s="24" t="inlineStr">
        <is>
          <t>Valentin Vacherot</t>
        </is>
      </c>
      <c r="H906" s="24" t="inlineStr">
        <is>
          <t>moneyline</t>
        </is>
      </c>
      <c r="I906" s="24" t="inlineStr">
        <is>
          <t>home</t>
        </is>
      </c>
      <c r="J906" s="25" t="n"/>
      <c r="K906" s="24" t="inlineStr">
        <is>
          <t>polymarket_us</t>
        </is>
      </c>
      <c r="L906" s="26" t="n">
        <v>-133</v>
      </c>
      <c r="M906" s="27" t="n">
        <v>1.75188</v>
      </c>
      <c r="N906" s="28" t="n">
        <v>0.570815</v>
      </c>
      <c r="O906" s="28" t="n">
        <v>0.5386</v>
      </c>
      <c r="P906" s="28" t="n">
        <v>0.05</v>
      </c>
      <c r="Q906" s="28" t="n">
        <v>-0.032215</v>
      </c>
      <c r="R906" s="26" t="n">
        <v>4</v>
      </c>
      <c r="S906" s="29" t="n">
        <v>1</v>
      </c>
      <c r="T906" s="24" t="inlineStr">
        <is>
          <t>tennis-surface-elo-v1</t>
        </is>
      </c>
      <c r="U906" s="24" t="inlineStr">
        <is>
          <t>settled</t>
        </is>
      </c>
      <c r="V906" s="24" t="inlineStr">
        <is>
          <t>win</t>
        </is>
      </c>
      <c r="W906" s="26" t="n">
        <v>0</v>
      </c>
      <c r="X906" s="26" t="n">
        <v>1</v>
      </c>
      <c r="Y906" s="25" t="n"/>
      <c r="Z906" s="26" t="n">
        <v>-133</v>
      </c>
      <c r="AA906" s="28" t="n">
        <v>0.57</v>
      </c>
      <c r="AB906" s="28" t="n">
        <v>-0.000815</v>
      </c>
      <c r="AC906" s="30" t="n">
        <v>0.7519</v>
      </c>
      <c r="AD906" s="24" t="inlineStr">
        <is>
          <t>2026-09-03T04:32:19.994506Z</t>
        </is>
      </c>
      <c r="AE906" s="31" t="inlineStr">
        <is>
          <t>Surface-blended Elo on Hard: Kamil Majchrzak p=0.461 vs Valentin Vacherot. Executable ask 0.5700 (aec-atp-valvac-kammaj-2026-09-02).</t>
        </is>
      </c>
      <c r="AF906" s="31" t="inlineStr">
        <is>
          <t>Surface-blended Elo model; singles only, WTA+ATP market coverage, not yet locked-holdout qualified -- promoted by explicit operator directive, not genuine walk-forward validation.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PAPER_CALL_LOW_EDGE</t>
        </is>
      </c>
      <c r="AP906" s="24" t="inlineStr">
        <is>
          <t>Kamil Majchrzak</t>
        </is>
      </c>
      <c r="AQ906" s="24" t="inlineStr">
        <is>
          <t>Kamil Majchrzak</t>
        </is>
      </c>
      <c r="AR906" s="24" t="inlineStr">
        <is>
          <t>Kamil Majchrzak</t>
        </is>
      </c>
      <c r="AS906" s="24" t="inlineStr">
        <is>
          <t>Valentin Vacherot</t>
        </is>
      </c>
      <c r="AT906" s="24" t="inlineStr">
        <is>
          <t>Valentin Vacherot</t>
        </is>
      </c>
      <c r="AU906" s="24" t="inlineStr">
        <is>
          <t>Valentin Vacherot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0ce66f49b381187fe6255a40ca2fdbfc155d5e36125ccf6d30fe81a72962eafa</t>
        </is>
      </c>
      <c r="BB906" s="24" t="inlineStr">
        <is>
          <t>surface_blended_elo</t>
        </is>
      </c>
      <c r="BC906" s="24" t="inlineStr">
        <is>
          <t>tennis-surface-elo-v1</t>
        </is>
      </c>
      <c r="BD906" s="24" t="inlineStr">
        <is>
          <t>0ce66f49b381187fe6255a40ca2fdbfc155d5e36125ccf6d30fe81a72962eafa</t>
        </is>
      </c>
      <c r="BE906" s="24" t="inlineStr">
        <is>
          <t>tennis-surface-elo-v1</t>
        </is>
      </c>
      <c r="BF906" s="24" t="inlineStr">
        <is>
          <t>1</t>
        </is>
      </c>
      <c r="BG906" s="24" t="inlineStr">
        <is>
          <t>0ce66f49b381187fe6255a40ca2fdbfc155d5e36125ccf6d30fe81a72962eafa</t>
        </is>
      </c>
      <c r="BH906" s="24" t="inlineStr">
        <is>
          <t>2026-09-02T16:07:13.748476Z</t>
        </is>
      </c>
      <c r="BI906" s="24" t="inlineStr">
        <is>
          <t>["same_event","same_team_same_day","same_league_same_day"]</t>
        </is>
      </c>
      <c r="BJ906" s="25" t="n"/>
      <c r="BK906" s="26" t="n">
        <v>-133</v>
      </c>
      <c r="BL906" s="27" t="n">
        <v>1.75188</v>
      </c>
      <c r="BM906" s="28" t="n">
        <v>0.570815</v>
      </c>
      <c r="BN906" s="28" t="n"/>
      <c r="BO906" s="28" t="n"/>
      <c r="BP906" s="25" t="n"/>
      <c r="BQ906" s="27" t="n">
        <v>1.75188</v>
      </c>
      <c r="BR906" s="28" t="n">
        <v>0.57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False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inlineStr">
        <is>
          <t>c4970f5cc8fc1913135625e6ec54028e6cbbacb74fdd95327007be241010c261</t>
        </is>
      </c>
      <c r="DE906" s="24" t="inlineStr">
        <is>
          <t>/Users/vincentc9002/model-prediction/data/odds/tennis/2026-09-02/polymarket_snapshots.jsonl</t>
        </is>
      </c>
      <c r="DF906" s="24" t="inlineStr">
        <is>
          <t>597244:2026-09-02T16:07:13.748476Z</t>
        </is>
      </c>
      <c r="DG906" s="24" t="n"/>
      <c r="DH906" s="24" t="n"/>
      <c r="DI906" s="24" t="n"/>
      <c r="DJ906" s="24" t="inlineStr">
        <is>
          <t>0.570815</t>
        </is>
      </c>
      <c r="DK906" s="24" t="n"/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8e7e9926fa284312</t>
        </is>
      </c>
      <c r="B907" s="24" t="inlineStr">
        <is>
          <t>2026-09-02T16:08:38.156783Z</t>
        </is>
      </c>
      <c r="C907" s="24" t="inlineStr">
        <is>
          <t>2026-09-02T23:00Z</t>
        </is>
      </c>
      <c r="D907" s="24" t="inlineStr">
        <is>
          <t>189-2026:182742</t>
        </is>
      </c>
      <c r="E907" s="24" t="inlineStr">
        <is>
          <t>TENNIS</t>
        </is>
      </c>
      <c r="F907" s="24" t="inlineStr">
        <is>
          <t>Frances Tiafoe</t>
        </is>
      </c>
      <c r="G907" s="24" t="inlineStr">
        <is>
          <t>Rei Sakamoto</t>
        </is>
      </c>
      <c r="H907" s="24" t="inlineStr">
        <is>
          <t>moneyline</t>
        </is>
      </c>
      <c r="I907" s="24" t="inlineStr">
        <is>
          <t>away</t>
        </is>
      </c>
      <c r="J907" s="25" t="n"/>
      <c r="K907" s="24" t="inlineStr">
        <is>
          <t>polymarket_us</t>
        </is>
      </c>
      <c r="L907" s="26" t="n">
        <v>-355</v>
      </c>
      <c r="M907" s="27" t="n">
        <v>1.28169</v>
      </c>
      <c r="N907" s="28" t="n">
        <v>0.78022</v>
      </c>
      <c r="O907" s="28" t="n">
        <v>0.8053</v>
      </c>
      <c r="P907" s="28" t="n">
        <v>0.05</v>
      </c>
      <c r="Q907" s="28" t="n">
        <v>0.02508</v>
      </c>
      <c r="R907" s="26" t="n">
        <v>33</v>
      </c>
      <c r="S907" s="29" t="n">
        <v>1</v>
      </c>
      <c r="T907" s="24" t="inlineStr">
        <is>
          <t>tennis-surface-elo-v1</t>
        </is>
      </c>
      <c r="U907" s="24" t="inlineStr">
        <is>
          <t>settled</t>
        </is>
      </c>
      <c r="V907" s="24" t="inlineStr">
        <is>
          <t>win</t>
        </is>
      </c>
      <c r="W907" s="26" t="n">
        <v>1</v>
      </c>
      <c r="X907" s="26" t="n">
        <v>0</v>
      </c>
      <c r="Y907" s="25" t="n"/>
      <c r="Z907" s="26" t="n">
        <v>-355</v>
      </c>
      <c r="AA907" s="28" t="n">
        <v>0.78</v>
      </c>
      <c r="AB907" s="28" t="n">
        <v>-0.00022</v>
      </c>
      <c r="AC907" s="30" t="n">
        <v>0.2817</v>
      </c>
      <c r="AD907" s="24" t="inlineStr">
        <is>
          <t>2026-09-03T04:32:20.387036Z</t>
        </is>
      </c>
      <c r="AE907" s="31" t="inlineStr">
        <is>
          <t>Surface-blended Elo on Hard: Frances Tiafoe p=0.805 vs Rei Sakamoto. Executable ask 0.7800 (aec-atp-reisak-fratia-2026-09-02).</t>
        </is>
      </c>
      <c r="AF907" s="31" t="inlineStr">
        <is>
          <t>Surface-blended Elo model; singles only, WTA+ATP market coverage, not yet locked-holdout qualified -- promoted by explicit operator directive, not genuine walk-forward validation.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paper_call</t>
        </is>
      </c>
      <c r="AL907" s="26" t="n">
        <v>4</v>
      </c>
      <c r="AM907" s="24" t="inlineStr">
        <is>
          <t>RESEARCH_OBSERVATION</t>
        </is>
      </c>
      <c r="AN907" s="24" t="inlineStr">
        <is>
          <t>CALL</t>
        </is>
      </c>
      <c r="AO907" s="24" t="inlineStr">
        <is>
          <t>PAPER_CALL_LOW_EDGE</t>
        </is>
      </c>
      <c r="AP907" s="24" t="inlineStr">
        <is>
          <t>Frances Tiafoe</t>
        </is>
      </c>
      <c r="AQ907" s="24" t="inlineStr">
        <is>
          <t>Frances Tiafoe</t>
        </is>
      </c>
      <c r="AR907" s="24" t="inlineStr">
        <is>
          <t>Frances Tiafoe</t>
        </is>
      </c>
      <c r="AS907" s="24" t="inlineStr">
        <is>
          <t>Rei Sakamoto</t>
        </is>
      </c>
      <c r="AT907" s="24" t="inlineStr">
        <is>
          <t>Rei Sakamoto</t>
        </is>
      </c>
      <c r="AU907" s="24" t="inlineStr">
        <is>
          <t>Rei Sakamoto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0ce66f49b381187fe6255a40ca2fdbfc155d5e36125ccf6d30fe81a72962eafa</t>
        </is>
      </c>
      <c r="BB907" s="24" t="inlineStr">
        <is>
          <t>surface_blended_elo</t>
        </is>
      </c>
      <c r="BC907" s="24" t="inlineStr">
        <is>
          <t>tennis-surface-elo-v1</t>
        </is>
      </c>
      <c r="BD907" s="24" t="inlineStr">
        <is>
          <t>0ce66f49b381187fe6255a40ca2fdbfc155d5e36125ccf6d30fe81a72962eafa</t>
        </is>
      </c>
      <c r="BE907" s="24" t="inlineStr">
        <is>
          <t>tennis-surface-elo-v1</t>
        </is>
      </c>
      <c r="BF907" s="24" t="inlineStr">
        <is>
          <t>1</t>
        </is>
      </c>
      <c r="BG907" s="24" t="inlineStr">
        <is>
          <t>0ce66f49b381187fe6255a40ca2fdbfc155d5e36125ccf6d30fe81a72962eafa</t>
        </is>
      </c>
      <c r="BH907" s="24" t="inlineStr">
        <is>
          <t>2026-09-02T16:07:13.827753Z</t>
        </is>
      </c>
      <c r="BI907" s="24" t="inlineStr">
        <is>
          <t>["same_event","same_team_same_day","same_league_same_day"]</t>
        </is>
      </c>
      <c r="BJ907" s="25" t="n"/>
      <c r="BK907" s="26" t="n">
        <v>-355</v>
      </c>
      <c r="BL907" s="27" t="n">
        <v>1.28169</v>
      </c>
      <c r="BM907" s="28" t="n">
        <v>0.78022</v>
      </c>
      <c r="BN907" s="28" t="n"/>
      <c r="BO907" s="28" t="n"/>
      <c r="BP907" s="25" t="n"/>
      <c r="BQ907" s="27" t="n">
        <v>1.28169</v>
      </c>
      <c r="BR907" s="28" t="n">
        <v>0.78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inlineStr">
        <is>
          <t>af2c266b30e35bffb85cad5c326c34ad09ad3f8c1e011383eeb6f4a9b512f9af</t>
        </is>
      </c>
      <c r="DE907" s="24" t="inlineStr">
        <is>
          <t>/Users/vincentc9002/model-prediction/data/odds/tennis/2026-09-02/polymarket_snapshots.jsonl</t>
        </is>
      </c>
      <c r="DF907" s="24" t="inlineStr">
        <is>
          <t>603058:2026-09-02T16:07:13.827753Z</t>
        </is>
      </c>
      <c r="DG907" s="24" t="n"/>
      <c r="DH907" s="24" t="n"/>
      <c r="DI907" s="24" t="n"/>
      <c r="DJ907" s="24" t="inlineStr">
        <is>
          <t>0.78022</t>
        </is>
      </c>
      <c r="DK907" s="24" t="n"/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b604020e2d484603</t>
        </is>
      </c>
      <c r="B908" s="24" t="inlineStr">
        <is>
          <t>2026-09-02T16:08:38.156783Z</t>
        </is>
      </c>
      <c r="C908" s="24" t="inlineStr">
        <is>
          <t>2026-09-03T00:30Z</t>
        </is>
      </c>
      <c r="D908" s="24" t="inlineStr">
        <is>
          <t>189-2026:182764</t>
        </is>
      </c>
      <c r="E908" s="24" t="inlineStr">
        <is>
          <t>TENNIS</t>
        </is>
      </c>
      <c r="F908" s="24" t="inlineStr">
        <is>
          <t>Carlos Alcaraz</t>
        </is>
      </c>
      <c r="G908" s="24" t="inlineStr">
        <is>
          <t>Jaime Faria</t>
        </is>
      </c>
      <c r="H908" s="24" t="inlineStr">
        <is>
          <t>moneyline</t>
        </is>
      </c>
      <c r="I908" s="24" t="inlineStr">
        <is>
          <t>away</t>
        </is>
      </c>
      <c r="J908" s="25" t="n"/>
      <c r="K908" s="24" t="inlineStr">
        <is>
          <t>polymarket_us</t>
        </is>
      </c>
      <c r="L908" s="26" t="n">
        <v>-1150</v>
      </c>
      <c r="M908" s="27" t="n">
        <v>1.086957</v>
      </c>
      <c r="N908" s="28" t="n">
        <v>0.92</v>
      </c>
      <c r="O908" s="28" t="n">
        <v>0.8942</v>
      </c>
      <c r="P908" s="28" t="n">
        <v>0.05</v>
      </c>
      <c r="Q908" s="28" t="n">
        <v>-0.0258</v>
      </c>
      <c r="R908" s="26" t="n">
        <v>7</v>
      </c>
      <c r="S908" s="29" t="n">
        <v>1</v>
      </c>
      <c r="T908" s="24" t="inlineStr">
        <is>
          <t>tennis-surface-elo-v1</t>
        </is>
      </c>
      <c r="U908" s="24" t="inlineStr">
        <is>
          <t>settled</t>
        </is>
      </c>
      <c r="V908" s="24" t="inlineStr">
        <is>
          <t>win</t>
        </is>
      </c>
      <c r="W908" s="26" t="n">
        <v>1</v>
      </c>
      <c r="X908" s="26" t="n">
        <v>0</v>
      </c>
      <c r="Y908" s="25" t="n"/>
      <c r="Z908" s="26" t="n">
        <v>-1150</v>
      </c>
      <c r="AA908" s="28" t="n">
        <v>0.92</v>
      </c>
      <c r="AB908" s="28" t="n">
        <v>0</v>
      </c>
      <c r="AC908" s="30" t="n">
        <v>0.08699999999999999</v>
      </c>
      <c r="AD908" s="24" t="inlineStr">
        <is>
          <t>2026-09-03T04:32:20.803747Z</t>
        </is>
      </c>
      <c r="AE908" s="31" t="inlineStr">
        <is>
          <t>Surface-blended Elo on Hard: Carlos Alcaraz p=0.894 vs Jaime Faria. Executable ask 0.9200 (aec-atp-jaifar-caralc-2026-09-01).</t>
        </is>
      </c>
      <c r="AF908" s="31" t="inlineStr">
        <is>
          <t>Surface-blended Elo model; singles only, WTA+ATP market coverage, not yet locked-holdout qualified -- promoted by explicit operator directive, not genuine walk-forward validation.</t>
        </is>
      </c>
      <c r="AG908" s="24" t="inlineStr">
        <is>
          <t>not_applicable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PAPER_CALL_LOW_EDGE</t>
        </is>
      </c>
      <c r="AP908" s="24" t="inlineStr">
        <is>
          <t>Carlos Alcaraz</t>
        </is>
      </c>
      <c r="AQ908" s="24" t="inlineStr">
        <is>
          <t>Carlos Alcaraz</t>
        </is>
      </c>
      <c r="AR908" s="24" t="inlineStr">
        <is>
          <t>Carlos Alcaraz</t>
        </is>
      </c>
      <c r="AS908" s="24" t="inlineStr">
        <is>
          <t>Jaime Faria</t>
        </is>
      </c>
      <c r="AT908" s="24" t="inlineStr">
        <is>
          <t>Jaime Faria</t>
        </is>
      </c>
      <c r="AU908" s="24" t="inlineStr">
        <is>
          <t>Jaime Faria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0ce66f49b381187fe6255a40ca2fdbfc155d5e36125ccf6d30fe81a72962eafa</t>
        </is>
      </c>
      <c r="BB908" s="24" t="inlineStr">
        <is>
          <t>surface_blended_elo</t>
        </is>
      </c>
      <c r="BC908" s="24" t="inlineStr">
        <is>
          <t>tennis-surface-elo-v1</t>
        </is>
      </c>
      <c r="BD908" s="24" t="inlineStr">
        <is>
          <t>0ce66f49b381187fe6255a40ca2fdbfc155d5e36125ccf6d30fe81a72962eafa</t>
        </is>
      </c>
      <c r="BE908" s="24" t="inlineStr">
        <is>
          <t>tennis-surface-elo-v1</t>
        </is>
      </c>
      <c r="BF908" s="24" t="inlineStr">
        <is>
          <t>1</t>
        </is>
      </c>
      <c r="BG908" s="24" t="inlineStr">
        <is>
          <t>0ce66f49b381187fe6255a40ca2fdbfc155d5e36125ccf6d30fe81a72962eafa</t>
        </is>
      </c>
      <c r="BH908" s="24" t="inlineStr">
        <is>
          <t>2026-09-02T16:07:13.889512Z</t>
        </is>
      </c>
      <c r="BI908" s="24" t="inlineStr">
        <is>
          <t>["same_event","same_team_same_day","same_league_same_day"]</t>
        </is>
      </c>
      <c r="BJ908" s="25" t="n"/>
      <c r="BK908" s="26" t="n">
        <v>-1150</v>
      </c>
      <c r="BL908" s="27" t="n">
        <v>1.086957</v>
      </c>
      <c r="BM908" s="28" t="n">
        <v>0.92</v>
      </c>
      <c r="BN908" s="28" t="n"/>
      <c r="BO908" s="28" t="n"/>
      <c r="BP908" s="25" t="n"/>
      <c r="BQ908" s="27" t="n">
        <v>1.086957</v>
      </c>
      <c r="BR908" s="28" t="n">
        <v>0.92</v>
      </c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False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inlineStr">
        <is>
          <t>631cc7640fa4963454868686b6fbafe234ce2ef23c52ec3363d7d58b1835446a</t>
        </is>
      </c>
      <c r="DE908" s="24" t="inlineStr">
        <is>
          <t>/Users/vincentc9002/model-prediction/data/odds/tennis/2026-09-02/polymarket_snapshots.jsonl</t>
        </is>
      </c>
      <c r="DF908" s="24" t="inlineStr">
        <is>
          <t>598856:2026-09-02T16:07:13.889512Z</t>
        </is>
      </c>
      <c r="DG908" s="24" t="n"/>
      <c r="DH908" s="24" t="n"/>
      <c r="DI908" s="24" t="n"/>
      <c r="DJ908" s="24" t="inlineStr">
        <is>
          <t>0.92</t>
        </is>
      </c>
      <c r="DK908" s="24" t="n"/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a17796a893a64800</t>
        </is>
      </c>
      <c r="B909" s="24" t="inlineStr">
        <is>
          <t>2026-09-03T04:35:26.297680Z</t>
        </is>
      </c>
      <c r="C909" s="24" t="inlineStr">
        <is>
          <t>2026-09-03T15:00Z</t>
        </is>
      </c>
      <c r="D909" s="24" t="inlineStr">
        <is>
          <t>189-2026:182534</t>
        </is>
      </c>
      <c r="E909" s="24" t="inlineStr">
        <is>
          <t>TENNIS</t>
        </is>
      </c>
      <c r="F909" s="24" t="inlineStr">
        <is>
          <t>Anna Bondar</t>
        </is>
      </c>
      <c r="G909" s="24" t="inlineStr">
        <is>
          <t>Madison Keys</t>
        </is>
      </c>
      <c r="H909" s="24" t="inlineStr">
        <is>
          <t>moneyline</t>
        </is>
      </c>
      <c r="I909" s="24" t="inlineStr">
        <is>
          <t>home</t>
        </is>
      </c>
      <c r="J909" s="25" t="n"/>
      <c r="K909" s="24" t="inlineStr">
        <is>
          <t>polymarket_us</t>
        </is>
      </c>
      <c r="L909" s="26" t="n">
        <v>-770</v>
      </c>
      <c r="M909" s="27" t="n">
        <v>1.12987</v>
      </c>
      <c r="N909" s="28" t="n">
        <v>0.885057</v>
      </c>
      <c r="O909" s="28" t="n">
        <v>0.7316</v>
      </c>
      <c r="P909" s="28" t="n">
        <v>0.05</v>
      </c>
      <c r="Q909" s="28" t="n">
        <v>-0.153457</v>
      </c>
      <c r="R909" s="26" t="n">
        <v>0</v>
      </c>
      <c r="S909" s="29" t="n">
        <v>1</v>
      </c>
      <c r="T909" s="24" t="inlineStr">
        <is>
          <t>tennis-surface-elo-v1</t>
        </is>
      </c>
      <c r="U909" s="24" t="inlineStr">
        <is>
          <t>settled</t>
        </is>
      </c>
      <c r="V909" s="24" t="inlineStr">
        <is>
          <t>win</t>
        </is>
      </c>
      <c r="W909" s="26" t="n">
        <v>0</v>
      </c>
      <c r="X909" s="26" t="n">
        <v>1</v>
      </c>
      <c r="Y909" s="25" t="n"/>
      <c r="Z909" s="26" t="n">
        <v>-770</v>
      </c>
      <c r="AA909" s="28" t="n">
        <v>0.885</v>
      </c>
      <c r="AB909" s="28" t="n">
        <v>-5.7e-05</v>
      </c>
      <c r="AC909" s="30" t="n">
        <v>0.1299</v>
      </c>
      <c r="AD909" s="24" t="inlineStr">
        <is>
          <t>2026-09-04T04:32:07.599744Z</t>
        </is>
      </c>
      <c r="AE909" s="31" t="inlineStr">
        <is>
          <t>Surface-blended Elo on Hard: Anna Bondar p=0.268 vs Madison Keys. Executable ask 0.8850 (aec-wta-madkey-annbon-2026-09-02).</t>
        </is>
      </c>
      <c r="AF909" s="31" t="inlineStr">
        <is>
          <t>Surface-blended Elo model; singles only, WTA+ATP market coverage, not yet locked-holdout qualified -- promoted by explicit operator directive, not genuine walk-forward validation.</t>
        </is>
      </c>
      <c r="AG909" s="24" t="inlineStr">
        <is>
          <t>not_applicable</t>
        </is>
      </c>
      <c r="AH909" s="24" t="n"/>
      <c r="AI909" s="31" t="n"/>
      <c r="AJ909" s="31" t="n"/>
      <c r="AK909" s="24" t="inlineStr">
        <is>
          <t>paper_call</t>
        </is>
      </c>
      <c r="AL909" s="26" t="n">
        <v>4</v>
      </c>
      <c r="AM909" s="24" t="inlineStr">
        <is>
          <t>RESEARCH_OBSERVATION</t>
        </is>
      </c>
      <c r="AN909" s="24" t="inlineStr">
        <is>
          <t>CALL</t>
        </is>
      </c>
      <c r="AO909" s="24" t="inlineStr">
        <is>
          <t>PAPER_CALL_LOW_EDGE</t>
        </is>
      </c>
      <c r="AP909" s="24" t="inlineStr">
        <is>
          <t>Anna Bondar</t>
        </is>
      </c>
      <c r="AQ909" s="24" t="inlineStr">
        <is>
          <t>Anna Bondar</t>
        </is>
      </c>
      <c r="AR909" s="24" t="inlineStr">
        <is>
          <t>Anna Bondar</t>
        </is>
      </c>
      <c r="AS909" s="24" t="inlineStr">
        <is>
          <t>Madison Keys</t>
        </is>
      </c>
      <c r="AT909" s="24" t="inlineStr">
        <is>
          <t>Madison Keys</t>
        </is>
      </c>
      <c r="AU909" s="24" t="inlineStr">
        <is>
          <t>Madison Keys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0ce66f49b381187fe6255a40ca2fdbfc155d5e36125ccf6d30fe81a72962eafa</t>
        </is>
      </c>
      <c r="BB909" s="24" t="inlineStr">
        <is>
          <t>surface_blended_elo</t>
        </is>
      </c>
      <c r="BC909" s="24" t="inlineStr">
        <is>
          <t>tennis-surface-elo-v1</t>
        </is>
      </c>
      <c r="BD909" s="24" t="inlineStr">
        <is>
          <t>0ce66f49b381187fe6255a40ca2fdbfc155d5e36125ccf6d30fe81a72962eafa</t>
        </is>
      </c>
      <c r="BE909" s="24" t="inlineStr">
        <is>
          <t>tennis-surface-elo-v1</t>
        </is>
      </c>
      <c r="BF909" s="24" t="inlineStr">
        <is>
          <t>1</t>
        </is>
      </c>
      <c r="BG909" s="24" t="inlineStr">
        <is>
          <t>0ce66f49b381187fe6255a40ca2fdbfc155d5e36125ccf6d30fe81a72962eafa</t>
        </is>
      </c>
      <c r="BH909" s="24" t="inlineStr">
        <is>
          <t>2026-09-03T04:34:41.694396Z</t>
        </is>
      </c>
      <c r="BI909" s="24" t="inlineStr">
        <is>
          <t>["same_event","same_team_same_day","same_league_same_day"]</t>
        </is>
      </c>
      <c r="BJ909" s="25" t="n"/>
      <c r="BK909" s="26" t="n">
        <v>-770</v>
      </c>
      <c r="BL909" s="27" t="n">
        <v>1.12987</v>
      </c>
      <c r="BM909" s="28" t="n">
        <v>0.885057</v>
      </c>
      <c r="BN909" s="28" t="n"/>
      <c r="BO909" s="28" t="n"/>
      <c r="BP909" s="25" t="n"/>
      <c r="BQ909" s="27" t="n">
        <v>1.12987</v>
      </c>
      <c r="BR909" s="28" t="n">
        <v>0.885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False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inlineStr">
        <is>
          <t>43007064512c06c9249bf77b98bce158c9dc8c5cf18e9907519dac91467fa631</t>
        </is>
      </c>
      <c r="DE909" s="24" t="inlineStr">
        <is>
          <t>/Users/vincentc9002/model-prediction/data/odds/tennis/2026-09-03/polymarket_snapshots.jsonl</t>
        </is>
      </c>
      <c r="DF909" s="24" t="inlineStr">
        <is>
          <t>609868:2026-09-03T04:34:41.694396Z</t>
        </is>
      </c>
      <c r="DG909" s="24" t="n"/>
      <c r="DH909" s="24" t="n"/>
      <c r="DI909" s="24" t="n"/>
      <c r="DJ909" s="24" t="inlineStr">
        <is>
          <t>0.885057</t>
        </is>
      </c>
      <c r="DK909" s="24" t="n"/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c17f8fbd333642e9</t>
        </is>
      </c>
      <c r="B910" s="24" t="inlineStr">
        <is>
          <t>2026-09-03T04:35:26.297680Z</t>
        </is>
      </c>
      <c r="C910" s="24" t="inlineStr">
        <is>
          <t>2026-09-03T15:00Z</t>
        </is>
      </c>
      <c r="D910" s="24" t="inlineStr">
        <is>
          <t>189-2026:182572</t>
        </is>
      </c>
      <c r="E910" s="24" t="inlineStr">
        <is>
          <t>TENNIS</t>
        </is>
      </c>
      <c r="F910" s="24" t="inlineStr">
        <is>
          <t>Leolia Jeanjean</t>
        </is>
      </c>
      <c r="G910" s="24" t="inlineStr">
        <is>
          <t>Anastasia Potapova</t>
        </is>
      </c>
      <c r="H910" s="24" t="inlineStr">
        <is>
          <t>moneyline</t>
        </is>
      </c>
      <c r="I910" s="24" t="inlineStr">
        <is>
          <t>home</t>
        </is>
      </c>
      <c r="J910" s="25" t="n"/>
      <c r="K910" s="24" t="inlineStr">
        <is>
          <t>polymarket_us</t>
        </is>
      </c>
      <c r="L910" s="26" t="n">
        <v>-344</v>
      </c>
      <c r="M910" s="27" t="n">
        <v>1.290698</v>
      </c>
      <c r="N910" s="28" t="n">
        <v>0.774775</v>
      </c>
      <c r="O910" s="28" t="n">
        <v>0.6689000000000001</v>
      </c>
      <c r="P910" s="28" t="n">
        <v>0.05</v>
      </c>
      <c r="Q910" s="28" t="n">
        <v>-0.105875</v>
      </c>
      <c r="R910" s="26" t="n">
        <v>0</v>
      </c>
      <c r="S910" s="29" t="n">
        <v>1</v>
      </c>
      <c r="T910" s="24" t="inlineStr">
        <is>
          <t>tennis-surface-elo-v1</t>
        </is>
      </c>
      <c r="U910" s="24" t="inlineStr">
        <is>
          <t>settled</t>
        </is>
      </c>
      <c r="V910" s="24" t="inlineStr">
        <is>
          <t>win</t>
        </is>
      </c>
      <c r="W910" s="26" t="n">
        <v>0</v>
      </c>
      <c r="X910" s="26" t="n">
        <v>1</v>
      </c>
      <c r="Y910" s="25" t="n"/>
      <c r="Z910" s="26" t="n">
        <v>-344</v>
      </c>
      <c r="AA910" s="28" t="n">
        <v>0.775</v>
      </c>
      <c r="AB910" s="28" t="n">
        <v>0.000225</v>
      </c>
      <c r="AC910" s="30" t="n">
        <v>0.2907</v>
      </c>
      <c r="AD910" s="24" t="inlineStr">
        <is>
          <t>2026-09-04T04:32:08.390399Z</t>
        </is>
      </c>
      <c r="AE910" s="31" t="inlineStr">
        <is>
          <t>Surface-blended Elo on Hard: Leolia Jeanjean p=0.331 vs Anastasia Potapova. Executable ask 0.7750 (aec-wta-anapot-leojea-2026-09-03).</t>
        </is>
      </c>
      <c r="AF910" s="31" t="inlineStr">
        <is>
          <t>Surface-blended Elo model; singles only, WTA+ATP market coverage, not yet locked-holdout qualified -- promoted by explicit operator directive, not genuine walk-forward validation.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PAPER_CALL_LOW_EDGE</t>
        </is>
      </c>
      <c r="AP910" s="24" t="inlineStr">
        <is>
          <t>Leolia Jeanjean</t>
        </is>
      </c>
      <c r="AQ910" s="24" t="inlineStr">
        <is>
          <t>Leolia Jeanjean</t>
        </is>
      </c>
      <c r="AR910" s="24" t="inlineStr">
        <is>
          <t>Leolia Jeanjean</t>
        </is>
      </c>
      <c r="AS910" s="24" t="inlineStr">
        <is>
          <t>Anastasia Potapova</t>
        </is>
      </c>
      <c r="AT910" s="24" t="inlineStr">
        <is>
          <t>Anastasia Potapova</t>
        </is>
      </c>
      <c r="AU910" s="24" t="inlineStr">
        <is>
          <t>Anastasia Potapova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0ce66f49b381187fe6255a40ca2fdbfc155d5e36125ccf6d30fe81a72962eafa</t>
        </is>
      </c>
      <c r="BB910" s="24" t="inlineStr">
        <is>
          <t>surface_blended_elo</t>
        </is>
      </c>
      <c r="BC910" s="24" t="inlineStr">
        <is>
          <t>tennis-surface-elo-v1</t>
        </is>
      </c>
      <c r="BD910" s="24" t="inlineStr">
        <is>
          <t>0ce66f49b381187fe6255a40ca2fdbfc155d5e36125ccf6d30fe81a72962eafa</t>
        </is>
      </c>
      <c r="BE910" s="24" t="inlineStr">
        <is>
          <t>tennis-surface-elo-v1</t>
        </is>
      </c>
      <c r="BF910" s="24" t="inlineStr">
        <is>
          <t>1</t>
        </is>
      </c>
      <c r="BG910" s="24" t="inlineStr">
        <is>
          <t>0ce66f49b381187fe6255a40ca2fdbfc155d5e36125ccf6d30fe81a72962eafa</t>
        </is>
      </c>
      <c r="BH910" s="24" t="inlineStr">
        <is>
          <t>2026-09-03T04:34:41.560049Z</t>
        </is>
      </c>
      <c r="BI910" s="24" t="inlineStr">
        <is>
          <t>["same_event","same_team_same_day","same_league_same_day"]</t>
        </is>
      </c>
      <c r="BJ910" s="25" t="n"/>
      <c r="BK910" s="26" t="n">
        <v>-344</v>
      </c>
      <c r="BL910" s="27" t="n">
        <v>1.290698</v>
      </c>
      <c r="BM910" s="28" t="n">
        <v>0.774775</v>
      </c>
      <c r="BN910" s="28" t="n"/>
      <c r="BO910" s="28" t="n"/>
      <c r="BP910" s="25" t="n"/>
      <c r="BQ910" s="27" t="n">
        <v>1.290698</v>
      </c>
      <c r="BR910" s="28" t="n">
        <v>0.775</v>
      </c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inlineStr">
        <is>
          <t>8c359ec117d3931d28a8c65925cc0dbe85a0e202561252f4a97e079df29a8bdb</t>
        </is>
      </c>
      <c r="DE910" s="24" t="inlineStr">
        <is>
          <t>/Users/vincentc9002/model-prediction/data/odds/tennis/2026-09-03/polymarket_snapshots.jsonl</t>
        </is>
      </c>
      <c r="DF910" s="24" t="inlineStr">
        <is>
          <t>612966:2026-09-03T04:34:41.560049Z</t>
        </is>
      </c>
      <c r="DG910" s="24" t="n"/>
      <c r="DH910" s="24" t="n"/>
      <c r="DI910" s="24" t="n"/>
      <c r="DJ910" s="24" t="inlineStr">
        <is>
          <t>0.774775</t>
        </is>
      </c>
      <c r="DK910" s="24" t="n"/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3af4c656834d4323</t>
        </is>
      </c>
      <c r="B911" s="24" t="inlineStr">
        <is>
          <t>2026-09-03T04:35:26.297680Z</t>
        </is>
      </c>
      <c r="C911" s="24" t="inlineStr">
        <is>
          <t>2026-09-03T15:00Z</t>
        </is>
      </c>
      <c r="D911" s="24" t="inlineStr">
        <is>
          <t>189-2026:182574</t>
        </is>
      </c>
      <c r="E911" s="24" t="inlineStr">
        <is>
          <t>TENNIS</t>
        </is>
      </c>
      <c r="F911" s="24" t="inlineStr">
        <is>
          <t>Elise Mertens</t>
        </is>
      </c>
      <c r="G911" s="24" t="inlineStr">
        <is>
          <t>Maria Timofeeva</t>
        </is>
      </c>
      <c r="H911" s="24" t="inlineStr">
        <is>
          <t>moneyline</t>
        </is>
      </c>
      <c r="I911" s="24" t="inlineStr">
        <is>
          <t>away</t>
        </is>
      </c>
      <c r="J911" s="25" t="n"/>
      <c r="K911" s="24" t="inlineStr">
        <is>
          <t>polymarket_us</t>
        </is>
      </c>
      <c r="L911" s="26" t="n">
        <v>-292</v>
      </c>
      <c r="M911" s="27" t="n">
        <v>1.342466</v>
      </c>
      <c r="N911" s="28" t="n">
        <v>0.7448979999999999</v>
      </c>
      <c r="O911" s="28" t="n">
        <v>0.6181</v>
      </c>
      <c r="P911" s="28" t="n">
        <v>0.05</v>
      </c>
      <c r="Q911" s="28" t="n">
        <v>-0.126798</v>
      </c>
      <c r="R911" s="26" t="n">
        <v>0</v>
      </c>
      <c r="S911" s="29" t="n">
        <v>1</v>
      </c>
      <c r="T911" s="24" t="inlineStr">
        <is>
          <t>tennis-surface-elo-v1</t>
        </is>
      </c>
      <c r="U911" s="24" t="inlineStr">
        <is>
          <t>settled</t>
        </is>
      </c>
      <c r="V911" s="24" t="inlineStr">
        <is>
          <t>win</t>
        </is>
      </c>
      <c r="W911" s="26" t="n">
        <v>1</v>
      </c>
      <c r="X911" s="26" t="n">
        <v>0</v>
      </c>
      <c r="Y911" s="25" t="n"/>
      <c r="Z911" s="26" t="n">
        <v>-292</v>
      </c>
      <c r="AA911" s="28" t="n">
        <v>0.745</v>
      </c>
      <c r="AB911" s="28" t="n">
        <v>0.000102</v>
      </c>
      <c r="AC911" s="30" t="n">
        <v>0.3425</v>
      </c>
      <c r="AD911" s="24" t="inlineStr">
        <is>
          <t>2026-09-04T04:32:09.197867Z</t>
        </is>
      </c>
      <c r="AE911" s="31" t="inlineStr">
        <is>
          <t>Surface-blended Elo on Hard: Elise Mertens p=0.618 vs Maria Timofeeva. Executable ask 0.7450 (aec-wta-martim-elimer-2026-09-02).</t>
        </is>
      </c>
      <c r="AF911" s="31" t="inlineStr">
        <is>
          <t>Surface-blended Elo model; singles only, WTA+ATP market coverage, not yet locked-holdout qualified -- promoted by explicit operator directive, not genuine walk-forward validation.</t>
        </is>
      </c>
      <c r="AG911" s="24" t="inlineStr">
        <is>
          <t>not_applicable</t>
        </is>
      </c>
      <c r="AH911" s="24" t="n"/>
      <c r="AI911" s="31" t="n"/>
      <c r="AJ911" s="31" t="n"/>
      <c r="AK911" s="24" t="inlineStr">
        <is>
          <t>paper_call</t>
        </is>
      </c>
      <c r="AL911" s="26" t="n">
        <v>4</v>
      </c>
      <c r="AM911" s="24" t="inlineStr">
        <is>
          <t>RESEARCH_OBSERVATION</t>
        </is>
      </c>
      <c r="AN911" s="24" t="inlineStr">
        <is>
          <t>CALL</t>
        </is>
      </c>
      <c r="AO911" s="24" t="inlineStr">
        <is>
          <t>PAPER_CALL_LOW_EDGE</t>
        </is>
      </c>
      <c r="AP911" s="24" t="inlineStr">
        <is>
          <t>Elise Mertens</t>
        </is>
      </c>
      <c r="AQ911" s="24" t="inlineStr">
        <is>
          <t>Elise Mertens</t>
        </is>
      </c>
      <c r="AR911" s="24" t="inlineStr">
        <is>
          <t>Elise Mertens</t>
        </is>
      </c>
      <c r="AS911" s="24" t="inlineStr">
        <is>
          <t>Maria Timofeeva</t>
        </is>
      </c>
      <c r="AT911" s="24" t="inlineStr">
        <is>
          <t>Maria Timofeeva</t>
        </is>
      </c>
      <c r="AU911" s="24" t="inlineStr">
        <is>
          <t>Maria Timofeeva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0ce66f49b381187fe6255a40ca2fdbfc155d5e36125ccf6d30fe81a72962eafa</t>
        </is>
      </c>
      <c r="BB911" s="24" t="inlineStr">
        <is>
          <t>surface_blended_elo</t>
        </is>
      </c>
      <c r="BC911" s="24" t="inlineStr">
        <is>
          <t>tennis-surface-elo-v1</t>
        </is>
      </c>
      <c r="BD911" s="24" t="inlineStr">
        <is>
          <t>0ce66f49b381187fe6255a40ca2fdbfc155d5e36125ccf6d30fe81a72962eafa</t>
        </is>
      </c>
      <c r="BE911" s="24" t="inlineStr">
        <is>
          <t>tennis-surface-elo-v1</t>
        </is>
      </c>
      <c r="BF911" s="24" t="inlineStr">
        <is>
          <t>1</t>
        </is>
      </c>
      <c r="BG911" s="24" t="inlineStr">
        <is>
          <t>0ce66f49b381187fe6255a40ca2fdbfc155d5e36125ccf6d30fe81a72962eafa</t>
        </is>
      </c>
      <c r="BH911" s="24" t="inlineStr">
        <is>
          <t>2026-09-03T04:34:41.656959Z</t>
        </is>
      </c>
      <c r="BI911" s="24" t="inlineStr">
        <is>
          <t>["same_event","same_team_same_day","same_league_same_day"]</t>
        </is>
      </c>
      <c r="BJ911" s="25" t="n"/>
      <c r="BK911" s="26" t="n">
        <v>-292</v>
      </c>
      <c r="BL911" s="27" t="n">
        <v>1.342466</v>
      </c>
      <c r="BM911" s="28" t="n">
        <v>0.7448979999999999</v>
      </c>
      <c r="BN911" s="28" t="n"/>
      <c r="BO911" s="28" t="n"/>
      <c r="BP911" s="25" t="n"/>
      <c r="BQ911" s="27" t="n">
        <v>1.342466</v>
      </c>
      <c r="BR911" s="28" t="n">
        <v>0.745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inlineStr">
        <is>
          <t>bd711a8921f898b1175d11af8c7b73187e0e81b632007bfe64f17fc11afd4708</t>
        </is>
      </c>
      <c r="DE911" s="24" t="inlineStr">
        <is>
          <t>/Users/vincentc9002/model-prediction/data/odds/tennis/2026-09-03/polymarket_snapshots.jsonl</t>
        </is>
      </c>
      <c r="DF911" s="24" t="inlineStr">
        <is>
          <t>610969:2026-09-03T04:34:41.656959Z</t>
        </is>
      </c>
      <c r="DG911" s="24" t="n"/>
      <c r="DH911" s="24" t="n"/>
      <c r="DI911" s="24" t="n"/>
      <c r="DJ911" s="24" t="inlineStr">
        <is>
          <t>0.744898</t>
        </is>
      </c>
      <c r="DK911" s="24" t="n"/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5a34591310204f02</t>
        </is>
      </c>
      <c r="B912" s="24" t="inlineStr">
        <is>
          <t>2026-09-03T04:35:26.297680Z</t>
        </is>
      </c>
      <c r="C912" s="24" t="inlineStr">
        <is>
          <t>2026-09-03T15:00Z</t>
        </is>
      </c>
      <c r="D912" s="24" t="inlineStr">
        <is>
          <t>189-2026:182698</t>
        </is>
      </c>
      <c r="E912" s="24" t="inlineStr">
        <is>
          <t>TENNIS</t>
        </is>
      </c>
      <c r="F912" s="24" t="inlineStr">
        <is>
          <t>Karen Khachanov</t>
        </is>
      </c>
      <c r="G912" s="24" t="inlineStr">
        <is>
          <t>Felix Auger-Aliassime</t>
        </is>
      </c>
      <c r="H912" s="24" t="inlineStr">
        <is>
          <t>moneyline</t>
        </is>
      </c>
      <c r="I912" s="24" t="inlineStr">
        <is>
          <t>home</t>
        </is>
      </c>
      <c r="J912" s="25" t="n"/>
      <c r="K912" s="24" t="inlineStr">
        <is>
          <t>polymarket_us</t>
        </is>
      </c>
      <c r="L912" s="26" t="n">
        <v>-257</v>
      </c>
      <c r="M912" s="27" t="n">
        <v>1.389105</v>
      </c>
      <c r="N912" s="28" t="n">
        <v>0.719888</v>
      </c>
      <c r="O912" s="28" t="n">
        <v>0.7754</v>
      </c>
      <c r="P912" s="28" t="n">
        <v>0.05</v>
      </c>
      <c r="Q912" s="28" t="n">
        <v>0.055512</v>
      </c>
      <c r="R912" s="26" t="n">
        <v>48</v>
      </c>
      <c r="S912" s="29" t="n">
        <v>1</v>
      </c>
      <c r="T912" s="24" t="inlineStr">
        <is>
          <t>tennis-surface-elo-v1</t>
        </is>
      </c>
      <c r="U912" s="24" t="inlineStr">
        <is>
          <t>settled</t>
        </is>
      </c>
      <c r="V912" s="24" t="inlineStr">
        <is>
          <t>loss</t>
        </is>
      </c>
      <c r="W912" s="26" t="n">
        <v>1</v>
      </c>
      <c r="X912" s="26" t="n">
        <v>0</v>
      </c>
      <c r="Y912" s="25" t="n"/>
      <c r="Z912" s="26" t="n">
        <v>-257</v>
      </c>
      <c r="AA912" s="28" t="n">
        <v>0.72</v>
      </c>
      <c r="AB912" s="28" t="n">
        <v>0.000112</v>
      </c>
      <c r="AC912" s="30" t="n">
        <v>-1</v>
      </c>
      <c r="AD912" s="24" t="inlineStr">
        <is>
          <t>2026-09-04T04:32:09.980749Z</t>
        </is>
      </c>
      <c r="AE912" s="31" t="inlineStr">
        <is>
          <t>Surface-blended Elo on Hard: Karen Khachanov p=0.225 vs Felix Auger-Aliassime. Executable ask 0.7200 (aec-atp-felaug-karkha-2026-09-02).</t>
        </is>
      </c>
      <c r="AF912" s="31" t="inlineStr">
        <is>
          <t>Surface-blended Elo model; singles only, WTA+ATP market coverage, not yet locked-holdout qualified -- promoted by explicit operator directive, not genuine walk-forward validation.</t>
        </is>
      </c>
      <c r="AG912" s="24" t="inlineStr">
        <is>
          <t>review_required</t>
        </is>
      </c>
      <c r="AH912" s="24" t="n"/>
      <c r="AI912" s="31" t="n"/>
      <c r="AJ912" s="31" t="n"/>
      <c r="AK912" s="24" t="inlineStr">
        <is>
          <t>model_qualified</t>
        </is>
      </c>
      <c r="AL912" s="26" t="n">
        <v>4</v>
      </c>
      <c r="AM912" s="24" t="inlineStr">
        <is>
          <t>QUALIFIED_SHADOW_CALL</t>
        </is>
      </c>
      <c r="AN912" s="24" t="inlineStr">
        <is>
          <t>CALL</t>
        </is>
      </c>
      <c r="AO912" s="24" t="inlineStr">
        <is>
          <t>QUALIFIED</t>
        </is>
      </c>
      <c r="AP912" s="24" t="inlineStr">
        <is>
          <t>Karen Khachanov</t>
        </is>
      </c>
      <c r="AQ912" s="24" t="inlineStr">
        <is>
          <t>Karen Khachanov</t>
        </is>
      </c>
      <c r="AR912" s="24" t="inlineStr">
        <is>
          <t>Karen Khachanov</t>
        </is>
      </c>
      <c r="AS912" s="24" t="inlineStr">
        <is>
          <t>Felix Auger-Aliassime</t>
        </is>
      </c>
      <c r="AT912" s="24" t="inlineStr">
        <is>
          <t>Felix Auger-Aliassime</t>
        </is>
      </c>
      <c r="AU912" s="24" t="inlineStr">
        <is>
          <t>Felix Auger-Aliassime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0ce66f49b381187fe6255a40ca2fdbfc155d5e36125ccf6d30fe81a72962eafa</t>
        </is>
      </c>
      <c r="BB912" s="24" t="inlineStr">
        <is>
          <t>surface_blended_elo</t>
        </is>
      </c>
      <c r="BC912" s="24" t="inlineStr">
        <is>
          <t>tennis-surface-elo-v1</t>
        </is>
      </c>
      <c r="BD912" s="24" t="inlineStr">
        <is>
          <t>0ce66f49b381187fe6255a40ca2fdbfc155d5e36125ccf6d30fe81a72962eafa</t>
        </is>
      </c>
      <c r="BE912" s="24" t="inlineStr">
        <is>
          <t>tennis-surface-elo-v1</t>
        </is>
      </c>
      <c r="BF912" s="24" t="inlineStr">
        <is>
          <t>1</t>
        </is>
      </c>
      <c r="BG912" s="24" t="inlineStr">
        <is>
          <t>0ce66f49b381187fe6255a40ca2fdbfc155d5e36125ccf6d30fe81a72962eafa</t>
        </is>
      </c>
      <c r="BH912" s="24" t="inlineStr">
        <is>
          <t>2026-09-03T04:34:42.637769Z</t>
        </is>
      </c>
      <c r="BI912" s="24" t="inlineStr">
        <is>
          <t>["same_event","same_team_same_day","same_league_same_day"]</t>
        </is>
      </c>
      <c r="BJ912" s="25" t="n"/>
      <c r="BK912" s="26" t="n">
        <v>-257</v>
      </c>
      <c r="BL912" s="27" t="n">
        <v>1.389105</v>
      </c>
      <c r="BM912" s="28" t="n">
        <v>0.719888</v>
      </c>
      <c r="BN912" s="28" t="n"/>
      <c r="BO912" s="28" t="n"/>
      <c r="BP912" s="25" t="n"/>
      <c r="BQ912" s="27" t="n">
        <v>1.389105</v>
      </c>
      <c r="BR912" s="28" t="n">
        <v>0.72</v>
      </c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inlineStr">
        <is>
          <t>9cf465cc84ac33f4feb62aa77ea64a6be9d086a98ea6009d57653d13c1dccc97</t>
        </is>
      </c>
      <c r="DE912" s="24" t="inlineStr">
        <is>
          <t>/Users/vincentc9002/model-prediction/data/odds/tennis/2026-09-03/polymarket_snapshots.jsonl</t>
        </is>
      </c>
      <c r="DF912" s="24" t="inlineStr">
        <is>
          <t>602333:2026-09-03T04:34:42.637769Z</t>
        </is>
      </c>
      <c r="DG912" s="24" t="n"/>
      <c r="DH912" s="24" t="n"/>
      <c r="DI912" s="24" t="n"/>
      <c r="DJ912" s="24" t="inlineStr">
        <is>
          <t>0.719888</t>
        </is>
      </c>
      <c r="DK912" s="24" t="n"/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36f19072597a48c8</t>
        </is>
      </c>
      <c r="B913" s="24" t="inlineStr">
        <is>
          <t>2026-09-03T04:35:26.297680Z</t>
        </is>
      </c>
      <c r="C913" s="24" t="inlineStr">
        <is>
          <t>2026-09-03T15:00Z</t>
        </is>
      </c>
      <c r="D913" s="24" t="inlineStr">
        <is>
          <t>189-2026:182713</t>
        </is>
      </c>
      <c r="E913" s="24" t="inlineStr">
        <is>
          <t>TENNIS</t>
        </is>
      </c>
      <c r="F913" s="24" t="inlineStr">
        <is>
          <t>Dalibor Svrcina</t>
        </is>
      </c>
      <c r="G913" s="24" t="inlineStr">
        <is>
          <t>Luciano Darderi</t>
        </is>
      </c>
      <c r="H913" s="24" t="inlineStr">
        <is>
          <t>moneyline</t>
        </is>
      </c>
      <c r="I913" s="24" t="inlineStr">
        <is>
          <t>home</t>
        </is>
      </c>
      <c r="J913" s="25" t="n"/>
      <c r="K913" s="24" t="inlineStr">
        <is>
          <t>polymarket_us</t>
        </is>
      </c>
      <c r="L913" s="26" t="n">
        <v>-133</v>
      </c>
      <c r="M913" s="27" t="n">
        <v>1.75188</v>
      </c>
      <c r="N913" s="28" t="n">
        <v>0.570815</v>
      </c>
      <c r="O913" s="28" t="n">
        <v>0.6375999999999999</v>
      </c>
      <c r="P913" s="28" t="n">
        <v>0.05</v>
      </c>
      <c r="Q913" s="28" t="n">
        <v>0.066785</v>
      </c>
      <c r="R913" s="26" t="n">
        <v>53</v>
      </c>
      <c r="S913" s="29" t="n">
        <v>1</v>
      </c>
      <c r="T913" s="24" t="inlineStr">
        <is>
          <t>tennis-surface-elo-v1</t>
        </is>
      </c>
      <c r="U913" s="24" t="inlineStr">
        <is>
          <t>settled</t>
        </is>
      </c>
      <c r="V913" s="24" t="inlineStr">
        <is>
          <t>win</t>
        </is>
      </c>
      <c r="W913" s="26" t="n">
        <v>0</v>
      </c>
      <c r="X913" s="26" t="n">
        <v>1</v>
      </c>
      <c r="Y913" s="25" t="n"/>
      <c r="Z913" s="26" t="n">
        <v>-133</v>
      </c>
      <c r="AA913" s="28" t="n">
        <v>0.57</v>
      </c>
      <c r="AB913" s="28" t="n">
        <v>-0.000815</v>
      </c>
      <c r="AC913" s="30" t="n">
        <v>0.7519</v>
      </c>
      <c r="AD913" s="24" t="inlineStr">
        <is>
          <t>2026-09-04T04:32:10.772904Z</t>
        </is>
      </c>
      <c r="AE913" s="31" t="inlineStr">
        <is>
          <t>Surface-blended Elo on Hard: Dalibor Svrcina p=0.362 vs Luciano Darderi. Executable ask 0.5700 (aec-atp-lucdar-dalsvr-2026-09-02).</t>
        </is>
      </c>
      <c r="AF913" s="31" t="inlineStr">
        <is>
          <t>Surface-blended Elo model; singles only, WTA+ATP market coverage, not yet locked-holdout qualified -- promoted by explicit operator directive, not genuine walk-forward validation.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Dalibor Svrcina</t>
        </is>
      </c>
      <c r="AQ913" s="24" t="inlineStr">
        <is>
          <t>Dalibor Svrcina</t>
        </is>
      </c>
      <c r="AR913" s="24" t="inlineStr">
        <is>
          <t>Dalibor Svrcina</t>
        </is>
      </c>
      <c r="AS913" s="24" t="inlineStr">
        <is>
          <t>Luciano Darderi</t>
        </is>
      </c>
      <c r="AT913" s="24" t="inlineStr">
        <is>
          <t>Luciano Darderi</t>
        </is>
      </c>
      <c r="AU913" s="24" t="inlineStr">
        <is>
          <t>Luciano Darderi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0ce66f49b381187fe6255a40ca2fdbfc155d5e36125ccf6d30fe81a72962eafa</t>
        </is>
      </c>
      <c r="BB913" s="24" t="inlineStr">
        <is>
          <t>surface_blended_elo</t>
        </is>
      </c>
      <c r="BC913" s="24" t="inlineStr">
        <is>
          <t>tennis-surface-elo-v1</t>
        </is>
      </c>
      <c r="BD913" s="24" t="inlineStr">
        <is>
          <t>0ce66f49b381187fe6255a40ca2fdbfc155d5e36125ccf6d30fe81a72962eafa</t>
        </is>
      </c>
      <c r="BE913" s="24" t="inlineStr">
        <is>
          <t>tennis-surface-elo-v1</t>
        </is>
      </c>
      <c r="BF913" s="24" t="inlineStr">
        <is>
          <t>1</t>
        </is>
      </c>
      <c r="BG913" s="24" t="inlineStr">
        <is>
          <t>0ce66f49b381187fe6255a40ca2fdbfc155d5e36125ccf6d30fe81a72962eafa</t>
        </is>
      </c>
      <c r="BH913" s="24" t="inlineStr">
        <is>
          <t>2026-09-03T04:34:42.786817Z</t>
        </is>
      </c>
      <c r="BI913" s="24" t="inlineStr">
        <is>
          <t>["same_event","same_team_same_day","same_league_same_day"]</t>
        </is>
      </c>
      <c r="BJ913" s="25" t="n"/>
      <c r="BK913" s="26" t="n">
        <v>-133</v>
      </c>
      <c r="BL913" s="27" t="n">
        <v>1.75188</v>
      </c>
      <c r="BM913" s="28" t="n">
        <v>0.570815</v>
      </c>
      <c r="BN913" s="28" t="n"/>
      <c r="BO913" s="28" t="n"/>
      <c r="BP913" s="25" t="n"/>
      <c r="BQ913" s="27" t="n">
        <v>1.75188</v>
      </c>
      <c r="BR913" s="28" t="n">
        <v>0.57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inlineStr">
        <is>
          <t>199ee2c9c2ee41648e7ad8ec29c7e3a1ff034d84d5b6a0135774e14d6cafdcb0</t>
        </is>
      </c>
      <c r="DE913" s="24" t="inlineStr">
        <is>
          <t>/Users/vincentc9002/model-prediction/data/odds/tennis/2026-09-03/polymarket_snapshots.jsonl</t>
        </is>
      </c>
      <c r="DF913" s="24" t="inlineStr">
        <is>
          <t>600379:2026-09-03T04:34:42.786817Z</t>
        </is>
      </c>
      <c r="DG913" s="24" t="n"/>
      <c r="DH913" s="24" t="n"/>
      <c r="DI913" s="24" t="n"/>
      <c r="DJ913" s="24" t="inlineStr">
        <is>
          <t>0.570815</t>
        </is>
      </c>
      <c r="DK913" s="24" t="n"/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dcddb2f8a63b4fc8</t>
        </is>
      </c>
      <c r="B914" s="24" t="inlineStr">
        <is>
          <t>2026-09-03T04:35:26.297680Z</t>
        </is>
      </c>
      <c r="C914" s="24" t="inlineStr">
        <is>
          <t>2026-09-03T15:00Z</t>
        </is>
      </c>
      <c r="D914" s="24" t="inlineStr">
        <is>
          <t>189-2026:182725</t>
        </is>
      </c>
      <c r="E914" s="24" t="inlineStr">
        <is>
          <t>TENNIS</t>
        </is>
      </c>
      <c r="F914" s="24" t="inlineStr">
        <is>
          <t>Francisco Cerundolo</t>
        </is>
      </c>
      <c r="G914" s="24" t="inlineStr">
        <is>
          <t>Jan-Lennard Struff</t>
        </is>
      </c>
      <c r="H914" s="24" t="inlineStr">
        <is>
          <t>moneyline</t>
        </is>
      </c>
      <c r="I914" s="24" t="inlineStr">
        <is>
          <t>away</t>
        </is>
      </c>
      <c r="J914" s="25" t="n"/>
      <c r="K914" s="24" t="inlineStr">
        <is>
          <t>polymarket_us</t>
        </is>
      </c>
      <c r="L914" s="26" t="n">
        <v>-156</v>
      </c>
      <c r="M914" s="27" t="n">
        <v>1.641026</v>
      </c>
      <c r="N914" s="28" t="n">
        <v>0.609375</v>
      </c>
      <c r="O914" s="28" t="n">
        <v>0.7209</v>
      </c>
      <c r="P914" s="28" t="n">
        <v>0.05</v>
      </c>
      <c r="Q914" s="28" t="n">
        <v>0.111525</v>
      </c>
      <c r="R914" s="26" t="n">
        <v>76</v>
      </c>
      <c r="S914" s="29" t="n">
        <v>1.5</v>
      </c>
      <c r="T914" s="24" t="inlineStr">
        <is>
          <t>tennis-surface-elo-v1</t>
        </is>
      </c>
      <c r="U914" s="24" t="inlineStr">
        <is>
          <t>settled</t>
        </is>
      </c>
      <c r="V914" s="24" t="inlineStr">
        <is>
          <t>win</t>
        </is>
      </c>
      <c r="W914" s="26" t="n">
        <v>1</v>
      </c>
      <c r="X914" s="26" t="n">
        <v>0</v>
      </c>
      <c r="Y914" s="25" t="n"/>
      <c r="Z914" s="26" t="n">
        <v>-156</v>
      </c>
      <c r="AA914" s="28" t="n">
        <v>0.61</v>
      </c>
      <c r="AB914" s="28" t="n">
        <v>0.000625</v>
      </c>
      <c r="AC914" s="30" t="n">
        <v>0.9615</v>
      </c>
      <c r="AD914" s="24" t="inlineStr">
        <is>
          <t>2026-09-04T04:32:11.560553Z</t>
        </is>
      </c>
      <c r="AE914" s="31" t="inlineStr">
        <is>
          <t>Surface-blended Elo on Hard: Francisco Cerundolo p=0.721 vs Jan-Lennard Struff. Executable ask 0.6100 (aec-atp-janstr-fracer-2026-09-02).</t>
        </is>
      </c>
      <c r="AF914" s="31" t="inlineStr">
        <is>
          <t>Surface-blended Elo model; singles only, WTA+ATP market coverage, not yet locked-holdout qualified -- promoted by explicit operator directive, not genuine walk-forward validation.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model_qualified</t>
        </is>
      </c>
      <c r="AL914" s="26" t="n">
        <v>4</v>
      </c>
      <c r="AM914" s="24" t="inlineStr">
        <is>
          <t>QUALIFIED_SHADOW_CALL</t>
        </is>
      </c>
      <c r="AN914" s="24" t="inlineStr">
        <is>
          <t>CALL</t>
        </is>
      </c>
      <c r="AO914" s="24" t="inlineStr">
        <is>
          <t>QUALIFIED</t>
        </is>
      </c>
      <c r="AP914" s="24" t="inlineStr">
        <is>
          <t>Francisco Cerundolo</t>
        </is>
      </c>
      <c r="AQ914" s="24" t="inlineStr">
        <is>
          <t>Francisco Cerundolo</t>
        </is>
      </c>
      <c r="AR914" s="24" t="inlineStr">
        <is>
          <t>Francisco Cerundolo</t>
        </is>
      </c>
      <c r="AS914" s="24" t="inlineStr">
        <is>
          <t>Jan-Lennard Struff</t>
        </is>
      </c>
      <c r="AT914" s="24" t="inlineStr">
        <is>
          <t>Jan-Lennard Struff</t>
        </is>
      </c>
      <c r="AU914" s="24" t="inlineStr">
        <is>
          <t>Jan-Lennard Struff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0ce66f49b381187fe6255a40ca2fdbfc155d5e36125ccf6d30fe81a72962eafa</t>
        </is>
      </c>
      <c r="BB914" s="24" t="inlineStr">
        <is>
          <t>surface_blended_elo</t>
        </is>
      </c>
      <c r="BC914" s="24" t="inlineStr">
        <is>
          <t>tennis-surface-elo-v1</t>
        </is>
      </c>
      <c r="BD914" s="24" t="inlineStr">
        <is>
          <t>0ce66f49b381187fe6255a40ca2fdbfc155d5e36125ccf6d30fe81a72962eafa</t>
        </is>
      </c>
      <c r="BE914" s="24" t="inlineStr">
        <is>
          <t>tennis-surface-elo-v1</t>
        </is>
      </c>
      <c r="BF914" s="24" t="inlineStr">
        <is>
          <t>1</t>
        </is>
      </c>
      <c r="BG914" s="24" t="inlineStr">
        <is>
          <t>0ce66f49b381187fe6255a40ca2fdbfc155d5e36125ccf6d30fe81a72962eafa</t>
        </is>
      </c>
      <c r="BH914" s="24" t="inlineStr">
        <is>
          <t>2026-09-03T04:34:42.690055Z</t>
        </is>
      </c>
      <c r="BI914" s="24" t="inlineStr">
        <is>
          <t>["same_event","same_team_same_day","same_league_same_day"]</t>
        </is>
      </c>
      <c r="BJ914" s="25" t="n"/>
      <c r="BK914" s="26" t="n">
        <v>-156</v>
      </c>
      <c r="BL914" s="27" t="n">
        <v>1.641026</v>
      </c>
      <c r="BM914" s="28" t="n">
        <v>0.609375</v>
      </c>
      <c r="BN914" s="28" t="n"/>
      <c r="BO914" s="28" t="n"/>
      <c r="BP914" s="25" t="n"/>
      <c r="BQ914" s="27" t="n">
        <v>1.641026</v>
      </c>
      <c r="BR914" s="28" t="n">
        <v>0.61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inlineStr">
        <is>
          <t>409b550cb1b1478247e527caf471f63d6e5aaa93b772a1b06998e3ffbd3d2ddd</t>
        </is>
      </c>
      <c r="DE914" s="24" t="inlineStr">
        <is>
          <t>/Users/vincentc9002/model-prediction/data/odds/tennis/2026-09-03/polymarket_snapshots.jsonl</t>
        </is>
      </c>
      <c r="DF914" s="24" t="inlineStr">
        <is>
          <t>610056:2026-09-03T04:34:42.690055Z</t>
        </is>
      </c>
      <c r="DG914" s="24" t="n"/>
      <c r="DH914" s="24" t="n"/>
      <c r="DI914" s="24" t="n"/>
      <c r="DJ914" s="24" t="inlineStr">
        <is>
          <t>0.609375</t>
        </is>
      </c>
      <c r="DK914" s="24" t="n"/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b9985acdc20244e2</t>
        </is>
      </c>
      <c r="B915" s="24" t="inlineStr">
        <is>
          <t>2026-09-03T16:11:19.815565Z</t>
        </is>
      </c>
      <c r="C915" s="24" t="inlineStr">
        <is>
          <t>2026-09-03T17:00Z</t>
        </is>
      </c>
      <c r="D915" s="24" t="inlineStr">
        <is>
          <t>189-2026:182556</t>
        </is>
      </c>
      <c r="E915" s="24" t="inlineStr">
        <is>
          <t>TENNIS</t>
        </is>
      </c>
      <c r="F915" s="24" t="inlineStr">
        <is>
          <t>Alexandra Eala</t>
        </is>
      </c>
      <c r="G915" s="24" t="inlineStr">
        <is>
          <t>Oleksandra Oliynykova</t>
        </is>
      </c>
      <c r="H915" s="24" t="inlineStr">
        <is>
          <t>moneyline</t>
        </is>
      </c>
      <c r="I915" s="24" t="inlineStr">
        <is>
          <t>away</t>
        </is>
      </c>
      <c r="J915" s="25" t="n"/>
      <c r="K915" s="24" t="inlineStr">
        <is>
          <t>polymarket_us</t>
        </is>
      </c>
      <c r="L915" s="26" t="n">
        <v>-733</v>
      </c>
      <c r="M915" s="27" t="n">
        <v>1.136426</v>
      </c>
      <c r="N915" s="28" t="n">
        <v>0.879952</v>
      </c>
      <c r="O915" s="28" t="n">
        <v>0.5637</v>
      </c>
      <c r="P915" s="28" t="n">
        <v>0.05</v>
      </c>
      <c r="Q915" s="28" t="n">
        <v>-0.316252</v>
      </c>
      <c r="R915" s="26" t="n">
        <v>0</v>
      </c>
      <c r="S915" s="29" t="n">
        <v>1</v>
      </c>
      <c r="T915" s="24" t="inlineStr">
        <is>
          <t>tennis-surface-elo-v1</t>
        </is>
      </c>
      <c r="U915" s="24" t="inlineStr">
        <is>
          <t>settled</t>
        </is>
      </c>
      <c r="V915" s="24" t="inlineStr">
        <is>
          <t>win</t>
        </is>
      </c>
      <c r="W915" s="26" t="n">
        <v>1</v>
      </c>
      <c r="X915" s="26" t="n">
        <v>0</v>
      </c>
      <c r="Y915" s="25" t="n"/>
      <c r="Z915" s="26" t="n">
        <v>-733</v>
      </c>
      <c r="AA915" s="28" t="n">
        <v>0.88</v>
      </c>
      <c r="AB915" s="28" t="n">
        <v>4.8e-05</v>
      </c>
      <c r="AC915" s="30" t="n">
        <v>0.1364</v>
      </c>
      <c r="AD915" s="24" t="inlineStr">
        <is>
          <t>2026-09-04T04:32:38.975819Z</t>
        </is>
      </c>
      <c r="AE915" s="31" t="inlineStr">
        <is>
          <t>Surface-blended Elo on Hard: Alexandra Eala p=0.564 vs Oleksandra Oliynykova. Executable ask 0.8800 (aec-wta-oleoli-aleeal-2026-09-03).</t>
        </is>
      </c>
      <c r="AF915" s="31" t="inlineStr">
        <is>
          <t>Surface-blended Elo model; singles only, WTA+ATP market coverage, not yet locked-holdout qualified -- promoted by explicit operator directive, not genuine walk-forward validation.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Alexandra Eala</t>
        </is>
      </c>
      <c r="AQ915" s="24" t="inlineStr">
        <is>
          <t>Alexandra Eala</t>
        </is>
      </c>
      <c r="AR915" s="24" t="inlineStr">
        <is>
          <t>Alexandra Eala</t>
        </is>
      </c>
      <c r="AS915" s="24" t="inlineStr">
        <is>
          <t>Oleksandra Oliynykova</t>
        </is>
      </c>
      <c r="AT915" s="24" t="inlineStr">
        <is>
          <t>Oleksandra Oliynykova</t>
        </is>
      </c>
      <c r="AU915" s="24" t="inlineStr">
        <is>
          <t>Oleksandra Oliynykova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0ce66f49b381187fe6255a40ca2fdbfc155d5e36125ccf6d30fe81a72962eafa</t>
        </is>
      </c>
      <c r="BB915" s="24" t="inlineStr">
        <is>
          <t>surface_blended_elo</t>
        </is>
      </c>
      <c r="BC915" s="24" t="inlineStr">
        <is>
          <t>tennis-surface-elo-v1</t>
        </is>
      </c>
      <c r="BD915" s="24" t="inlineStr">
        <is>
          <t>0ce66f49b381187fe6255a40ca2fdbfc155d5e36125ccf6d30fe81a72962eafa</t>
        </is>
      </c>
      <c r="BE915" s="24" t="inlineStr">
        <is>
          <t>tennis-surface-elo-v1</t>
        </is>
      </c>
      <c r="BF915" s="24" t="inlineStr">
        <is>
          <t>1</t>
        </is>
      </c>
      <c r="BG915" s="24" t="inlineStr">
        <is>
          <t>0ce66f49b381187fe6255a40ca2fdbfc155d5e36125ccf6d30fe81a72962eafa</t>
        </is>
      </c>
      <c r="BH915" s="24" t="inlineStr">
        <is>
          <t>2026-09-03T16:10:20.278748Z</t>
        </is>
      </c>
      <c r="BI915" s="24" t="inlineStr">
        <is>
          <t>["same_event","same_team_same_day","same_league_same_day"]</t>
        </is>
      </c>
      <c r="BJ915" s="25" t="n"/>
      <c r="BK915" s="26" t="n">
        <v>-733</v>
      </c>
      <c r="BL915" s="27" t="n">
        <v>1.136426</v>
      </c>
      <c r="BM915" s="28" t="n">
        <v>0.879952</v>
      </c>
      <c r="BN915" s="28" t="n"/>
      <c r="BO915" s="28" t="n"/>
      <c r="BP915" s="25" t="n"/>
      <c r="BQ915" s="27" t="n">
        <v>1.136426</v>
      </c>
      <c r="BR915" s="28" t="n">
        <v>0.88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inlineStr">
        <is>
          <t>a993716805b6b7e74ac66099d9860e88070164f53146b8c0218239bf6aa48628</t>
        </is>
      </c>
      <c r="DE915" s="24" t="inlineStr">
        <is>
          <t>/Users/vincentc9002/model-prediction/data/odds/tennis/2026-09-03/polymarket_snapshots.jsonl</t>
        </is>
      </c>
      <c r="DF915" s="24" t="inlineStr">
        <is>
          <t>613169:2026-09-03T16:10:20.278748Z</t>
        </is>
      </c>
      <c r="DG915" s="24" t="n"/>
      <c r="DH915" s="24" t="n"/>
      <c r="DI915" s="24" t="n"/>
      <c r="DJ915" s="24" t="inlineStr">
        <is>
          <t>0.879952</t>
        </is>
      </c>
      <c r="DK915" s="24" t="n"/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084186a7c7c24076</t>
        </is>
      </c>
      <c r="B916" s="24" t="inlineStr">
        <is>
          <t>2026-09-03T16:11:19.815565Z</t>
        </is>
      </c>
      <c r="C916" s="24" t="inlineStr">
        <is>
          <t>2026-09-03T17:00Z</t>
        </is>
      </c>
      <c r="D916" s="24" t="inlineStr">
        <is>
          <t>189-2026:182570</t>
        </is>
      </c>
      <c r="E916" s="24" t="inlineStr">
        <is>
          <t>TENNIS</t>
        </is>
      </c>
      <c r="F916" s="24" t="inlineStr">
        <is>
          <t>Yulia Putintseva</t>
        </is>
      </c>
      <c r="G916" s="24" t="inlineStr">
        <is>
          <t>Zheng Qinwen</t>
        </is>
      </c>
      <c r="H916" s="24" t="inlineStr">
        <is>
          <t>moneyline</t>
        </is>
      </c>
      <c r="I916" s="24" t="inlineStr">
        <is>
          <t>home</t>
        </is>
      </c>
      <c r="J916" s="25" t="n"/>
      <c r="K916" s="24" t="inlineStr">
        <is>
          <t>polymarket_us</t>
        </is>
      </c>
      <c r="L916" s="26" t="n">
        <v>-233</v>
      </c>
      <c r="M916" s="27" t="n">
        <v>1.429185</v>
      </c>
      <c r="N916" s="28" t="n">
        <v>0.6997</v>
      </c>
      <c r="O916" s="28" t="n">
        <v>0.636</v>
      </c>
      <c r="P916" s="28" t="n">
        <v>0.05</v>
      </c>
      <c r="Q916" s="28" t="n">
        <v>-0.06370000000000001</v>
      </c>
      <c r="R916" s="26" t="n">
        <v>0</v>
      </c>
      <c r="S916" s="29" t="n">
        <v>1</v>
      </c>
      <c r="T916" s="24" t="inlineStr">
        <is>
          <t>tennis-surface-elo-v1</t>
        </is>
      </c>
      <c r="U916" s="24" t="inlineStr">
        <is>
          <t>settled</t>
        </is>
      </c>
      <c r="V916" s="24" t="inlineStr">
        <is>
          <t>win</t>
        </is>
      </c>
      <c r="W916" s="26" t="n">
        <v>0</v>
      </c>
      <c r="X916" s="26" t="n">
        <v>1</v>
      </c>
      <c r="Y916" s="25" t="n"/>
      <c r="Z916" s="26" t="n"/>
      <c r="AA916" s="28" t="n"/>
      <c r="AB916" s="28" t="n"/>
      <c r="AC916" s="30" t="n">
        <v>0.4292</v>
      </c>
      <c r="AD916" s="24" t="inlineStr">
        <is>
          <t>2026-09-04T04:32:39.759386Z</t>
        </is>
      </c>
      <c r="AE916" s="31" t="inlineStr">
        <is>
          <t>Surface-blended Elo on Hard: Yulia Putintseva p=0.364 vs Zheng Qinwen. Executable ask 0.7000 (aec-wta-qinzhe-yulput-2026-09-02).</t>
        </is>
      </c>
      <c r="AF916" s="31" t="inlineStr">
        <is>
          <t>Surface-blended Elo model; singles only, WTA+ATP market coverage, not yet locked-holdout qualified -- promoted by explicit operator directive, not genuine walk-forward validation.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PAPER_CALL_LOW_EDGE</t>
        </is>
      </c>
      <c r="AP916" s="24" t="inlineStr">
        <is>
          <t>Yulia Putintseva</t>
        </is>
      </c>
      <c r="AQ916" s="24" t="inlineStr">
        <is>
          <t>Yulia Putintseva</t>
        </is>
      </c>
      <c r="AR916" s="24" t="inlineStr">
        <is>
          <t>Yulia Putintseva</t>
        </is>
      </c>
      <c r="AS916" s="24" t="inlineStr">
        <is>
          <t>Zheng Qinwen</t>
        </is>
      </c>
      <c r="AT916" s="24" t="inlineStr">
        <is>
          <t>Zheng Qinwen</t>
        </is>
      </c>
      <c r="AU916" s="24" t="inlineStr">
        <is>
          <t>Zheng Qinwen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0ce66f49b381187fe6255a40ca2fdbfc155d5e36125ccf6d30fe81a72962eafa</t>
        </is>
      </c>
      <c r="BB916" s="24" t="inlineStr">
        <is>
          <t>surface_blended_elo</t>
        </is>
      </c>
      <c r="BC916" s="24" t="inlineStr">
        <is>
          <t>tennis-surface-elo-v1</t>
        </is>
      </c>
      <c r="BD916" s="24" t="inlineStr">
        <is>
          <t>0ce66f49b381187fe6255a40ca2fdbfc155d5e36125ccf6d30fe81a72962eafa</t>
        </is>
      </c>
      <c r="BE916" s="24" t="inlineStr">
        <is>
          <t>tennis-surface-elo-v1</t>
        </is>
      </c>
      <c r="BF916" s="24" t="inlineStr">
        <is>
          <t>1</t>
        </is>
      </c>
      <c r="BG916" s="24" t="inlineStr">
        <is>
          <t>0ce66f49b381187fe6255a40ca2fdbfc155d5e36125ccf6d30fe81a72962eafa</t>
        </is>
      </c>
      <c r="BH916" s="24" t="inlineStr">
        <is>
          <t>2026-09-03T16:10:20.336951Z</t>
        </is>
      </c>
      <c r="BI916" s="24" t="inlineStr">
        <is>
          <t>["same_event","same_team_same_day","same_league_same_day"]</t>
        </is>
      </c>
      <c r="BJ916" s="25" t="n"/>
      <c r="BK916" s="26" t="n">
        <v>-233</v>
      </c>
      <c r="BL916" s="27" t="n">
        <v>1.429185</v>
      </c>
      <c r="BM916" s="28" t="n">
        <v>0.6997</v>
      </c>
      <c r="BN916" s="28" t="n"/>
      <c r="BO916" s="28" t="n"/>
      <c r="BP916" s="25" t="n"/>
      <c r="BQ916" s="27" t="n"/>
      <c r="BR916" s="28" t="n"/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inlineStr">
        <is>
          <t>8a40396eefb42332919fbe79b67dbb96c5bf33e8eb71ffb6739e22348bbef2e6</t>
        </is>
      </c>
      <c r="DE916" s="24" t="inlineStr">
        <is>
          <t>/Users/vincentc9002/model-prediction/data/odds/tennis/2026-09-03/polymarket_snapshots.jsonl</t>
        </is>
      </c>
      <c r="DF916" s="24" t="inlineStr">
        <is>
          <t>609875:2026-09-03T16:10:20.336951Z</t>
        </is>
      </c>
      <c r="DG916" s="24" t="n"/>
      <c r="DH916" s="24" t="n"/>
      <c r="DI916" s="24" t="n"/>
      <c r="DJ916" s="24" t="inlineStr">
        <is>
          <t>0.6997</t>
        </is>
      </c>
      <c r="DK916" s="24" t="n"/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e0f258998c8c4f16</t>
        </is>
      </c>
      <c r="B917" s="24" t="inlineStr">
        <is>
          <t>2026-09-03T16:11:19.815565Z</t>
        </is>
      </c>
      <c r="C917" s="24" t="inlineStr">
        <is>
          <t>2026-09-03T18:30Z</t>
        </is>
      </c>
      <c r="D917" s="24" t="inlineStr">
        <is>
          <t>189-2026:182538</t>
        </is>
      </c>
      <c r="E917" s="24" t="inlineStr">
        <is>
          <t>TENNIS</t>
        </is>
      </c>
      <c r="F917" s="24" t="inlineStr">
        <is>
          <t>Eva Lys</t>
        </is>
      </c>
      <c r="G917" s="24" t="inlineStr">
        <is>
          <t>Mirra Andreeva</t>
        </is>
      </c>
      <c r="H917" s="24" t="inlineStr">
        <is>
          <t>moneyline</t>
        </is>
      </c>
      <c r="I917" s="24" t="inlineStr">
        <is>
          <t>home</t>
        </is>
      </c>
      <c r="J917" s="25" t="n"/>
      <c r="K917" s="24" t="inlineStr">
        <is>
          <t>polymarket_us</t>
        </is>
      </c>
      <c r="L917" s="26" t="n">
        <v>-953</v>
      </c>
      <c r="M917" s="27" t="n">
        <v>1.104932</v>
      </c>
      <c r="N917" s="28" t="n">
        <v>0.905033</v>
      </c>
      <c r="O917" s="28" t="n">
        <v>0.7999000000000001</v>
      </c>
      <c r="P917" s="28" t="n">
        <v>0.05</v>
      </c>
      <c r="Q917" s="28" t="n">
        <v>-0.105133</v>
      </c>
      <c r="R917" s="26" t="n">
        <v>0</v>
      </c>
      <c r="S917" s="29" t="n">
        <v>1</v>
      </c>
      <c r="T917" s="24" t="inlineStr">
        <is>
          <t>tennis-surface-elo-v1</t>
        </is>
      </c>
      <c r="U917" s="24" t="inlineStr">
        <is>
          <t>settled</t>
        </is>
      </c>
      <c r="V917" s="24" t="inlineStr">
        <is>
          <t>win</t>
        </is>
      </c>
      <c r="W917" s="26" t="n">
        <v>0</v>
      </c>
      <c r="X917" s="26" t="n">
        <v>1</v>
      </c>
      <c r="Y917" s="25" t="n"/>
      <c r="Z917" s="26" t="n">
        <v>-953</v>
      </c>
      <c r="AA917" s="28" t="n">
        <v>0.905</v>
      </c>
      <c r="AB917" s="28" t="n">
        <v>-3.3e-05</v>
      </c>
      <c r="AC917" s="30" t="n">
        <v>0.1049</v>
      </c>
      <c r="AD917" s="24" t="inlineStr">
        <is>
          <t>2026-09-04T04:32:40.538405Z</t>
        </is>
      </c>
      <c r="AE917" s="31" t="inlineStr">
        <is>
          <t>Surface-blended Elo on Hard: Eva Lys p=0.200 vs Mirra Andreeva. Executable ask 0.9050 (aec-wta-mirand-evalys-2026-09-02).</t>
        </is>
      </c>
      <c r="AF917" s="31" t="inlineStr">
        <is>
          <t>Surface-blended Elo model; singles only, WTA+ATP market coverage, not yet locked-holdout qualified -- promoted by explicit operator directive, not genuine walk-forward validation.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paper_call</t>
        </is>
      </c>
      <c r="AL917" s="26" t="n">
        <v>4</v>
      </c>
      <c r="AM917" s="24" t="inlineStr">
        <is>
          <t>RESEARCH_OBSERVATION</t>
        </is>
      </c>
      <c r="AN917" s="24" t="inlineStr">
        <is>
          <t>CALL</t>
        </is>
      </c>
      <c r="AO917" s="24" t="inlineStr">
        <is>
          <t>PAPER_CALL_LOW_EDGE</t>
        </is>
      </c>
      <c r="AP917" s="24" t="inlineStr">
        <is>
          <t>Eva Lys</t>
        </is>
      </c>
      <c r="AQ917" s="24" t="inlineStr">
        <is>
          <t>Eva Lys</t>
        </is>
      </c>
      <c r="AR917" s="24" t="inlineStr">
        <is>
          <t>Eva Lys</t>
        </is>
      </c>
      <c r="AS917" s="24" t="inlineStr">
        <is>
          <t>Mirra Andreeva</t>
        </is>
      </c>
      <c r="AT917" s="24" t="inlineStr">
        <is>
          <t>Mirra Andreeva</t>
        </is>
      </c>
      <c r="AU917" s="24" t="inlineStr">
        <is>
          <t>Mirra Andreeva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0ce66f49b381187fe6255a40ca2fdbfc155d5e36125ccf6d30fe81a72962eafa</t>
        </is>
      </c>
      <c r="BB917" s="24" t="inlineStr">
        <is>
          <t>surface_blended_elo</t>
        </is>
      </c>
      <c r="BC917" s="24" t="inlineStr">
        <is>
          <t>tennis-surface-elo-v1</t>
        </is>
      </c>
      <c r="BD917" s="24" t="inlineStr">
        <is>
          <t>0ce66f49b381187fe6255a40ca2fdbfc155d5e36125ccf6d30fe81a72962eafa</t>
        </is>
      </c>
      <c r="BE917" s="24" t="inlineStr">
        <is>
          <t>tennis-surface-elo-v1</t>
        </is>
      </c>
      <c r="BF917" s="24" t="inlineStr">
        <is>
          <t>1</t>
        </is>
      </c>
      <c r="BG917" s="24" t="inlineStr">
        <is>
          <t>0ce66f49b381187fe6255a40ca2fdbfc155d5e36125ccf6d30fe81a72962eafa</t>
        </is>
      </c>
      <c r="BH917" s="24" t="inlineStr">
        <is>
          <t>2026-09-03T16:10:20.612420Z</t>
        </is>
      </c>
      <c r="BI917" s="24" t="inlineStr">
        <is>
          <t>["same_event","same_team_same_day","same_league_same_day"]</t>
        </is>
      </c>
      <c r="BJ917" s="25" t="n"/>
      <c r="BK917" s="26" t="n">
        <v>-953</v>
      </c>
      <c r="BL917" s="27" t="n">
        <v>1.104932</v>
      </c>
      <c r="BM917" s="28" t="n">
        <v>0.905033</v>
      </c>
      <c r="BN917" s="28" t="n"/>
      <c r="BO917" s="28" t="n"/>
      <c r="BP917" s="25" t="n"/>
      <c r="BQ917" s="27" t="n">
        <v>1.104932</v>
      </c>
      <c r="BR917" s="28" t="n">
        <v>0.905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False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inlineStr">
        <is>
          <t>462f545bec1285d0c968098610e213ea8fdd3af0487f230c8cd2afafaab2a4f9</t>
        </is>
      </c>
      <c r="DE917" s="24" t="inlineStr">
        <is>
          <t>/Users/vincentc9002/model-prediction/data/odds/tennis/2026-09-03/polymarket_snapshots.jsonl</t>
        </is>
      </c>
      <c r="DF917" s="24" t="inlineStr">
        <is>
          <t>609872:2026-09-03T16:10:20.612420Z</t>
        </is>
      </c>
      <c r="DG917" s="24" t="n"/>
      <c r="DH917" s="24" t="n"/>
      <c r="DI917" s="24" t="n"/>
      <c r="DJ917" s="24" t="inlineStr">
        <is>
          <t>0.905033</t>
        </is>
      </c>
      <c r="DK917" s="24" t="n"/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49abfab5e6a64b2f</t>
        </is>
      </c>
      <c r="B918" s="24" t="inlineStr">
        <is>
          <t>2026-09-03T16:11:19.815565Z</t>
        </is>
      </c>
      <c r="C918" s="24" t="inlineStr">
        <is>
          <t>2026-09-03T18:30Z</t>
        </is>
      </c>
      <c r="D918" s="24" t="inlineStr">
        <is>
          <t>189-2026:182542</t>
        </is>
      </c>
      <c r="E918" s="24" t="inlineStr">
        <is>
          <t>TENNIS</t>
        </is>
      </c>
      <c r="F918" s="24" t="inlineStr">
        <is>
          <t>Tatjana Maria</t>
        </is>
      </c>
      <c r="G918" s="24" t="inlineStr">
        <is>
          <t>Nikola Bartunkova</t>
        </is>
      </c>
      <c r="H918" s="24" t="inlineStr">
        <is>
          <t>moneyline</t>
        </is>
      </c>
      <c r="I918" s="24" t="inlineStr">
        <is>
          <t>home</t>
        </is>
      </c>
      <c r="J918" s="25" t="n"/>
      <c r="K918" s="24" t="inlineStr">
        <is>
          <t>polymarket_us</t>
        </is>
      </c>
      <c r="L918" s="26" t="n">
        <v>-245</v>
      </c>
      <c r="M918" s="27" t="n">
        <v>1.408163</v>
      </c>
      <c r="N918" s="28" t="n">
        <v>0.710145</v>
      </c>
      <c r="O918" s="28" t="n">
        <v>0.5581</v>
      </c>
      <c r="P918" s="28" t="n">
        <v>0.05</v>
      </c>
      <c r="Q918" s="28" t="n">
        <v>-0.152045</v>
      </c>
      <c r="R918" s="26" t="n">
        <v>0</v>
      </c>
      <c r="S918" s="29" t="n">
        <v>1</v>
      </c>
      <c r="T918" s="24" t="inlineStr">
        <is>
          <t>tennis-surface-elo-v1</t>
        </is>
      </c>
      <c r="U918" s="24" t="inlineStr">
        <is>
          <t>settled</t>
        </is>
      </c>
      <c r="V918" s="24" t="inlineStr">
        <is>
          <t>win</t>
        </is>
      </c>
      <c r="W918" s="26" t="n">
        <v>0</v>
      </c>
      <c r="X918" s="26" t="n">
        <v>1</v>
      </c>
      <c r="Y918" s="25" t="n"/>
      <c r="Z918" s="26" t="n">
        <v>-245</v>
      </c>
      <c r="AA918" s="28" t="n">
        <v>0.71</v>
      </c>
      <c r="AB918" s="28" t="n">
        <v>-0.000145</v>
      </c>
      <c r="AC918" s="30" t="n">
        <v>0.4082</v>
      </c>
      <c r="AD918" s="24" t="inlineStr">
        <is>
          <t>2026-09-04T04:32:41.339206Z</t>
        </is>
      </c>
      <c r="AE918" s="31" t="inlineStr">
        <is>
          <t>Surface-blended Elo on Hard: Tatjana Maria p=0.442 vs Nikola Bartunkova. Executable ask 0.7100 (aec-wta-nikbar-tatmar-2026-09-03).</t>
        </is>
      </c>
      <c r="AF918" s="31" t="inlineStr">
        <is>
          <t>Surface-blended Elo model; singles only, WTA+ATP market coverage, not yet locked-holdout qualified -- promoted by explicit operator directive, not genuine walk-forward validation.</t>
        </is>
      </c>
      <c r="AG918" s="24" t="inlineStr">
        <is>
          <t>not_applicable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PAPER_CALL_LOW_EDGE</t>
        </is>
      </c>
      <c r="AP918" s="24" t="inlineStr">
        <is>
          <t>Tatjana Maria</t>
        </is>
      </c>
      <c r="AQ918" s="24" t="inlineStr">
        <is>
          <t>Tatjana Maria</t>
        </is>
      </c>
      <c r="AR918" s="24" t="inlineStr">
        <is>
          <t>Tatjana Maria</t>
        </is>
      </c>
      <c r="AS918" s="24" t="inlineStr">
        <is>
          <t>Nikola Bartunkova</t>
        </is>
      </c>
      <c r="AT918" s="24" t="inlineStr">
        <is>
          <t>Nikola Bartunkova</t>
        </is>
      </c>
      <c r="AU918" s="24" t="inlineStr">
        <is>
          <t>Nikola Bartunkova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0ce66f49b381187fe6255a40ca2fdbfc155d5e36125ccf6d30fe81a72962eafa</t>
        </is>
      </c>
      <c r="BB918" s="24" t="inlineStr">
        <is>
          <t>surface_blended_elo</t>
        </is>
      </c>
      <c r="BC918" s="24" t="inlineStr">
        <is>
          <t>tennis-surface-elo-v1</t>
        </is>
      </c>
      <c r="BD918" s="24" t="inlineStr">
        <is>
          <t>0ce66f49b381187fe6255a40ca2fdbfc155d5e36125ccf6d30fe81a72962eafa</t>
        </is>
      </c>
      <c r="BE918" s="24" t="inlineStr">
        <is>
          <t>tennis-surface-elo-v1</t>
        </is>
      </c>
      <c r="BF918" s="24" t="inlineStr">
        <is>
          <t>1</t>
        </is>
      </c>
      <c r="BG918" s="24" t="inlineStr">
        <is>
          <t>0ce66f49b381187fe6255a40ca2fdbfc155d5e36125ccf6d30fe81a72962eafa</t>
        </is>
      </c>
      <c r="BH918" s="24" t="inlineStr">
        <is>
          <t>2026-09-03T16:10:20.558331Z</t>
        </is>
      </c>
      <c r="BI918" s="24" t="inlineStr">
        <is>
          <t>["same_event","same_team_same_day","same_league_same_day"]</t>
        </is>
      </c>
      <c r="BJ918" s="25" t="n"/>
      <c r="BK918" s="26" t="n">
        <v>-245</v>
      </c>
      <c r="BL918" s="27" t="n">
        <v>1.408163</v>
      </c>
      <c r="BM918" s="28" t="n">
        <v>0.710145</v>
      </c>
      <c r="BN918" s="28" t="n"/>
      <c r="BO918" s="28" t="n"/>
      <c r="BP918" s="25" t="n"/>
      <c r="BQ918" s="27" t="n">
        <v>1.408163</v>
      </c>
      <c r="BR918" s="28" t="n">
        <v>0.71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inlineStr">
        <is>
          <t>1eb2ec15086ef19866ba99261f4c7ab9e424944450a0ea4984c14b4c9f32a91a</t>
        </is>
      </c>
      <c r="DE918" s="24" t="inlineStr">
        <is>
          <t>/Users/vincentc9002/model-prediction/data/odds/tennis/2026-09-03/polymarket_snapshots.jsonl</t>
        </is>
      </c>
      <c r="DF918" s="24" t="inlineStr">
        <is>
          <t>656836:2026-09-03T16:10:20.558331Z</t>
        </is>
      </c>
      <c r="DG918" s="24" t="n"/>
      <c r="DH918" s="24" t="n"/>
      <c r="DI918" s="24" t="n"/>
      <c r="DJ918" s="24" t="inlineStr">
        <is>
          <t>0.710145</t>
        </is>
      </c>
      <c r="DK918" s="24" t="n"/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a46089ff2e454b15</t>
        </is>
      </c>
      <c r="B919" s="24" t="inlineStr">
        <is>
          <t>2026-09-03T16:11:19.815565Z</t>
        </is>
      </c>
      <c r="C919" s="24" t="inlineStr">
        <is>
          <t>2026-09-03T19:00Z</t>
        </is>
      </c>
      <c r="D919" s="24" t="inlineStr">
        <is>
          <t>189-2026:182577</t>
        </is>
      </c>
      <c r="E919" s="24" t="inlineStr">
        <is>
          <t>TENNIS</t>
        </is>
      </c>
      <c r="F919" s="24" t="inlineStr">
        <is>
          <t>Yuliia Starodubtseva</t>
        </is>
      </c>
      <c r="G919" s="24" t="inlineStr">
        <is>
          <t>Maria Sakkari</t>
        </is>
      </c>
      <c r="H919" s="24" t="inlineStr">
        <is>
          <t>moneyline</t>
        </is>
      </c>
      <c r="I919" s="24" t="inlineStr">
        <is>
          <t>home</t>
        </is>
      </c>
      <c r="J919" s="25" t="n"/>
      <c r="K919" s="24" t="inlineStr">
        <is>
          <t>polymarket_us</t>
        </is>
      </c>
      <c r="L919" s="26" t="n">
        <v>-174</v>
      </c>
      <c r="M919" s="27" t="n">
        <v>1.574713</v>
      </c>
      <c r="N919" s="28" t="n">
        <v>0.635036</v>
      </c>
      <c r="O919" s="28" t="n">
        <v>0.5399</v>
      </c>
      <c r="P919" s="28" t="n">
        <v>0.05</v>
      </c>
      <c r="Q919" s="28" t="n">
        <v>-0.095136</v>
      </c>
      <c r="R919" s="26" t="n">
        <v>0</v>
      </c>
      <c r="S919" s="29" t="n">
        <v>1</v>
      </c>
      <c r="T919" s="24" t="inlineStr">
        <is>
          <t>tennis-surface-elo-v1</t>
        </is>
      </c>
      <c r="U919" s="24" t="inlineStr">
        <is>
          <t>settled</t>
        </is>
      </c>
      <c r="V919" s="24" t="inlineStr">
        <is>
          <t>loss</t>
        </is>
      </c>
      <c r="W919" s="26" t="n">
        <v>1</v>
      </c>
      <c r="X919" s="26" t="n">
        <v>0</v>
      </c>
      <c r="Y919" s="25" t="n"/>
      <c r="Z919" s="26" t="n">
        <v>-174</v>
      </c>
      <c r="AA919" s="28" t="n">
        <v>0.635</v>
      </c>
      <c r="AB919" s="28" t="n">
        <v>-3.6e-05</v>
      </c>
      <c r="AC919" s="30" t="n">
        <v>-1</v>
      </c>
      <c r="AD919" s="24" t="inlineStr">
        <is>
          <t>2026-09-04T04:32:42.140176Z</t>
        </is>
      </c>
      <c r="AE919" s="31" t="inlineStr">
        <is>
          <t>Surface-blended Elo on Hard: Yuliia Starodubtseva p=0.460 vs Maria Sakkari. Executable ask 0.6350 (aec-wta-marsak-yulsta-2026-09-02).</t>
        </is>
      </c>
      <c r="AF919" s="31" t="inlineStr">
        <is>
          <t>Surface-blended Elo model; singles only, WTA+ATP market coverage, not yet locked-holdout qualified -- promoted by explicit operator directive, not genuine walk-forward validation.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PAPER_CALL_LOW_EDGE</t>
        </is>
      </c>
      <c r="AP919" s="24" t="inlineStr">
        <is>
          <t>Yuliia Starodubtseva</t>
        </is>
      </c>
      <c r="AQ919" s="24" t="inlineStr">
        <is>
          <t>Yuliia Starodubtseva</t>
        </is>
      </c>
      <c r="AR919" s="24" t="inlineStr">
        <is>
          <t>Yuliia Starodubtseva</t>
        </is>
      </c>
      <c r="AS919" s="24" t="inlineStr">
        <is>
          <t>Maria Sakkari</t>
        </is>
      </c>
      <c r="AT919" s="24" t="inlineStr">
        <is>
          <t>Maria Sakkari</t>
        </is>
      </c>
      <c r="AU919" s="24" t="inlineStr">
        <is>
          <t>Maria Sakkari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0ce66f49b381187fe6255a40ca2fdbfc155d5e36125ccf6d30fe81a72962eafa</t>
        </is>
      </c>
      <c r="BB919" s="24" t="inlineStr">
        <is>
          <t>surface_blended_elo</t>
        </is>
      </c>
      <c r="BC919" s="24" t="inlineStr">
        <is>
          <t>tennis-surface-elo-v1</t>
        </is>
      </c>
      <c r="BD919" s="24" t="inlineStr">
        <is>
          <t>0ce66f49b381187fe6255a40ca2fdbfc155d5e36125ccf6d30fe81a72962eafa</t>
        </is>
      </c>
      <c r="BE919" s="24" t="inlineStr">
        <is>
          <t>tennis-surface-elo-v1</t>
        </is>
      </c>
      <c r="BF919" s="24" t="inlineStr">
        <is>
          <t>1</t>
        </is>
      </c>
      <c r="BG919" s="24" t="inlineStr">
        <is>
          <t>0ce66f49b381187fe6255a40ca2fdbfc155d5e36125ccf6d30fe81a72962eafa</t>
        </is>
      </c>
      <c r="BH919" s="24" t="inlineStr">
        <is>
          <t>2026-09-03T16:10:20.721158Z</t>
        </is>
      </c>
      <c r="BI919" s="24" t="inlineStr">
        <is>
          <t>["same_event","same_team_same_day","same_league_same_day"]</t>
        </is>
      </c>
      <c r="BJ919" s="25" t="n"/>
      <c r="BK919" s="26" t="n">
        <v>-174</v>
      </c>
      <c r="BL919" s="27" t="n">
        <v>1.574713</v>
      </c>
      <c r="BM919" s="28" t="n">
        <v>0.635036</v>
      </c>
      <c r="BN919" s="28" t="n"/>
      <c r="BO919" s="28" t="n"/>
      <c r="BP919" s="25" t="n"/>
      <c r="BQ919" s="27" t="n">
        <v>1.574713</v>
      </c>
      <c r="BR919" s="28" t="n">
        <v>0.635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inlineStr">
        <is>
          <t>20f6deac2fcc69abfc743cef2f95e68d4abde788b5426a1586cea68e03ea43be</t>
        </is>
      </c>
      <c r="DE919" s="24" t="inlineStr">
        <is>
          <t>/Users/vincentc9002/model-prediction/data/odds/tennis/2026-09-03/polymarket_snapshots.jsonl</t>
        </is>
      </c>
      <c r="DF919" s="24" t="inlineStr">
        <is>
          <t>609874:2026-09-03T16:10:20.721158Z</t>
        </is>
      </c>
      <c r="DG919" s="24" t="n"/>
      <c r="DH919" s="24" t="n"/>
      <c r="DI919" s="24" t="n"/>
      <c r="DJ919" s="24" t="inlineStr">
        <is>
          <t>0.635036</t>
        </is>
      </c>
      <c r="DK919" s="24" t="n"/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b19321415de64f36</t>
        </is>
      </c>
      <c r="B920" s="24" t="inlineStr">
        <is>
          <t>2026-09-03T16:11:19.815565Z</t>
        </is>
      </c>
      <c r="C920" s="24" t="inlineStr">
        <is>
          <t>2026-09-03T20:00Z</t>
        </is>
      </c>
      <c r="D920" s="24" t="inlineStr">
        <is>
          <t>189-2026:182583</t>
        </is>
      </c>
      <c r="E920" s="24" t="inlineStr">
        <is>
          <t>TENNIS</t>
        </is>
      </c>
      <c r="F920" s="24" t="inlineStr">
        <is>
          <t>Francesca Jones</t>
        </is>
      </c>
      <c r="G920" s="24" t="inlineStr">
        <is>
          <t>Iva Jovic</t>
        </is>
      </c>
      <c r="H920" s="24" t="inlineStr">
        <is>
          <t>moneyline</t>
        </is>
      </c>
      <c r="I920" s="24" t="inlineStr">
        <is>
          <t>home</t>
        </is>
      </c>
      <c r="J920" s="25" t="n"/>
      <c r="K920" s="24" t="inlineStr">
        <is>
          <t>polymarket_us</t>
        </is>
      </c>
      <c r="L920" s="26" t="n">
        <v>-590</v>
      </c>
      <c r="M920" s="27" t="n">
        <v>1.169492</v>
      </c>
      <c r="N920" s="28" t="n">
        <v>0.8550720000000001</v>
      </c>
      <c r="O920" s="28" t="n">
        <v>0.5973000000000001</v>
      </c>
      <c r="P920" s="28" t="n">
        <v>0.05</v>
      </c>
      <c r="Q920" s="28" t="n">
        <v>-0.257772</v>
      </c>
      <c r="R920" s="26" t="n">
        <v>0</v>
      </c>
      <c r="S920" s="29" t="n">
        <v>1</v>
      </c>
      <c r="T920" s="24" t="inlineStr">
        <is>
          <t>tennis-surface-elo-v1</t>
        </is>
      </c>
      <c r="U920" s="24" t="inlineStr">
        <is>
          <t>settled</t>
        </is>
      </c>
      <c r="V920" s="24" t="inlineStr">
        <is>
          <t>win</t>
        </is>
      </c>
      <c r="W920" s="26" t="n">
        <v>0</v>
      </c>
      <c r="X920" s="26" t="n">
        <v>1</v>
      </c>
      <c r="Y920" s="25" t="n"/>
      <c r="Z920" s="26" t="n">
        <v>-590</v>
      </c>
      <c r="AA920" s="28" t="n">
        <v>0.855</v>
      </c>
      <c r="AB920" s="28" t="n">
        <v>-7.2e-05</v>
      </c>
      <c r="AC920" s="30" t="n">
        <v>0.1695</v>
      </c>
      <c r="AD920" s="24" t="inlineStr">
        <is>
          <t>2026-09-04T04:32:42.944069Z</t>
        </is>
      </c>
      <c r="AE920" s="31" t="inlineStr">
        <is>
          <t>Surface-blended Elo on Hard: Francesca Jones p=0.403 vs Iva Jovic. Executable ask 0.8550 (aec-wta-ivajov-frajon-2026-09-03).</t>
        </is>
      </c>
      <c r="AF920" s="31" t="inlineStr">
        <is>
          <t>Surface-blended Elo model; singles only, WTA+ATP market coverage, not yet locked-holdout qualified -- promoted by explicit operator directive, not genuine walk-forward validation.</t>
        </is>
      </c>
      <c r="AG920" s="24" t="inlineStr">
        <is>
          <t>not_applicable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PAPER_CALL_LOW_EDGE</t>
        </is>
      </c>
      <c r="AP920" s="24" t="inlineStr">
        <is>
          <t>Francesca Jones</t>
        </is>
      </c>
      <c r="AQ920" s="24" t="inlineStr">
        <is>
          <t>Francesca Jones</t>
        </is>
      </c>
      <c r="AR920" s="24" t="inlineStr">
        <is>
          <t>Francesca Jones</t>
        </is>
      </c>
      <c r="AS920" s="24" t="inlineStr">
        <is>
          <t>Iva Jovic</t>
        </is>
      </c>
      <c r="AT920" s="24" t="inlineStr">
        <is>
          <t>Iva Jovic</t>
        </is>
      </c>
      <c r="AU920" s="24" t="inlineStr">
        <is>
          <t>Iva Jovic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0ce66f49b381187fe6255a40ca2fdbfc155d5e36125ccf6d30fe81a72962eafa</t>
        </is>
      </c>
      <c r="BB920" s="24" t="inlineStr">
        <is>
          <t>surface_blended_elo</t>
        </is>
      </c>
      <c r="BC920" s="24" t="inlineStr">
        <is>
          <t>tennis-surface-elo-v1</t>
        </is>
      </c>
      <c r="BD920" s="24" t="inlineStr">
        <is>
          <t>0ce66f49b381187fe6255a40ca2fdbfc155d5e36125ccf6d30fe81a72962eafa</t>
        </is>
      </c>
      <c r="BE920" s="24" t="inlineStr">
        <is>
          <t>tennis-surface-elo-v1</t>
        </is>
      </c>
      <c r="BF920" s="24" t="inlineStr">
        <is>
          <t>1</t>
        </is>
      </c>
      <c r="BG920" s="24" t="inlineStr">
        <is>
          <t>0ce66f49b381187fe6255a40ca2fdbfc155d5e36125ccf6d30fe81a72962eafa</t>
        </is>
      </c>
      <c r="BH920" s="24" t="inlineStr">
        <is>
          <t>2026-09-03T16:10:20.859106Z</t>
        </is>
      </c>
      <c r="BI920" s="24" t="inlineStr">
        <is>
          <t>["same_event","same_team_same_day","same_league_same_day"]</t>
        </is>
      </c>
      <c r="BJ920" s="25" t="n"/>
      <c r="BK920" s="26" t="n">
        <v>-590</v>
      </c>
      <c r="BL920" s="27" t="n">
        <v>1.169492</v>
      </c>
      <c r="BM920" s="28" t="n">
        <v>0.8550720000000001</v>
      </c>
      <c r="BN920" s="28" t="n"/>
      <c r="BO920" s="28" t="n"/>
      <c r="BP920" s="25" t="n"/>
      <c r="BQ920" s="27" t="n">
        <v>1.169492</v>
      </c>
      <c r="BR920" s="28" t="n">
        <v>0.855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inlineStr">
        <is>
          <t>c8bce40a355cd9a6c5405aa9e135441182110f7e0ea1c7b3f12f3ec1ebb75ddc</t>
        </is>
      </c>
      <c r="DE920" s="24" t="inlineStr">
        <is>
          <t>/Users/vincentc9002/model-prediction/data/odds/tennis/2026-09-03/polymarket_snapshots.jsonl</t>
        </is>
      </c>
      <c r="DF920" s="24" t="inlineStr">
        <is>
          <t>657276:2026-09-03T16:10:20.859106Z</t>
        </is>
      </c>
      <c r="DG920" s="24" t="n"/>
      <c r="DH920" s="24" t="n"/>
      <c r="DI920" s="24" t="n"/>
      <c r="DJ920" s="24" t="inlineStr">
        <is>
          <t>0.855072</t>
        </is>
      </c>
      <c r="DK920" s="24" t="n"/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34eb539b45bc49e1</t>
        </is>
      </c>
      <c r="B921" s="24" t="inlineStr">
        <is>
          <t>2026-09-03T16:11:19.815565Z</t>
        </is>
      </c>
      <c r="C921" s="24" t="inlineStr">
        <is>
          <t>2026-09-03T23:00Z</t>
        </is>
      </c>
      <c r="D921" s="24" t="inlineStr">
        <is>
          <t>189-2026:182563</t>
        </is>
      </c>
      <c r="E921" s="24" t="inlineStr">
        <is>
          <t>TENNIS</t>
        </is>
      </c>
      <c r="F921" s="24" t="inlineStr">
        <is>
          <t>Coco Gauff</t>
        </is>
      </c>
      <c r="G921" s="24" t="inlineStr">
        <is>
          <t>Paula Badosa</t>
        </is>
      </c>
      <c r="H921" s="24" t="inlineStr">
        <is>
          <t>moneyline</t>
        </is>
      </c>
      <c r="I921" s="24" t="inlineStr">
        <is>
          <t>away</t>
        </is>
      </c>
      <c r="J921" s="25" t="n"/>
      <c r="K921" s="24" t="inlineStr">
        <is>
          <t>polymarket_us</t>
        </is>
      </c>
      <c r="L921" s="26" t="n">
        <v>-641</v>
      </c>
      <c r="M921" s="27" t="n">
        <v>1.156006</v>
      </c>
      <c r="N921" s="28" t="n">
        <v>0.865047</v>
      </c>
      <c r="O921" s="28" t="n">
        <v>0.7681</v>
      </c>
      <c r="P921" s="28" t="n">
        <v>0.05</v>
      </c>
      <c r="Q921" s="28" t="n">
        <v>-0.09694700000000001</v>
      </c>
      <c r="R921" s="26" t="n">
        <v>0</v>
      </c>
      <c r="S921" s="29" t="n">
        <v>1</v>
      </c>
      <c r="T921" s="24" t="inlineStr">
        <is>
          <t>tennis-surface-elo-v1</t>
        </is>
      </c>
      <c r="U921" s="24" t="inlineStr">
        <is>
          <t>settled</t>
        </is>
      </c>
      <c r="V921" s="24" t="inlineStr">
        <is>
          <t>win</t>
        </is>
      </c>
      <c r="W921" s="26" t="n">
        <v>1</v>
      </c>
      <c r="X921" s="26" t="n">
        <v>0</v>
      </c>
      <c r="Y921" s="25" t="n"/>
      <c r="Z921" s="26" t="n">
        <v>-641</v>
      </c>
      <c r="AA921" s="28" t="n">
        <v>0.865</v>
      </c>
      <c r="AB921" s="28" t="n">
        <v>-4.7e-05</v>
      </c>
      <c r="AC921" s="30" t="n">
        <v>0.156</v>
      </c>
      <c r="AD921" s="24" t="inlineStr">
        <is>
          <t>2026-09-04T04:32:43.738758Z</t>
        </is>
      </c>
      <c r="AE921" s="31" t="inlineStr">
        <is>
          <t>Surface-blended Elo on Hard: Coco Gauff p=0.768 vs Paula Badosa. Executable ask 0.8650 (aec-wta-paubad-cocgau-2026-09-03).</t>
        </is>
      </c>
      <c r="AF921" s="31" t="inlineStr">
        <is>
          <t>Surface-blended Elo model; singles only, WTA+ATP market coverage, not yet locked-holdout qualified -- promoted by explicit operator directive, not genuine walk-forward validation.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PAPER_CALL_LOW_EDGE</t>
        </is>
      </c>
      <c r="AP921" s="24" t="inlineStr">
        <is>
          <t>Coco Gauff</t>
        </is>
      </c>
      <c r="AQ921" s="24" t="inlineStr">
        <is>
          <t>Coco Gauff</t>
        </is>
      </c>
      <c r="AR921" s="24" t="inlineStr">
        <is>
          <t>Coco Gauff</t>
        </is>
      </c>
      <c r="AS921" s="24" t="inlineStr">
        <is>
          <t>Paula Badosa</t>
        </is>
      </c>
      <c r="AT921" s="24" t="inlineStr">
        <is>
          <t>Paula Badosa</t>
        </is>
      </c>
      <c r="AU921" s="24" t="inlineStr">
        <is>
          <t>Paula Badosa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0ce66f49b381187fe6255a40ca2fdbfc155d5e36125ccf6d30fe81a72962eafa</t>
        </is>
      </c>
      <c r="BB921" s="24" t="inlineStr">
        <is>
          <t>surface_blended_elo</t>
        </is>
      </c>
      <c r="BC921" s="24" t="inlineStr">
        <is>
          <t>tennis-surface-elo-v1</t>
        </is>
      </c>
      <c r="BD921" s="24" t="inlineStr">
        <is>
          <t>0ce66f49b381187fe6255a40ca2fdbfc155d5e36125ccf6d30fe81a72962eafa</t>
        </is>
      </c>
      <c r="BE921" s="24" t="inlineStr">
        <is>
          <t>tennis-surface-elo-v1</t>
        </is>
      </c>
      <c r="BF921" s="24" t="inlineStr">
        <is>
          <t>1</t>
        </is>
      </c>
      <c r="BG921" s="24" t="inlineStr">
        <is>
          <t>0ce66f49b381187fe6255a40ca2fdbfc155d5e36125ccf6d30fe81a72962eafa</t>
        </is>
      </c>
      <c r="BH921" s="24" t="inlineStr">
        <is>
          <t>2026-09-03T16:10:21.030865Z</t>
        </is>
      </c>
      <c r="BI921" s="24" t="inlineStr">
        <is>
          <t>["same_event","same_team_same_day","same_league_same_day"]</t>
        </is>
      </c>
      <c r="BJ921" s="25" t="n"/>
      <c r="BK921" s="26" t="n">
        <v>-641</v>
      </c>
      <c r="BL921" s="27" t="n">
        <v>1.156006</v>
      </c>
      <c r="BM921" s="28" t="n">
        <v>0.865047</v>
      </c>
      <c r="BN921" s="28" t="n"/>
      <c r="BO921" s="28" t="n"/>
      <c r="BP921" s="25" t="n"/>
      <c r="BQ921" s="27" t="n">
        <v>1.156006</v>
      </c>
      <c r="BR921" s="28" t="n">
        <v>0.865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inlineStr">
        <is>
          <t>7879b4dd2b2a9d148041a69bafef1365476875b0f096afc817287e8594fb0978</t>
        </is>
      </c>
      <c r="DE921" s="24" t="inlineStr">
        <is>
          <t>/Users/vincentc9002/model-prediction/data/odds/tennis/2026-09-03/polymarket_snapshots.jsonl</t>
        </is>
      </c>
      <c r="DF921" s="24" t="inlineStr">
        <is>
          <t>653634:2026-09-03T16:10:21.030865Z</t>
        </is>
      </c>
      <c r="DG921" s="24" t="n"/>
      <c r="DH921" s="24" t="n"/>
      <c r="DI921" s="24" t="n"/>
      <c r="DJ921" s="24" t="inlineStr">
        <is>
          <t>0.865047</t>
        </is>
      </c>
      <c r="DK921" s="24" t="n"/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7d8712b8680b4bc1</t>
        </is>
      </c>
      <c r="B922" s="24" t="inlineStr">
        <is>
          <t>2026-09-03T16:11:19.815565Z</t>
        </is>
      </c>
      <c r="C922" s="24" t="inlineStr">
        <is>
          <t>2026-09-04T01:00Z</t>
        </is>
      </c>
      <c r="D922" s="24" t="inlineStr">
        <is>
          <t>189-2026:182585</t>
        </is>
      </c>
      <c r="E922" s="24" t="inlineStr">
        <is>
          <t>TENNIS</t>
        </is>
      </c>
      <c r="F922" s="24" t="inlineStr">
        <is>
          <t>Elena Rybakina</t>
        </is>
      </c>
      <c r="G922" s="24" t="inlineStr">
        <is>
          <t>Jessica Bouzas Maneiro</t>
        </is>
      </c>
      <c r="H922" s="24" t="inlineStr">
        <is>
          <t>moneyline</t>
        </is>
      </c>
      <c r="I922" s="24" t="inlineStr">
        <is>
          <t>away</t>
        </is>
      </c>
      <c r="J922" s="25" t="n"/>
      <c r="K922" s="24" t="inlineStr">
        <is>
          <t>polymarket_us</t>
        </is>
      </c>
      <c r="L922" s="26" t="n">
        <v>-506</v>
      </c>
      <c r="M922" s="27" t="n">
        <v>1.197628</v>
      </c>
      <c r="N922" s="28" t="n">
        <v>0.834983</v>
      </c>
      <c r="O922" s="28" t="n">
        <v>0.9249000000000001</v>
      </c>
      <c r="P922" s="28" t="n">
        <v>0.05</v>
      </c>
      <c r="Q922" s="28" t="n">
        <v>0.089917</v>
      </c>
      <c r="R922" s="26" t="n">
        <v>65</v>
      </c>
      <c r="S922" s="29" t="n">
        <v>1.25</v>
      </c>
      <c r="T922" s="24" t="inlineStr">
        <is>
          <t>tennis-surface-elo-v1</t>
        </is>
      </c>
      <c r="U922" s="24" t="inlineStr">
        <is>
          <t>settled</t>
        </is>
      </c>
      <c r="V922" s="24" t="inlineStr">
        <is>
          <t>win</t>
        </is>
      </c>
      <c r="W922" s="26" t="n">
        <v>1</v>
      </c>
      <c r="X922" s="26" t="n">
        <v>0</v>
      </c>
      <c r="Y922" s="25" t="n"/>
      <c r="Z922" s="26" t="n">
        <v>-506</v>
      </c>
      <c r="AA922" s="28" t="n">
        <v>0.835</v>
      </c>
      <c r="AB922" s="28" t="n">
        <v>1.7e-05</v>
      </c>
      <c r="AC922" s="30" t="n">
        <v>0.247</v>
      </c>
      <c r="AD922" s="24" t="inlineStr">
        <is>
          <t>2026-09-04T04:32:44.538706Z</t>
        </is>
      </c>
      <c r="AE922" s="31" t="inlineStr">
        <is>
          <t>Surface-blended Elo on Hard: Elena Rybakina p=0.925 vs Jessica Bouzas Maneiro. Executable ask 0.8350 (aec-wta-jesman-eleryb-2026-09-02).</t>
        </is>
      </c>
      <c r="AF922" s="31" t="inlineStr">
        <is>
          <t>Surface-blended Elo model; singles only, WTA+ATP market coverage, not yet locked-holdout qualified -- promoted by explicit operator directive, not genuine walk-forward validation.</t>
        </is>
      </c>
      <c r="AG922" s="24" t="inlineStr">
        <is>
          <t>not_applicable</t>
        </is>
      </c>
      <c r="AH922" s="24" t="n"/>
      <c r="AI922" s="31" t="n"/>
      <c r="AJ922" s="31" t="n"/>
      <c r="AK922" s="24" t="inlineStr">
        <is>
          <t>model_qualified</t>
        </is>
      </c>
      <c r="AL922" s="26" t="n">
        <v>4</v>
      </c>
      <c r="AM922" s="24" t="inlineStr">
        <is>
          <t>QUALIFIED_SHADOW_CALL</t>
        </is>
      </c>
      <c r="AN922" s="24" t="inlineStr">
        <is>
          <t>CALL</t>
        </is>
      </c>
      <c r="AO922" s="24" t="inlineStr">
        <is>
          <t>QUALIFIED</t>
        </is>
      </c>
      <c r="AP922" s="24" t="inlineStr">
        <is>
          <t>Elena Rybakina</t>
        </is>
      </c>
      <c r="AQ922" s="24" t="inlineStr">
        <is>
          <t>Elena Rybakina</t>
        </is>
      </c>
      <c r="AR922" s="24" t="inlineStr">
        <is>
          <t>Elena Rybakina</t>
        </is>
      </c>
      <c r="AS922" s="24" t="inlineStr">
        <is>
          <t>Jessica Bouzas Maneiro</t>
        </is>
      </c>
      <c r="AT922" s="24" t="inlineStr">
        <is>
          <t>Jessica Bouzas Maneiro</t>
        </is>
      </c>
      <c r="AU922" s="24" t="inlineStr">
        <is>
          <t>Jessica Bouzas Maneiro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0ce66f49b381187fe6255a40ca2fdbfc155d5e36125ccf6d30fe81a72962eafa</t>
        </is>
      </c>
      <c r="BB922" s="24" t="inlineStr">
        <is>
          <t>surface_blended_elo</t>
        </is>
      </c>
      <c r="BC922" s="24" t="inlineStr">
        <is>
          <t>tennis-surface-elo-v1</t>
        </is>
      </c>
      <c r="BD922" s="24" t="inlineStr">
        <is>
          <t>0ce66f49b381187fe6255a40ca2fdbfc155d5e36125ccf6d30fe81a72962eafa</t>
        </is>
      </c>
      <c r="BE922" s="24" t="inlineStr">
        <is>
          <t>tennis-surface-elo-v1</t>
        </is>
      </c>
      <c r="BF922" s="24" t="inlineStr">
        <is>
          <t>1</t>
        </is>
      </c>
      <c r="BG922" s="24" t="inlineStr">
        <is>
          <t>0ce66f49b381187fe6255a40ca2fdbfc155d5e36125ccf6d30fe81a72962eafa</t>
        </is>
      </c>
      <c r="BH922" s="24" t="inlineStr">
        <is>
          <t>2026-09-03T16:10:21.095844Z</t>
        </is>
      </c>
      <c r="BI922" s="24" t="inlineStr">
        <is>
          <t>["same_event","same_team_same_day","same_league_same_day"]</t>
        </is>
      </c>
      <c r="BJ922" s="25" t="n"/>
      <c r="BK922" s="26" t="n">
        <v>-506</v>
      </c>
      <c r="BL922" s="27" t="n">
        <v>1.197628</v>
      </c>
      <c r="BM922" s="28" t="n">
        <v>0.834983</v>
      </c>
      <c r="BN922" s="28" t="n"/>
      <c r="BO922" s="28" t="n"/>
      <c r="BP922" s="25" t="n"/>
      <c r="BQ922" s="27" t="n">
        <v>1.197628</v>
      </c>
      <c r="BR922" s="28" t="n">
        <v>0.835</v>
      </c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inlineStr">
        <is>
          <t>f23249cf4fb46ea22557ae708f2dfd0f9c1b718415588d04b680c1b126f5e147</t>
        </is>
      </c>
      <c r="DE922" s="24" t="inlineStr">
        <is>
          <t>/Users/vincentc9002/model-prediction/data/odds/tennis/2026-09-03/polymarket_snapshots.jsonl</t>
        </is>
      </c>
      <c r="DF922" s="24" t="inlineStr">
        <is>
          <t>612898:2026-09-03T16:10:21.095844Z</t>
        </is>
      </c>
      <c r="DG922" s="24" t="n"/>
      <c r="DH922" s="24" t="n"/>
      <c r="DI922" s="24" t="n"/>
      <c r="DJ922" s="24" t="inlineStr">
        <is>
          <t>0.834983</t>
        </is>
      </c>
      <c r="DK922" s="24" t="n"/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944ad92e48d04a35</t>
        </is>
      </c>
      <c r="B923" s="24" t="inlineStr">
        <is>
          <t>2026-09-03T16:11:19.815565Z</t>
        </is>
      </c>
      <c r="C923" s="24" t="inlineStr">
        <is>
          <t>2026-09-03T16:30Z</t>
        </is>
      </c>
      <c r="D923" s="24" t="inlineStr">
        <is>
          <t>189-2026:182711</t>
        </is>
      </c>
      <c r="E923" s="24" t="inlineStr">
        <is>
          <t>TENNIS</t>
        </is>
      </c>
      <c r="F923" s="24" t="inlineStr">
        <is>
          <t>Lorenzo Musetti</t>
        </is>
      </c>
      <c r="G923" s="24" t="inlineStr">
        <is>
          <t>Dane Sweeny</t>
        </is>
      </c>
      <c r="H923" s="24" t="inlineStr">
        <is>
          <t>moneyline</t>
        </is>
      </c>
      <c r="I923" s="24" t="inlineStr">
        <is>
          <t>away</t>
        </is>
      </c>
      <c r="J923" s="25" t="n"/>
      <c r="K923" s="24" t="inlineStr">
        <is>
          <t>polymarket_us</t>
        </is>
      </c>
      <c r="L923" s="26" t="n">
        <v>-1567</v>
      </c>
      <c r="M923" s="27" t="n">
        <v>1.063816</v>
      </c>
      <c r="N923" s="28" t="n">
        <v>0.940012</v>
      </c>
      <c r="O923" s="28" t="n">
        <v>0.7784</v>
      </c>
      <c r="P923" s="28" t="n">
        <v>0.05</v>
      </c>
      <c r="Q923" s="28" t="n">
        <v>-0.161612</v>
      </c>
      <c r="R923" s="26" t="n">
        <v>0</v>
      </c>
      <c r="S923" s="29" t="n">
        <v>1</v>
      </c>
      <c r="T923" s="24" t="inlineStr">
        <is>
          <t>tennis-surface-elo-v1</t>
        </is>
      </c>
      <c r="U923" s="24" t="inlineStr">
        <is>
          <t>settled</t>
        </is>
      </c>
      <c r="V923" s="24" t="inlineStr">
        <is>
          <t>loss</t>
        </is>
      </c>
      <c r="W923" s="26" t="n">
        <v>0</v>
      </c>
      <c r="X923" s="26" t="n">
        <v>1</v>
      </c>
      <c r="Y923" s="25" t="n"/>
      <c r="Z923" s="26" t="n">
        <v>-1567</v>
      </c>
      <c r="AA923" s="28" t="n">
        <v>0.9399999999999999</v>
      </c>
      <c r="AB923" s="28" t="n">
        <v>-1.2e-05</v>
      </c>
      <c r="AC923" s="30" t="n">
        <v>-1</v>
      </c>
      <c r="AD923" s="24" t="inlineStr">
        <is>
          <t>2026-09-04T04:32:45.341077Z</t>
        </is>
      </c>
      <c r="AE923" s="31" t="inlineStr">
        <is>
          <t>Surface-blended Elo on Hard: Lorenzo Musetti p=0.778 vs Dane Sweeny. Executable ask 0.9400 (aec-atp-danswe-lormus-2026-09-02).</t>
        </is>
      </c>
      <c r="AF923" s="31" t="inlineStr">
        <is>
          <t>Surface-blended Elo model; singles only, WTA+ATP market coverage, not yet locked-holdout qualified -- promoted by explicit operator directive, not genuine walk-forward validation.</t>
        </is>
      </c>
      <c r="AG923" s="24" t="inlineStr">
        <is>
          <t>review_required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PAPER_CALL_LOW_EDGE</t>
        </is>
      </c>
      <c r="AP923" s="24" t="inlineStr">
        <is>
          <t>Lorenzo Musetti</t>
        </is>
      </c>
      <c r="AQ923" s="24" t="inlineStr">
        <is>
          <t>Lorenzo Musetti</t>
        </is>
      </c>
      <c r="AR923" s="24" t="inlineStr">
        <is>
          <t>Lorenzo Musetti</t>
        </is>
      </c>
      <c r="AS923" s="24" t="inlineStr">
        <is>
          <t>Dane Sweeny</t>
        </is>
      </c>
      <c r="AT923" s="24" t="inlineStr">
        <is>
          <t>Dane Sweeny</t>
        </is>
      </c>
      <c r="AU923" s="24" t="inlineStr">
        <is>
          <t>Dane Sweeny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0ce66f49b381187fe6255a40ca2fdbfc155d5e36125ccf6d30fe81a72962eafa</t>
        </is>
      </c>
      <c r="BB923" s="24" t="inlineStr">
        <is>
          <t>surface_blended_elo</t>
        </is>
      </c>
      <c r="BC923" s="24" t="inlineStr">
        <is>
          <t>tennis-surface-elo-v1</t>
        </is>
      </c>
      <c r="BD923" s="24" t="inlineStr">
        <is>
          <t>0ce66f49b381187fe6255a40ca2fdbfc155d5e36125ccf6d30fe81a72962eafa</t>
        </is>
      </c>
      <c r="BE923" s="24" t="inlineStr">
        <is>
          <t>tennis-surface-elo-v1</t>
        </is>
      </c>
      <c r="BF923" s="24" t="inlineStr">
        <is>
          <t>1</t>
        </is>
      </c>
      <c r="BG923" s="24" t="inlineStr">
        <is>
          <t>0ce66f49b381187fe6255a40ca2fdbfc155d5e36125ccf6d30fe81a72962eafa</t>
        </is>
      </c>
      <c r="BH923" s="24" t="inlineStr">
        <is>
          <t>2026-09-03T16:10:21.877459Z</t>
        </is>
      </c>
      <c r="BI923" s="24" t="inlineStr">
        <is>
          <t>["same_event","same_team_same_day","same_league_same_day"]</t>
        </is>
      </c>
      <c r="BJ923" s="25" t="n"/>
      <c r="BK923" s="26" t="n">
        <v>-1567</v>
      </c>
      <c r="BL923" s="27" t="n">
        <v>1.063816</v>
      </c>
      <c r="BM923" s="28" t="n">
        <v>0.940012</v>
      </c>
      <c r="BN923" s="28" t="n"/>
      <c r="BO923" s="28" t="n"/>
      <c r="BP923" s="25" t="n"/>
      <c r="BQ923" s="27" t="n">
        <v>1.063816</v>
      </c>
      <c r="BR923" s="28" t="n">
        <v>0.9399999999999999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False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inlineStr">
        <is>
          <t>9e8b02ec95db7278aabf936c95c06bb013b87f09c457c8a4922487ee8d20ae60</t>
        </is>
      </c>
      <c r="DE923" s="24" t="inlineStr">
        <is>
          <t>/Users/vincentc9002/model-prediction/data/odds/tennis/2026-09-03/polymarket_snapshots.jsonl</t>
        </is>
      </c>
      <c r="DF923" s="24" t="inlineStr">
        <is>
          <t>611359:2026-09-03T16:10:21.877459Z</t>
        </is>
      </c>
      <c r="DG923" s="24" t="n"/>
      <c r="DH923" s="24" t="n"/>
      <c r="DI923" s="24" t="n"/>
      <c r="DJ923" s="24" t="inlineStr">
        <is>
          <t>0.940012</t>
        </is>
      </c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cef933a2ccdd4b08</t>
        </is>
      </c>
      <c r="B924" s="24" t="inlineStr">
        <is>
          <t>2026-09-03T16:11:19.815565Z</t>
        </is>
      </c>
      <c r="C924" s="24" t="inlineStr">
        <is>
          <t>2026-09-03T17:00Z</t>
        </is>
      </c>
      <c r="D924" s="24" t="inlineStr">
        <is>
          <t>189-2026:182726</t>
        </is>
      </c>
      <c r="E924" s="24" t="inlineStr">
        <is>
          <t>TENNIS</t>
        </is>
      </c>
      <c r="F924" s="24" t="inlineStr">
        <is>
          <t>Marco Trungelliti</t>
        </is>
      </c>
      <c r="G924" s="24" t="inlineStr">
        <is>
          <t>Alexander Blockx</t>
        </is>
      </c>
      <c r="H924" s="24" t="inlineStr">
        <is>
          <t>moneyline</t>
        </is>
      </c>
      <c r="I924" s="24" t="inlineStr">
        <is>
          <t>home</t>
        </is>
      </c>
      <c r="J924" s="25" t="n"/>
      <c r="K924" s="24" t="inlineStr">
        <is>
          <t>polymarket_us</t>
        </is>
      </c>
      <c r="L924" s="26" t="n">
        <v>-488</v>
      </c>
      <c r="M924" s="27" t="n">
        <v>1.204918</v>
      </c>
      <c r="N924" s="28" t="n">
        <v>0.829932</v>
      </c>
      <c r="O924" s="28" t="n">
        <v>0.5823</v>
      </c>
      <c r="P924" s="28" t="n">
        <v>0.05</v>
      </c>
      <c r="Q924" s="28" t="n">
        <v>-0.247632</v>
      </c>
      <c r="R924" s="26" t="n">
        <v>0</v>
      </c>
      <c r="S924" s="29" t="n">
        <v>1</v>
      </c>
      <c r="T924" s="24" t="inlineStr">
        <is>
          <t>tennis-surface-elo-v1</t>
        </is>
      </c>
      <c r="U924" s="24" t="inlineStr">
        <is>
          <t>settled</t>
        </is>
      </c>
      <c r="V924" s="24" t="inlineStr">
        <is>
          <t>win</t>
        </is>
      </c>
      <c r="W924" s="26" t="n">
        <v>0</v>
      </c>
      <c r="X924" s="26" t="n">
        <v>1</v>
      </c>
      <c r="Y924" s="25" t="n"/>
      <c r="Z924" s="26" t="n">
        <v>-488</v>
      </c>
      <c r="AA924" s="28" t="n">
        <v>0.83</v>
      </c>
      <c r="AB924" s="28" t="n">
        <v>6.8e-05</v>
      </c>
      <c r="AC924" s="30" t="n">
        <v>0.2049</v>
      </c>
      <c r="AD924" s="24" t="inlineStr">
        <is>
          <t>2026-09-04T04:32:46.140703Z</t>
        </is>
      </c>
      <c r="AE924" s="31" t="inlineStr">
        <is>
          <t>Surface-blended Elo on Hard: Marco Trungelliti p=0.418 vs Alexander Blockx. Executable ask 0.8300 (aec-atp-aleblo-martru-2026-09-01).</t>
        </is>
      </c>
      <c r="AF924" s="31" t="inlineStr">
        <is>
          <t>Surface-blended Elo model; singles only, WTA+ATP market coverage, not yet locked-holdout qualified -- promoted by explicit operator directive, not genuine walk-forward validation.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Marco Trungelliti</t>
        </is>
      </c>
      <c r="AQ924" s="24" t="inlineStr">
        <is>
          <t>Marco Trungelliti</t>
        </is>
      </c>
      <c r="AR924" s="24" t="inlineStr">
        <is>
          <t>Marco Trungelliti</t>
        </is>
      </c>
      <c r="AS924" s="24" t="inlineStr">
        <is>
          <t>Alexander Blockx</t>
        </is>
      </c>
      <c r="AT924" s="24" t="inlineStr">
        <is>
          <t>Alexander Blockx</t>
        </is>
      </c>
      <c r="AU924" s="24" t="inlineStr">
        <is>
          <t>Alexander Blockx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0ce66f49b381187fe6255a40ca2fdbfc155d5e36125ccf6d30fe81a72962eafa</t>
        </is>
      </c>
      <c r="BB924" s="24" t="inlineStr">
        <is>
          <t>surface_blended_elo</t>
        </is>
      </c>
      <c r="BC924" s="24" t="inlineStr">
        <is>
          <t>tennis-surface-elo-v1</t>
        </is>
      </c>
      <c r="BD924" s="24" t="inlineStr">
        <is>
          <t>0ce66f49b381187fe6255a40ca2fdbfc155d5e36125ccf6d30fe81a72962eafa</t>
        </is>
      </c>
      <c r="BE924" s="24" t="inlineStr">
        <is>
          <t>tennis-surface-elo-v1</t>
        </is>
      </c>
      <c r="BF924" s="24" t="inlineStr">
        <is>
          <t>1</t>
        </is>
      </c>
      <c r="BG924" s="24" t="inlineStr">
        <is>
          <t>0ce66f49b381187fe6255a40ca2fdbfc155d5e36125ccf6d30fe81a72962eafa</t>
        </is>
      </c>
      <c r="BH924" s="24" t="inlineStr">
        <is>
          <t>2026-09-03T16:10:21.425664Z</t>
        </is>
      </c>
      <c r="BI924" s="24" t="inlineStr">
        <is>
          <t>["same_event","same_team_same_day","same_league_same_day"]</t>
        </is>
      </c>
      <c r="BJ924" s="25" t="n"/>
      <c r="BK924" s="26" t="n">
        <v>-488</v>
      </c>
      <c r="BL924" s="27" t="n">
        <v>1.204918</v>
      </c>
      <c r="BM924" s="28" t="n">
        <v>0.829932</v>
      </c>
      <c r="BN924" s="28" t="n"/>
      <c r="BO924" s="28" t="n"/>
      <c r="BP924" s="25" t="n"/>
      <c r="BQ924" s="27" t="n">
        <v>1.204918</v>
      </c>
      <c r="BR924" s="28" t="n">
        <v>0.83</v>
      </c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inlineStr">
        <is>
          <t>5b4478b0876b0f3fb6b42171e5887ea30b7d5e726483d8b6c8810f0e79c33748</t>
        </is>
      </c>
      <c r="DE924" s="24" t="inlineStr">
        <is>
          <t>/Users/vincentc9002/model-prediction/data/odds/tennis/2026-09-03/polymarket_snapshots.jsonl</t>
        </is>
      </c>
      <c r="DF924" s="24" t="inlineStr">
        <is>
          <t>601938:2026-09-03T16:10:21.425664Z</t>
        </is>
      </c>
      <c r="DG924" s="24" t="n"/>
      <c r="DH924" s="24" t="n"/>
      <c r="DI924" s="24" t="n"/>
      <c r="DJ924" s="24" t="inlineStr">
        <is>
          <t>0.829932</t>
        </is>
      </c>
      <c r="DK924" s="24" t="n"/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51b005ca288341e3</t>
        </is>
      </c>
      <c r="B925" s="24" t="inlineStr">
        <is>
          <t>2026-09-03T16:11:19.815565Z</t>
        </is>
      </c>
      <c r="C925" s="24" t="inlineStr">
        <is>
          <t>2026-09-03T17:00Z</t>
        </is>
      </c>
      <c r="D925" s="24" t="inlineStr">
        <is>
          <t>189-2026:182755</t>
        </is>
      </c>
      <c r="E925" s="24" t="inlineStr">
        <is>
          <t>TENNIS</t>
        </is>
      </c>
      <c r="F925" s="24" t="inlineStr">
        <is>
          <t>Mattia Bellucci</t>
        </is>
      </c>
      <c r="G925" s="24" t="inlineStr">
        <is>
          <t>Taylor Fritz</t>
        </is>
      </c>
      <c r="H925" s="24" t="inlineStr">
        <is>
          <t>moneyline</t>
        </is>
      </c>
      <c r="I925" s="24" t="inlineStr">
        <is>
          <t>home</t>
        </is>
      </c>
      <c r="J925" s="25" t="n"/>
      <c r="K925" s="24" t="inlineStr">
        <is>
          <t>polymarket_us</t>
        </is>
      </c>
      <c r="L925" s="26" t="n">
        <v>-700</v>
      </c>
      <c r="M925" s="27" t="n">
        <v>1.142857</v>
      </c>
      <c r="N925" s="28" t="n">
        <v>0.875</v>
      </c>
      <c r="O925" s="28" t="n">
        <v>0.7776</v>
      </c>
      <c r="P925" s="28" t="n">
        <v>0.05</v>
      </c>
      <c r="Q925" s="28" t="n">
        <v>-0.0974</v>
      </c>
      <c r="R925" s="26" t="n">
        <v>0</v>
      </c>
      <c r="S925" s="29" t="n">
        <v>1</v>
      </c>
      <c r="T925" s="24" t="inlineStr">
        <is>
          <t>tennis-surface-elo-v1</t>
        </is>
      </c>
      <c r="U925" s="24" t="inlineStr">
        <is>
          <t>settled</t>
        </is>
      </c>
      <c r="V925" s="24" t="inlineStr">
        <is>
          <t>win</t>
        </is>
      </c>
      <c r="W925" s="26" t="n">
        <v>0</v>
      </c>
      <c r="X925" s="26" t="n">
        <v>1</v>
      </c>
      <c r="Y925" s="25" t="n"/>
      <c r="Z925" s="26" t="n">
        <v>-700</v>
      </c>
      <c r="AA925" s="28" t="n">
        <v>0.875</v>
      </c>
      <c r="AB925" s="28" t="n">
        <v>0</v>
      </c>
      <c r="AC925" s="30" t="n">
        <v>0.1429</v>
      </c>
      <c r="AD925" s="24" t="inlineStr">
        <is>
          <t>2026-09-04T04:32:47.109786Z</t>
        </is>
      </c>
      <c r="AE925" s="31" t="inlineStr">
        <is>
          <t>Surface-blended Elo on Hard: Mattia Bellucci p=0.222 vs Taylor Fritz. Executable ask 0.8750 (aec-atp-tayfri-matbel-2026-09-02).</t>
        </is>
      </c>
      <c r="AF925" s="31" t="inlineStr">
        <is>
          <t>Surface-blended Elo model; singles only, WTA+ATP market coverage, not yet locked-holdout qualified -- promoted by explicit operator directive, not genuine walk-forward validation.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PAPER_CALL_LOW_EDGE</t>
        </is>
      </c>
      <c r="AP925" s="24" t="inlineStr">
        <is>
          <t>Mattia Bellucci</t>
        </is>
      </c>
      <c r="AQ925" s="24" t="inlineStr">
        <is>
          <t>Mattia Bellucci</t>
        </is>
      </c>
      <c r="AR925" s="24" t="inlineStr">
        <is>
          <t>Mattia Bellucci</t>
        </is>
      </c>
      <c r="AS925" s="24" t="inlineStr">
        <is>
          <t>Taylor Fritz</t>
        </is>
      </c>
      <c r="AT925" s="24" t="inlineStr">
        <is>
          <t>Taylor Fritz</t>
        </is>
      </c>
      <c r="AU925" s="24" t="inlineStr">
        <is>
          <t>Taylor Fritz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0ce66f49b381187fe6255a40ca2fdbfc155d5e36125ccf6d30fe81a72962eafa</t>
        </is>
      </c>
      <c r="BB925" s="24" t="inlineStr">
        <is>
          <t>surface_blended_elo</t>
        </is>
      </c>
      <c r="BC925" s="24" t="inlineStr">
        <is>
          <t>tennis-surface-elo-v1</t>
        </is>
      </c>
      <c r="BD925" s="24" t="inlineStr">
        <is>
          <t>0ce66f49b381187fe6255a40ca2fdbfc155d5e36125ccf6d30fe81a72962eafa</t>
        </is>
      </c>
      <c r="BE925" s="24" t="inlineStr">
        <is>
          <t>tennis-surface-elo-v1</t>
        </is>
      </c>
      <c r="BF925" s="24" t="inlineStr">
        <is>
          <t>1</t>
        </is>
      </c>
      <c r="BG925" s="24" t="inlineStr">
        <is>
          <t>0ce66f49b381187fe6255a40ca2fdbfc155d5e36125ccf6d30fe81a72962eafa</t>
        </is>
      </c>
      <c r="BH925" s="24" t="inlineStr">
        <is>
          <t>2026-09-03T16:10:21.533664Z</t>
        </is>
      </c>
      <c r="BI925" s="24" t="inlineStr">
        <is>
          <t>["same_event","same_team_same_day","same_league_same_day"]</t>
        </is>
      </c>
      <c r="BJ925" s="25" t="n"/>
      <c r="BK925" s="26" t="n">
        <v>-700</v>
      </c>
      <c r="BL925" s="27" t="n">
        <v>1.142857</v>
      </c>
      <c r="BM925" s="28" t="n">
        <v>0.875</v>
      </c>
      <c r="BN925" s="28" t="n"/>
      <c r="BO925" s="28" t="n"/>
      <c r="BP925" s="25" t="n"/>
      <c r="BQ925" s="27" t="n">
        <v>1.142857</v>
      </c>
      <c r="BR925" s="28" t="n">
        <v>0.875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False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inlineStr">
        <is>
          <t>d1714c89473d6cce86da78926781bd6cd0e4929ed046bd5bf89979f70a6b106e</t>
        </is>
      </c>
      <c r="DE925" s="24" t="inlineStr">
        <is>
          <t>/Users/vincentc9002/model-prediction/data/odds/tennis/2026-09-03/polymarket_snapshots.jsonl</t>
        </is>
      </c>
      <c r="DF925" s="24" t="inlineStr">
        <is>
          <t>610043:2026-09-03T16:10:21.533664Z</t>
        </is>
      </c>
      <c r="DG925" s="24" t="n"/>
      <c r="DH925" s="24" t="n"/>
      <c r="DI925" s="24" t="n"/>
      <c r="DJ925" s="24" t="inlineStr">
        <is>
          <t>0.875</t>
        </is>
      </c>
      <c r="DK925" s="24" t="n"/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4f1cdd92288d416a</t>
        </is>
      </c>
      <c r="B926" s="24" t="inlineStr">
        <is>
          <t>2026-09-03T16:11:19.815565Z</t>
        </is>
      </c>
      <c r="C926" s="24" t="inlineStr">
        <is>
          <t>2026-09-03T18:00Z</t>
        </is>
      </c>
      <c r="D926" s="24" t="inlineStr">
        <is>
          <t>189-2026:182709</t>
        </is>
      </c>
      <c r="E926" s="24" t="inlineStr">
        <is>
          <t>TENNIS</t>
        </is>
      </c>
      <c r="F926" s="24" t="inlineStr">
        <is>
          <t>Alejandro Tabilo</t>
        </is>
      </c>
      <c r="G926" s="24" t="inlineStr">
        <is>
          <t>Alexei Popyrin</t>
        </is>
      </c>
      <c r="H926" s="24" t="inlineStr">
        <is>
          <t>moneyline</t>
        </is>
      </c>
      <c r="I926" s="24" t="inlineStr">
        <is>
          <t>away</t>
        </is>
      </c>
      <c r="J926" s="25" t="n"/>
      <c r="K926" s="24" t="inlineStr">
        <is>
          <t>polymarket_us</t>
        </is>
      </c>
      <c r="L926" s="26" t="n">
        <v>-156</v>
      </c>
      <c r="M926" s="27" t="n">
        <v>1.641026</v>
      </c>
      <c r="N926" s="28" t="n">
        <v>0.609375</v>
      </c>
      <c r="O926" s="28" t="n">
        <v>0.5784</v>
      </c>
      <c r="P926" s="28" t="n">
        <v>0.05</v>
      </c>
      <c r="Q926" s="28" t="n">
        <v>-0.030975</v>
      </c>
      <c r="R926" s="26" t="n">
        <v>5</v>
      </c>
      <c r="S926" s="29" t="n">
        <v>1</v>
      </c>
      <c r="T926" s="24" t="inlineStr">
        <is>
          <t>tennis-surface-elo-v1</t>
        </is>
      </c>
      <c r="U926" s="24" t="inlineStr">
        <is>
          <t>settled</t>
        </is>
      </c>
      <c r="V926" s="24" t="inlineStr">
        <is>
          <t>win</t>
        </is>
      </c>
      <c r="W926" s="26" t="n">
        <v>1</v>
      </c>
      <c r="X926" s="26" t="n">
        <v>0</v>
      </c>
      <c r="Y926" s="25" t="n"/>
      <c r="Z926" s="26" t="n">
        <v>-156</v>
      </c>
      <c r="AA926" s="28" t="n">
        <v>0.61</v>
      </c>
      <c r="AB926" s="28" t="n">
        <v>0.000625</v>
      </c>
      <c r="AC926" s="30" t="n">
        <v>0.641</v>
      </c>
      <c r="AD926" s="24" t="inlineStr">
        <is>
          <t>2026-09-04T04:32:47.911131Z</t>
        </is>
      </c>
      <c r="AE926" s="31" t="inlineStr">
        <is>
          <t>Surface-blended Elo on Hard: Alejandro Tabilo p=0.578 vs Alexei Popyrin. Executable ask 0.6100 (aec-atp-alepop-aletab-2026-09-02).</t>
        </is>
      </c>
      <c r="AF926" s="31" t="inlineStr">
        <is>
          <t>Surface-blended Elo model; singles only, WTA+ATP market coverage, not yet locked-holdout qualified -- promoted by explicit operator directive, not genuine walk-forward validation.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PAPER_CALL_LOW_EDGE</t>
        </is>
      </c>
      <c r="AP926" s="24" t="inlineStr">
        <is>
          <t>Alejandro Tabilo</t>
        </is>
      </c>
      <c r="AQ926" s="24" t="inlineStr">
        <is>
          <t>Alejandro Tabilo</t>
        </is>
      </c>
      <c r="AR926" s="24" t="inlineStr">
        <is>
          <t>Alejandro Tabilo</t>
        </is>
      </c>
      <c r="AS926" s="24" t="inlineStr">
        <is>
          <t>Alexei Popyrin</t>
        </is>
      </c>
      <c r="AT926" s="24" t="inlineStr">
        <is>
          <t>Alexei Popyrin</t>
        </is>
      </c>
      <c r="AU926" s="24" t="inlineStr">
        <is>
          <t>Alexei Popyrin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0ce66f49b381187fe6255a40ca2fdbfc155d5e36125ccf6d30fe81a72962eafa</t>
        </is>
      </c>
      <c r="BB926" s="24" t="inlineStr">
        <is>
          <t>surface_blended_elo</t>
        </is>
      </c>
      <c r="BC926" s="24" t="inlineStr">
        <is>
          <t>tennis-surface-elo-v1</t>
        </is>
      </c>
      <c r="BD926" s="24" t="inlineStr">
        <is>
          <t>0ce66f49b381187fe6255a40ca2fdbfc155d5e36125ccf6d30fe81a72962eafa</t>
        </is>
      </c>
      <c r="BE926" s="24" t="inlineStr">
        <is>
          <t>tennis-surface-elo-v1</t>
        </is>
      </c>
      <c r="BF926" s="24" t="inlineStr">
        <is>
          <t>1</t>
        </is>
      </c>
      <c r="BG926" s="24" t="inlineStr">
        <is>
          <t>0ce66f49b381187fe6255a40ca2fdbfc155d5e36125ccf6d30fe81a72962eafa</t>
        </is>
      </c>
      <c r="BH926" s="24" t="inlineStr">
        <is>
          <t>2026-09-03T16:10:22.061083Z</t>
        </is>
      </c>
      <c r="BI926" s="24" t="inlineStr">
        <is>
          <t>["same_event","same_team_same_day","same_league_same_day"]</t>
        </is>
      </c>
      <c r="BJ926" s="25" t="n"/>
      <c r="BK926" s="26" t="n">
        <v>-156</v>
      </c>
      <c r="BL926" s="27" t="n">
        <v>1.641026</v>
      </c>
      <c r="BM926" s="28" t="n">
        <v>0.609375</v>
      </c>
      <c r="BN926" s="28" t="n"/>
      <c r="BO926" s="28" t="n"/>
      <c r="BP926" s="25" t="n"/>
      <c r="BQ926" s="27" t="n">
        <v>1.641026</v>
      </c>
      <c r="BR926" s="28" t="n">
        <v>0.61</v>
      </c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False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inlineStr">
        <is>
          <t>e2d75f41f3c2bbfdc58e0ac57bda17bc9e007694fdb1d1b5236c41b01e9aa4ce</t>
        </is>
      </c>
      <c r="DE926" s="24" t="inlineStr">
        <is>
          <t>/Users/vincentc9002/model-prediction/data/odds/tennis/2026-09-03/polymarket_snapshots.jsonl</t>
        </is>
      </c>
      <c r="DF926" s="24" t="inlineStr">
        <is>
          <t>602289:2026-09-03T16:10:22.061083Z</t>
        </is>
      </c>
      <c r="DG926" s="24" t="n"/>
      <c r="DH926" s="24" t="n"/>
      <c r="DI926" s="24" t="n"/>
      <c r="DJ926" s="24" t="inlineStr">
        <is>
          <t>0.609375</t>
        </is>
      </c>
      <c r="DK926" s="24" t="n"/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cd86a589af1f41fa</t>
        </is>
      </c>
      <c r="B927" s="24" t="inlineStr">
        <is>
          <t>2026-09-03T16:11:19.815565Z</t>
        </is>
      </c>
      <c r="C927" s="24" t="inlineStr">
        <is>
          <t>2026-09-03T18:00Z</t>
        </is>
      </c>
      <c r="D927" s="24" t="inlineStr">
        <is>
          <t>189-2026:182735</t>
        </is>
      </c>
      <c r="E927" s="24" t="inlineStr">
        <is>
          <t>TENNIS</t>
        </is>
      </c>
      <c r="F927" s="24" t="inlineStr">
        <is>
          <t>Flavio Cobolli</t>
        </is>
      </c>
      <c r="G927" s="24" t="inlineStr">
        <is>
          <t>Tristan Schoolkate</t>
        </is>
      </c>
      <c r="H927" s="24" t="inlineStr">
        <is>
          <t>moneyline</t>
        </is>
      </c>
      <c r="I927" s="24" t="inlineStr">
        <is>
          <t>away</t>
        </is>
      </c>
      <c r="J927" s="25" t="n"/>
      <c r="K927" s="24" t="inlineStr">
        <is>
          <t>polymarket_us</t>
        </is>
      </c>
      <c r="L927" s="26" t="n">
        <v>-413</v>
      </c>
      <c r="M927" s="27" t="n">
        <v>1.242131</v>
      </c>
      <c r="N927" s="28" t="n">
        <v>0.805068</v>
      </c>
      <c r="O927" s="28" t="n">
        <v>0.7446</v>
      </c>
      <c r="P927" s="28" t="n">
        <v>0.05</v>
      </c>
      <c r="Q927" s="28" t="n">
        <v>-0.060468</v>
      </c>
      <c r="R927" s="26" t="n">
        <v>0</v>
      </c>
      <c r="S927" s="29" t="n">
        <v>1</v>
      </c>
      <c r="T927" s="24" t="inlineStr">
        <is>
          <t>tennis-surface-elo-v1</t>
        </is>
      </c>
      <c r="U927" s="24" t="inlineStr">
        <is>
          <t>settled</t>
        </is>
      </c>
      <c r="V927" s="24" t="inlineStr">
        <is>
          <t>win</t>
        </is>
      </c>
      <c r="W927" s="26" t="n">
        <v>1</v>
      </c>
      <c r="X927" s="26" t="n">
        <v>0</v>
      </c>
      <c r="Y927" s="25" t="n"/>
      <c r="Z927" s="26" t="n">
        <v>-413</v>
      </c>
      <c r="AA927" s="28" t="n">
        <v>0.805</v>
      </c>
      <c r="AB927" s="28" t="n">
        <v>-6.8e-05</v>
      </c>
      <c r="AC927" s="30" t="n">
        <v>0.2421</v>
      </c>
      <c r="AD927" s="24" t="inlineStr">
        <is>
          <t>2026-09-04T04:32:48.711855Z</t>
        </is>
      </c>
      <c r="AE927" s="31" t="inlineStr">
        <is>
          <t>Surface-blended Elo on Hard: Flavio Cobolli p=0.745 vs Tristan Schoolkate. Executable ask 0.8050 (aec-atp-trisch-flacob-2026-09-02).</t>
        </is>
      </c>
      <c r="AF927" s="31" t="inlineStr">
        <is>
          <t>Surface-blended Elo model; singles only, WTA+ATP market coverage, not yet locked-holdout qualified -- promoted by explicit operator directive, not genuine walk-forward validation.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Flavio Cobolli</t>
        </is>
      </c>
      <c r="AQ927" s="24" t="inlineStr">
        <is>
          <t>Flavio Cobolli</t>
        </is>
      </c>
      <c r="AR927" s="24" t="inlineStr">
        <is>
          <t>Flavio Cobolli</t>
        </is>
      </c>
      <c r="AS927" s="24" t="inlineStr">
        <is>
          <t>Tristan Schoolkate</t>
        </is>
      </c>
      <c r="AT927" s="24" t="inlineStr">
        <is>
          <t>Tristan Schoolkate</t>
        </is>
      </c>
      <c r="AU927" s="24" t="inlineStr">
        <is>
          <t>Tristan Schoolkate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0ce66f49b381187fe6255a40ca2fdbfc155d5e36125ccf6d30fe81a72962eafa</t>
        </is>
      </c>
      <c r="BB927" s="24" t="inlineStr">
        <is>
          <t>surface_blended_elo</t>
        </is>
      </c>
      <c r="BC927" s="24" t="inlineStr">
        <is>
          <t>tennis-surface-elo-v1</t>
        </is>
      </c>
      <c r="BD927" s="24" t="inlineStr">
        <is>
          <t>0ce66f49b381187fe6255a40ca2fdbfc155d5e36125ccf6d30fe81a72962eafa</t>
        </is>
      </c>
      <c r="BE927" s="24" t="inlineStr">
        <is>
          <t>tennis-surface-elo-v1</t>
        </is>
      </c>
      <c r="BF927" s="24" t="inlineStr">
        <is>
          <t>1</t>
        </is>
      </c>
      <c r="BG927" s="24" t="inlineStr">
        <is>
          <t>0ce66f49b381187fe6255a40ca2fdbfc155d5e36125ccf6d30fe81a72962eafa</t>
        </is>
      </c>
      <c r="BH927" s="24" t="inlineStr">
        <is>
          <t>2026-09-03T16:10:21.931575Z</t>
        </is>
      </c>
      <c r="BI927" s="24" t="inlineStr">
        <is>
          <t>["same_event","same_team_same_day","same_league_same_day"]</t>
        </is>
      </c>
      <c r="BJ927" s="25" t="n"/>
      <c r="BK927" s="26" t="n">
        <v>-413</v>
      </c>
      <c r="BL927" s="27" t="n">
        <v>1.242131</v>
      </c>
      <c r="BM927" s="28" t="n">
        <v>0.805068</v>
      </c>
      <c r="BN927" s="28" t="n"/>
      <c r="BO927" s="28" t="n"/>
      <c r="BP927" s="25" t="n"/>
      <c r="BQ927" s="27" t="n">
        <v>1.242131</v>
      </c>
      <c r="BR927" s="28" t="n">
        <v>0.805</v>
      </c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inlineStr">
        <is>
          <t>ec63d4c1e9924a91d18b6c0dac1071505a267663780ad9aece2b5a729b34c373</t>
        </is>
      </c>
      <c r="DE927" s="24" t="inlineStr">
        <is>
          <t>/Users/vincentc9002/model-prediction/data/odds/tennis/2026-09-03/polymarket_snapshots.jsonl</t>
        </is>
      </c>
      <c r="DF927" s="24" t="inlineStr">
        <is>
          <t>610071:2026-09-03T16:10:21.931575Z</t>
        </is>
      </c>
      <c r="DG927" s="24" t="n"/>
      <c r="DH927" s="24" t="n"/>
      <c r="DI927" s="24" t="n"/>
      <c r="DJ927" s="24" t="inlineStr">
        <is>
          <t>0.805068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07f3f12a03d745a3</t>
        </is>
      </c>
      <c r="B928" s="24" t="inlineStr">
        <is>
          <t>2026-09-03T16:11:19.815565Z</t>
        </is>
      </c>
      <c r="C928" s="24" t="inlineStr">
        <is>
          <t>2026-09-03T18:00Z</t>
        </is>
      </c>
      <c r="D928" s="24" t="inlineStr">
        <is>
          <t>189-2026:182752</t>
        </is>
      </c>
      <c r="E928" s="24" t="inlineStr">
        <is>
          <t>TENNIS</t>
        </is>
      </c>
      <c r="F928" s="24" t="inlineStr">
        <is>
          <t>Jurij Rodionov</t>
        </is>
      </c>
      <c r="G928" s="24" t="inlineStr">
        <is>
          <t>Jakub Mensik</t>
        </is>
      </c>
      <c r="H928" s="24" t="inlineStr">
        <is>
          <t>moneyline</t>
        </is>
      </c>
      <c r="I928" s="24" t="inlineStr">
        <is>
          <t>home</t>
        </is>
      </c>
      <c r="J928" s="25" t="n"/>
      <c r="K928" s="24" t="inlineStr">
        <is>
          <t>polymarket_us</t>
        </is>
      </c>
      <c r="L928" s="26" t="n">
        <v>-669</v>
      </c>
      <c r="M928" s="27" t="n">
        <v>1.149477</v>
      </c>
      <c r="N928" s="28" t="n">
        <v>0.869961</v>
      </c>
      <c r="O928" s="28" t="n">
        <v>0.7286</v>
      </c>
      <c r="P928" s="28" t="n">
        <v>0.05</v>
      </c>
      <c r="Q928" s="28" t="n">
        <v>-0.141361</v>
      </c>
      <c r="R928" s="26" t="n">
        <v>0</v>
      </c>
      <c r="S928" s="29" t="n">
        <v>1</v>
      </c>
      <c r="T928" s="24" t="inlineStr">
        <is>
          <t>tennis-surface-elo-v1</t>
        </is>
      </c>
      <c r="U928" s="24" t="inlineStr">
        <is>
          <t>settled</t>
        </is>
      </c>
      <c r="V928" s="24" t="inlineStr">
        <is>
          <t>win</t>
        </is>
      </c>
      <c r="W928" s="26" t="n">
        <v>0</v>
      </c>
      <c r="X928" s="26" t="n">
        <v>1</v>
      </c>
      <c r="Y928" s="25" t="n"/>
      <c r="Z928" s="26" t="n">
        <v>-669</v>
      </c>
      <c r="AA928" s="28" t="n">
        <v>0.87</v>
      </c>
      <c r="AB928" s="28" t="n">
        <v>3.9e-05</v>
      </c>
      <c r="AC928" s="30" t="n">
        <v>0.1495</v>
      </c>
      <c r="AD928" s="24" t="inlineStr">
        <is>
          <t>2026-09-04T04:32:49.513792Z</t>
        </is>
      </c>
      <c r="AE928" s="31" t="inlineStr">
        <is>
          <t>Surface-blended Elo on Hard: Jurij Rodionov p=0.271 vs Jakub Mensik. Executable ask 0.8700 (aec-atp-jakmen-jurrod-2026-09-02).</t>
        </is>
      </c>
      <c r="AF928" s="31" t="inlineStr">
        <is>
          <t>Surface-blended Elo model; singles only, WTA+ATP market coverage, not yet locked-holdout qualified -- promoted by explicit operator directive, not genuine walk-forward validation.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PAPER_CALL_LOW_EDGE</t>
        </is>
      </c>
      <c r="AP928" s="24" t="inlineStr">
        <is>
          <t>Jurij Rodionov</t>
        </is>
      </c>
      <c r="AQ928" s="24" t="inlineStr">
        <is>
          <t>Jurij Rodionov</t>
        </is>
      </c>
      <c r="AR928" s="24" t="inlineStr">
        <is>
          <t>Jurij Rodionov</t>
        </is>
      </c>
      <c r="AS928" s="24" t="inlineStr">
        <is>
          <t>Jakub Mensik</t>
        </is>
      </c>
      <c r="AT928" s="24" t="inlineStr">
        <is>
          <t>Jakub Mensik</t>
        </is>
      </c>
      <c r="AU928" s="24" t="inlineStr">
        <is>
          <t>Jakub Mensik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0ce66f49b381187fe6255a40ca2fdbfc155d5e36125ccf6d30fe81a72962eafa</t>
        </is>
      </c>
      <c r="BB928" s="24" t="inlineStr">
        <is>
          <t>surface_blended_elo</t>
        </is>
      </c>
      <c r="BC928" s="24" t="inlineStr">
        <is>
          <t>tennis-surface-elo-v1</t>
        </is>
      </c>
      <c r="BD928" s="24" t="inlineStr">
        <is>
          <t>0ce66f49b381187fe6255a40ca2fdbfc155d5e36125ccf6d30fe81a72962eafa</t>
        </is>
      </c>
      <c r="BE928" s="24" t="inlineStr">
        <is>
          <t>tennis-surface-elo-v1</t>
        </is>
      </c>
      <c r="BF928" s="24" t="inlineStr">
        <is>
          <t>1</t>
        </is>
      </c>
      <c r="BG928" s="24" t="inlineStr">
        <is>
          <t>0ce66f49b381187fe6255a40ca2fdbfc155d5e36125ccf6d30fe81a72962eafa</t>
        </is>
      </c>
      <c r="BH928" s="24" t="inlineStr">
        <is>
          <t>2026-09-03T16:10:21.725925Z</t>
        </is>
      </c>
      <c r="BI928" s="24" t="inlineStr">
        <is>
          <t>["same_event","same_team_same_day","same_league_same_day"]</t>
        </is>
      </c>
      <c r="BJ928" s="25" t="n"/>
      <c r="BK928" s="26" t="n">
        <v>-669</v>
      </c>
      <c r="BL928" s="27" t="n">
        <v>1.149477</v>
      </c>
      <c r="BM928" s="28" t="n">
        <v>0.869961</v>
      </c>
      <c r="BN928" s="28" t="n"/>
      <c r="BO928" s="28" t="n"/>
      <c r="BP928" s="25" t="n"/>
      <c r="BQ928" s="27" t="n">
        <v>1.149477</v>
      </c>
      <c r="BR928" s="28" t="n">
        <v>0.87</v>
      </c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False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inlineStr">
        <is>
          <t>f88843f2132e24dec5af8f79c47fae4deb64cd857f3d79e7f12e9ca8fb7e5e4b</t>
        </is>
      </c>
      <c r="DE928" s="24" t="inlineStr">
        <is>
          <t>/Users/vincentc9002/model-prediction/data/odds/tennis/2026-09-03/polymarket_snapshots.jsonl</t>
        </is>
      </c>
      <c r="DF928" s="24" t="inlineStr">
        <is>
          <t>602035:2026-09-03T16:10:21.725925Z</t>
        </is>
      </c>
      <c r="DG928" s="24" t="n"/>
      <c r="DH928" s="24" t="n"/>
      <c r="DI928" s="24" t="n"/>
      <c r="DJ928" s="24" t="inlineStr">
        <is>
          <t>0.869961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bf8db4e18eb9484d</t>
        </is>
      </c>
      <c r="B929" s="24" t="inlineStr">
        <is>
          <t>2026-09-03T16:11:19.815565Z</t>
        </is>
      </c>
      <c r="C929" s="24" t="inlineStr">
        <is>
          <t>2026-09-03T20:00Z</t>
        </is>
      </c>
      <c r="D929" s="24" t="inlineStr">
        <is>
          <t>189-2026:182684</t>
        </is>
      </c>
      <c r="E929" s="24" t="inlineStr">
        <is>
          <t>TENNIS</t>
        </is>
      </c>
      <c r="F929" s="24" t="inlineStr">
        <is>
          <t>Arthur Gea</t>
        </is>
      </c>
      <c r="G929" s="24" t="inlineStr">
        <is>
          <t>Zachary Svajda</t>
        </is>
      </c>
      <c r="H929" s="24" t="inlineStr">
        <is>
          <t>moneyline</t>
        </is>
      </c>
      <c r="I929" s="24" t="inlineStr">
        <is>
          <t>home</t>
        </is>
      </c>
      <c r="J929" s="25" t="n"/>
      <c r="K929" s="24" t="inlineStr">
        <is>
          <t>polymarket_us</t>
        </is>
      </c>
      <c r="L929" s="26" t="n">
        <v>-113</v>
      </c>
      <c r="M929" s="27" t="n">
        <v>1.884956</v>
      </c>
      <c r="N929" s="28" t="n">
        <v>0.530516</v>
      </c>
      <c r="O929" s="28" t="n">
        <v>0.5014999999999999</v>
      </c>
      <c r="P929" s="28" t="n">
        <v>0.05</v>
      </c>
      <c r="Q929" s="28" t="n">
        <v>-0.029016</v>
      </c>
      <c r="R929" s="26" t="n">
        <v>5</v>
      </c>
      <c r="S929" s="29" t="n">
        <v>1</v>
      </c>
      <c r="T929" s="24" t="inlineStr">
        <is>
          <t>tennis-surface-elo-v1</t>
        </is>
      </c>
      <c r="U929" s="24" t="inlineStr">
        <is>
          <t>settled</t>
        </is>
      </c>
      <c r="V929" s="24" t="inlineStr">
        <is>
          <t>loss</t>
        </is>
      </c>
      <c r="W929" s="26" t="n">
        <v>1</v>
      </c>
      <c r="X929" s="26" t="n">
        <v>0</v>
      </c>
      <c r="Y929" s="25" t="n"/>
      <c r="Z929" s="26" t="n">
        <v>-113</v>
      </c>
      <c r="AA929" s="28" t="n">
        <v>0.53</v>
      </c>
      <c r="AB929" s="28" t="n">
        <v>-0.000516</v>
      </c>
      <c r="AC929" s="30" t="n">
        <v>-1</v>
      </c>
      <c r="AD929" s="24" t="inlineStr">
        <is>
          <t>2026-09-04T04:32:50.319628Z</t>
        </is>
      </c>
      <c r="AE929" s="31" t="inlineStr">
        <is>
          <t>Surface-blended Elo on Hard: Arthur Gea p=0.499 vs Zachary Svajda. Executable ask 0.5300 (aec-atp-zacsva-artgea-2026-09-03).</t>
        </is>
      </c>
      <c r="AF929" s="31" t="inlineStr">
        <is>
          <t>Surface-blended Elo model; singles only, WTA+ATP market coverage, not yet locked-holdout qualified -- promoted by explicit operator directive, not genuine walk-forward validation.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PAPER_CALL_LOW_EDGE</t>
        </is>
      </c>
      <c r="AP929" s="24" t="inlineStr">
        <is>
          <t>Arthur Gea</t>
        </is>
      </c>
      <c r="AQ929" s="24" t="inlineStr">
        <is>
          <t>Arthur Gea</t>
        </is>
      </c>
      <c r="AR929" s="24" t="inlineStr">
        <is>
          <t>Arthur Gea</t>
        </is>
      </c>
      <c r="AS929" s="24" t="inlineStr">
        <is>
          <t>Zachary Svajda</t>
        </is>
      </c>
      <c r="AT929" s="24" t="inlineStr">
        <is>
          <t>Zachary Svajda</t>
        </is>
      </c>
      <c r="AU929" s="24" t="inlineStr">
        <is>
          <t>Zachary Svajda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0ce66f49b381187fe6255a40ca2fdbfc155d5e36125ccf6d30fe81a72962eafa</t>
        </is>
      </c>
      <c r="BB929" s="24" t="inlineStr">
        <is>
          <t>surface_blended_elo</t>
        </is>
      </c>
      <c r="BC929" s="24" t="inlineStr">
        <is>
          <t>tennis-surface-elo-v1</t>
        </is>
      </c>
      <c r="BD929" s="24" t="inlineStr">
        <is>
          <t>0ce66f49b381187fe6255a40ca2fdbfc155d5e36125ccf6d30fe81a72962eafa</t>
        </is>
      </c>
      <c r="BE929" s="24" t="inlineStr">
        <is>
          <t>tennis-surface-elo-v1</t>
        </is>
      </c>
      <c r="BF929" s="24" t="inlineStr">
        <is>
          <t>1</t>
        </is>
      </c>
      <c r="BG929" s="24" t="inlineStr">
        <is>
          <t>0ce66f49b381187fe6255a40ca2fdbfc155d5e36125ccf6d30fe81a72962eafa</t>
        </is>
      </c>
      <c r="BH929" s="24" t="inlineStr">
        <is>
          <t>2026-09-03T16:10:22.330434Z</t>
        </is>
      </c>
      <c r="BI929" s="24" t="inlineStr">
        <is>
          <t>["same_event","same_team_same_day","same_league_same_day"]</t>
        </is>
      </c>
      <c r="BJ929" s="25" t="n"/>
      <c r="BK929" s="26" t="n">
        <v>-113</v>
      </c>
      <c r="BL929" s="27" t="n">
        <v>1.884956</v>
      </c>
      <c r="BM929" s="28" t="n">
        <v>0.530516</v>
      </c>
      <c r="BN929" s="28" t="n"/>
      <c r="BO929" s="28" t="n"/>
      <c r="BP929" s="25" t="n"/>
      <c r="BQ929" s="27" t="n">
        <v>1.884956</v>
      </c>
      <c r="BR929" s="28" t="n">
        <v>0.53</v>
      </c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False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inlineStr">
        <is>
          <t>6ae0e3bcdc8e5debd8e354a89f2a03bedb9c44d534822a23b1458aecc9ce7711</t>
        </is>
      </c>
      <c r="DE929" s="24" t="inlineStr">
        <is>
          <t>/Users/vincentc9002/model-prediction/data/odds/tennis/2026-09-03/polymarket_snapshots.jsonl</t>
        </is>
      </c>
      <c r="DF929" s="24" t="inlineStr">
        <is>
          <t>656775:2026-09-03T16:10:22.330434Z</t>
        </is>
      </c>
      <c r="DG929" s="24" t="n"/>
      <c r="DH929" s="24" t="n"/>
      <c r="DI929" s="24" t="n"/>
      <c r="DJ929" s="24" t="inlineStr">
        <is>
          <t>0.530516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105e67665a18444c</t>
        </is>
      </c>
      <c r="B930" s="24" t="inlineStr">
        <is>
          <t>2026-09-03T16:11:19.815565Z</t>
        </is>
      </c>
      <c r="C930" s="24" t="inlineStr">
        <is>
          <t>2026-09-03T20:00Z</t>
        </is>
      </c>
      <c r="D930" s="24" t="inlineStr">
        <is>
          <t>189-2026:182686</t>
        </is>
      </c>
      <c r="E930" s="24" t="inlineStr">
        <is>
          <t>TENNIS</t>
        </is>
      </c>
      <c r="F930" s="24" t="inlineStr">
        <is>
          <t>Michael Zheng</t>
        </is>
      </c>
      <c r="G930" s="24" t="inlineStr">
        <is>
          <t>Bu Yunchaokete</t>
        </is>
      </c>
      <c r="H930" s="24" t="inlineStr">
        <is>
          <t>moneyline</t>
        </is>
      </c>
      <c r="I930" s="24" t="inlineStr">
        <is>
          <t>away</t>
        </is>
      </c>
      <c r="J930" s="25" t="n"/>
      <c r="K930" s="24" t="inlineStr">
        <is>
          <t>polymarket_us</t>
        </is>
      </c>
      <c r="L930" s="26" t="n">
        <v>-167</v>
      </c>
      <c r="M930" s="27" t="n">
        <v>1.598802</v>
      </c>
      <c r="N930" s="28" t="n">
        <v>0.625468</v>
      </c>
      <c r="O930" s="28" t="n">
        <v>0.6528</v>
      </c>
      <c r="P930" s="28" t="n">
        <v>0.05</v>
      </c>
      <c r="Q930" s="28" t="n">
        <v>0.027332</v>
      </c>
      <c r="R930" s="26" t="n">
        <v>34</v>
      </c>
      <c r="S930" s="29" t="n">
        <v>1</v>
      </c>
      <c r="T930" s="24" t="inlineStr">
        <is>
          <t>tennis-surface-elo-v1</t>
        </is>
      </c>
      <c r="U930" s="24" t="inlineStr">
        <is>
          <t>settled</t>
        </is>
      </c>
      <c r="V930" s="24" t="inlineStr">
        <is>
          <t>win</t>
        </is>
      </c>
      <c r="W930" s="26" t="n">
        <v>1</v>
      </c>
      <c r="X930" s="26" t="n">
        <v>0</v>
      </c>
      <c r="Y930" s="25" t="n"/>
      <c r="Z930" s="26" t="n">
        <v>-167</v>
      </c>
      <c r="AA930" s="28" t="n">
        <v>0.625</v>
      </c>
      <c r="AB930" s="28" t="n">
        <v>-0.000468</v>
      </c>
      <c r="AC930" s="30" t="n">
        <v>0.5988</v>
      </c>
      <c r="AD930" s="24" t="inlineStr">
        <is>
          <t>2026-09-04T04:32:51.117870Z</t>
        </is>
      </c>
      <c r="AE930" s="31" t="inlineStr">
        <is>
          <t>Surface-blended Elo on Hard: Michael Zheng p=0.653 vs Bu Yunchaokete. Executable ask 0.6250 (aec-atp-yunbu-miczhe-2026-09-03).</t>
        </is>
      </c>
      <c r="AF930" s="31" t="inlineStr">
        <is>
          <t>Surface-blended Elo model; singles only, WTA+ATP market coverage, not yet locked-holdout qualified -- promoted by explicit operator directive, not genuine walk-forward validation.</t>
        </is>
      </c>
      <c r="AG930" s="24" t="inlineStr">
        <is>
          <t>not_applicable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PAPER_CALL_LOW_EDGE</t>
        </is>
      </c>
      <c r="AP930" s="24" t="inlineStr">
        <is>
          <t>Michael Zheng</t>
        </is>
      </c>
      <c r="AQ930" s="24" t="inlineStr">
        <is>
          <t>Michael Zheng</t>
        </is>
      </c>
      <c r="AR930" s="24" t="inlineStr">
        <is>
          <t>Michael Zheng</t>
        </is>
      </c>
      <c r="AS930" s="24" t="inlineStr">
        <is>
          <t>Bu Yunchaokete</t>
        </is>
      </c>
      <c r="AT930" s="24" t="inlineStr">
        <is>
          <t>Bu Yunchaokete</t>
        </is>
      </c>
      <c r="AU930" s="24" t="inlineStr">
        <is>
          <t>Bu Yunchaokete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0ce66f49b381187fe6255a40ca2fdbfc155d5e36125ccf6d30fe81a72962eafa</t>
        </is>
      </c>
      <c r="BB930" s="24" t="inlineStr">
        <is>
          <t>surface_blended_elo</t>
        </is>
      </c>
      <c r="BC930" s="24" t="inlineStr">
        <is>
          <t>tennis-surface-elo-v1</t>
        </is>
      </c>
      <c r="BD930" s="24" t="inlineStr">
        <is>
          <t>0ce66f49b381187fe6255a40ca2fdbfc155d5e36125ccf6d30fe81a72962eafa</t>
        </is>
      </c>
      <c r="BE930" s="24" t="inlineStr">
        <is>
          <t>tennis-surface-elo-v1</t>
        </is>
      </c>
      <c r="BF930" s="24" t="inlineStr">
        <is>
          <t>1</t>
        </is>
      </c>
      <c r="BG930" s="24" t="inlineStr">
        <is>
          <t>0ce66f49b381187fe6255a40ca2fdbfc155d5e36125ccf6d30fe81a72962eafa</t>
        </is>
      </c>
      <c r="BH930" s="24" t="inlineStr">
        <is>
          <t>2026-09-03T16:10:22.859722Z</t>
        </is>
      </c>
      <c r="BI930" s="24" t="inlineStr">
        <is>
          <t>["same_event","same_team_same_day","same_league_same_day"]</t>
        </is>
      </c>
      <c r="BJ930" s="25" t="n"/>
      <c r="BK930" s="26" t="n">
        <v>-167</v>
      </c>
      <c r="BL930" s="27" t="n">
        <v>1.598802</v>
      </c>
      <c r="BM930" s="28" t="n">
        <v>0.625468</v>
      </c>
      <c r="BN930" s="28" t="n"/>
      <c r="BO930" s="28" t="n"/>
      <c r="BP930" s="25" t="n"/>
      <c r="BQ930" s="27" t="n">
        <v>1.598802</v>
      </c>
      <c r="BR930" s="28" t="n">
        <v>0.625</v>
      </c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inlineStr">
        <is>
          <t>b5b43f9488c2c781817da980557ea4a0c090f64ea1ec868e4b4fd9466d134ee3</t>
        </is>
      </c>
      <c r="DE930" s="24" t="inlineStr">
        <is>
          <t>/Users/vincentc9002/model-prediction/data/odds/tennis/2026-09-03/polymarket_snapshots.jsonl</t>
        </is>
      </c>
      <c r="DF930" s="24" t="inlineStr">
        <is>
          <t>656835:2026-09-03T16:10:22.859722Z</t>
        </is>
      </c>
      <c r="DG930" s="24" t="n"/>
      <c r="DH930" s="24" t="n"/>
      <c r="DI930" s="24" t="n"/>
      <c r="DJ930" s="24" t="inlineStr">
        <is>
          <t>0.625468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b4a385c0b6ba46f9</t>
        </is>
      </c>
      <c r="B931" s="24" t="inlineStr">
        <is>
          <t>2026-09-03T16:11:19.815565Z</t>
        </is>
      </c>
      <c r="C931" s="24" t="inlineStr">
        <is>
          <t>2026-09-03T20:00Z</t>
        </is>
      </c>
      <c r="D931" s="24" t="inlineStr">
        <is>
          <t>189-2026:182695</t>
        </is>
      </c>
      <c r="E931" s="24" t="inlineStr">
        <is>
          <t>TENNIS</t>
        </is>
      </c>
      <c r="F931" s="24" t="inlineStr">
        <is>
          <t>Jesper de Jong</t>
        </is>
      </c>
      <c r="G931" s="24" t="inlineStr">
        <is>
          <t>Zizou Bergs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-217</v>
      </c>
      <c r="M931" s="27" t="n">
        <v>1.460829</v>
      </c>
      <c r="N931" s="28" t="n">
        <v>0.684543</v>
      </c>
      <c r="O931" s="28" t="n">
        <v>0.6249</v>
      </c>
      <c r="P931" s="28" t="n">
        <v>0.05</v>
      </c>
      <c r="Q931" s="28" t="n">
        <v>-0.059643</v>
      </c>
      <c r="R931" s="26" t="n">
        <v>0</v>
      </c>
      <c r="S931" s="29" t="n">
        <v>1</v>
      </c>
      <c r="T931" s="24" t="inlineStr">
        <is>
          <t>tennis-surface-elo-v1</t>
        </is>
      </c>
      <c r="U931" s="24" t="inlineStr">
        <is>
          <t>settled</t>
        </is>
      </c>
      <c r="V931" s="24" t="inlineStr">
        <is>
          <t>win</t>
        </is>
      </c>
      <c r="W931" s="26" t="n">
        <v>0</v>
      </c>
      <c r="X931" s="26" t="n">
        <v>1</v>
      </c>
      <c r="Y931" s="25" t="n"/>
      <c r="Z931" s="26" t="n">
        <v>-217</v>
      </c>
      <c r="AA931" s="28" t="n">
        <v>0.6850000000000001</v>
      </c>
      <c r="AB931" s="28" t="n">
        <v>0.000457</v>
      </c>
      <c r="AC931" s="30" t="n">
        <v>0.4608</v>
      </c>
      <c r="AD931" s="24" t="inlineStr">
        <is>
          <t>2026-09-04T04:32:51.923820Z</t>
        </is>
      </c>
      <c r="AE931" s="31" t="inlineStr">
        <is>
          <t>Surface-blended Elo on Hard: Jesper de Jong p=0.375 vs Zizou Bergs. Executable ask 0.6850 (aec-atp-zizber-jesjon-2026-09-03).</t>
        </is>
      </c>
      <c r="AF931" s="31" t="inlineStr">
        <is>
          <t>Surface-blended Elo model; singles only, WTA+ATP market coverage, not yet locked-holdout qualified -- promoted by explicit operator directive, not genuine walk-forward validation.</t>
        </is>
      </c>
      <c r="AG931" s="24" t="inlineStr">
        <is>
          <t>not_applicable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Jesper de Jong</t>
        </is>
      </c>
      <c r="AQ931" s="24" t="inlineStr">
        <is>
          <t>Jesper de Jong</t>
        </is>
      </c>
      <c r="AR931" s="24" t="inlineStr">
        <is>
          <t>Jesper de Jong</t>
        </is>
      </c>
      <c r="AS931" s="24" t="inlineStr">
        <is>
          <t>Zizou Bergs</t>
        </is>
      </c>
      <c r="AT931" s="24" t="inlineStr">
        <is>
          <t>Zizou Bergs</t>
        </is>
      </c>
      <c r="AU931" s="24" t="inlineStr">
        <is>
          <t>Zizou Bergs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0ce66f49b381187fe6255a40ca2fdbfc155d5e36125ccf6d30fe81a72962eafa</t>
        </is>
      </c>
      <c r="BB931" s="24" t="inlineStr">
        <is>
          <t>surface_blended_elo</t>
        </is>
      </c>
      <c r="BC931" s="24" t="inlineStr">
        <is>
          <t>tennis-surface-elo-v1</t>
        </is>
      </c>
      <c r="BD931" s="24" t="inlineStr">
        <is>
          <t>0ce66f49b381187fe6255a40ca2fdbfc155d5e36125ccf6d30fe81a72962eafa</t>
        </is>
      </c>
      <c r="BE931" s="24" t="inlineStr">
        <is>
          <t>tennis-surface-elo-v1</t>
        </is>
      </c>
      <c r="BF931" s="24" t="inlineStr">
        <is>
          <t>1</t>
        </is>
      </c>
      <c r="BG931" s="24" t="inlineStr">
        <is>
          <t>0ce66f49b381187fe6255a40ca2fdbfc155d5e36125ccf6d30fe81a72962eafa</t>
        </is>
      </c>
      <c r="BH931" s="24" t="inlineStr">
        <is>
          <t>2026-09-03T16:10:22.594967Z</t>
        </is>
      </c>
      <c r="BI931" s="24" t="inlineStr">
        <is>
          <t>["same_event","same_team_same_day","same_league_same_day"]</t>
        </is>
      </c>
      <c r="BJ931" s="25" t="n"/>
      <c r="BK931" s="26" t="n">
        <v>-217</v>
      </c>
      <c r="BL931" s="27" t="n">
        <v>1.460829</v>
      </c>
      <c r="BM931" s="28" t="n">
        <v>0.684543</v>
      </c>
      <c r="BN931" s="28" t="n"/>
      <c r="BO931" s="28" t="n"/>
      <c r="BP931" s="25" t="n"/>
      <c r="BQ931" s="27" t="n">
        <v>1.460829</v>
      </c>
      <c r="BR931" s="28" t="n">
        <v>0.6850000000000001</v>
      </c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inlineStr">
        <is>
          <t>c7999094165bf9e738a1380adc4243c07cefeff412f9050239c3e745d67d7e95</t>
        </is>
      </c>
      <c r="DE931" s="24" t="inlineStr">
        <is>
          <t>/Users/vincentc9002/model-prediction/data/odds/tennis/2026-09-03/polymarket_snapshots.jsonl</t>
        </is>
      </c>
      <c r="DF931" s="24" t="inlineStr">
        <is>
          <t>657152:2026-09-03T16:10:22.594967Z</t>
        </is>
      </c>
      <c r="DG931" s="24" t="n"/>
      <c r="DH931" s="24" t="n"/>
      <c r="DI931" s="24" t="n"/>
      <c r="DJ931" s="24" t="inlineStr">
        <is>
          <t>0.684543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5f44f0c731c44344</t>
        </is>
      </c>
      <c r="B932" s="24" t="inlineStr">
        <is>
          <t>2026-09-03T16:11:19.815565Z</t>
        </is>
      </c>
      <c r="C932" s="24" t="inlineStr">
        <is>
          <t>2026-09-03T20:00Z</t>
        </is>
      </c>
      <c r="D932" s="24" t="inlineStr">
        <is>
          <t>189-2026:182741</t>
        </is>
      </c>
      <c r="E932" s="24" t="inlineStr">
        <is>
          <t>TENNIS</t>
        </is>
      </c>
      <c r="F932" s="24" t="inlineStr">
        <is>
          <t>Ignacio Buse</t>
        </is>
      </c>
      <c r="G932" s="24" t="inlineStr">
        <is>
          <t>Benjamin Bonzi</t>
        </is>
      </c>
      <c r="H932" s="24" t="inlineStr">
        <is>
          <t>moneyline</t>
        </is>
      </c>
      <c r="I932" s="24" t="inlineStr">
        <is>
          <t>home</t>
        </is>
      </c>
      <c r="J932" s="25" t="n"/>
      <c r="K932" s="24" t="inlineStr">
        <is>
          <t>polymarket_us</t>
        </is>
      </c>
      <c r="L932" s="26" t="n">
        <v>108</v>
      </c>
      <c r="M932" s="27" t="n">
        <v>2.08</v>
      </c>
      <c r="N932" s="28" t="n">
        <v>0.480769</v>
      </c>
      <c r="O932" s="28" t="n">
        <v>0.5246</v>
      </c>
      <c r="P932" s="28" t="n">
        <v>0.05</v>
      </c>
      <c r="Q932" s="28" t="n">
        <v>0.043831</v>
      </c>
      <c r="R932" s="26" t="n">
        <v>42</v>
      </c>
      <c r="S932" s="29" t="n">
        <v>1</v>
      </c>
      <c r="T932" s="24" t="inlineStr">
        <is>
          <t>tennis-surface-elo-v1</t>
        </is>
      </c>
      <c r="U932" s="24" t="inlineStr">
        <is>
          <t>settled</t>
        </is>
      </c>
      <c r="V932" s="24" t="inlineStr">
        <is>
          <t>win</t>
        </is>
      </c>
      <c r="W932" s="26" t="n">
        <v>0</v>
      </c>
      <c r="X932" s="26" t="n">
        <v>1</v>
      </c>
      <c r="Y932" s="25" t="n"/>
      <c r="Z932" s="26" t="n">
        <v>108</v>
      </c>
      <c r="AA932" s="28" t="n">
        <v>0.48</v>
      </c>
      <c r="AB932" s="28" t="n">
        <v>-0.000769</v>
      </c>
      <c r="AC932" s="30" t="n">
        <v>1.08</v>
      </c>
      <c r="AD932" s="24" t="inlineStr">
        <is>
          <t>2026-09-04T04:32:52.717815Z</t>
        </is>
      </c>
      <c r="AE932" s="31" t="inlineStr">
        <is>
          <t>Surface-blended Elo on Hard: Ignacio Buse p=0.475 vs Benjamin Bonzi. Executable ask 0.4800 (aec-atp-benbon-ignbus-2026-09-03).</t>
        </is>
      </c>
      <c r="AF932" s="31" t="inlineStr">
        <is>
          <t>Surface-blended Elo model; singles only, WTA+ATP market coverage, not yet locked-holdout qualified -- promoted by explicit operator directive, not genuine walk-forward validation.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PAPER_CALL_LOW_EDGE</t>
        </is>
      </c>
      <c r="AP932" s="24" t="inlineStr">
        <is>
          <t>Ignacio Buse</t>
        </is>
      </c>
      <c r="AQ932" s="24" t="inlineStr">
        <is>
          <t>Ignacio Buse</t>
        </is>
      </c>
      <c r="AR932" s="24" t="inlineStr">
        <is>
          <t>Ignacio Buse</t>
        </is>
      </c>
      <c r="AS932" s="24" t="inlineStr">
        <is>
          <t>Benjamin Bonzi</t>
        </is>
      </c>
      <c r="AT932" s="24" t="inlineStr">
        <is>
          <t>Benjamin Bonzi</t>
        </is>
      </c>
      <c r="AU932" s="24" t="inlineStr">
        <is>
          <t>Benjamin Bonzi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0ce66f49b381187fe6255a40ca2fdbfc155d5e36125ccf6d30fe81a72962eafa</t>
        </is>
      </c>
      <c r="BB932" s="24" t="inlineStr">
        <is>
          <t>surface_blended_elo</t>
        </is>
      </c>
      <c r="BC932" s="24" t="inlineStr">
        <is>
          <t>tennis-surface-elo-v1</t>
        </is>
      </c>
      <c r="BD932" s="24" t="inlineStr">
        <is>
          <t>0ce66f49b381187fe6255a40ca2fdbfc155d5e36125ccf6d30fe81a72962eafa</t>
        </is>
      </c>
      <c r="BE932" s="24" t="inlineStr">
        <is>
          <t>tennis-surface-elo-v1</t>
        </is>
      </c>
      <c r="BF932" s="24" t="inlineStr">
        <is>
          <t>1</t>
        </is>
      </c>
      <c r="BG932" s="24" t="inlineStr">
        <is>
          <t>0ce66f49b381187fe6255a40ca2fdbfc155d5e36125ccf6d30fe81a72962eafa</t>
        </is>
      </c>
      <c r="BH932" s="24" t="inlineStr">
        <is>
          <t>2026-09-03T16:10:22.192268Z</t>
        </is>
      </c>
      <c r="BI932" s="24" t="inlineStr">
        <is>
          <t>["same_event","same_team_same_day","same_league_same_day"]</t>
        </is>
      </c>
      <c r="BJ932" s="25" t="n"/>
      <c r="BK932" s="26" t="n">
        <v>108</v>
      </c>
      <c r="BL932" s="27" t="n">
        <v>2.08</v>
      </c>
      <c r="BM932" s="28" t="n">
        <v>0.480769</v>
      </c>
      <c r="BN932" s="28" t="n"/>
      <c r="BO932" s="28" t="n"/>
      <c r="BP932" s="25" t="n"/>
      <c r="BQ932" s="27" t="n">
        <v>2.08</v>
      </c>
      <c r="BR932" s="28" t="n">
        <v>0.48</v>
      </c>
      <c r="BS932" s="28" t="n"/>
      <c r="BT932" s="28" t="n"/>
      <c r="BU932" s="25" t="n"/>
      <c r="BV932" s="29" t="n"/>
      <c r="BW932" s="24" t="n"/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True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inlineStr">
        <is>
          <t>d7f23807ff925e8d08285a91d964d6d633324272deb2cb498db340dbc348d717</t>
        </is>
      </c>
      <c r="DE932" s="24" t="inlineStr">
        <is>
          <t>/Users/vincentc9002/model-prediction/data/odds/tennis/2026-09-03/polymarket_snapshots.jsonl</t>
        </is>
      </c>
      <c r="DF932" s="24" t="inlineStr">
        <is>
          <t>656837:2026-09-03T16:10:22.192268Z</t>
        </is>
      </c>
      <c r="DG932" s="24" t="n"/>
      <c r="DH932" s="24" t="n"/>
      <c r="DI932" s="24" t="n"/>
      <c r="DJ932" s="24" t="inlineStr">
        <is>
          <t>0.480769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c3b220b1814641c0</t>
        </is>
      </c>
      <c r="B933" s="24" t="inlineStr">
        <is>
          <t>2026-09-03T16:11:19.815565Z</t>
        </is>
      </c>
      <c r="C933" s="24" t="inlineStr">
        <is>
          <t>2026-09-03T20:30Z</t>
        </is>
      </c>
      <c r="D933" s="24" t="inlineStr">
        <is>
          <t>189-2026:182700</t>
        </is>
      </c>
      <c r="E933" s="24" t="inlineStr">
        <is>
          <t>TENNIS</t>
        </is>
      </c>
      <c r="F933" s="24" t="inlineStr">
        <is>
          <t>Alex de Minaur</t>
        </is>
      </c>
      <c r="G933" s="24" t="inlineStr">
        <is>
          <t>Botic Van De Zandschulp</t>
        </is>
      </c>
      <c r="H933" s="24" t="inlineStr">
        <is>
          <t>moneyline</t>
        </is>
      </c>
      <c r="I933" s="24" t="inlineStr">
        <is>
          <t>away</t>
        </is>
      </c>
      <c r="J933" s="25" t="n"/>
      <c r="K933" s="24" t="inlineStr">
        <is>
          <t>polymarket_us</t>
        </is>
      </c>
      <c r="L933" s="26" t="n">
        <v>-270</v>
      </c>
      <c r="M933" s="27" t="n">
        <v>1.37037</v>
      </c>
      <c r="N933" s="28" t="n">
        <v>0.72973</v>
      </c>
      <c r="O933" s="28" t="n">
        <v>0.6858</v>
      </c>
      <c r="P933" s="28" t="n">
        <v>0.05</v>
      </c>
      <c r="Q933" s="28" t="n">
        <v>-0.04393</v>
      </c>
      <c r="R933" s="26" t="n">
        <v>0</v>
      </c>
      <c r="S933" s="29" t="n">
        <v>1</v>
      </c>
      <c r="T933" s="24" t="inlineStr">
        <is>
          <t>tennis-surface-elo-v1</t>
        </is>
      </c>
      <c r="U933" s="24" t="inlineStr">
        <is>
          <t>settled</t>
        </is>
      </c>
      <c r="V933" s="24" t="inlineStr">
        <is>
          <t>loss</t>
        </is>
      </c>
      <c r="W933" s="26" t="n">
        <v>0</v>
      </c>
      <c r="X933" s="26" t="n">
        <v>1</v>
      </c>
      <c r="Y933" s="25" t="n"/>
      <c r="Z933" s="26" t="n">
        <v>-270</v>
      </c>
      <c r="AA933" s="28" t="n">
        <v>0.73</v>
      </c>
      <c r="AB933" s="28" t="n">
        <v>0.00027</v>
      </c>
      <c r="AC933" s="30" t="n">
        <v>-1</v>
      </c>
      <c r="AD933" s="24" t="inlineStr">
        <is>
          <t>2026-09-04T04:32:53.525816Z</t>
        </is>
      </c>
      <c r="AE933" s="31" t="inlineStr">
        <is>
          <t>Surface-blended Elo on Hard: Alex de Minaur p=0.686 vs Botic Van De Zandschulp. Executable ask 0.7300 (aec-atp-botzan-alemin-2026-09-03).</t>
        </is>
      </c>
      <c r="AF933" s="31" t="inlineStr">
        <is>
          <t>Surface-blended Elo model; singles only, WTA+ATP market coverage, not yet locked-holdout qualified -- promoted by explicit operator directive, not genuine walk-forward validation.</t>
        </is>
      </c>
      <c r="AG933" s="24" t="inlineStr">
        <is>
          <t>review_required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PAPER_CALL_LOW_EDGE</t>
        </is>
      </c>
      <c r="AP933" s="24" t="inlineStr">
        <is>
          <t>Alex de Minaur</t>
        </is>
      </c>
      <c r="AQ933" s="24" t="inlineStr">
        <is>
          <t>Alex de Minaur</t>
        </is>
      </c>
      <c r="AR933" s="24" t="inlineStr">
        <is>
          <t>Alex de Minaur</t>
        </is>
      </c>
      <c r="AS933" s="24" t="inlineStr">
        <is>
          <t>Botic Van De Zandschulp</t>
        </is>
      </c>
      <c r="AT933" s="24" t="inlineStr">
        <is>
          <t>Botic Van De Zandschulp</t>
        </is>
      </c>
      <c r="AU933" s="24" t="inlineStr">
        <is>
          <t>Botic Van De Zandschulp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0ce66f49b381187fe6255a40ca2fdbfc155d5e36125ccf6d30fe81a72962eafa</t>
        </is>
      </c>
      <c r="BB933" s="24" t="inlineStr">
        <is>
          <t>surface_blended_elo</t>
        </is>
      </c>
      <c r="BC933" s="24" t="inlineStr">
        <is>
          <t>tennis-surface-elo-v1</t>
        </is>
      </c>
      <c r="BD933" s="24" t="inlineStr">
        <is>
          <t>0ce66f49b381187fe6255a40ca2fdbfc155d5e36125ccf6d30fe81a72962eafa</t>
        </is>
      </c>
      <c r="BE933" s="24" t="inlineStr">
        <is>
          <t>tennis-surface-elo-v1</t>
        </is>
      </c>
      <c r="BF933" s="24" t="inlineStr">
        <is>
          <t>1</t>
        </is>
      </c>
      <c r="BG933" s="24" t="inlineStr">
        <is>
          <t>0ce66f49b381187fe6255a40ca2fdbfc155d5e36125ccf6d30fe81a72962eafa</t>
        </is>
      </c>
      <c r="BH933" s="24" t="inlineStr">
        <is>
          <t>2026-09-03T16:10:23.009592Z</t>
        </is>
      </c>
      <c r="BI933" s="24" t="inlineStr">
        <is>
          <t>["same_event","same_team_same_day","same_league_same_day"]</t>
        </is>
      </c>
      <c r="BJ933" s="25" t="n"/>
      <c r="BK933" s="26" t="n">
        <v>-270</v>
      </c>
      <c r="BL933" s="27" t="n">
        <v>1.37037</v>
      </c>
      <c r="BM933" s="28" t="n">
        <v>0.72973</v>
      </c>
      <c r="BN933" s="28" t="n"/>
      <c r="BO933" s="28" t="n"/>
      <c r="BP933" s="25" t="n"/>
      <c r="BQ933" s="27" t="n">
        <v>1.37037</v>
      </c>
      <c r="BR933" s="28" t="n">
        <v>0.73</v>
      </c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False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inlineStr">
        <is>
          <t>2418872f644c96b3c4fad974f702b9e5ca3a9e37cf17e09e77350f5f5d502af0</t>
        </is>
      </c>
      <c r="DE933" s="24" t="inlineStr">
        <is>
          <t>/Users/vincentc9002/model-prediction/data/odds/tennis/2026-09-03/polymarket_snapshots.jsonl</t>
        </is>
      </c>
      <c r="DF933" s="24" t="inlineStr">
        <is>
          <t>656776:2026-09-03T16:10:23.009592Z</t>
        </is>
      </c>
      <c r="DG933" s="24" t="n"/>
      <c r="DH933" s="24" t="n"/>
      <c r="DI933" s="24" t="n"/>
      <c r="DJ933" s="24" t="inlineStr">
        <is>
          <t>0.72973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dad150ae5e324c00</t>
        </is>
      </c>
      <c r="B934" s="24" t="inlineStr">
        <is>
          <t>2026-09-03T16:11:19.815565Z</t>
        </is>
      </c>
      <c r="C934" s="24" t="inlineStr">
        <is>
          <t>2026-09-03T23:00Z</t>
        </is>
      </c>
      <c r="D934" s="24" t="inlineStr">
        <is>
          <t>189-2026:182756</t>
        </is>
      </c>
      <c r="E934" s="24" t="inlineStr">
        <is>
          <t>TENNIS</t>
        </is>
      </c>
      <c r="F934" s="24" t="inlineStr">
        <is>
          <t>Learner Tien</t>
        </is>
      </c>
      <c r="G934" s="24" t="inlineStr">
        <is>
          <t>Gael Monfils</t>
        </is>
      </c>
      <c r="H934" s="24" t="inlineStr">
        <is>
          <t>moneyline</t>
        </is>
      </c>
      <c r="I934" s="24" t="inlineStr">
        <is>
          <t>away</t>
        </is>
      </c>
      <c r="J934" s="25" t="n"/>
      <c r="K934" s="24" t="inlineStr">
        <is>
          <t>polymarket_us</t>
        </is>
      </c>
      <c r="L934" s="26" t="n">
        <v>-456</v>
      </c>
      <c r="M934" s="27" t="n">
        <v>1.219298</v>
      </c>
      <c r="N934" s="28" t="n">
        <v>0.820144</v>
      </c>
      <c r="O934" s="28" t="n">
        <v>0.7828000000000001</v>
      </c>
      <c r="P934" s="28" t="n">
        <v>0.05</v>
      </c>
      <c r="Q934" s="28" t="n">
        <v>-0.037344</v>
      </c>
      <c r="R934" s="26" t="n">
        <v>1</v>
      </c>
      <c r="S934" s="29" t="n">
        <v>1</v>
      </c>
      <c r="T934" s="24" t="inlineStr">
        <is>
          <t>tennis-surface-elo-v1</t>
        </is>
      </c>
      <c r="U934" s="24" t="inlineStr">
        <is>
          <t>settled</t>
        </is>
      </c>
      <c r="V934" s="24" t="inlineStr">
        <is>
          <t>win</t>
        </is>
      </c>
      <c r="W934" s="26" t="n">
        <v>1</v>
      </c>
      <c r="X934" s="26" t="n">
        <v>0</v>
      </c>
      <c r="Y934" s="25" t="n"/>
      <c r="Z934" s="26" t="n">
        <v>-456</v>
      </c>
      <c r="AA934" s="28" t="n">
        <v>0.82</v>
      </c>
      <c r="AB934" s="28" t="n">
        <v>-0.000144</v>
      </c>
      <c r="AC934" s="30" t="n">
        <v>0.2193</v>
      </c>
      <c r="AD934" s="24" t="inlineStr">
        <is>
          <t>2026-09-04T04:32:54.311877Z</t>
        </is>
      </c>
      <c r="AE934" s="31" t="inlineStr">
        <is>
          <t>Surface-blended Elo on Hard: Learner Tien p=0.783 vs Gael Monfils. Executable ask 0.8200 (aec-atp-gaemon-leatie-2026-09-03).</t>
        </is>
      </c>
      <c r="AF934" s="31" t="inlineStr">
        <is>
          <t>Surface-blended Elo model; singles only, WTA+ATP market coverage, not yet locked-holdout qualified -- promoted by explicit operator directive, not genuine walk-forward validation.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PAPER_CALL_LOW_EDGE</t>
        </is>
      </c>
      <c r="AP934" s="24" t="inlineStr">
        <is>
          <t>Learner Tien</t>
        </is>
      </c>
      <c r="AQ934" s="24" t="inlineStr">
        <is>
          <t>Learner Tien</t>
        </is>
      </c>
      <c r="AR934" s="24" t="inlineStr">
        <is>
          <t>Learner Tien</t>
        </is>
      </c>
      <c r="AS934" s="24" t="inlineStr">
        <is>
          <t>Gael Monfils</t>
        </is>
      </c>
      <c r="AT934" s="24" t="inlineStr">
        <is>
          <t>Gael Monfils</t>
        </is>
      </c>
      <c r="AU934" s="24" t="inlineStr">
        <is>
          <t>Gael Monfils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0ce66f49b381187fe6255a40ca2fdbfc155d5e36125ccf6d30fe81a72962eafa</t>
        </is>
      </c>
      <c r="BB934" s="24" t="inlineStr">
        <is>
          <t>surface_blended_elo</t>
        </is>
      </c>
      <c r="BC934" s="24" t="inlineStr">
        <is>
          <t>tennis-surface-elo-v1</t>
        </is>
      </c>
      <c r="BD934" s="24" t="inlineStr">
        <is>
          <t>0ce66f49b381187fe6255a40ca2fdbfc155d5e36125ccf6d30fe81a72962eafa</t>
        </is>
      </c>
      <c r="BE934" s="24" t="inlineStr">
        <is>
          <t>tennis-surface-elo-v1</t>
        </is>
      </c>
      <c r="BF934" s="24" t="inlineStr">
        <is>
          <t>1</t>
        </is>
      </c>
      <c r="BG934" s="24" t="inlineStr">
        <is>
          <t>0ce66f49b381187fe6255a40ca2fdbfc155d5e36125ccf6d30fe81a72962eafa</t>
        </is>
      </c>
      <c r="BH934" s="24" t="inlineStr">
        <is>
          <t>2026-09-03T16:10:23.158033Z</t>
        </is>
      </c>
      <c r="BI934" s="24" t="inlineStr">
        <is>
          <t>["same_event","same_team_same_day","same_league_same_day"]</t>
        </is>
      </c>
      <c r="BJ934" s="25" t="n"/>
      <c r="BK934" s="26" t="n">
        <v>-456</v>
      </c>
      <c r="BL934" s="27" t="n">
        <v>1.219298</v>
      </c>
      <c r="BM934" s="28" t="n">
        <v>0.820144</v>
      </c>
      <c r="BN934" s="28" t="n"/>
      <c r="BO934" s="28" t="n"/>
      <c r="BP934" s="25" t="n"/>
      <c r="BQ934" s="27" t="n">
        <v>1.219298</v>
      </c>
      <c r="BR934" s="28" t="n">
        <v>0.82</v>
      </c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False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inlineStr">
        <is>
          <t>267e12ad7b6622eb864888e6c6303e97400ea75503db910e3074a42ff2d79322</t>
        </is>
      </c>
      <c r="DE934" s="24" t="inlineStr">
        <is>
          <t>/Users/vincentc9002/model-prediction/data/odds/tennis/2026-09-03/polymarket_snapshots.jsonl</t>
        </is>
      </c>
      <c r="DF934" s="24" t="inlineStr">
        <is>
          <t>612911:2026-09-03T16:10:23.158033Z</t>
        </is>
      </c>
      <c r="DG934" s="24" t="n"/>
      <c r="DH934" s="24" t="n"/>
      <c r="DI934" s="24" t="n"/>
      <c r="DJ934" s="24" t="inlineStr">
        <is>
          <t>0.820144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ccd39ba62a4641f0</t>
        </is>
      </c>
      <c r="B935" s="24" t="inlineStr">
        <is>
          <t>2026-09-03T16:11:19.815565Z</t>
        </is>
      </c>
      <c r="C935" s="24" t="inlineStr">
        <is>
          <t>2026-09-04T00:30Z</t>
        </is>
      </c>
      <c r="D935" s="24" t="inlineStr">
        <is>
          <t>189-2026:182707</t>
        </is>
      </c>
      <c r="E935" s="24" t="inlineStr">
        <is>
          <t>TENNIS</t>
        </is>
      </c>
      <c r="F935" s="24" t="inlineStr">
        <is>
          <t>Quentin Halys</t>
        </is>
      </c>
      <c r="G935" s="24" t="inlineStr">
        <is>
          <t>Alexander Zverev</t>
        </is>
      </c>
      <c r="H935" s="24" t="inlineStr">
        <is>
          <t>moneyline</t>
        </is>
      </c>
      <c r="I935" s="24" t="inlineStr">
        <is>
          <t>home</t>
        </is>
      </c>
      <c r="J935" s="25" t="n"/>
      <c r="K935" s="24" t="inlineStr">
        <is>
          <t>polymarket_us</t>
        </is>
      </c>
      <c r="L935" s="26" t="n">
        <v>-545</v>
      </c>
      <c r="M935" s="27" t="n">
        <v>1.183486</v>
      </c>
      <c r="N935" s="28" t="n">
        <v>0.844961</v>
      </c>
      <c r="O935" s="28" t="n">
        <v>0.7688</v>
      </c>
      <c r="P935" s="28" t="n">
        <v>0.05</v>
      </c>
      <c r="Q935" s="28" t="n">
        <v>-0.07616100000000001</v>
      </c>
      <c r="R935" s="26" t="n">
        <v>0</v>
      </c>
      <c r="S935" s="29" t="n">
        <v>1</v>
      </c>
      <c r="T935" s="24" t="inlineStr">
        <is>
          <t>tennis-surface-elo-v1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1</v>
      </c>
      <c r="Y935" s="25" t="n"/>
      <c r="Z935" s="26" t="n">
        <v>-545</v>
      </c>
      <c r="AA935" s="28" t="n">
        <v>0.845</v>
      </c>
      <c r="AB935" s="28" t="n">
        <v>3.9e-05</v>
      </c>
      <c r="AC935" s="30" t="n">
        <v>0.1835</v>
      </c>
      <c r="AD935" s="24" t="inlineStr">
        <is>
          <t>2026-09-04T10:00:24.387324Z</t>
        </is>
      </c>
      <c r="AE935" s="31" t="inlineStr">
        <is>
          <t>Surface-blended Elo on Hard: Quentin Halys p=0.231 vs Alexander Zverev. Executable ask 0.8450 (aec-atp-alezve-quehal-2026-09-03).</t>
        </is>
      </c>
      <c r="AF935" s="31" t="inlineStr">
        <is>
          <t>Surface-blended Elo model; singles only, WTA+ATP market coverage, not yet locked-holdout qualified -- promoted by explicit operator directive, not genuine walk-forward validation.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PAPER_CALL_LOW_EDGE</t>
        </is>
      </c>
      <c r="AP935" s="24" t="inlineStr">
        <is>
          <t>Quentin Halys</t>
        </is>
      </c>
      <c r="AQ935" s="24" t="inlineStr">
        <is>
          <t>Quentin Halys</t>
        </is>
      </c>
      <c r="AR935" s="24" t="inlineStr">
        <is>
          <t>Quentin Halys</t>
        </is>
      </c>
      <c r="AS935" s="24" t="inlineStr">
        <is>
          <t>Alexander Zverev</t>
        </is>
      </c>
      <c r="AT935" s="24" t="inlineStr">
        <is>
          <t>Alexander Zverev</t>
        </is>
      </c>
      <c r="AU935" s="24" t="inlineStr">
        <is>
          <t>Alexander Zverev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0ce66f49b381187fe6255a40ca2fdbfc155d5e36125ccf6d30fe81a72962eafa</t>
        </is>
      </c>
      <c r="BB935" s="24" t="inlineStr">
        <is>
          <t>surface_blended_elo</t>
        </is>
      </c>
      <c r="BC935" s="24" t="inlineStr">
        <is>
          <t>tennis-surface-elo-v1</t>
        </is>
      </c>
      <c r="BD935" s="24" t="inlineStr">
        <is>
          <t>0ce66f49b381187fe6255a40ca2fdbfc155d5e36125ccf6d30fe81a72962eafa</t>
        </is>
      </c>
      <c r="BE935" s="24" t="inlineStr">
        <is>
          <t>tennis-surface-elo-v1</t>
        </is>
      </c>
      <c r="BF935" s="24" t="inlineStr">
        <is>
          <t>1</t>
        </is>
      </c>
      <c r="BG935" s="24" t="inlineStr">
        <is>
          <t>0ce66f49b381187fe6255a40ca2fdbfc155d5e36125ccf6d30fe81a72962eafa</t>
        </is>
      </c>
      <c r="BH935" s="24" t="inlineStr">
        <is>
          <t>2026-09-03T16:10:23.302312Z</t>
        </is>
      </c>
      <c r="BI935" s="24" t="inlineStr">
        <is>
          <t>["same_event","same_team_same_day","same_league_same_day"]</t>
        </is>
      </c>
      <c r="BJ935" s="25" t="n"/>
      <c r="BK935" s="26" t="n">
        <v>-545</v>
      </c>
      <c r="BL935" s="27" t="n">
        <v>1.183486</v>
      </c>
      <c r="BM935" s="28" t="n">
        <v>0.844961</v>
      </c>
      <c r="BN935" s="28" t="n"/>
      <c r="BO935" s="28" t="n"/>
      <c r="BP935" s="25" t="n"/>
      <c r="BQ935" s="27" t="n">
        <v>1.183486</v>
      </c>
      <c r="BR935" s="28" t="n">
        <v>0.845</v>
      </c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inlineStr">
        <is>
          <t>9833bfe26ccf33c68657fce431cf3d483579eee8279c2ea2e06fc3646f068846</t>
        </is>
      </c>
      <c r="DE935" s="24" t="inlineStr">
        <is>
          <t>/Users/vincentc9002/model-prediction/data/odds/tennis/2026-09-03/polymarket_snapshots.jsonl</t>
        </is>
      </c>
      <c r="DF935" s="24" t="inlineStr">
        <is>
          <t>614710:2026-09-03T16:10:23.302312Z</t>
        </is>
      </c>
      <c r="DG935" s="24" t="n"/>
      <c r="DH935" s="24" t="n"/>
      <c r="DI935" s="24" t="n"/>
      <c r="DJ935" s="24" t="inlineStr">
        <is>
          <t>0.844961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01f5c19959f34ee7</t>
        </is>
      </c>
      <c r="B936" s="24" t="inlineStr">
        <is>
          <t>2026-09-04T10:03:56.631111Z</t>
        </is>
      </c>
      <c r="C936" s="24" t="inlineStr">
        <is>
          <t>2026-09-04T15:00Z</t>
        </is>
      </c>
      <c r="D936" s="24" t="inlineStr">
        <is>
          <t>189-2026:182549</t>
        </is>
      </c>
      <c r="E936" s="24" t="inlineStr">
        <is>
          <t>TENNIS</t>
        </is>
      </c>
      <c r="F936" s="24" t="inlineStr">
        <is>
          <t>Sorana Cirstea</t>
        </is>
      </c>
      <c r="G936" s="24" t="inlineStr">
        <is>
          <t>Jasmine Paolini</t>
        </is>
      </c>
      <c r="H936" s="24" t="inlineStr">
        <is>
          <t>moneyline</t>
        </is>
      </c>
      <c r="I936" s="24" t="inlineStr">
        <is>
          <t>away</t>
        </is>
      </c>
      <c r="J936" s="25" t="n"/>
      <c r="K936" s="24" t="inlineStr">
        <is>
          <t>polymarket_us</t>
        </is>
      </c>
      <c r="L936" s="26" t="n">
        <v>-170</v>
      </c>
      <c r="M936" s="27" t="n">
        <v>1.588235</v>
      </c>
      <c r="N936" s="28" t="n">
        <v>0.62963</v>
      </c>
      <c r="O936" s="28" t="n">
        <v>0.6098</v>
      </c>
      <c r="P936" s="28" t="n">
        <v>0.05</v>
      </c>
      <c r="Q936" s="28" t="n">
        <v>-0.01983</v>
      </c>
      <c r="R936" s="26" t="n">
        <v>10</v>
      </c>
      <c r="S936" s="29" t="n">
        <v>1</v>
      </c>
      <c r="T936" s="24" t="inlineStr">
        <is>
          <t>tennis-surface-elo-v1</t>
        </is>
      </c>
      <c r="U936" s="24" t="inlineStr">
        <is>
          <t>settled</t>
        </is>
      </c>
      <c r="V936" s="24" t="inlineStr">
        <is>
          <t>win</t>
        </is>
      </c>
      <c r="W936" s="26" t="n">
        <v>1</v>
      </c>
      <c r="X936" s="26" t="n">
        <v>0</v>
      </c>
      <c r="Y936" s="25" t="n"/>
      <c r="Z936" s="26" t="n">
        <v>-170</v>
      </c>
      <c r="AA936" s="28" t="n">
        <v>0.63</v>
      </c>
      <c r="AB936" s="28" t="n">
        <v>0.00037</v>
      </c>
      <c r="AC936" s="30" t="n">
        <v>0.5881999999999999</v>
      </c>
      <c r="AD936" s="24" t="inlineStr">
        <is>
          <t>2026-09-04T22:00:31.563694Z</t>
        </is>
      </c>
      <c r="AE936" s="31" t="inlineStr">
        <is>
          <t>Surface-blended Elo on Hard: Sorana Cirstea p=0.610 vs Jasmine Paolini. Executable ask 0.6300 (aec-wta-jaspao-sorcir-2026-09-04).</t>
        </is>
      </c>
      <c r="AF936" s="31" t="inlineStr">
        <is>
          <t>Surface-blended Elo model; singles only, WTA+ATP market coverage, not yet locked-holdout qualified -- promoted by explicit operator directive, not genuine walk-forward validation.</t>
        </is>
      </c>
      <c r="AG936" s="24" t="inlineStr">
        <is>
          <t>not_applicable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PAPER_CALL_LOW_EDGE</t>
        </is>
      </c>
      <c r="AP936" s="24" t="inlineStr">
        <is>
          <t>Sorana Cirstea</t>
        </is>
      </c>
      <c r="AQ936" s="24" t="inlineStr">
        <is>
          <t>Sorana Cirstea</t>
        </is>
      </c>
      <c r="AR936" s="24" t="inlineStr">
        <is>
          <t>Sorana Cirstea</t>
        </is>
      </c>
      <c r="AS936" s="24" t="inlineStr">
        <is>
          <t>Jasmine Paolini</t>
        </is>
      </c>
      <c r="AT936" s="24" t="inlineStr">
        <is>
          <t>Jasmine Paolini</t>
        </is>
      </c>
      <c r="AU936" s="24" t="inlineStr">
        <is>
          <t>Jasmine Paolini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0ce66f49b381187fe6255a40ca2fdbfc155d5e36125ccf6d30fe81a72962eafa</t>
        </is>
      </c>
      <c r="BB936" s="24" t="inlineStr">
        <is>
          <t>surface_blended_elo</t>
        </is>
      </c>
      <c r="BC936" s="24" t="inlineStr">
        <is>
          <t>tennis-surface-elo-v1</t>
        </is>
      </c>
      <c r="BD936" s="24" t="inlineStr">
        <is>
          <t>0ce66f49b381187fe6255a40ca2fdbfc155d5e36125ccf6d30fe81a72962eafa</t>
        </is>
      </c>
      <c r="BE936" s="24" t="inlineStr">
        <is>
          <t>tennis-surface-elo-v1</t>
        </is>
      </c>
      <c r="BF936" s="24" t="inlineStr">
        <is>
          <t>1</t>
        </is>
      </c>
      <c r="BG936" s="24" t="inlineStr">
        <is>
          <t>0ce66f49b381187fe6255a40ca2fdbfc155d5e36125ccf6d30fe81a72962eafa</t>
        </is>
      </c>
      <c r="BH936" s="24" t="inlineStr">
        <is>
          <t>2026-09-04T10:03:08.635819Z</t>
        </is>
      </c>
      <c r="BI936" s="24" t="inlineStr">
        <is>
          <t>["same_event","same_team_same_day","same_league_same_day"]</t>
        </is>
      </c>
      <c r="BJ936" s="25" t="n"/>
      <c r="BK936" s="26" t="n">
        <v>-170</v>
      </c>
      <c r="BL936" s="27" t="n">
        <v>1.588235</v>
      </c>
      <c r="BM936" s="28" t="n">
        <v>0.62963</v>
      </c>
      <c r="BN936" s="28" t="n"/>
      <c r="BO936" s="28" t="n"/>
      <c r="BP936" s="25" t="n"/>
      <c r="BQ936" s="27" t="n">
        <v>1.588235</v>
      </c>
      <c r="BR936" s="28" t="n">
        <v>0.63</v>
      </c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False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inlineStr">
        <is>
          <t>92e76c4bc3b6b814b5608c31c98cf34ca9c9d175723cdf7c4901f65cee3e4da4</t>
        </is>
      </c>
      <c r="DE936" s="24" t="inlineStr">
        <is>
          <t>/Users/vincentc9002/model-prediction/data/odds/tennis/2026-09-04/polymarket_snapshots.jsonl</t>
        </is>
      </c>
      <c r="DF936" s="24" t="inlineStr">
        <is>
          <t>653796:2026-09-04T10:03:08.635819Z</t>
        </is>
      </c>
      <c r="DG936" s="24" t="n"/>
      <c r="DH936" s="24" t="n"/>
      <c r="DI936" s="24" t="n"/>
      <c r="DJ936" s="24" t="inlineStr">
        <is>
          <t>0.62963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c7c49a448c0b43b7</t>
        </is>
      </c>
      <c r="B937" s="24" t="inlineStr">
        <is>
          <t>2026-09-04T10:03:56.631111Z</t>
        </is>
      </c>
      <c r="C937" s="24" t="inlineStr">
        <is>
          <t>2026-09-04T15:00Z</t>
        </is>
      </c>
      <c r="D937" s="24" t="inlineStr">
        <is>
          <t>189-2026:182554</t>
        </is>
      </c>
      <c r="E937" s="24" t="inlineStr">
        <is>
          <t>TENNIS</t>
        </is>
      </c>
      <c r="F937" s="24" t="inlineStr">
        <is>
          <t>Kamilla Rakhimova</t>
        </is>
      </c>
      <c r="G937" s="24" t="inlineStr">
        <is>
          <t>Aryna Sabalenka</t>
        </is>
      </c>
      <c r="H937" s="24" t="inlineStr">
        <is>
          <t>moneyline</t>
        </is>
      </c>
      <c r="I937" s="24" t="inlineStr">
        <is>
          <t>home</t>
        </is>
      </c>
      <c r="J937" s="25" t="n"/>
      <c r="K937" s="24" t="inlineStr">
        <is>
          <t>polymarket_us</t>
        </is>
      </c>
      <c r="L937" s="26" t="n">
        <v>-1567</v>
      </c>
      <c r="M937" s="27" t="n">
        <v>1.063816</v>
      </c>
      <c r="N937" s="28" t="n">
        <v>0.940012</v>
      </c>
      <c r="O937" s="28" t="n">
        <v>0.9135</v>
      </c>
      <c r="P937" s="28" t="n">
        <v>0.05</v>
      </c>
      <c r="Q937" s="28" t="n">
        <v>-0.026512</v>
      </c>
      <c r="R937" s="26" t="n">
        <v>7</v>
      </c>
      <c r="S937" s="29" t="n">
        <v>1</v>
      </c>
      <c r="T937" s="24" t="inlineStr">
        <is>
          <t>tennis-surface-elo-v1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1</v>
      </c>
      <c r="Y937" s="25" t="n"/>
      <c r="Z937" s="26" t="n">
        <v>-1567</v>
      </c>
      <c r="AA937" s="28" t="n">
        <v>0.9399999999999999</v>
      </c>
      <c r="AB937" s="28" t="n">
        <v>-1.2e-05</v>
      </c>
      <c r="AC937" s="30" t="n">
        <v>0.0638</v>
      </c>
      <c r="AD937" s="24" t="inlineStr">
        <is>
          <t>2026-09-04T22:00:31.971799Z</t>
        </is>
      </c>
      <c r="AE937" s="31" t="inlineStr">
        <is>
          <t>Surface-blended Elo on Hard: Kamilla Rakhimova p=0.086 vs Aryna Sabalenka. Executable ask 0.9400 (aec-wta-arysab-kamrak-2026-09-04).</t>
        </is>
      </c>
      <c r="AF937" s="31" t="inlineStr">
        <is>
          <t>Surface-blended Elo model; singles only, WTA+ATP market coverage, not yet locked-holdout qualified -- promoted by explicit operator directive, not genuine walk-forward validation.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PAPER_CALL_LOW_EDGE</t>
        </is>
      </c>
      <c r="AP937" s="24" t="inlineStr">
        <is>
          <t>Kamilla Rakhimova</t>
        </is>
      </c>
      <c r="AQ937" s="24" t="inlineStr">
        <is>
          <t>Kamilla Rakhimova</t>
        </is>
      </c>
      <c r="AR937" s="24" t="inlineStr">
        <is>
          <t>Kamilla Rakhimova</t>
        </is>
      </c>
      <c r="AS937" s="24" t="inlineStr">
        <is>
          <t>Aryna Sabalenka</t>
        </is>
      </c>
      <c r="AT937" s="24" t="inlineStr">
        <is>
          <t>Aryna Sabalenka</t>
        </is>
      </c>
      <c r="AU937" s="24" t="inlineStr">
        <is>
          <t>Aryna Sabalenka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0ce66f49b381187fe6255a40ca2fdbfc155d5e36125ccf6d30fe81a72962eafa</t>
        </is>
      </c>
      <c r="BB937" s="24" t="inlineStr">
        <is>
          <t>surface_blended_elo</t>
        </is>
      </c>
      <c r="BC937" s="24" t="inlineStr">
        <is>
          <t>tennis-surface-elo-v1</t>
        </is>
      </c>
      <c r="BD937" s="24" t="inlineStr">
        <is>
          <t>0ce66f49b381187fe6255a40ca2fdbfc155d5e36125ccf6d30fe81a72962eafa</t>
        </is>
      </c>
      <c r="BE937" s="24" t="inlineStr">
        <is>
          <t>tennis-surface-elo-v1</t>
        </is>
      </c>
      <c r="BF937" s="24" t="inlineStr">
        <is>
          <t>1</t>
        </is>
      </c>
      <c r="BG937" s="24" t="inlineStr">
        <is>
          <t>0ce66f49b381187fe6255a40ca2fdbfc155d5e36125ccf6d30fe81a72962eafa</t>
        </is>
      </c>
      <c r="BH937" s="24" t="inlineStr">
        <is>
          <t>2026-09-04T10:03:08.674036Z</t>
        </is>
      </c>
      <c r="BI937" s="24" t="inlineStr">
        <is>
          <t>["same_event","same_team_same_day","same_league_same_day"]</t>
        </is>
      </c>
      <c r="BJ937" s="25" t="n"/>
      <c r="BK937" s="26" t="n">
        <v>-1567</v>
      </c>
      <c r="BL937" s="27" t="n">
        <v>1.063816</v>
      </c>
      <c r="BM937" s="28" t="n">
        <v>0.940012</v>
      </c>
      <c r="BN937" s="28" t="n"/>
      <c r="BO937" s="28" t="n"/>
      <c r="BP937" s="25" t="n"/>
      <c r="BQ937" s="27" t="n">
        <v>1.063816</v>
      </c>
      <c r="BR937" s="28" t="n">
        <v>0.9399999999999999</v>
      </c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inlineStr">
        <is>
          <t>1a3511e24d6faba41985b97c40d6494b70770b7022d358880f40873256ad52b6</t>
        </is>
      </c>
      <c r="DE937" s="24" t="inlineStr">
        <is>
          <t>/Users/vincentc9002/model-prediction/data/odds/tennis/2026-09-04/polymarket_snapshots.jsonl</t>
        </is>
      </c>
      <c r="DF937" s="24" t="inlineStr">
        <is>
          <t>657354:2026-09-04T10:03:08.674036Z</t>
        </is>
      </c>
      <c r="DG937" s="24" t="n"/>
      <c r="DH937" s="24" t="n"/>
      <c r="DI937" s="24" t="n"/>
      <c r="DJ937" s="24" t="inlineStr">
        <is>
          <t>0.940012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1d8b083c5827428b</t>
        </is>
      </c>
      <c r="B938" s="24" t="inlineStr">
        <is>
          <t>2026-09-04T10:03:56.631111Z</t>
        </is>
      </c>
      <c r="C938" s="24" t="inlineStr">
        <is>
          <t>2026-09-04T15:00Z</t>
        </is>
      </c>
      <c r="D938" s="24" t="inlineStr">
        <is>
          <t>189-2026:182564</t>
        </is>
      </c>
      <c r="E938" s="24" t="inlineStr">
        <is>
          <t>TENNIS</t>
        </is>
      </c>
      <c r="F938" s="24" t="inlineStr">
        <is>
          <t>Ekaterina Alexandrova</t>
        </is>
      </c>
      <c r="G938" s="24" t="inlineStr">
        <is>
          <t>Marta Kostyuk</t>
        </is>
      </c>
      <c r="H938" s="24" t="inlineStr">
        <is>
          <t>moneyline</t>
        </is>
      </c>
      <c r="I938" s="24" t="inlineStr">
        <is>
          <t>home</t>
        </is>
      </c>
      <c r="J938" s="25" t="n"/>
      <c r="K938" s="24" t="inlineStr">
        <is>
          <t>polymarket_us</t>
        </is>
      </c>
      <c r="L938" s="26" t="n">
        <v>-308</v>
      </c>
      <c r="M938" s="27" t="n">
        <v>1.324675</v>
      </c>
      <c r="N938" s="28" t="n">
        <v>0.754902</v>
      </c>
      <c r="O938" s="28" t="n">
        <v>0.7028</v>
      </c>
      <c r="P938" s="28" t="n">
        <v>0.05</v>
      </c>
      <c r="Q938" s="28" t="n">
        <v>-0.052102</v>
      </c>
      <c r="R938" s="26" t="n">
        <v>0</v>
      </c>
      <c r="S938" s="29" t="n">
        <v>1</v>
      </c>
      <c r="T938" s="24" t="inlineStr">
        <is>
          <t>tennis-surface-elo-v1</t>
        </is>
      </c>
      <c r="U938" s="24" t="inlineStr">
        <is>
          <t>settled</t>
        </is>
      </c>
      <c r="V938" s="24" t="inlineStr">
        <is>
          <t>win</t>
        </is>
      </c>
      <c r="W938" s="26" t="n">
        <v>0</v>
      </c>
      <c r="X938" s="26" t="n">
        <v>1</v>
      </c>
      <c r="Y938" s="25" t="n"/>
      <c r="Z938" s="26" t="n">
        <v>-308</v>
      </c>
      <c r="AA938" s="28" t="n">
        <v>0.755</v>
      </c>
      <c r="AB938" s="28" t="n">
        <v>9.8e-05</v>
      </c>
      <c r="AC938" s="30" t="n">
        <v>0.3247</v>
      </c>
      <c r="AD938" s="24" t="inlineStr">
        <is>
          <t>2026-09-04T22:00:32.368665Z</t>
        </is>
      </c>
      <c r="AE938" s="31" t="inlineStr">
        <is>
          <t>Surface-blended Elo on Hard: Ekaterina Alexandrova p=0.297 vs Marta Kostyuk. Executable ask 0.7550 (aec-wta-markos-ekaale-2026-09-04).</t>
        </is>
      </c>
      <c r="AF938" s="31" t="inlineStr">
        <is>
          <t>Surface-blended Elo model; singles only, WTA+ATP market coverage, not yet locked-holdout qualified -- promoted by explicit operator directive, not genuine walk-forward validation.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PAPER_CALL_LOW_EDGE</t>
        </is>
      </c>
      <c r="AP938" s="24" t="inlineStr">
        <is>
          <t>Ekaterina Alexandrova</t>
        </is>
      </c>
      <c r="AQ938" s="24" t="inlineStr">
        <is>
          <t>Ekaterina Alexandrova</t>
        </is>
      </c>
      <c r="AR938" s="24" t="inlineStr">
        <is>
          <t>Ekaterina Alexandrova</t>
        </is>
      </c>
      <c r="AS938" s="24" t="inlineStr">
        <is>
          <t>Marta Kostyuk</t>
        </is>
      </c>
      <c r="AT938" s="24" t="inlineStr">
        <is>
          <t>Marta Kostyuk</t>
        </is>
      </c>
      <c r="AU938" s="24" t="inlineStr">
        <is>
          <t>Marta Kostyuk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0ce66f49b381187fe6255a40ca2fdbfc155d5e36125ccf6d30fe81a72962eafa</t>
        </is>
      </c>
      <c r="BB938" s="24" t="inlineStr">
        <is>
          <t>surface_blended_elo</t>
        </is>
      </c>
      <c r="BC938" s="24" t="inlineStr">
        <is>
          <t>tennis-surface-elo-v1</t>
        </is>
      </c>
      <c r="BD938" s="24" t="inlineStr">
        <is>
          <t>0ce66f49b381187fe6255a40ca2fdbfc155d5e36125ccf6d30fe81a72962eafa</t>
        </is>
      </c>
      <c r="BE938" s="24" t="inlineStr">
        <is>
          <t>tennis-surface-elo-v1</t>
        </is>
      </c>
      <c r="BF938" s="24" t="inlineStr">
        <is>
          <t>1</t>
        </is>
      </c>
      <c r="BG938" s="24" t="inlineStr">
        <is>
          <t>0ce66f49b381187fe6255a40ca2fdbfc155d5e36125ccf6d30fe81a72962eafa</t>
        </is>
      </c>
      <c r="BH938" s="24" t="inlineStr">
        <is>
          <t>2026-09-04T10:03:08.539003Z</t>
        </is>
      </c>
      <c r="BI938" s="24" t="inlineStr">
        <is>
          <t>["same_event","same_team_same_day","same_league_same_day"]</t>
        </is>
      </c>
      <c r="BJ938" s="25" t="n"/>
      <c r="BK938" s="26" t="n">
        <v>-308</v>
      </c>
      <c r="BL938" s="27" t="n">
        <v>1.324675</v>
      </c>
      <c r="BM938" s="28" t="n">
        <v>0.754902</v>
      </c>
      <c r="BN938" s="28" t="n"/>
      <c r="BO938" s="28" t="n"/>
      <c r="BP938" s="25" t="n"/>
      <c r="BQ938" s="27" t="n">
        <v>1.324675</v>
      </c>
      <c r="BR938" s="28" t="n">
        <v>0.755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False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inlineStr">
        <is>
          <t>56c934b4d26b9d0ae38123ed93f1b9b26dfc3ea2c82d0ed0f228898b7b4e5ea6</t>
        </is>
      </c>
      <c r="DE938" s="24" t="inlineStr">
        <is>
          <t>/Users/vincentc9002/model-prediction/data/odds/tennis/2026-09-04/polymarket_snapshots.jsonl</t>
        </is>
      </c>
      <c r="DF938" s="24" t="inlineStr">
        <is>
          <t>657313:2026-09-04T10:03:08.539003Z</t>
        </is>
      </c>
      <c r="DG938" s="24" t="n"/>
      <c r="DH938" s="24" t="n"/>
      <c r="DI938" s="24" t="n"/>
      <c r="DJ938" s="24" t="inlineStr">
        <is>
          <t>0.754902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f50f45049a564ea5</t>
        </is>
      </c>
      <c r="B939" s="24" t="inlineStr">
        <is>
          <t>2026-09-04T10:03:56.631111Z</t>
        </is>
      </c>
      <c r="C939" s="24" t="inlineStr">
        <is>
          <t>2026-09-04T15:30Z</t>
        </is>
      </c>
      <c r="D939" s="24" t="inlineStr">
        <is>
          <t>189-2026:182545</t>
        </is>
      </c>
      <c r="E939" s="24" t="inlineStr">
        <is>
          <t>TENNIS</t>
        </is>
      </c>
      <c r="F939" s="24" t="inlineStr">
        <is>
          <t>Leylah Fernandez</t>
        </is>
      </c>
      <c r="G939" s="24" t="inlineStr">
        <is>
          <t>Jessica Pegula</t>
        </is>
      </c>
      <c r="H939" s="24" t="inlineStr">
        <is>
          <t>moneyline</t>
        </is>
      </c>
      <c r="I939" s="24" t="inlineStr">
        <is>
          <t>home</t>
        </is>
      </c>
      <c r="J939" s="25" t="n"/>
      <c r="K939" s="24" t="inlineStr">
        <is>
          <t>polymarket_us</t>
        </is>
      </c>
      <c r="L939" s="26" t="n">
        <v>-545</v>
      </c>
      <c r="M939" s="27" t="n">
        <v>1.183486</v>
      </c>
      <c r="N939" s="28" t="n">
        <v>0.844961</v>
      </c>
      <c r="O939" s="28" t="n">
        <v>0.8633</v>
      </c>
      <c r="P939" s="28" t="n">
        <v>0.05</v>
      </c>
      <c r="Q939" s="28" t="n">
        <v>0.018339</v>
      </c>
      <c r="R939" s="26" t="n">
        <v>29</v>
      </c>
      <c r="S939" s="29" t="n">
        <v>1</v>
      </c>
      <c r="T939" s="24" t="inlineStr">
        <is>
          <t>tennis-surface-elo-v1</t>
        </is>
      </c>
      <c r="U939" s="24" t="inlineStr">
        <is>
          <t>settled</t>
        </is>
      </c>
      <c r="V939" s="24" t="inlineStr">
        <is>
          <t>win</t>
        </is>
      </c>
      <c r="W939" s="26" t="n">
        <v>0</v>
      </c>
      <c r="X939" s="26" t="n">
        <v>1</v>
      </c>
      <c r="Y939" s="25" t="n"/>
      <c r="Z939" s="26" t="n">
        <v>-545</v>
      </c>
      <c r="AA939" s="28" t="n">
        <v>0.845</v>
      </c>
      <c r="AB939" s="28" t="n">
        <v>3.9e-05</v>
      </c>
      <c r="AC939" s="30" t="n">
        <v>0.1835</v>
      </c>
      <c r="AD939" s="24" t="inlineStr">
        <is>
          <t>2026-09-04T22:00:32.761701Z</t>
        </is>
      </c>
      <c r="AE939" s="31" t="inlineStr">
        <is>
          <t>Surface-blended Elo on Hard: Leylah Fernandez p=0.137 vs Jessica Pegula. Executable ask 0.8450 (aec-wta-jespeg-leyfer-2026-09-03).</t>
        </is>
      </c>
      <c r="AF939" s="31" t="inlineStr">
        <is>
          <t>Surface-blended Elo model; singles only, WTA+ATP market coverage, not yet locked-holdout qualified -- promoted by explicit operator directive, not genuine walk-forward validation.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PAPER_CALL_LOW_EDGE</t>
        </is>
      </c>
      <c r="AP939" s="24" t="inlineStr">
        <is>
          <t>Leylah Fernandez</t>
        </is>
      </c>
      <c r="AQ939" s="24" t="inlineStr">
        <is>
          <t>Leylah Fernandez</t>
        </is>
      </c>
      <c r="AR939" s="24" t="inlineStr">
        <is>
          <t>Leylah Fernandez</t>
        </is>
      </c>
      <c r="AS939" s="24" t="inlineStr">
        <is>
          <t>Jessica Pegula</t>
        </is>
      </c>
      <c r="AT939" s="24" t="inlineStr">
        <is>
          <t>Jessica Pegula</t>
        </is>
      </c>
      <c r="AU939" s="24" t="inlineStr">
        <is>
          <t>Jessica Pegula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0ce66f49b381187fe6255a40ca2fdbfc155d5e36125ccf6d30fe81a72962eafa</t>
        </is>
      </c>
      <c r="BB939" s="24" t="inlineStr">
        <is>
          <t>surface_blended_elo</t>
        </is>
      </c>
      <c r="BC939" s="24" t="inlineStr">
        <is>
          <t>tennis-surface-elo-v1</t>
        </is>
      </c>
      <c r="BD939" s="24" t="inlineStr">
        <is>
          <t>0ce66f49b381187fe6255a40ca2fdbfc155d5e36125ccf6d30fe81a72962eafa</t>
        </is>
      </c>
      <c r="BE939" s="24" t="inlineStr">
        <is>
          <t>tennis-surface-elo-v1</t>
        </is>
      </c>
      <c r="BF939" s="24" t="inlineStr">
        <is>
          <t>1</t>
        </is>
      </c>
      <c r="BG939" s="24" t="inlineStr">
        <is>
          <t>0ce66f49b381187fe6255a40ca2fdbfc155d5e36125ccf6d30fe81a72962eafa</t>
        </is>
      </c>
      <c r="BH939" s="24" t="inlineStr">
        <is>
          <t>2026-09-04T10:03:08.778867Z</t>
        </is>
      </c>
      <c r="BI939" s="24" t="inlineStr">
        <is>
          <t>["same_event","same_team_same_day","same_league_same_day"]</t>
        </is>
      </c>
      <c r="BJ939" s="25" t="n"/>
      <c r="BK939" s="26" t="n">
        <v>-545</v>
      </c>
      <c r="BL939" s="27" t="n">
        <v>1.183486</v>
      </c>
      <c r="BM939" s="28" t="n">
        <v>0.844961</v>
      </c>
      <c r="BN939" s="28" t="n"/>
      <c r="BO939" s="28" t="n"/>
      <c r="BP939" s="25" t="n"/>
      <c r="BQ939" s="27" t="n">
        <v>1.183486</v>
      </c>
      <c r="BR939" s="28" t="n">
        <v>0.845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inlineStr">
        <is>
          <t>b8f2e62ea17b9efe79e8a267c2b02cf57db863a2819e01f6fc35939f23017e55</t>
        </is>
      </c>
      <c r="DE939" s="24" t="inlineStr">
        <is>
          <t>/Users/vincentc9002/model-prediction/data/odds/tennis/2026-09-04/polymarket_snapshots.jsonl</t>
        </is>
      </c>
      <c r="DF939" s="24" t="inlineStr">
        <is>
          <t>653554:2026-09-04T10:03:08.778867Z</t>
        </is>
      </c>
      <c r="DG939" s="24" t="n"/>
      <c r="DH939" s="24" t="n"/>
      <c r="DI939" s="24" t="n"/>
      <c r="DJ939" s="24" t="inlineStr">
        <is>
          <t>0.844961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08f90c73704b4823</t>
        </is>
      </c>
      <c r="B940" s="24" t="inlineStr">
        <is>
          <t>2026-09-04T16:12:55.241267Z</t>
        </is>
      </c>
      <c r="C940" s="24" t="inlineStr">
        <is>
          <t>2026-09-04T17:00Z</t>
        </is>
      </c>
      <c r="D940" s="24" t="inlineStr">
        <is>
          <t>189-2026:182565</t>
        </is>
      </c>
      <c r="E940" s="24" t="inlineStr">
        <is>
          <t>TENNIS</t>
        </is>
      </c>
      <c r="F940" s="24" t="inlineStr">
        <is>
          <t>Diana Shnaider</t>
        </is>
      </c>
      <c r="G940" s="24" t="inlineStr">
        <is>
          <t>Taylor Townsend</t>
        </is>
      </c>
      <c r="H940" s="24" t="inlineStr">
        <is>
          <t>moneyline</t>
        </is>
      </c>
      <c r="I940" s="24" t="inlineStr">
        <is>
          <t>away</t>
        </is>
      </c>
      <c r="J940" s="25" t="n"/>
      <c r="K940" s="24" t="inlineStr">
        <is>
          <t>polymarket_us</t>
        </is>
      </c>
      <c r="L940" s="26" t="n">
        <v>-153</v>
      </c>
      <c r="M940" s="27" t="n">
        <v>1.653595</v>
      </c>
      <c r="N940" s="28" t="n">
        <v>0.604743</v>
      </c>
      <c r="O940" s="28" t="n">
        <v>0.5745</v>
      </c>
      <c r="P940" s="28" t="n">
        <v>0.05</v>
      </c>
      <c r="Q940" s="28" t="n">
        <v>-0.030243</v>
      </c>
      <c r="R940" s="26" t="n">
        <v>5</v>
      </c>
      <c r="S940" s="29" t="n">
        <v>1</v>
      </c>
      <c r="T940" s="24" t="inlineStr">
        <is>
          <t>tennis-surface-elo-v1</t>
        </is>
      </c>
      <c r="U940" s="24" t="inlineStr">
        <is>
          <t>settled</t>
        </is>
      </c>
      <c r="V940" s="24" t="inlineStr">
        <is>
          <t>loss</t>
        </is>
      </c>
      <c r="W940" s="26" t="n">
        <v>0</v>
      </c>
      <c r="X940" s="26" t="n">
        <v>1</v>
      </c>
      <c r="Y940" s="25" t="n"/>
      <c r="Z940" s="26" t="n">
        <v>-153</v>
      </c>
      <c r="AA940" s="28" t="n">
        <v>0.605</v>
      </c>
      <c r="AB940" s="28" t="n">
        <v>0.000257</v>
      </c>
      <c r="AC940" s="30" t="n">
        <v>-1</v>
      </c>
      <c r="AD940" s="24" t="inlineStr">
        <is>
          <t>2026-09-04T22:00:36.266206Z</t>
        </is>
      </c>
      <c r="AE940" s="31" t="inlineStr">
        <is>
          <t>Surface-blended Elo on Hard: Diana Shnaider p=0.574 vs Taylor Townsend. Executable ask 0.6050 (aec-wta-taytow-diashn-2026-09-04).</t>
        </is>
      </c>
      <c r="AF940" s="31" t="inlineStr">
        <is>
          <t>Surface-blended Elo model; singles only, WTA+ATP market coverage, not yet locked-holdout qualified -- promoted by explicit operator directive, not genuine walk-forward validation.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PAPER_CALL_LOW_EDGE</t>
        </is>
      </c>
      <c r="AP940" s="24" t="inlineStr">
        <is>
          <t>Diana Shnaider</t>
        </is>
      </c>
      <c r="AQ940" s="24" t="inlineStr">
        <is>
          <t>Diana Shnaider</t>
        </is>
      </c>
      <c r="AR940" s="24" t="inlineStr">
        <is>
          <t>Diana Shnaider</t>
        </is>
      </c>
      <c r="AS940" s="24" t="inlineStr">
        <is>
          <t>Taylor Townsend</t>
        </is>
      </c>
      <c r="AT940" s="24" t="inlineStr">
        <is>
          <t>Taylor Townsend</t>
        </is>
      </c>
      <c r="AU940" s="24" t="inlineStr">
        <is>
          <t>Taylor Townsend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0ce66f49b381187fe6255a40ca2fdbfc155d5e36125ccf6d30fe81a72962eafa</t>
        </is>
      </c>
      <c r="BB940" s="24" t="inlineStr">
        <is>
          <t>surface_blended_elo</t>
        </is>
      </c>
      <c r="BC940" s="24" t="inlineStr">
        <is>
          <t>tennis-surface-elo-v1</t>
        </is>
      </c>
      <c r="BD940" s="24" t="inlineStr">
        <is>
          <t>0ce66f49b381187fe6255a40ca2fdbfc155d5e36125ccf6d30fe81a72962eafa</t>
        </is>
      </c>
      <c r="BE940" s="24" t="inlineStr">
        <is>
          <t>tennis-surface-elo-v1</t>
        </is>
      </c>
      <c r="BF940" s="24" t="inlineStr">
        <is>
          <t>1</t>
        </is>
      </c>
      <c r="BG940" s="24" t="inlineStr">
        <is>
          <t>0ce66f49b381187fe6255a40ca2fdbfc155d5e36125ccf6d30fe81a72962eafa</t>
        </is>
      </c>
      <c r="BH940" s="24" t="inlineStr">
        <is>
          <t>2026-09-04T16:11:58.309680Z</t>
        </is>
      </c>
      <c r="BI940" s="24" t="inlineStr">
        <is>
          <t>["same_event","same_team_same_day","same_league_same_day"]</t>
        </is>
      </c>
      <c r="BJ940" s="25" t="n"/>
      <c r="BK940" s="26" t="n">
        <v>-153</v>
      </c>
      <c r="BL940" s="27" t="n">
        <v>1.653595</v>
      </c>
      <c r="BM940" s="28" t="n">
        <v>0.604743</v>
      </c>
      <c r="BN940" s="28" t="n"/>
      <c r="BO940" s="28" t="n"/>
      <c r="BP940" s="25" t="n"/>
      <c r="BQ940" s="27" t="n">
        <v>1.653595</v>
      </c>
      <c r="BR940" s="28" t="n">
        <v>0.605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inlineStr">
        <is>
          <t>535cdfc8fd01ce9865607b6ba70a73713fad043eba976d29e252278fa1ce519a</t>
        </is>
      </c>
      <c r="DE940" s="24" t="inlineStr">
        <is>
          <t>/Users/vincentc9002/model-prediction/data/odds/tennis/2026-09-04/polymarket_snapshots.jsonl</t>
        </is>
      </c>
      <c r="DF940" s="24" t="inlineStr">
        <is>
          <t>653555:2026-09-04T16:11:58.309680Z</t>
        </is>
      </c>
      <c r="DG940" s="24" t="n"/>
      <c r="DH940" s="24" t="n"/>
      <c r="DI940" s="24" t="n"/>
      <c r="DJ940" s="24" t="inlineStr">
        <is>
          <t>0.604743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b14689d1070a4851</t>
        </is>
      </c>
      <c r="B941" s="24" t="inlineStr">
        <is>
          <t>2026-09-04T16:12:55.241267Z</t>
        </is>
      </c>
      <c r="C941" s="24" t="inlineStr">
        <is>
          <t>2026-09-04T18:30Z</t>
        </is>
      </c>
      <c r="D941" s="24" t="inlineStr">
        <is>
          <t>189-2026:182537</t>
        </is>
      </c>
      <c r="E941" s="24" t="inlineStr">
        <is>
          <t>TENNIS</t>
        </is>
      </c>
      <c r="F941" s="24" t="inlineStr">
        <is>
          <t>Karolina Muchova</t>
        </is>
      </c>
      <c r="G941" s="24" t="inlineStr">
        <is>
          <t>Emma Navarro</t>
        </is>
      </c>
      <c r="H941" s="24" t="inlineStr">
        <is>
          <t>moneyline</t>
        </is>
      </c>
      <c r="I941" s="24" t="inlineStr">
        <is>
          <t>away</t>
        </is>
      </c>
      <c r="J941" s="25" t="n"/>
      <c r="K941" s="24" t="inlineStr">
        <is>
          <t>polymarket_us</t>
        </is>
      </c>
      <c r="L941" s="26" t="n">
        <v>-388</v>
      </c>
      <c r="M941" s="27" t="n">
        <v>1.257732</v>
      </c>
      <c r="N941" s="28" t="n">
        <v>0.795082</v>
      </c>
      <c r="O941" s="28" t="n">
        <v>0.8071</v>
      </c>
      <c r="P941" s="28" t="n">
        <v>0.05</v>
      </c>
      <c r="Q941" s="28" t="n">
        <v>0.012018</v>
      </c>
      <c r="R941" s="26" t="n">
        <v>26</v>
      </c>
      <c r="S941" s="29" t="n">
        <v>1</v>
      </c>
      <c r="T941" s="24" t="inlineStr">
        <is>
          <t>tennis-surface-elo-v1</t>
        </is>
      </c>
      <c r="U941" s="24" t="inlineStr">
        <is>
          <t>settled</t>
        </is>
      </c>
      <c r="V941" s="24" t="inlineStr">
        <is>
          <t>loss</t>
        </is>
      </c>
      <c r="W941" s="26" t="n">
        <v>0</v>
      </c>
      <c r="X941" s="26" t="n">
        <v>1</v>
      </c>
      <c r="Y941" s="25" t="n"/>
      <c r="Z941" s="26" t="n">
        <v>-388</v>
      </c>
      <c r="AA941" s="28" t="n">
        <v>0.795</v>
      </c>
      <c r="AB941" s="28" t="n">
        <v>-8.2e-05</v>
      </c>
      <c r="AC941" s="30" t="n">
        <v>-1</v>
      </c>
      <c r="AD941" s="24" t="inlineStr">
        <is>
          <t>2026-09-04T22:00:36.665470Z</t>
        </is>
      </c>
      <c r="AE941" s="31" t="inlineStr">
        <is>
          <t>Surface-blended Elo on Hard: Karolina Muchova p=0.807 vs Emma Navarro. Executable ask 0.7950 (aec-wta-emmnav-karmuc-2026-09-04).</t>
        </is>
      </c>
      <c r="AF941" s="31" t="inlineStr">
        <is>
          <t>Surface-blended Elo model; singles only, WTA+ATP market coverage, not yet locked-holdout qualified -- promoted by explicit operator directive, not genuine walk-forward validation.</t>
        </is>
      </c>
      <c r="AG941" s="24" t="inlineStr">
        <is>
          <t>review_required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PAPER_CALL_LOW_EDGE</t>
        </is>
      </c>
      <c r="AP941" s="24" t="inlineStr">
        <is>
          <t>Karolina Muchova</t>
        </is>
      </c>
      <c r="AQ941" s="24" t="inlineStr">
        <is>
          <t>Karolina Muchova</t>
        </is>
      </c>
      <c r="AR941" s="24" t="inlineStr">
        <is>
          <t>Karolina Muchova</t>
        </is>
      </c>
      <c r="AS941" s="24" t="inlineStr">
        <is>
          <t>Emma Navarro</t>
        </is>
      </c>
      <c r="AT941" s="24" t="inlineStr">
        <is>
          <t>Emma Navarro</t>
        </is>
      </c>
      <c r="AU941" s="24" t="inlineStr">
        <is>
          <t>Emma Navarro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0ce66f49b381187fe6255a40ca2fdbfc155d5e36125ccf6d30fe81a72962eafa</t>
        </is>
      </c>
      <c r="BB941" s="24" t="inlineStr">
        <is>
          <t>surface_blended_elo</t>
        </is>
      </c>
      <c r="BC941" s="24" t="inlineStr">
        <is>
          <t>tennis-surface-elo-v1</t>
        </is>
      </c>
      <c r="BD941" s="24" t="inlineStr">
        <is>
          <t>0ce66f49b381187fe6255a40ca2fdbfc155d5e36125ccf6d30fe81a72962eafa</t>
        </is>
      </c>
      <c r="BE941" s="24" t="inlineStr">
        <is>
          <t>tennis-surface-elo-v1</t>
        </is>
      </c>
      <c r="BF941" s="24" t="inlineStr">
        <is>
          <t>1</t>
        </is>
      </c>
      <c r="BG941" s="24" t="inlineStr">
        <is>
          <t>0ce66f49b381187fe6255a40ca2fdbfc155d5e36125ccf6d30fe81a72962eafa</t>
        </is>
      </c>
      <c r="BH941" s="24" t="inlineStr">
        <is>
          <t>2026-09-04T16:11:59.298108Z</t>
        </is>
      </c>
      <c r="BI941" s="24" t="inlineStr">
        <is>
          <t>["same_event","same_team_same_day","same_league_same_day"]</t>
        </is>
      </c>
      <c r="BJ941" s="25" t="n"/>
      <c r="BK941" s="26" t="n">
        <v>-388</v>
      </c>
      <c r="BL941" s="27" t="n">
        <v>1.257732</v>
      </c>
      <c r="BM941" s="28" t="n">
        <v>0.795082</v>
      </c>
      <c r="BN941" s="28" t="n"/>
      <c r="BO941" s="28" t="n"/>
      <c r="BP941" s="25" t="n"/>
      <c r="BQ941" s="27" t="n">
        <v>1.257732</v>
      </c>
      <c r="BR941" s="28" t="n">
        <v>0.795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inlineStr">
        <is>
          <t>bf777497bdc9b11dbcbb649310a510e2839e411f9f094e47ca9307e7bff4e0bf</t>
        </is>
      </c>
      <c r="DE941" s="24" t="inlineStr">
        <is>
          <t>/Users/vincentc9002/model-prediction/data/odds/tennis/2026-09-04/polymarket_snapshots.jsonl</t>
        </is>
      </c>
      <c r="DF941" s="24" t="inlineStr">
        <is>
          <t>656768:2026-09-04T16:11:59.298108Z</t>
        </is>
      </c>
      <c r="DG941" s="24" t="n"/>
      <c r="DH941" s="24" t="n"/>
      <c r="DI941" s="24" t="n"/>
      <c r="DJ941" s="24" t="inlineStr">
        <is>
          <t>0.795082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d17fc7ae569440ab</t>
        </is>
      </c>
      <c r="B942" s="24" t="inlineStr">
        <is>
          <t>2026-09-04T16:12:55.241267Z</t>
        </is>
      </c>
      <c r="C942" s="24" t="inlineStr">
        <is>
          <t>2026-09-04T18:30Z</t>
        </is>
      </c>
      <c r="D942" s="24" t="inlineStr">
        <is>
          <t>189-2026:182543</t>
        </is>
      </c>
      <c r="E942" s="24" t="inlineStr">
        <is>
          <t>TENNIS</t>
        </is>
      </c>
      <c r="F942" s="24" t="inlineStr">
        <is>
          <t>Linda Noskova</t>
        </is>
      </c>
      <c r="G942" s="24" t="inlineStr">
        <is>
          <t>Ann Li</t>
        </is>
      </c>
      <c r="H942" s="24" t="inlineStr">
        <is>
          <t>moneyline</t>
        </is>
      </c>
      <c r="I942" s="24" t="inlineStr">
        <is>
          <t>away</t>
        </is>
      </c>
      <c r="J942" s="25" t="n"/>
      <c r="K942" s="24" t="inlineStr">
        <is>
          <t>polymarket_us</t>
        </is>
      </c>
      <c r="L942" s="26" t="n">
        <v>-300</v>
      </c>
      <c r="M942" s="27" t="n">
        <v>1.333333</v>
      </c>
      <c r="N942" s="28" t="n">
        <v>0.75</v>
      </c>
      <c r="O942" s="28" t="n">
        <v>0.6415999999999999</v>
      </c>
      <c r="P942" s="28" t="n">
        <v>0.05</v>
      </c>
      <c r="Q942" s="28" t="n">
        <v>-0.1084</v>
      </c>
      <c r="R942" s="26" t="n">
        <v>0</v>
      </c>
      <c r="S942" s="29" t="n">
        <v>1</v>
      </c>
      <c r="T942" s="24" t="inlineStr">
        <is>
          <t>tennis-surface-elo-v1</t>
        </is>
      </c>
      <c r="U942" s="24" t="inlineStr">
        <is>
          <t>settled</t>
        </is>
      </c>
      <c r="V942" s="24" t="inlineStr">
        <is>
          <t>win</t>
        </is>
      </c>
      <c r="W942" s="26" t="n">
        <v>1</v>
      </c>
      <c r="X942" s="26" t="n">
        <v>0</v>
      </c>
      <c r="Y942" s="25" t="n"/>
      <c r="Z942" s="26" t="n">
        <v>-300</v>
      </c>
      <c r="AA942" s="28" t="n">
        <v>0.75</v>
      </c>
      <c r="AB942" s="28" t="n">
        <v>0</v>
      </c>
      <c r="AC942" s="30" t="n">
        <v>0.3333</v>
      </c>
      <c r="AD942" s="24" t="inlineStr">
        <is>
          <t>2026-09-05T04:38:15.679224Z</t>
        </is>
      </c>
      <c r="AE942" s="31" t="inlineStr">
        <is>
          <t>Surface-blended Elo on Hard: Linda Noskova p=0.642 vs Ann Li. Executable ask 0.7500 (aec-wta-annli-linnos-2026-09-04).</t>
        </is>
      </c>
      <c r="AF942" s="31" t="inlineStr">
        <is>
          <t>Surface-blended Elo model; singles only, WTA+ATP market coverage, not yet locked-holdout qualified -- promoted by explicit operator directive, not genuine walk-forward validation.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PAPER_CALL_LOW_EDGE</t>
        </is>
      </c>
      <c r="AP942" s="24" t="inlineStr">
        <is>
          <t>Linda Noskova</t>
        </is>
      </c>
      <c r="AQ942" s="24" t="inlineStr">
        <is>
          <t>Linda Noskova</t>
        </is>
      </c>
      <c r="AR942" s="24" t="inlineStr">
        <is>
          <t>Linda Noskova</t>
        </is>
      </c>
      <c r="AS942" s="24" t="inlineStr">
        <is>
          <t>Ann Li</t>
        </is>
      </c>
      <c r="AT942" s="24" t="inlineStr">
        <is>
          <t>Ann Li</t>
        </is>
      </c>
      <c r="AU942" s="24" t="inlineStr">
        <is>
          <t>Ann Li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0ce66f49b381187fe6255a40ca2fdbfc155d5e36125ccf6d30fe81a72962eafa</t>
        </is>
      </c>
      <c r="BB942" s="24" t="inlineStr">
        <is>
          <t>surface_blended_elo</t>
        </is>
      </c>
      <c r="BC942" s="24" t="inlineStr">
        <is>
          <t>tennis-surface-elo-v1</t>
        </is>
      </c>
      <c r="BD942" s="24" t="inlineStr">
        <is>
          <t>0ce66f49b381187fe6255a40ca2fdbfc155d5e36125ccf6d30fe81a72962eafa</t>
        </is>
      </c>
      <c r="BE942" s="24" t="inlineStr">
        <is>
          <t>tennis-surface-elo-v1</t>
        </is>
      </c>
      <c r="BF942" s="24" t="inlineStr">
        <is>
          <t>1</t>
        </is>
      </c>
      <c r="BG942" s="24" t="inlineStr">
        <is>
          <t>0ce66f49b381187fe6255a40ca2fdbfc155d5e36125ccf6d30fe81a72962eafa</t>
        </is>
      </c>
      <c r="BH942" s="24" t="inlineStr">
        <is>
          <t>2026-09-04T16:11:58.503061Z</t>
        </is>
      </c>
      <c r="BI942" s="24" t="inlineStr">
        <is>
          <t>["same_event","same_team_same_day","same_league_same_day"]</t>
        </is>
      </c>
      <c r="BJ942" s="25" t="n"/>
      <c r="BK942" s="26" t="n">
        <v>-300</v>
      </c>
      <c r="BL942" s="27" t="n">
        <v>1.333333</v>
      </c>
      <c r="BM942" s="28" t="n">
        <v>0.75</v>
      </c>
      <c r="BN942" s="28" t="n"/>
      <c r="BO942" s="28" t="n"/>
      <c r="BP942" s="25" t="n"/>
      <c r="BQ942" s="27" t="n">
        <v>1.333333</v>
      </c>
      <c r="BR942" s="28" t="n">
        <v>0.75</v>
      </c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False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inlineStr">
        <is>
          <t>ec6d4c7ddcf461bd45aa5f5657fd116ae9335590b2e098409902de772cf684db</t>
        </is>
      </c>
      <c r="DE942" s="24" t="inlineStr">
        <is>
          <t>/Users/vincentc9002/model-prediction/data/odds/tennis/2026-09-04/polymarket_snapshots.jsonl</t>
        </is>
      </c>
      <c r="DF942" s="24" t="inlineStr">
        <is>
          <t>657886:2026-09-04T16:11:58.503061Z</t>
        </is>
      </c>
      <c r="DG942" s="24" t="n"/>
      <c r="DH942" s="24" t="n"/>
      <c r="DI942" s="24" t="n"/>
      <c r="DJ942" s="24" t="inlineStr">
        <is>
          <t>0.75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d3fc1bb1c19a4beb</t>
        </is>
      </c>
      <c r="B943" s="24" t="inlineStr">
        <is>
          <t>2026-09-04T16:12:55.241267Z</t>
        </is>
      </c>
      <c r="C943" s="24" t="inlineStr">
        <is>
          <t>2026-09-04T16:30Z</t>
        </is>
      </c>
      <c r="D943" s="24" t="inlineStr">
        <is>
          <t>189-2026:182687</t>
        </is>
      </c>
      <c r="E943" s="24" t="inlineStr">
        <is>
          <t>TENNIS</t>
        </is>
      </c>
      <c r="F943" s="24" t="inlineStr">
        <is>
          <t>Arthur Rinderknech</t>
        </is>
      </c>
      <c r="G943" s="24" t="inlineStr">
        <is>
          <t>Daniil Medvedev</t>
        </is>
      </c>
      <c r="H943" s="24" t="inlineStr">
        <is>
          <t>moneyline</t>
        </is>
      </c>
      <c r="I943" s="24" t="inlineStr">
        <is>
          <t>home</t>
        </is>
      </c>
      <c r="J943" s="25" t="n"/>
      <c r="K943" s="24" t="inlineStr">
        <is>
          <t>polymarket_us</t>
        </is>
      </c>
      <c r="L943" s="26" t="n">
        <v>-270</v>
      </c>
      <c r="M943" s="27" t="n">
        <v>1.37037</v>
      </c>
      <c r="N943" s="28" t="n">
        <v>0.72973</v>
      </c>
      <c r="O943" s="28" t="n">
        <v>0.706</v>
      </c>
      <c r="P943" s="28" t="n">
        <v>0.05</v>
      </c>
      <c r="Q943" s="28" t="n">
        <v>-0.02373</v>
      </c>
      <c r="R943" s="26" t="n">
        <v>8</v>
      </c>
      <c r="S943" s="29" t="n">
        <v>1</v>
      </c>
      <c r="T943" s="24" t="inlineStr">
        <is>
          <t>tennis-surface-elo-v1</t>
        </is>
      </c>
      <c r="U943" s="24" t="inlineStr">
        <is>
          <t>settled</t>
        </is>
      </c>
      <c r="V943" s="24" t="inlineStr">
        <is>
          <t>win</t>
        </is>
      </c>
      <c r="W943" s="26" t="n">
        <v>0</v>
      </c>
      <c r="X943" s="26" t="n">
        <v>1</v>
      </c>
      <c r="Y943" s="25" t="n"/>
      <c r="Z943" s="26" t="n">
        <v>-270</v>
      </c>
      <c r="AA943" s="28" t="n">
        <v>0.73</v>
      </c>
      <c r="AB943" s="28" t="n">
        <v>0.00027</v>
      </c>
      <c r="AC943" s="30" t="n">
        <v>0.3704</v>
      </c>
      <c r="AD943" s="24" t="inlineStr">
        <is>
          <t>2026-09-04T22:00:37.134420Z</t>
        </is>
      </c>
      <c r="AE943" s="31" t="inlineStr">
        <is>
          <t>Surface-blended Elo on Hard: Arthur Rinderknech p=0.294 vs Daniil Medvedev. Executable ask 0.7300 (aec-atp-danmed-artrin-2026-09-04).</t>
        </is>
      </c>
      <c r="AF943" s="31" t="inlineStr">
        <is>
          <t>Surface-blended Elo model; singles only, WTA+ATP market coverage, not yet locked-holdout qualified -- promoted by explicit operator directive, not genuine walk-forward validation.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PAPER_CALL_LOW_EDGE</t>
        </is>
      </c>
      <c r="AP943" s="24" t="inlineStr">
        <is>
          <t>Arthur Rinderknech</t>
        </is>
      </c>
      <c r="AQ943" s="24" t="inlineStr">
        <is>
          <t>Arthur Rinderknech</t>
        </is>
      </c>
      <c r="AR943" s="24" t="inlineStr">
        <is>
          <t>Arthur Rinderknech</t>
        </is>
      </c>
      <c r="AS943" s="24" t="inlineStr">
        <is>
          <t>Daniil Medvedev</t>
        </is>
      </c>
      <c r="AT943" s="24" t="inlineStr">
        <is>
          <t>Daniil Medvedev</t>
        </is>
      </c>
      <c r="AU943" s="24" t="inlineStr">
        <is>
          <t>Daniil Medvedev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0ce66f49b381187fe6255a40ca2fdbfc155d5e36125ccf6d30fe81a72962eafa</t>
        </is>
      </c>
      <c r="BB943" s="24" t="inlineStr">
        <is>
          <t>surface_blended_elo</t>
        </is>
      </c>
      <c r="BC943" s="24" t="inlineStr">
        <is>
          <t>tennis-surface-elo-v1</t>
        </is>
      </c>
      <c r="BD943" s="24" t="inlineStr">
        <is>
          <t>0ce66f49b381187fe6255a40ca2fdbfc155d5e36125ccf6d30fe81a72962eafa</t>
        </is>
      </c>
      <c r="BE943" s="24" t="inlineStr">
        <is>
          <t>tennis-surface-elo-v1</t>
        </is>
      </c>
      <c r="BF943" s="24" t="inlineStr">
        <is>
          <t>1</t>
        </is>
      </c>
      <c r="BG943" s="24" t="inlineStr">
        <is>
          <t>0ce66f49b381187fe6255a40ca2fdbfc155d5e36125ccf6d30fe81a72962eafa</t>
        </is>
      </c>
      <c r="BH943" s="24" t="inlineStr">
        <is>
          <t>2026-09-04T16:11:59.577707Z</t>
        </is>
      </c>
      <c r="BI943" s="24" t="inlineStr">
        <is>
          <t>["same_event","same_team_same_day","same_league_same_day"]</t>
        </is>
      </c>
      <c r="BJ943" s="25" t="n"/>
      <c r="BK943" s="26" t="n">
        <v>-270</v>
      </c>
      <c r="BL943" s="27" t="n">
        <v>1.37037</v>
      </c>
      <c r="BM943" s="28" t="n">
        <v>0.72973</v>
      </c>
      <c r="BN943" s="28" t="n"/>
      <c r="BO943" s="28" t="n"/>
      <c r="BP943" s="25" t="n"/>
      <c r="BQ943" s="27" t="n">
        <v>1.37037</v>
      </c>
      <c r="BR943" s="28" t="n">
        <v>0.73</v>
      </c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inlineStr">
        <is>
          <t>3060e95ce4b175a7589e6449c2f731ddf43716397d77703b7c13cf2d6d6a7d98</t>
        </is>
      </c>
      <c r="DE943" s="24" t="inlineStr">
        <is>
          <t>/Users/vincentc9002/model-prediction/data/odds/tennis/2026-09-04/polymarket_snapshots.jsonl</t>
        </is>
      </c>
      <c r="DF943" s="24" t="inlineStr">
        <is>
          <t>654067:2026-09-04T16:11:59.577707Z</t>
        </is>
      </c>
      <c r="DG943" s="24" t="n"/>
      <c r="DH943" s="24" t="n"/>
      <c r="DI943" s="24" t="n"/>
      <c r="DJ943" s="24" t="inlineStr">
        <is>
          <t>0.72973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14054ef87e1f4c41</t>
        </is>
      </c>
      <c r="B944" s="24" t="inlineStr">
        <is>
          <t>2026-09-04T16:12:55.241267Z</t>
        </is>
      </c>
      <c r="C944" s="24" t="inlineStr">
        <is>
          <t>2026-09-04T16:30Z</t>
        </is>
      </c>
      <c r="D944" s="24" t="inlineStr">
        <is>
          <t>189-2026:182719</t>
        </is>
      </c>
      <c r="E944" s="24" t="inlineStr">
        <is>
          <t>TENNIS</t>
        </is>
      </c>
      <c r="F944" s="24" t="inlineStr">
        <is>
          <t>Tommy Paul</t>
        </is>
      </c>
      <c r="G944" s="24" t="inlineStr">
        <is>
          <t>Alexander Bublik</t>
        </is>
      </c>
      <c r="H944" s="24" t="inlineStr">
        <is>
          <t>moneyline</t>
        </is>
      </c>
      <c r="I944" s="24" t="inlineStr">
        <is>
          <t>away</t>
        </is>
      </c>
      <c r="J944" s="25" t="n"/>
      <c r="K944" s="24" t="inlineStr">
        <is>
          <t>polymarket_us</t>
        </is>
      </c>
      <c r="L944" s="26" t="n">
        <v>-160</v>
      </c>
      <c r="M944" s="27" t="n">
        <v>1.625</v>
      </c>
      <c r="N944" s="28" t="n">
        <v>0.615385</v>
      </c>
      <c r="O944" s="28" t="n">
        <v>0.6133</v>
      </c>
      <c r="P944" s="28" t="n">
        <v>0.05</v>
      </c>
      <c r="Q944" s="28" t="n">
        <v>-0.002085</v>
      </c>
      <c r="R944" s="26" t="n">
        <v>19</v>
      </c>
      <c r="S944" s="29" t="n">
        <v>1</v>
      </c>
      <c r="T944" s="24" t="inlineStr">
        <is>
          <t>tennis-surface-elo-v1</t>
        </is>
      </c>
      <c r="U944" s="24" t="inlineStr">
        <is>
          <t>settled</t>
        </is>
      </c>
      <c r="V944" s="24" t="inlineStr">
        <is>
          <t>win</t>
        </is>
      </c>
      <c r="W944" s="26" t="n">
        <v>1</v>
      </c>
      <c r="X944" s="26" t="n">
        <v>0</v>
      </c>
      <c r="Y944" s="25" t="n"/>
      <c r="Z944" s="26" t="n">
        <v>-160</v>
      </c>
      <c r="AA944" s="28" t="n">
        <v>0.615</v>
      </c>
      <c r="AB944" s="28" t="n">
        <v>-0.000385</v>
      </c>
      <c r="AC944" s="30" t="n">
        <v>0.625</v>
      </c>
      <c r="AD944" s="24" t="inlineStr">
        <is>
          <t>2026-09-04T22:00:37.541203Z</t>
        </is>
      </c>
      <c r="AE944" s="31" t="inlineStr">
        <is>
          <t>Surface-blended Elo on Hard: Tommy Paul p=0.613 vs Alexander Bublik. Executable ask 0.6150 (aec-atp-alebub-tompau-2026-09-04).</t>
        </is>
      </c>
      <c r="AF944" s="31" t="inlineStr">
        <is>
          <t>Surface-blended Elo model; singles only, WTA+ATP market coverage, not yet locked-holdout qualified -- promoted by explicit operator directive, not genuine walk-forward validation.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Tommy Paul</t>
        </is>
      </c>
      <c r="AQ944" s="24" t="inlineStr">
        <is>
          <t>Tommy Paul</t>
        </is>
      </c>
      <c r="AR944" s="24" t="inlineStr">
        <is>
          <t>Tommy Paul</t>
        </is>
      </c>
      <c r="AS944" s="24" t="inlineStr">
        <is>
          <t>Alexander Bublik</t>
        </is>
      </c>
      <c r="AT944" s="24" t="inlineStr">
        <is>
          <t>Alexander Bublik</t>
        </is>
      </c>
      <c r="AU944" s="24" t="inlineStr">
        <is>
          <t>Alexander Bublik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0ce66f49b381187fe6255a40ca2fdbfc155d5e36125ccf6d30fe81a72962eafa</t>
        </is>
      </c>
      <c r="BB944" s="24" t="inlineStr">
        <is>
          <t>surface_blended_elo</t>
        </is>
      </c>
      <c r="BC944" s="24" t="inlineStr">
        <is>
          <t>tennis-surface-elo-v1</t>
        </is>
      </c>
      <c r="BD944" s="24" t="inlineStr">
        <is>
          <t>0ce66f49b381187fe6255a40ca2fdbfc155d5e36125ccf6d30fe81a72962eafa</t>
        </is>
      </c>
      <c r="BE944" s="24" t="inlineStr">
        <is>
          <t>tennis-surface-elo-v1</t>
        </is>
      </c>
      <c r="BF944" s="24" t="inlineStr">
        <is>
          <t>1</t>
        </is>
      </c>
      <c r="BG944" s="24" t="inlineStr">
        <is>
          <t>0ce66f49b381187fe6255a40ca2fdbfc155d5e36125ccf6d30fe81a72962eafa</t>
        </is>
      </c>
      <c r="BH944" s="24" t="inlineStr">
        <is>
          <t>2026-09-04T16:11:59.602888Z</t>
        </is>
      </c>
      <c r="BI944" s="24" t="inlineStr">
        <is>
          <t>["same_event","same_team_same_day","same_league_same_day"]</t>
        </is>
      </c>
      <c r="BJ944" s="25" t="n"/>
      <c r="BK944" s="26" t="n">
        <v>-160</v>
      </c>
      <c r="BL944" s="27" t="n">
        <v>1.625</v>
      </c>
      <c r="BM944" s="28" t="n">
        <v>0.615385</v>
      </c>
      <c r="BN944" s="28" t="n"/>
      <c r="BO944" s="28" t="n"/>
      <c r="BP944" s="25" t="n"/>
      <c r="BQ944" s="27" t="n">
        <v>1.625</v>
      </c>
      <c r="BR944" s="28" t="n">
        <v>0.615</v>
      </c>
      <c r="BS944" s="28" t="n"/>
      <c r="BT944" s="28" t="n"/>
      <c r="BU944" s="25" t="n"/>
      <c r="BV944" s="29" t="n"/>
      <c r="BW944" s="24" t="n"/>
      <c r="BX944" s="30" t="n"/>
      <c r="BY944" s="27" t="n"/>
      <c r="BZ944" s="24" t="n"/>
      <c r="CA944" s="31" t="n"/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inlineStr">
        <is>
          <t>48b139d01c55d9370c13be4aaf1698a62babe211e0fe346b62dae51af7c287ff</t>
        </is>
      </c>
      <c r="DE944" s="24" t="inlineStr">
        <is>
          <t>/Users/vincentc9002/model-prediction/data/odds/tennis/2026-09-04/polymarket_snapshots.jsonl</t>
        </is>
      </c>
      <c r="DF944" s="24" t="inlineStr">
        <is>
          <t>657862:2026-09-04T16:11:59.602888Z</t>
        </is>
      </c>
      <c r="DG944" s="24" t="n"/>
      <c r="DH944" s="24" t="n"/>
      <c r="DI944" s="24" t="n"/>
      <c r="DJ944" s="24" t="inlineStr">
        <is>
          <t>0.615385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2093e9bb3da34d99</t>
        </is>
      </c>
      <c r="B945" s="24" t="inlineStr">
        <is>
          <t>2026-09-04T16:12:55.241267Z</t>
        </is>
      </c>
      <c r="C945" s="24" t="inlineStr">
        <is>
          <t>2026-09-04T17:00Z</t>
        </is>
      </c>
      <c r="D945" s="24" t="inlineStr">
        <is>
          <t>189-2026:182723</t>
        </is>
      </c>
      <c r="E945" s="24" t="inlineStr">
        <is>
          <t>TENNIS</t>
        </is>
      </c>
      <c r="F945" s="24" t="inlineStr">
        <is>
          <t>Carlos Alcaraz</t>
        </is>
      </c>
      <c r="G945" s="24" t="inlineStr">
        <is>
          <t>Wu Yibing</t>
        </is>
      </c>
      <c r="H945" s="24" t="inlineStr">
        <is>
          <t>moneyline</t>
        </is>
      </c>
      <c r="I945" s="24" t="inlineStr">
        <is>
          <t>away</t>
        </is>
      </c>
      <c r="J945" s="25" t="n"/>
      <c r="K945" s="24" t="inlineStr">
        <is>
          <t>polymarket_us</t>
        </is>
      </c>
      <c r="L945" s="26" t="n">
        <v>-1233</v>
      </c>
      <c r="M945" s="27" t="n">
        <v>1.081103</v>
      </c>
      <c r="N945" s="28" t="n">
        <v>0.9249810000000001</v>
      </c>
      <c r="O945" s="28" t="n">
        <v>0.9205</v>
      </c>
      <c r="P945" s="28" t="n">
        <v>0.05</v>
      </c>
      <c r="Q945" s="28" t="n">
        <v>-0.004481</v>
      </c>
      <c r="R945" s="26" t="n">
        <v>18</v>
      </c>
      <c r="S945" s="29" t="n">
        <v>1</v>
      </c>
      <c r="T945" s="24" t="inlineStr">
        <is>
          <t>tennis-surface-elo-v1</t>
        </is>
      </c>
      <c r="U945" s="24" t="inlineStr">
        <is>
          <t>settled</t>
        </is>
      </c>
      <c r="V945" s="24" t="inlineStr">
        <is>
          <t>win</t>
        </is>
      </c>
      <c r="W945" s="26" t="n">
        <v>1</v>
      </c>
      <c r="X945" s="26" t="n">
        <v>0</v>
      </c>
      <c r="Y945" s="25" t="n"/>
      <c r="Z945" s="26" t="n">
        <v>-1233</v>
      </c>
      <c r="AA945" s="28" t="n">
        <v>0.925</v>
      </c>
      <c r="AB945" s="28" t="n">
        <v>1.9e-05</v>
      </c>
      <c r="AC945" s="30" t="n">
        <v>0.08110000000000001</v>
      </c>
      <c r="AD945" s="24" t="inlineStr">
        <is>
          <t>2026-09-04T22:00:37.930826Z</t>
        </is>
      </c>
      <c r="AE945" s="31" t="inlineStr">
        <is>
          <t>Surface-blended Elo on Hard: Carlos Alcaraz p=0.921 vs Wu Yibing. Executable ask 0.9250 (aec-atp-yibwu-caralc-2026-09-04).</t>
        </is>
      </c>
      <c r="AF945" s="31" t="inlineStr">
        <is>
          <t>Surface-blended Elo model; singles only, WTA+ATP market coverage, not yet locked-holdout qualified -- promoted by explicit operator directive, not genuine walk-forward validation.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PAPER_CALL_LOW_EDGE</t>
        </is>
      </c>
      <c r="AP945" s="24" t="inlineStr">
        <is>
          <t>Carlos Alcaraz</t>
        </is>
      </c>
      <c r="AQ945" s="24" t="inlineStr">
        <is>
          <t>Carlos Alcaraz</t>
        </is>
      </c>
      <c r="AR945" s="24" t="inlineStr">
        <is>
          <t>Carlos Alcaraz</t>
        </is>
      </c>
      <c r="AS945" s="24" t="inlineStr">
        <is>
          <t>Wu Yibing</t>
        </is>
      </c>
      <c r="AT945" s="24" t="inlineStr">
        <is>
          <t>Wu Yibing</t>
        </is>
      </c>
      <c r="AU945" s="24" t="inlineStr">
        <is>
          <t>Wu Yibing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0ce66f49b381187fe6255a40ca2fdbfc155d5e36125ccf6d30fe81a72962eafa</t>
        </is>
      </c>
      <c r="BB945" s="24" t="inlineStr">
        <is>
          <t>surface_blended_elo</t>
        </is>
      </c>
      <c r="BC945" s="24" t="inlineStr">
        <is>
          <t>tennis-surface-elo-v1</t>
        </is>
      </c>
      <c r="BD945" s="24" t="inlineStr">
        <is>
          <t>0ce66f49b381187fe6255a40ca2fdbfc155d5e36125ccf6d30fe81a72962eafa</t>
        </is>
      </c>
      <c r="BE945" s="24" t="inlineStr">
        <is>
          <t>tennis-surface-elo-v1</t>
        </is>
      </c>
      <c r="BF945" s="24" t="inlineStr">
        <is>
          <t>1</t>
        </is>
      </c>
      <c r="BG945" s="24" t="inlineStr">
        <is>
          <t>0ce66f49b381187fe6255a40ca2fdbfc155d5e36125ccf6d30fe81a72962eafa</t>
        </is>
      </c>
      <c r="BH945" s="24" t="inlineStr">
        <is>
          <t>2026-09-04T16:12:00.407590Z</t>
        </is>
      </c>
      <c r="BI945" s="24" t="inlineStr">
        <is>
          <t>["same_event","same_team_same_day","same_league_same_day"]</t>
        </is>
      </c>
      <c r="BJ945" s="25" t="n"/>
      <c r="BK945" s="26" t="n">
        <v>-1233</v>
      </c>
      <c r="BL945" s="27" t="n">
        <v>1.081103</v>
      </c>
      <c r="BM945" s="28" t="n">
        <v>0.9249810000000001</v>
      </c>
      <c r="BN945" s="28" t="n"/>
      <c r="BO945" s="28" t="n"/>
      <c r="BP945" s="25" t="n"/>
      <c r="BQ945" s="27" t="n">
        <v>1.081103</v>
      </c>
      <c r="BR945" s="28" t="n">
        <v>0.925</v>
      </c>
      <c r="BS945" s="28" t="n"/>
      <c r="BT945" s="28" t="n"/>
      <c r="BU945" s="25" t="n"/>
      <c r="BV945" s="29" t="n"/>
      <c r="BW945" s="24" t="n"/>
      <c r="BX945" s="30" t="n"/>
      <c r="BY945" s="27" t="n"/>
      <c r="BZ945" s="24" t="n"/>
      <c r="CA945" s="31" t="n"/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inlineStr">
        <is>
          <t>90a586c46e87863692be90cf0a0aaa5f3292d35a617ad4f722d0823cf6587355</t>
        </is>
      </c>
      <c r="DE945" s="24" t="inlineStr">
        <is>
          <t>/Users/vincentc9002/model-prediction/data/odds/tennis/2026-09-04/polymarket_snapshots.jsonl</t>
        </is>
      </c>
      <c r="DF945" s="24" t="inlineStr">
        <is>
          <t>657878:2026-09-04T16:12:00.407590Z</t>
        </is>
      </c>
      <c r="DG945" s="24" t="n"/>
      <c r="DH945" s="24" t="n"/>
      <c r="DI945" s="24" t="n"/>
      <c r="DJ945" s="24" t="inlineStr">
        <is>
          <t>0.924981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b882fa0c97a84bad</t>
        </is>
      </c>
      <c r="B946" s="24" t="inlineStr">
        <is>
          <t>2026-09-04T16:12:55.241267Z</t>
        </is>
      </c>
      <c r="C946" s="24" t="inlineStr">
        <is>
          <t>2026-09-04T20:00Z</t>
        </is>
      </c>
      <c r="D946" s="24" t="inlineStr">
        <is>
          <t>189-2026:182740</t>
        </is>
      </c>
      <c r="E946" s="24" t="inlineStr">
        <is>
          <t>TENNIS</t>
        </is>
      </c>
      <c r="F946" s="24" t="inlineStr">
        <is>
          <t>Mariano Navone</t>
        </is>
      </c>
      <c r="G946" s="24" t="inlineStr">
        <is>
          <t>Tomas Martin Etcheverry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-106</v>
      </c>
      <c r="M946" s="27" t="n">
        <v>1.943396</v>
      </c>
      <c r="N946" s="28" t="n">
        <v>0.514563</v>
      </c>
      <c r="O946" s="28" t="n">
        <v>0.5485</v>
      </c>
      <c r="P946" s="28" t="n">
        <v>0.05</v>
      </c>
      <c r="Q946" s="28" t="n">
        <v>0.033937</v>
      </c>
      <c r="R946" s="26" t="n">
        <v>37</v>
      </c>
      <c r="S946" s="29" t="n">
        <v>1</v>
      </c>
      <c r="T946" s="24" t="inlineStr">
        <is>
          <t>tennis-surface-elo-v1</t>
        </is>
      </c>
      <c r="U946" s="24" t="inlineStr">
        <is>
          <t>settled</t>
        </is>
      </c>
      <c r="V946" s="24" t="inlineStr">
        <is>
          <t>win</t>
        </is>
      </c>
      <c r="W946" s="26" t="n">
        <v>0</v>
      </c>
      <c r="X946" s="26" t="n">
        <v>1</v>
      </c>
      <c r="Y946" s="25" t="n"/>
      <c r="Z946" s="26" t="n"/>
      <c r="AA946" s="28" t="n"/>
      <c r="AB946" s="28" t="n"/>
      <c r="AC946" s="30" t="n">
        <v>0.9434</v>
      </c>
      <c r="AD946" s="24" t="inlineStr">
        <is>
          <t>2026-09-05T04:38:16.082956Z</t>
        </is>
      </c>
      <c r="AE946" s="31" t="inlineStr">
        <is>
          <t>Surface-blended Elo on Hard: Mariano Navone p=0.451 vs Tomas Martin Etcheverry. Executable ask 0.5150 (aec-atp-tometc-marnav-2026-09-04).</t>
        </is>
      </c>
      <c r="AF946" s="31" t="inlineStr">
        <is>
          <t>Surface-blended Elo model; singles only, WTA+ATP market coverage, not yet locked-holdout qualified -- promoted by explicit operator directive, not genuine walk-forward validation.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PAPER_CALL_LOW_EDGE</t>
        </is>
      </c>
      <c r="AP946" s="24" t="inlineStr">
        <is>
          <t>Mariano Navone</t>
        </is>
      </c>
      <c r="AQ946" s="24" t="inlineStr">
        <is>
          <t>Mariano Navone</t>
        </is>
      </c>
      <c r="AR946" s="24" t="inlineStr">
        <is>
          <t>Mariano Navone</t>
        </is>
      </c>
      <c r="AS946" s="24" t="inlineStr">
        <is>
          <t>Tomas Martin Etcheverry</t>
        </is>
      </c>
      <c r="AT946" s="24" t="inlineStr">
        <is>
          <t>Tomas Martin Etcheverry</t>
        </is>
      </c>
      <c r="AU946" s="24" t="inlineStr">
        <is>
          <t>Tomas Martin Etcheverry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0ce66f49b381187fe6255a40ca2fdbfc155d5e36125ccf6d30fe81a72962eafa</t>
        </is>
      </c>
      <c r="BB946" s="24" t="inlineStr">
        <is>
          <t>surface_blended_elo</t>
        </is>
      </c>
      <c r="BC946" s="24" t="inlineStr">
        <is>
          <t>tennis-surface-elo-v1</t>
        </is>
      </c>
      <c r="BD946" s="24" t="inlineStr">
        <is>
          <t>0ce66f49b381187fe6255a40ca2fdbfc155d5e36125ccf6d30fe81a72962eafa</t>
        </is>
      </c>
      <c r="BE946" s="24" t="inlineStr">
        <is>
          <t>tennis-surface-elo-v1</t>
        </is>
      </c>
      <c r="BF946" s="24" t="inlineStr">
        <is>
          <t>1</t>
        </is>
      </c>
      <c r="BG946" s="24" t="inlineStr">
        <is>
          <t>0ce66f49b381187fe6255a40ca2fdbfc155d5e36125ccf6d30fe81a72962eafa</t>
        </is>
      </c>
      <c r="BH946" s="24" t="inlineStr">
        <is>
          <t>2026-09-04T16:12:00.695213Z</t>
        </is>
      </c>
      <c r="BI946" s="24" t="inlineStr">
        <is>
          <t>["same_event","same_team_same_day","same_league_same_day"]</t>
        </is>
      </c>
      <c r="BJ946" s="25" t="n"/>
      <c r="BK946" s="26" t="n">
        <v>-106</v>
      </c>
      <c r="BL946" s="27" t="n">
        <v>1.943396</v>
      </c>
      <c r="BM946" s="28" t="n">
        <v>0.514563</v>
      </c>
      <c r="BN946" s="28" t="n"/>
      <c r="BO946" s="28" t="n"/>
      <c r="BP946" s="25" t="n"/>
      <c r="BQ946" s="27" t="n"/>
      <c r="BR946" s="28" t="n"/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inlineStr">
        <is>
          <t>6b800b54ab542886478a88aecceb6d170607e90467ee2d9c50b9a12b3f003c4b</t>
        </is>
      </c>
      <c r="DE946" s="24" t="inlineStr">
        <is>
          <t>/Users/vincentc9002/model-prediction/data/odds/tennis/2026-09-04/polymarket_snapshots.jsonl</t>
        </is>
      </c>
      <c r="DF946" s="24" t="inlineStr">
        <is>
          <t>657814:2026-09-04T16:12:00.695213Z</t>
        </is>
      </c>
      <c r="DG946" s="24" t="n"/>
      <c r="DH946" s="24" t="n"/>
      <c r="DI946" s="24" t="n"/>
      <c r="DJ946" s="24" t="inlineStr">
        <is>
          <t>0.514563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9a3b5760c7fa4448</t>
        </is>
      </c>
      <c r="B947" s="24" t="inlineStr">
        <is>
          <t>2026-09-04T16:12:55.241267Z</t>
        </is>
      </c>
      <c r="C947" s="24" t="inlineStr">
        <is>
          <t>2026-09-04T20:30Z</t>
        </is>
      </c>
      <c r="D947" s="24" t="inlineStr">
        <is>
          <t>189-2026:182689</t>
        </is>
      </c>
      <c r="E947" s="24" t="inlineStr">
        <is>
          <t>TENNIS</t>
        </is>
      </c>
      <c r="F947" s="24" t="inlineStr">
        <is>
          <t>Daniel Merida</t>
        </is>
      </c>
      <c r="G947" s="24" t="inlineStr">
        <is>
          <t>Alex Michelsen</t>
        </is>
      </c>
      <c r="H947" s="24" t="inlineStr">
        <is>
          <t>moneyline</t>
        </is>
      </c>
      <c r="I947" s="24" t="inlineStr">
        <is>
          <t>away</t>
        </is>
      </c>
      <c r="J947" s="25" t="n"/>
      <c r="K947" s="24" t="inlineStr">
        <is>
          <t>polymarket_us</t>
        </is>
      </c>
      <c r="L947" s="26" t="n">
        <v>174</v>
      </c>
      <c r="M947" s="27" t="n">
        <v>2.74</v>
      </c>
      <c r="N947" s="28" t="n">
        <v>0.364964</v>
      </c>
      <c r="O947" s="28" t="n">
        <v>0.5165</v>
      </c>
      <c r="P947" s="28" t="n">
        <v>0.05</v>
      </c>
      <c r="Q947" s="28" t="n">
        <v>0.151536</v>
      </c>
      <c r="R947" s="26" t="n">
        <v>96</v>
      </c>
      <c r="S947" s="29" t="n">
        <v>1.75</v>
      </c>
      <c r="T947" s="24" t="inlineStr">
        <is>
          <t>tennis-surface-elo-v1</t>
        </is>
      </c>
      <c r="U947" s="24" t="inlineStr">
        <is>
          <t>settled</t>
        </is>
      </c>
      <c r="V947" s="24" t="inlineStr">
        <is>
          <t>loss</t>
        </is>
      </c>
      <c r="W947" s="26" t="n">
        <v>0</v>
      </c>
      <c r="X947" s="26" t="n">
        <v>1</v>
      </c>
      <c r="Y947" s="25" t="n"/>
      <c r="Z947" s="26" t="n">
        <v>174</v>
      </c>
      <c r="AA947" s="28" t="n">
        <v>0.365</v>
      </c>
      <c r="AB947" s="28" t="n">
        <v>3.6e-05</v>
      </c>
      <c r="AC947" s="30" t="n">
        <v>-1.75</v>
      </c>
      <c r="AD947" s="24" t="inlineStr">
        <is>
          <t>2026-09-05T04:38:16.479556Z</t>
        </is>
      </c>
      <c r="AE947" s="31" t="inlineStr">
        <is>
          <t>Surface-blended Elo on Hard: Daniel Merida p=0.517 vs Alex Michelsen. Executable ask 0.3650 (aec-atp-alemic-danagu-2026-09-03).</t>
        </is>
      </c>
      <c r="AF947" s="31" t="inlineStr">
        <is>
          <t>Surface-blended Elo model; singles only, WTA+ATP market coverage, not yet locked-holdout qualified -- promoted by explicit operator directive, not genuine walk-forward validation.</t>
        </is>
      </c>
      <c r="AG947" s="24" t="inlineStr">
        <is>
          <t>review_required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PAPER_CALL_LOW_EDGE</t>
        </is>
      </c>
      <c r="AP947" s="24" t="inlineStr">
        <is>
          <t>Daniel Merida</t>
        </is>
      </c>
      <c r="AQ947" s="24" t="inlineStr">
        <is>
          <t>Daniel Merida</t>
        </is>
      </c>
      <c r="AR947" s="24" t="inlineStr">
        <is>
          <t>Daniel Merida</t>
        </is>
      </c>
      <c r="AS947" s="24" t="inlineStr">
        <is>
          <t>Alex Michelsen</t>
        </is>
      </c>
      <c r="AT947" s="24" t="inlineStr">
        <is>
          <t>Alex Michelsen</t>
        </is>
      </c>
      <c r="AU947" s="24" t="inlineStr">
        <is>
          <t>Alex Michelsen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0ce66f49b381187fe6255a40ca2fdbfc155d5e36125ccf6d30fe81a72962eafa</t>
        </is>
      </c>
      <c r="BB947" s="24" t="inlineStr">
        <is>
          <t>surface_blended_elo</t>
        </is>
      </c>
      <c r="BC947" s="24" t="inlineStr">
        <is>
          <t>tennis-surface-elo-v1</t>
        </is>
      </c>
      <c r="BD947" s="24" t="inlineStr">
        <is>
          <t>0ce66f49b381187fe6255a40ca2fdbfc155d5e36125ccf6d30fe81a72962eafa</t>
        </is>
      </c>
      <c r="BE947" s="24" t="inlineStr">
        <is>
          <t>tennis-surface-elo-v1</t>
        </is>
      </c>
      <c r="BF947" s="24" t="inlineStr">
        <is>
          <t>1</t>
        </is>
      </c>
      <c r="BG947" s="24" t="inlineStr">
        <is>
          <t>0ce66f49b381187fe6255a40ca2fdbfc155d5e36125ccf6d30fe81a72962eafa</t>
        </is>
      </c>
      <c r="BH947" s="24" t="inlineStr">
        <is>
          <t>2026-09-04T16:12:00.493969Z</t>
        </is>
      </c>
      <c r="BI947" s="24" t="inlineStr">
        <is>
          <t>["same_event","same_team_same_day","same_league_same_day"]</t>
        </is>
      </c>
      <c r="BJ947" s="25" t="n"/>
      <c r="BK947" s="26" t="n">
        <v>174</v>
      </c>
      <c r="BL947" s="27" t="n">
        <v>2.74</v>
      </c>
      <c r="BM947" s="28" t="n">
        <v>0.364964</v>
      </c>
      <c r="BN947" s="28" t="n"/>
      <c r="BO947" s="28" t="n"/>
      <c r="BP947" s="25" t="n"/>
      <c r="BQ947" s="27" t="n">
        <v>2.74</v>
      </c>
      <c r="BR947" s="28" t="n">
        <v>0.365</v>
      </c>
      <c r="BS947" s="28" t="n"/>
      <c r="BT947" s="28" t="n"/>
      <c r="BU947" s="25" t="n"/>
      <c r="BV947" s="29" t="n"/>
      <c r="BW947" s="24" t="n"/>
      <c r="BX947" s="30" t="n"/>
      <c r="BY947" s="27" t="n"/>
      <c r="BZ947" s="24" t="n"/>
      <c r="CA947" s="31" t="n"/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inlineStr">
        <is>
          <t>0aa3e9769c149fbbf1a9dead8384a38d2e276eaf9e28dc714bdca267b9dd6316</t>
        </is>
      </c>
      <c r="DE947" s="24" t="inlineStr">
        <is>
          <t>/Users/vincentc9002/model-prediction/data/odds/tennis/2026-09-04/polymarket_snapshots.jsonl</t>
        </is>
      </c>
      <c r="DF947" s="24" t="inlineStr">
        <is>
          <t>654017:2026-09-04T16:12:00.493969Z</t>
        </is>
      </c>
      <c r="DG947" s="24" t="n"/>
      <c r="DH947" s="24" t="n"/>
      <c r="DI947" s="24" t="n"/>
      <c r="DJ947" s="24" t="inlineStr">
        <is>
          <t>0.364964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999fc458b8fe4854</t>
        </is>
      </c>
      <c r="B948" s="24" t="inlineStr">
        <is>
          <t>2026-09-04T16:12:55.241267Z</t>
        </is>
      </c>
      <c r="C948" s="24" t="inlineStr">
        <is>
          <t>2026-09-04T21:00Z</t>
        </is>
      </c>
      <c r="D948" s="24" t="inlineStr">
        <is>
          <t>189-2026:182747</t>
        </is>
      </c>
      <c r="E948" s="24" t="inlineStr">
        <is>
          <t>TENNIS</t>
        </is>
      </c>
      <c r="F948" s="24" t="inlineStr">
        <is>
          <t>Stefanos Tsitsipas</t>
        </is>
      </c>
      <c r="G948" s="24" t="inlineStr">
        <is>
          <t>Jiri Lehecka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-167</v>
      </c>
      <c r="M948" s="27" t="n">
        <v>1.598802</v>
      </c>
      <c r="N948" s="28" t="n">
        <v>0.625468</v>
      </c>
      <c r="O948" s="28" t="n">
        <v>0.6315</v>
      </c>
      <c r="P948" s="28" t="n">
        <v>0.05</v>
      </c>
      <c r="Q948" s="28" t="n">
        <v>0.006032</v>
      </c>
      <c r="R948" s="26" t="n">
        <v>23</v>
      </c>
      <c r="S948" s="29" t="n">
        <v>1</v>
      </c>
      <c r="T948" s="24" t="inlineStr">
        <is>
          <t>tennis-surface-elo-v1</t>
        </is>
      </c>
      <c r="U948" s="24" t="inlineStr">
        <is>
          <t>settled</t>
        </is>
      </c>
      <c r="V948" s="24" t="inlineStr">
        <is>
          <t>loss</t>
        </is>
      </c>
      <c r="W948" s="26" t="n">
        <v>1</v>
      </c>
      <c r="X948" s="26" t="n">
        <v>0</v>
      </c>
      <c r="Y948" s="25" t="n"/>
      <c r="Z948" s="26" t="n">
        <v>-167</v>
      </c>
      <c r="AA948" s="28" t="n">
        <v>0.625</v>
      </c>
      <c r="AB948" s="28" t="n">
        <v>-0.000468</v>
      </c>
      <c r="AC948" s="30" t="n">
        <v>-1</v>
      </c>
      <c r="AD948" s="24" t="inlineStr">
        <is>
          <t>2026-09-05T04:38:16.920627Z</t>
        </is>
      </c>
      <c r="AE948" s="31" t="inlineStr">
        <is>
          <t>Surface-blended Elo on Hard: Stefanos Tsitsipas p=0.368 vs Jiri Lehecka. Executable ask 0.6250 (aec-atp-jirleh-stetsi-2026-09-04).</t>
        </is>
      </c>
      <c r="AF948" s="31" t="inlineStr">
        <is>
          <t>Surface-blended Elo model; singles only, WTA+ATP market coverage, not yet locked-holdout qualified -- promoted by explicit operator directive, not genuine walk-forward validation.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PAPER_CALL_LOW_EDGE</t>
        </is>
      </c>
      <c r="AP948" s="24" t="inlineStr">
        <is>
          <t>Stefanos Tsitsipas</t>
        </is>
      </c>
      <c r="AQ948" s="24" t="inlineStr">
        <is>
          <t>Stefanos Tsitsipas</t>
        </is>
      </c>
      <c r="AR948" s="24" t="inlineStr">
        <is>
          <t>Stefanos Tsitsipas</t>
        </is>
      </c>
      <c r="AS948" s="24" t="inlineStr">
        <is>
          <t>Jiri Lehecka</t>
        </is>
      </c>
      <c r="AT948" s="24" t="inlineStr">
        <is>
          <t>Jiri Lehecka</t>
        </is>
      </c>
      <c r="AU948" s="24" t="inlineStr">
        <is>
          <t>Jiri Lehecka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0ce66f49b381187fe6255a40ca2fdbfc155d5e36125ccf6d30fe81a72962eafa</t>
        </is>
      </c>
      <c r="BB948" s="24" t="inlineStr">
        <is>
          <t>surface_blended_elo</t>
        </is>
      </c>
      <c r="BC948" s="24" t="inlineStr">
        <is>
          <t>tennis-surface-elo-v1</t>
        </is>
      </c>
      <c r="BD948" s="24" t="inlineStr">
        <is>
          <t>0ce66f49b381187fe6255a40ca2fdbfc155d5e36125ccf6d30fe81a72962eafa</t>
        </is>
      </c>
      <c r="BE948" s="24" t="inlineStr">
        <is>
          <t>tennis-surface-elo-v1</t>
        </is>
      </c>
      <c r="BF948" s="24" t="inlineStr">
        <is>
          <t>1</t>
        </is>
      </c>
      <c r="BG948" s="24" t="inlineStr">
        <is>
          <t>0ce66f49b381187fe6255a40ca2fdbfc155d5e36125ccf6d30fe81a72962eafa</t>
        </is>
      </c>
      <c r="BH948" s="24" t="inlineStr">
        <is>
          <t>2026-09-04T16:12:01.451436Z</t>
        </is>
      </c>
      <c r="BI948" s="24" t="inlineStr">
        <is>
          <t>["same_event","same_team_same_day","same_league_same_day"]</t>
        </is>
      </c>
      <c r="BJ948" s="25" t="n"/>
      <c r="BK948" s="26" t="n">
        <v>-167</v>
      </c>
      <c r="BL948" s="27" t="n">
        <v>1.598802</v>
      </c>
      <c r="BM948" s="28" t="n">
        <v>0.625468</v>
      </c>
      <c r="BN948" s="28" t="n"/>
      <c r="BO948" s="28" t="n"/>
      <c r="BP948" s="25" t="n"/>
      <c r="BQ948" s="27" t="n">
        <v>1.598802</v>
      </c>
      <c r="BR948" s="28" t="n">
        <v>0.625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inlineStr">
        <is>
          <t>286ba3778d3788a1f97a5896047aa7427b2457431b1a80c4d3ea70aa3f354910</t>
        </is>
      </c>
      <c r="DE948" s="24" t="inlineStr">
        <is>
          <t>/Users/vincentc9002/model-prediction/data/odds/tennis/2026-09-04/polymarket_snapshots.jsonl</t>
        </is>
      </c>
      <c r="DF948" s="24" t="inlineStr">
        <is>
          <t>657498:2026-09-04T16:12:01.451436Z</t>
        </is>
      </c>
      <c r="DG948" s="24" t="n"/>
      <c r="DH948" s="24" t="n"/>
      <c r="DI948" s="24" t="n"/>
      <c r="DJ948" s="24" t="inlineStr">
        <is>
          <t>0.625468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2ee3fbbfde524f14</t>
        </is>
      </c>
      <c r="B949" s="24" t="inlineStr">
        <is>
          <t>2026-09-04T22:03:43.914277Z</t>
        </is>
      </c>
      <c r="C949" s="24" t="inlineStr">
        <is>
          <t>2026-09-05T01:00Z</t>
        </is>
      </c>
      <c r="D949" s="24" t="inlineStr">
        <is>
          <t>189-2026:182529</t>
        </is>
      </c>
      <c r="E949" s="24" t="inlineStr">
        <is>
          <t>TENNIS</t>
        </is>
      </c>
      <c r="F949" s="24" t="inlineStr">
        <is>
          <t>Anna Kalinskaya</t>
        </is>
      </c>
      <c r="G949" s="24" t="inlineStr">
        <is>
          <t>Elina Svitolina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-251</v>
      </c>
      <c r="M949" s="27" t="n">
        <v>1.398406</v>
      </c>
      <c r="N949" s="28" t="n">
        <v>0.7151</v>
      </c>
      <c r="O949" s="28" t="n">
        <v>0.6619</v>
      </c>
      <c r="P949" s="28" t="n">
        <v>0.05</v>
      </c>
      <c r="Q949" s="28" t="n">
        <v>-0.0532</v>
      </c>
      <c r="R949" s="26" t="n">
        <v>0</v>
      </c>
      <c r="S949" s="29" t="n">
        <v>1</v>
      </c>
      <c r="T949" s="24" t="inlineStr">
        <is>
          <t>tennis-surface-elo-v1</t>
        </is>
      </c>
      <c r="U949" s="24" t="inlineStr">
        <is>
          <t>settled</t>
        </is>
      </c>
      <c r="V949" s="24" t="inlineStr">
        <is>
          <t>loss</t>
        </is>
      </c>
      <c r="W949" s="26" t="n">
        <v>1</v>
      </c>
      <c r="X949" s="26" t="n">
        <v>0</v>
      </c>
      <c r="Y949" s="25" t="n"/>
      <c r="Z949" s="26" t="n">
        <v>-251</v>
      </c>
      <c r="AA949" s="28" t="n">
        <v>0.715</v>
      </c>
      <c r="AB949" s="28" t="n">
        <v>-0.0001</v>
      </c>
      <c r="AC949" s="30" t="n">
        <v>-1</v>
      </c>
      <c r="AD949" s="24" t="inlineStr">
        <is>
          <t>2026-09-05T04:38:42.647046Z</t>
        </is>
      </c>
      <c r="AE949" s="31" t="inlineStr">
        <is>
          <t>Surface-blended Elo on Hard: Anna Kalinskaya p=0.338 vs Elina Svitolina. Executable ask 0.7150 (aec-wta-elisvi-annkal-2026-09-04).</t>
        </is>
      </c>
      <c r="AF949" s="31" t="inlineStr">
        <is>
          <t>Surface-blended Elo model; singles only, WTA+ATP market coverage, not yet locked-holdout qualified -- promoted by explicit operator directive, not genuine walk-forward validation.</t>
        </is>
      </c>
      <c r="AG949" s="24" t="inlineStr">
        <is>
          <t>review_required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PAPER_CALL_LOW_EDGE</t>
        </is>
      </c>
      <c r="AP949" s="24" t="inlineStr">
        <is>
          <t>Anna Kalinskaya</t>
        </is>
      </c>
      <c r="AQ949" s="24" t="inlineStr">
        <is>
          <t>Anna Kalinskaya</t>
        </is>
      </c>
      <c r="AR949" s="24" t="inlineStr">
        <is>
          <t>Anna Kalinskaya</t>
        </is>
      </c>
      <c r="AS949" s="24" t="inlineStr">
        <is>
          <t>Elina Svitolina</t>
        </is>
      </c>
      <c r="AT949" s="24" t="inlineStr">
        <is>
          <t>Elina Svitolina</t>
        </is>
      </c>
      <c r="AU949" s="24" t="inlineStr">
        <is>
          <t>Elina Svitolina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0ce66f49b381187fe6255a40ca2fdbfc155d5e36125ccf6d30fe81a72962eafa</t>
        </is>
      </c>
      <c r="BB949" s="24" t="inlineStr">
        <is>
          <t>surface_blended_elo</t>
        </is>
      </c>
      <c r="BC949" s="24" t="inlineStr">
        <is>
          <t>tennis-surface-elo-v1</t>
        </is>
      </c>
      <c r="BD949" s="24" t="inlineStr">
        <is>
          <t>0ce66f49b381187fe6255a40ca2fdbfc155d5e36125ccf6d30fe81a72962eafa</t>
        </is>
      </c>
      <c r="BE949" s="24" t="inlineStr">
        <is>
          <t>tennis-surface-elo-v1</t>
        </is>
      </c>
      <c r="BF949" s="24" t="inlineStr">
        <is>
          <t>1</t>
        </is>
      </c>
      <c r="BG949" s="24" t="inlineStr">
        <is>
          <t>0ce66f49b381187fe6255a40ca2fdbfc155d5e36125ccf6d30fe81a72962eafa</t>
        </is>
      </c>
      <c r="BH949" s="24" t="inlineStr">
        <is>
          <t>2026-09-04T22:02:55.860091Z</t>
        </is>
      </c>
      <c r="BI949" s="24" t="inlineStr">
        <is>
          <t>["same_event","same_team_same_day","same_league_same_day"]</t>
        </is>
      </c>
      <c r="BJ949" s="25" t="n"/>
      <c r="BK949" s="26" t="n">
        <v>-251</v>
      </c>
      <c r="BL949" s="27" t="n">
        <v>1.398406</v>
      </c>
      <c r="BM949" s="28" t="n">
        <v>0.7151</v>
      </c>
      <c r="BN949" s="28" t="n"/>
      <c r="BO949" s="28" t="n"/>
      <c r="BP949" s="25" t="n"/>
      <c r="BQ949" s="27" t="n">
        <v>1.398406</v>
      </c>
      <c r="BR949" s="28" t="n">
        <v>0.715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False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inlineStr">
        <is>
          <t>3508ea74a3820f705d06fbb95329978c93191bb1ed6e2bc29d18d20758c4ca8c</t>
        </is>
      </c>
      <c r="DE949" s="24" t="inlineStr">
        <is>
          <t>/Users/vincentc9002/model-prediction/data/odds/tennis/2026-09-04/polymarket_snapshots.jsonl</t>
        </is>
      </c>
      <c r="DF949" s="24" t="inlineStr">
        <is>
          <t>657813:2026-09-04T22:02:55.860091Z</t>
        </is>
      </c>
      <c r="DG949" s="24" t="n"/>
      <c r="DH949" s="24" t="n"/>
      <c r="DI949" s="24" t="n"/>
      <c r="DJ949" s="24" t="inlineStr">
        <is>
          <t>0.7151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99f59df485fa4616</t>
        </is>
      </c>
      <c r="B950" s="24" t="inlineStr">
        <is>
          <t>2026-09-04T22:03:43.914277Z</t>
        </is>
      </c>
      <c r="C950" s="24" t="inlineStr">
        <is>
          <t>2026-09-04T23:00Z</t>
        </is>
      </c>
      <c r="D950" s="24" t="inlineStr">
        <is>
          <t>189-2026:182691</t>
        </is>
      </c>
      <c r="E950" s="24" t="inlineStr">
        <is>
          <t>TENNIS</t>
        </is>
      </c>
      <c r="F950" s="24" t="inlineStr">
        <is>
          <t>Frances Tiafoe</t>
        </is>
      </c>
      <c r="G950" s="24" t="inlineStr">
        <is>
          <t>Valentin Vacherot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-182</v>
      </c>
      <c r="M950" s="27" t="n">
        <v>1.549451</v>
      </c>
      <c r="N950" s="28" t="n">
        <v>0.64539</v>
      </c>
      <c r="O950" s="28" t="n">
        <v>0.7187</v>
      </c>
      <c r="P950" s="28" t="n">
        <v>0.05</v>
      </c>
      <c r="Q950" s="28" t="n">
        <v>0.07331</v>
      </c>
      <c r="R950" s="26" t="n">
        <v>57</v>
      </c>
      <c r="S950" s="29" t="n">
        <v>1.25</v>
      </c>
      <c r="T950" s="24" t="inlineStr">
        <is>
          <t>tennis-surface-elo-v1</t>
        </is>
      </c>
      <c r="U950" s="24" t="inlineStr">
        <is>
          <t>settled</t>
        </is>
      </c>
      <c r="V950" s="24" t="inlineStr">
        <is>
          <t>win</t>
        </is>
      </c>
      <c r="W950" s="26" t="n">
        <v>1</v>
      </c>
      <c r="X950" s="26" t="n">
        <v>0</v>
      </c>
      <c r="Y950" s="25" t="n"/>
      <c r="Z950" s="26" t="n">
        <v>-182</v>
      </c>
      <c r="AA950" s="28" t="n">
        <v>0.645</v>
      </c>
      <c r="AB950" s="28" t="n">
        <v>-0.00039</v>
      </c>
      <c r="AC950" s="30" t="n">
        <v>0.6868</v>
      </c>
      <c r="AD950" s="24" t="inlineStr">
        <is>
          <t>2026-09-05T04:38:43.048360Z</t>
        </is>
      </c>
      <c r="AE950" s="31" t="inlineStr">
        <is>
          <t>Surface-blended Elo on Hard: Frances Tiafoe p=0.719 vs Valentin Vacherot. Executable ask 0.6450 (aec-atp-valvac-fratia-2026-09-04).</t>
        </is>
      </c>
      <c r="AF950" s="31" t="inlineStr">
        <is>
          <t>Surface-blended Elo model; singles only, WTA+ATP market coverage, not yet locked-holdout qualified -- promoted by explicit operator directive, not genuine walk-forward validation.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model_qualified</t>
        </is>
      </c>
      <c r="AL950" s="26" t="n">
        <v>4</v>
      </c>
      <c r="AM950" s="24" t="inlineStr">
        <is>
          <t>QUALIFIED_SHADOW_CALL</t>
        </is>
      </c>
      <c r="AN950" s="24" t="inlineStr">
        <is>
          <t>CALL</t>
        </is>
      </c>
      <c r="AO950" s="24" t="inlineStr">
        <is>
          <t>QUALIFIED</t>
        </is>
      </c>
      <c r="AP950" s="24" t="inlineStr">
        <is>
          <t>Frances Tiafoe</t>
        </is>
      </c>
      <c r="AQ950" s="24" t="inlineStr">
        <is>
          <t>Frances Tiafoe</t>
        </is>
      </c>
      <c r="AR950" s="24" t="inlineStr">
        <is>
          <t>Frances Tiafoe</t>
        </is>
      </c>
      <c r="AS950" s="24" t="inlineStr">
        <is>
          <t>Valentin Vacherot</t>
        </is>
      </c>
      <c r="AT950" s="24" t="inlineStr">
        <is>
          <t>Valentin Vacherot</t>
        </is>
      </c>
      <c r="AU950" s="24" t="inlineStr">
        <is>
          <t>Valentin Vacherot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0ce66f49b381187fe6255a40ca2fdbfc155d5e36125ccf6d30fe81a72962eafa</t>
        </is>
      </c>
      <c r="BB950" s="24" t="inlineStr">
        <is>
          <t>surface_blended_elo</t>
        </is>
      </c>
      <c r="BC950" s="24" t="inlineStr">
        <is>
          <t>tennis-surface-elo-v1</t>
        </is>
      </c>
      <c r="BD950" s="24" t="inlineStr">
        <is>
          <t>0ce66f49b381187fe6255a40ca2fdbfc155d5e36125ccf6d30fe81a72962eafa</t>
        </is>
      </c>
      <c r="BE950" s="24" t="inlineStr">
        <is>
          <t>tennis-surface-elo-v1</t>
        </is>
      </c>
      <c r="BF950" s="24" t="inlineStr">
        <is>
          <t>1</t>
        </is>
      </c>
      <c r="BG950" s="24" t="inlineStr">
        <is>
          <t>0ce66f49b381187fe6255a40ca2fdbfc155d5e36125ccf6d30fe81a72962eafa</t>
        </is>
      </c>
      <c r="BH950" s="24" t="inlineStr">
        <is>
          <t>2026-09-04T22:02:56.604861Z</t>
        </is>
      </c>
      <c r="BI950" s="24" t="inlineStr">
        <is>
          <t>["same_event","same_team_same_day","same_league_same_day"]</t>
        </is>
      </c>
      <c r="BJ950" s="25" t="n"/>
      <c r="BK950" s="26" t="n">
        <v>-182</v>
      </c>
      <c r="BL950" s="27" t="n">
        <v>1.549451</v>
      </c>
      <c r="BM950" s="28" t="n">
        <v>0.64539</v>
      </c>
      <c r="BN950" s="28" t="n"/>
      <c r="BO950" s="28" t="n"/>
      <c r="BP950" s="25" t="n"/>
      <c r="BQ950" s="27" t="n">
        <v>1.549451</v>
      </c>
      <c r="BR950" s="28" t="n">
        <v>0.645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True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inlineStr">
        <is>
          <t>5ea3f00128b814070f0bbdf8fd357ee4c0b7cc14e5115f5c32b3c6c941e3676f</t>
        </is>
      </c>
      <c r="DE950" s="24" t="inlineStr">
        <is>
          <t>/Users/vincentc9002/model-prediction/data/odds/tennis/2026-09-04/polymarket_snapshots.jsonl</t>
        </is>
      </c>
      <c r="DF950" s="24" t="inlineStr">
        <is>
          <t>657861:2026-09-04T22:02:56.604861Z</t>
        </is>
      </c>
      <c r="DG950" s="24" t="n"/>
      <c r="DH950" s="24" t="n"/>
      <c r="DI950" s="24" t="n"/>
      <c r="DJ950" s="24" t="inlineStr">
        <is>
          <t>0.64539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cfe5bc3a65444439</t>
        </is>
      </c>
      <c r="B951" s="24" t="inlineStr">
        <is>
          <t>2026-09-04T22:03:43.914277Z</t>
        </is>
      </c>
      <c r="C951" s="24" t="inlineStr">
        <is>
          <t>2026-09-05T00:30Z</t>
        </is>
      </c>
      <c r="D951" s="24" t="inlineStr">
        <is>
          <t>189-2026:182745</t>
        </is>
      </c>
      <c r="E951" s="24" t="inlineStr">
        <is>
          <t>TENNIS</t>
        </is>
      </c>
      <c r="F951" s="24" t="inlineStr">
        <is>
          <t>Denis Shapovalov</t>
        </is>
      </c>
      <c r="G951" s="24" t="inlineStr">
        <is>
          <t>Ben Shelton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-365</v>
      </c>
      <c r="M951" s="27" t="n">
        <v>1.273973</v>
      </c>
      <c r="N951" s="28" t="n">
        <v>0.784946</v>
      </c>
      <c r="O951" s="28" t="n">
        <v>0.7947</v>
      </c>
      <c r="P951" s="28" t="n">
        <v>0.05</v>
      </c>
      <c r="Q951" s="28" t="n">
        <v>0.009754000000000001</v>
      </c>
      <c r="R951" s="26" t="n">
        <v>25</v>
      </c>
      <c r="S951" s="29" t="n">
        <v>1</v>
      </c>
      <c r="T951" s="24" t="inlineStr">
        <is>
          <t>tennis-surface-elo-v1</t>
        </is>
      </c>
      <c r="U951" s="24" t="inlineStr">
        <is>
          <t>settled</t>
        </is>
      </c>
      <c r="V951" s="24" t="inlineStr">
        <is>
          <t>win</t>
        </is>
      </c>
      <c r="W951" s="26" t="n">
        <v>0</v>
      </c>
      <c r="X951" s="26" t="n">
        <v>1</v>
      </c>
      <c r="Y951" s="25" t="n"/>
      <c r="Z951" s="26" t="n">
        <v>-365</v>
      </c>
      <c r="AA951" s="28" t="n">
        <v>0.785</v>
      </c>
      <c r="AB951" s="28" t="n">
        <v>5.4e-05</v>
      </c>
      <c r="AC951" s="30" t="n">
        <v>0.274</v>
      </c>
      <c r="AD951" s="24" t="inlineStr">
        <is>
          <t>2026-09-05T10:00:22.796599Z</t>
        </is>
      </c>
      <c r="AE951" s="31" t="inlineStr">
        <is>
          <t>Surface-blended Elo on Hard: Denis Shapovalov p=0.205 vs Ben Shelton. Executable ask 0.7850 (aec-atp-benshe-densha-2026-09-04).</t>
        </is>
      </c>
      <c r="AF951" s="31" t="inlineStr">
        <is>
          <t>Surface-blended Elo model; singles only, WTA+ATP market coverage, not yet locked-holdout qualified -- promoted by explicit operator directive, not genuine walk-forward validation.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PAPER_CALL_LOW_EDGE</t>
        </is>
      </c>
      <c r="AP951" s="24" t="inlineStr">
        <is>
          <t>Denis Shapovalov</t>
        </is>
      </c>
      <c r="AQ951" s="24" t="inlineStr">
        <is>
          <t>Denis Shapovalov</t>
        </is>
      </c>
      <c r="AR951" s="24" t="inlineStr">
        <is>
          <t>Denis Shapovalov</t>
        </is>
      </c>
      <c r="AS951" s="24" t="inlineStr">
        <is>
          <t>Ben Shelton</t>
        </is>
      </c>
      <c r="AT951" s="24" t="inlineStr">
        <is>
          <t>Ben Shelton</t>
        </is>
      </c>
      <c r="AU951" s="24" t="inlineStr">
        <is>
          <t>Ben Shelton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0ce66f49b381187fe6255a40ca2fdbfc155d5e36125ccf6d30fe81a72962eafa</t>
        </is>
      </c>
      <c r="BB951" s="24" t="inlineStr">
        <is>
          <t>surface_blended_elo</t>
        </is>
      </c>
      <c r="BC951" s="24" t="inlineStr">
        <is>
          <t>tennis-surface-elo-v1</t>
        </is>
      </c>
      <c r="BD951" s="24" t="inlineStr">
        <is>
          <t>0ce66f49b381187fe6255a40ca2fdbfc155d5e36125ccf6d30fe81a72962eafa</t>
        </is>
      </c>
      <c r="BE951" s="24" t="inlineStr">
        <is>
          <t>tennis-surface-elo-v1</t>
        </is>
      </c>
      <c r="BF951" s="24" t="inlineStr">
        <is>
          <t>1</t>
        </is>
      </c>
      <c r="BG951" s="24" t="inlineStr">
        <is>
          <t>0ce66f49b381187fe6255a40ca2fdbfc155d5e36125ccf6d30fe81a72962eafa</t>
        </is>
      </c>
      <c r="BH951" s="24" t="inlineStr">
        <is>
          <t>2026-09-04T22:02:57.260261Z</t>
        </is>
      </c>
      <c r="BI951" s="24" t="inlineStr">
        <is>
          <t>["same_event","same_team_same_day","same_league_same_day"]</t>
        </is>
      </c>
      <c r="BJ951" s="25" t="n"/>
      <c r="BK951" s="26" t="n">
        <v>-365</v>
      </c>
      <c r="BL951" s="27" t="n">
        <v>1.273973</v>
      </c>
      <c r="BM951" s="28" t="n">
        <v>0.784946</v>
      </c>
      <c r="BN951" s="28" t="n"/>
      <c r="BO951" s="28" t="n"/>
      <c r="BP951" s="25" t="n"/>
      <c r="BQ951" s="27" t="n">
        <v>1.273973</v>
      </c>
      <c r="BR951" s="28" t="n">
        <v>0.785</v>
      </c>
      <c r="BS951" s="28" t="n"/>
      <c r="BT951" s="28" t="n"/>
      <c r="BU951" s="25" t="n"/>
      <c r="BV951" s="29" t="n"/>
      <c r="BW951" s="24" t="n"/>
      <c r="BX951" s="30" t="n"/>
      <c r="BY951" s="27" t="n"/>
      <c r="BZ951" s="24" t="n"/>
      <c r="CA951" s="31" t="n"/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inlineStr">
        <is>
          <t>b2d636f3d1ecf7a660740eb2fb6ab243fe8ab68488a5c1de7d7a8fd87f664673</t>
        </is>
      </c>
      <c r="DE951" s="24" t="inlineStr">
        <is>
          <t>/Users/vincentc9002/model-prediction/data/odds/tennis/2026-09-04/polymarket_snapshots.jsonl</t>
        </is>
      </c>
      <c r="DF951" s="24" t="inlineStr">
        <is>
          <t>657268:2026-09-04T22:02:57.260261Z</t>
        </is>
      </c>
      <c r="DG951" s="24" t="n"/>
      <c r="DH951" s="24" t="n"/>
      <c r="DI951" s="24" t="n"/>
      <c r="DJ951" s="24" t="inlineStr">
        <is>
          <t>0.784946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0740fed0b45b4130</t>
        </is>
      </c>
      <c r="B952" s="24" t="inlineStr">
        <is>
          <t>2026-09-05T10:05:15.845406Z</t>
        </is>
      </c>
      <c r="C952" s="24" t="inlineStr">
        <is>
          <t>2026-09-05T15:00Z</t>
        </is>
      </c>
      <c r="D952" s="24" t="inlineStr">
        <is>
          <t>189-2026:182540</t>
        </is>
      </c>
      <c r="E952" s="24" t="inlineStr">
        <is>
          <t>TENNIS</t>
        </is>
      </c>
      <c r="F952" s="24" t="inlineStr">
        <is>
          <t>Amanda Anisimova</t>
        </is>
      </c>
      <c r="G952" s="24" t="inlineStr">
        <is>
          <t>Anastasia Potapova</t>
        </is>
      </c>
      <c r="H952" s="24" t="inlineStr">
        <is>
          <t>moneyline</t>
        </is>
      </c>
      <c r="I952" s="24" t="inlineStr">
        <is>
          <t>away</t>
        </is>
      </c>
      <c r="J952" s="25" t="n"/>
      <c r="K952" s="24" t="inlineStr">
        <is>
          <t>polymarket_us</t>
        </is>
      </c>
      <c r="L952" s="26" t="n">
        <v>-525</v>
      </c>
      <c r="M952" s="27" t="n">
        <v>1.190476</v>
      </c>
      <c r="N952" s="28" t="n">
        <v>0.84</v>
      </c>
      <c r="O952" s="28" t="n">
        <v>0.7475000000000001</v>
      </c>
      <c r="P952" s="28" t="n">
        <v>0.05</v>
      </c>
      <c r="Q952" s="28" t="n">
        <v>-0.0925</v>
      </c>
      <c r="R952" s="26" t="n">
        <v>0</v>
      </c>
      <c r="S952" s="29" t="n">
        <v>1</v>
      </c>
      <c r="T952" s="24" t="inlineStr">
        <is>
          <t>tennis-surface-elo-v1</t>
        </is>
      </c>
      <c r="U952" s="24" t="inlineStr">
        <is>
          <t>settled</t>
        </is>
      </c>
      <c r="V952" s="24" t="inlineStr">
        <is>
          <t>loss</t>
        </is>
      </c>
      <c r="W952" s="26" t="n">
        <v>0</v>
      </c>
      <c r="X952" s="26" t="n">
        <v>1</v>
      </c>
      <c r="Y952" s="25" t="n"/>
      <c r="Z952" s="26" t="n">
        <v>-525</v>
      </c>
      <c r="AA952" s="28" t="n">
        <v>0.84</v>
      </c>
      <c r="AB952" s="28" t="n">
        <v>0</v>
      </c>
      <c r="AC952" s="30" t="n">
        <v>-1</v>
      </c>
      <c r="AD952" s="24" t="inlineStr">
        <is>
          <t>2026-09-05T22:00:38.774748Z</t>
        </is>
      </c>
      <c r="AE952" s="31" t="inlineStr">
        <is>
          <t>Surface-blended Elo on Hard: Amanda Anisimova p=0.747 vs Anastasia Potapova. Executable ask 0.8400 (aec-wta-anapot-amaani-2026-09-04).</t>
        </is>
      </c>
      <c r="AF952" s="31" t="inlineStr">
        <is>
          <t>Surface-blended Elo model; singles only, WTA+ATP market coverage, not yet locked-holdout qualified -- promoted by explicit operator directive, not genuine walk-forward validation.</t>
        </is>
      </c>
      <c r="AG952" s="24" t="inlineStr">
        <is>
          <t>review_required</t>
        </is>
      </c>
      <c r="AH952" s="24" t="n"/>
      <c r="AI952" s="31" t="n"/>
      <c r="AJ952" s="31" t="n"/>
      <c r="AK952" s="24" t="inlineStr">
        <is>
          <t>paper_call</t>
        </is>
      </c>
      <c r="AL952" s="26" t="n">
        <v>4</v>
      </c>
      <c r="AM952" s="24" t="inlineStr">
        <is>
          <t>RESEARCH_OBSERVATION</t>
        </is>
      </c>
      <c r="AN952" s="24" t="inlineStr">
        <is>
          <t>CALL</t>
        </is>
      </c>
      <c r="AO952" s="24" t="inlineStr">
        <is>
          <t>PAPER_CALL_LOW_EDGE</t>
        </is>
      </c>
      <c r="AP952" s="24" t="inlineStr">
        <is>
          <t>Amanda Anisimova</t>
        </is>
      </c>
      <c r="AQ952" s="24" t="inlineStr">
        <is>
          <t>Amanda Anisimova</t>
        </is>
      </c>
      <c r="AR952" s="24" t="inlineStr">
        <is>
          <t>Amanda Anisimova</t>
        </is>
      </c>
      <c r="AS952" s="24" t="inlineStr">
        <is>
          <t>Anastasia Potapova</t>
        </is>
      </c>
      <c r="AT952" s="24" t="inlineStr">
        <is>
          <t>Anastasia Potapova</t>
        </is>
      </c>
      <c r="AU952" s="24" t="inlineStr">
        <is>
          <t>Anastasia Potapova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0ce66f49b381187fe6255a40ca2fdbfc155d5e36125ccf6d30fe81a72962eafa</t>
        </is>
      </c>
      <c r="BB952" s="24" t="inlineStr">
        <is>
          <t>surface_blended_elo</t>
        </is>
      </c>
      <c r="BC952" s="24" t="inlineStr">
        <is>
          <t>tennis-surface-elo-v1</t>
        </is>
      </c>
      <c r="BD952" s="24" t="inlineStr">
        <is>
          <t>0ce66f49b381187fe6255a40ca2fdbfc155d5e36125ccf6d30fe81a72962eafa</t>
        </is>
      </c>
      <c r="BE952" s="24" t="inlineStr">
        <is>
          <t>tennis-surface-elo-v1</t>
        </is>
      </c>
      <c r="BF952" s="24" t="inlineStr">
        <is>
          <t>1</t>
        </is>
      </c>
      <c r="BG952" s="24" t="inlineStr">
        <is>
          <t>0ce66f49b381187fe6255a40ca2fdbfc155d5e36125ccf6d30fe81a72962eafa</t>
        </is>
      </c>
      <c r="BH952" s="24" t="inlineStr">
        <is>
          <t>2026-09-05T10:04:26.638642Z</t>
        </is>
      </c>
      <c r="BI952" s="24" t="inlineStr">
        <is>
          <t>["same_event","same_team_same_day","same_league_same_day"]</t>
        </is>
      </c>
      <c r="BJ952" s="25" t="n"/>
      <c r="BK952" s="26" t="n">
        <v>-525</v>
      </c>
      <c r="BL952" s="27" t="n">
        <v>1.190476</v>
      </c>
      <c r="BM952" s="28" t="n">
        <v>0.84</v>
      </c>
      <c r="BN952" s="28" t="n"/>
      <c r="BO952" s="28" t="n"/>
      <c r="BP952" s="25" t="n"/>
      <c r="BQ952" s="27" t="n">
        <v>1.190476</v>
      </c>
      <c r="BR952" s="28" t="n">
        <v>0.84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False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inlineStr">
        <is>
          <t>72376085bdf5ac7c300f2b6ee5112811b6b2f7e55f45501b3d44b400f7d13435</t>
        </is>
      </c>
      <c r="DE952" s="24" t="inlineStr">
        <is>
          <t>/Users/vincentc9002/model-prediction/data/odds/tennis/2026-09-05/polymarket_snapshots.jsonl</t>
        </is>
      </c>
      <c r="DF952" s="24" t="inlineStr">
        <is>
          <t>663894:2026-09-05T10:04:26.638642Z</t>
        </is>
      </c>
      <c r="DG952" s="24" t="n"/>
      <c r="DH952" s="24" t="n"/>
      <c r="DI952" s="24" t="n"/>
      <c r="DJ952" s="24" t="inlineStr">
        <is>
          <t>0.84</t>
        </is>
      </c>
      <c r="DK952" s="24" t="n"/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0370790c1c244def</t>
        </is>
      </c>
      <c r="B953" s="24" t="inlineStr">
        <is>
          <t>2026-09-05T10:05:15.845406Z</t>
        </is>
      </c>
      <c r="C953" s="24" t="inlineStr">
        <is>
          <t>2026-09-05T15:00Z</t>
        </is>
      </c>
      <c r="D953" s="24" t="inlineStr">
        <is>
          <t>189-2026:182560</t>
        </is>
      </c>
      <c r="E953" s="24" t="inlineStr">
        <is>
          <t>TENNIS</t>
        </is>
      </c>
      <c r="F953" s="24" t="inlineStr">
        <is>
          <t>Zheng Qinwen</t>
        </is>
      </c>
      <c r="G953" s="24" t="inlineStr">
        <is>
          <t>Madison Keys</t>
        </is>
      </c>
      <c r="H953" s="24" t="inlineStr">
        <is>
          <t>moneyline</t>
        </is>
      </c>
      <c r="I953" s="24" t="inlineStr">
        <is>
          <t>home</t>
        </is>
      </c>
      <c r="J953" s="25" t="n"/>
      <c r="K953" s="24" t="inlineStr">
        <is>
          <t>polymarket_us</t>
        </is>
      </c>
      <c r="L953" s="26" t="n">
        <v>-150</v>
      </c>
      <c r="M953" s="27" t="n">
        <v>1.666667</v>
      </c>
      <c r="N953" s="28" t="n">
        <v>0.6</v>
      </c>
      <c r="O953" s="28" t="n">
        <v>0.5957</v>
      </c>
      <c r="P953" s="28" t="n">
        <v>0.05</v>
      </c>
      <c r="Q953" s="28" t="n">
        <v>-0.0043</v>
      </c>
      <c r="R953" s="26" t="n">
        <v>18</v>
      </c>
      <c r="S953" s="29" t="n">
        <v>1</v>
      </c>
      <c r="T953" s="24" t="inlineStr">
        <is>
          <t>tennis-surface-elo-v1</t>
        </is>
      </c>
      <c r="U953" s="24" t="inlineStr">
        <is>
          <t>settled</t>
        </is>
      </c>
      <c r="V953" s="24" t="inlineStr">
        <is>
          <t>loss</t>
        </is>
      </c>
      <c r="W953" s="26" t="n">
        <v>1</v>
      </c>
      <c r="X953" s="26" t="n">
        <v>0</v>
      </c>
      <c r="Y953" s="25" t="n"/>
      <c r="Z953" s="26" t="n">
        <v>-150</v>
      </c>
      <c r="AA953" s="28" t="n">
        <v>0.6</v>
      </c>
      <c r="AB953" s="28" t="n">
        <v>0</v>
      </c>
      <c r="AC953" s="30" t="n">
        <v>-1</v>
      </c>
      <c r="AD953" s="24" t="inlineStr">
        <is>
          <t>2026-09-05T22:00:39.160903Z</t>
        </is>
      </c>
      <c r="AE953" s="31" t="inlineStr">
        <is>
          <t>Surface-blended Elo on Hard: Zheng Qinwen p=0.404 vs Madison Keys. Executable ask 0.6000 (aec-wta-madkey-qinzhe-2026-09-04).</t>
        </is>
      </c>
      <c r="AF953" s="31" t="inlineStr">
        <is>
          <t>Surface-blended Elo model; singles only, WTA+ATP market coverage, not yet locked-holdout qualified -- promoted by explicit operator directive, not genuine walk-forward validation.</t>
        </is>
      </c>
      <c r="AG953" s="24" t="inlineStr">
        <is>
          <t>review_required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PAPER_CALL_LOW_EDGE</t>
        </is>
      </c>
      <c r="AP953" s="24" t="inlineStr">
        <is>
          <t>Zheng Qinwen</t>
        </is>
      </c>
      <c r="AQ953" s="24" t="inlineStr">
        <is>
          <t>Zheng Qinwen</t>
        </is>
      </c>
      <c r="AR953" s="24" t="inlineStr">
        <is>
          <t>Zheng Qinwen</t>
        </is>
      </c>
      <c r="AS953" s="24" t="inlineStr">
        <is>
          <t>Madison Keys</t>
        </is>
      </c>
      <c r="AT953" s="24" t="inlineStr">
        <is>
          <t>Madison Keys</t>
        </is>
      </c>
      <c r="AU953" s="24" t="inlineStr">
        <is>
          <t>Madison Keys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0ce66f49b381187fe6255a40ca2fdbfc155d5e36125ccf6d30fe81a72962eafa</t>
        </is>
      </c>
      <c r="BB953" s="24" t="inlineStr">
        <is>
          <t>surface_blended_elo</t>
        </is>
      </c>
      <c r="BC953" s="24" t="inlineStr">
        <is>
          <t>tennis-surface-elo-v1</t>
        </is>
      </c>
      <c r="BD953" s="24" t="inlineStr">
        <is>
          <t>0ce66f49b381187fe6255a40ca2fdbfc155d5e36125ccf6d30fe81a72962eafa</t>
        </is>
      </c>
      <c r="BE953" s="24" t="inlineStr">
        <is>
          <t>tennis-surface-elo-v1</t>
        </is>
      </c>
      <c r="BF953" s="24" t="inlineStr">
        <is>
          <t>1</t>
        </is>
      </c>
      <c r="BG953" s="24" t="inlineStr">
        <is>
          <t>0ce66f49b381187fe6255a40ca2fdbfc155d5e36125ccf6d30fe81a72962eafa</t>
        </is>
      </c>
      <c r="BH953" s="24" t="inlineStr">
        <is>
          <t>2026-09-05T10:04:26.548364Z</t>
        </is>
      </c>
      <c r="BI953" s="24" t="inlineStr">
        <is>
          <t>["same_event","same_team_same_day","same_league_same_day"]</t>
        </is>
      </c>
      <c r="BJ953" s="25" t="n"/>
      <c r="BK953" s="26" t="n">
        <v>-150</v>
      </c>
      <c r="BL953" s="27" t="n">
        <v>1.666667</v>
      </c>
      <c r="BM953" s="28" t="n">
        <v>0.6</v>
      </c>
      <c r="BN953" s="28" t="n"/>
      <c r="BO953" s="28" t="n"/>
      <c r="BP953" s="25" t="n"/>
      <c r="BQ953" s="27" t="n">
        <v>1.666667</v>
      </c>
      <c r="BR953" s="28" t="n">
        <v>0.6</v>
      </c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False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inlineStr">
        <is>
          <t>48388dba5059025052bb229172b2216719f7b504c1a80ed29fece873b5fe770c</t>
        </is>
      </c>
      <c r="DE953" s="24" t="inlineStr">
        <is>
          <t>/Users/vincentc9002/model-prediction/data/odds/tennis/2026-09-05/polymarket_snapshots.jsonl</t>
        </is>
      </c>
      <c r="DF953" s="24" t="inlineStr">
        <is>
          <t>665656:2026-09-05T10:04:26.548364Z</t>
        </is>
      </c>
      <c r="DG953" s="24" t="n"/>
      <c r="DH953" s="24" t="n"/>
      <c r="DI953" s="24" t="n"/>
      <c r="DJ953" s="24" t="inlineStr">
        <is>
          <t>0.6</t>
        </is>
      </c>
      <c r="DK953" s="24" t="n"/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567b84f02bdd4699</t>
        </is>
      </c>
      <c r="B954" s="24" t="inlineStr">
        <is>
          <t>2026-09-05T10:05:15.845406Z</t>
        </is>
      </c>
      <c r="C954" s="24" t="inlineStr">
        <is>
          <t>2026-09-05T15:30Z</t>
        </is>
      </c>
      <c r="D954" s="24" t="inlineStr">
        <is>
          <t>189-2026:182727</t>
        </is>
      </c>
      <c r="E954" s="24" t="inlineStr">
        <is>
          <t>TENNIS</t>
        </is>
      </c>
      <c r="F954" s="24" t="inlineStr">
        <is>
          <t>Francisco Cerundolo</t>
        </is>
      </c>
      <c r="G954" s="24" t="inlineStr">
        <is>
          <t>Taylor Fritz</t>
        </is>
      </c>
      <c r="H954" s="24" t="inlineStr">
        <is>
          <t>moneyline</t>
        </is>
      </c>
      <c r="I954" s="24" t="inlineStr">
        <is>
          <t>home</t>
        </is>
      </c>
      <c r="J954" s="25" t="n"/>
      <c r="K954" s="24" t="inlineStr">
        <is>
          <t>polymarket_us</t>
        </is>
      </c>
      <c r="L954" s="26" t="n">
        <v>-614</v>
      </c>
      <c r="M954" s="27" t="n">
        <v>1.162866</v>
      </c>
      <c r="N954" s="28" t="n">
        <v>0.859944</v>
      </c>
      <c r="O954" s="28" t="n">
        <v>0.5492</v>
      </c>
      <c r="P954" s="28" t="n">
        <v>0.05</v>
      </c>
      <c r="Q954" s="28" t="n">
        <v>-0.310744</v>
      </c>
      <c r="R954" s="26" t="n">
        <v>0</v>
      </c>
      <c r="S954" s="29" t="n">
        <v>1</v>
      </c>
      <c r="T954" s="24" t="inlineStr">
        <is>
          <t>tennis-surface-elo-v1</t>
        </is>
      </c>
      <c r="U954" s="24" t="inlineStr">
        <is>
          <t>settled</t>
        </is>
      </c>
      <c r="V954" s="24" t="inlineStr">
        <is>
          <t>loss</t>
        </is>
      </c>
      <c r="W954" s="26" t="n">
        <v>1</v>
      </c>
      <c r="X954" s="26" t="n">
        <v>0</v>
      </c>
      <c r="Y954" s="25" t="n"/>
      <c r="Z954" s="26" t="n">
        <v>-614</v>
      </c>
      <c r="AA954" s="28" t="n">
        <v>0.86</v>
      </c>
      <c r="AB954" s="28" t="n">
        <v>5.6e-05</v>
      </c>
      <c r="AC954" s="30" t="n">
        <v>-1</v>
      </c>
      <c r="AD954" s="24" t="inlineStr">
        <is>
          <t>2026-09-05T22:00:39.555403Z</t>
        </is>
      </c>
      <c r="AE954" s="31" t="inlineStr">
        <is>
          <t>Surface-blended Elo on Hard: Francisco Cerundolo p=0.451 vs Taylor Fritz. Executable ask 0.8600 (aec-atp-tayfri-fracer-2026-09-04).</t>
        </is>
      </c>
      <c r="AF954" s="31" t="inlineStr">
        <is>
          <t>Surface-blended Elo model; singles only, WTA+ATP market coverage, not yet locked-holdout qualified -- promoted by explicit operator directive, not genuine walk-forward validation.</t>
        </is>
      </c>
      <c r="AG954" s="24" t="inlineStr">
        <is>
          <t>review_required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PAPER_CALL_LOW_EDGE</t>
        </is>
      </c>
      <c r="AP954" s="24" t="inlineStr">
        <is>
          <t>Francisco Cerundolo</t>
        </is>
      </c>
      <c r="AQ954" s="24" t="inlineStr">
        <is>
          <t>Francisco Cerundolo</t>
        </is>
      </c>
      <c r="AR954" s="24" t="inlineStr">
        <is>
          <t>Francisco Cerundolo</t>
        </is>
      </c>
      <c r="AS954" s="24" t="inlineStr">
        <is>
          <t>Taylor Fritz</t>
        </is>
      </c>
      <c r="AT954" s="24" t="inlineStr">
        <is>
          <t>Taylor Fritz</t>
        </is>
      </c>
      <c r="AU954" s="24" t="inlineStr">
        <is>
          <t>Taylor Fritz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0ce66f49b381187fe6255a40ca2fdbfc155d5e36125ccf6d30fe81a72962eafa</t>
        </is>
      </c>
      <c r="BB954" s="24" t="inlineStr">
        <is>
          <t>surface_blended_elo</t>
        </is>
      </c>
      <c r="BC954" s="24" t="inlineStr">
        <is>
          <t>tennis-surface-elo-v1</t>
        </is>
      </c>
      <c r="BD954" s="24" t="inlineStr">
        <is>
          <t>0ce66f49b381187fe6255a40ca2fdbfc155d5e36125ccf6d30fe81a72962eafa</t>
        </is>
      </c>
      <c r="BE954" s="24" t="inlineStr">
        <is>
          <t>tennis-surface-elo-v1</t>
        </is>
      </c>
      <c r="BF954" s="24" t="inlineStr">
        <is>
          <t>1</t>
        </is>
      </c>
      <c r="BG954" s="24" t="inlineStr">
        <is>
          <t>0ce66f49b381187fe6255a40ca2fdbfc155d5e36125ccf6d30fe81a72962eafa</t>
        </is>
      </c>
      <c r="BH954" s="24" t="inlineStr">
        <is>
          <t>2026-09-05T10:04:28.685508Z</t>
        </is>
      </c>
      <c r="BI954" s="24" t="inlineStr">
        <is>
          <t>["same_event","same_team_same_day","same_league_same_day"]</t>
        </is>
      </c>
      <c r="BJ954" s="25" t="n"/>
      <c r="BK954" s="26" t="n">
        <v>-614</v>
      </c>
      <c r="BL954" s="27" t="n">
        <v>1.162866</v>
      </c>
      <c r="BM954" s="28" t="n">
        <v>0.859944</v>
      </c>
      <c r="BN954" s="28" t="n"/>
      <c r="BO954" s="28" t="n"/>
      <c r="BP954" s="25" t="n"/>
      <c r="BQ954" s="27" t="n">
        <v>1.162866</v>
      </c>
      <c r="BR954" s="28" t="n">
        <v>0.86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inlineStr">
        <is>
          <t>fc8c4f5f69f13c4166feac185f5ad24f93487b0b7f1a035747d04358e8244725</t>
        </is>
      </c>
      <c r="DE954" s="24" t="inlineStr">
        <is>
          <t>/Users/vincentc9002/model-prediction/data/odds/tennis/2026-09-05/polymarket_snapshots.jsonl</t>
        </is>
      </c>
      <c r="DF954" s="24" t="inlineStr">
        <is>
          <t>665159:2026-09-05T10:04:28.685508Z</t>
        </is>
      </c>
      <c r="DG954" s="24" t="n"/>
      <c r="DH954" s="24" t="n"/>
      <c r="DI954" s="24" t="n"/>
      <c r="DJ954" s="24" t="inlineStr">
        <is>
          <t>0.859944</t>
        </is>
      </c>
      <c r="DK954" s="24" t="n"/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99ffb4a524204923</t>
        </is>
      </c>
      <c r="B955" s="24" t="inlineStr">
        <is>
          <t>2026-09-05T16:05:16.623786Z</t>
        </is>
      </c>
      <c r="C955" s="24" t="inlineStr">
        <is>
          <t>2026-09-05T16:30Z</t>
        </is>
      </c>
      <c r="D955" s="24" t="inlineStr">
        <is>
          <t>189-2026:182536</t>
        </is>
      </c>
      <c r="E955" s="24" t="inlineStr">
        <is>
          <t>TENNIS</t>
        </is>
      </c>
      <c r="F955" s="24" t="inlineStr">
        <is>
          <t>Nikola Bartunkova</t>
        </is>
      </c>
      <c r="G955" s="24" t="inlineStr">
        <is>
          <t>Mirra Andreeva</t>
        </is>
      </c>
      <c r="H955" s="24" t="inlineStr">
        <is>
          <t>moneyline</t>
        </is>
      </c>
      <c r="I955" s="24" t="inlineStr">
        <is>
          <t>home</t>
        </is>
      </c>
      <c r="J955" s="25" t="n"/>
      <c r="K955" s="24" t="inlineStr">
        <is>
          <t>polymarket_us</t>
        </is>
      </c>
      <c r="L955" s="26" t="n">
        <v>-400</v>
      </c>
      <c r="M955" s="27" t="n">
        <v>1.25</v>
      </c>
      <c r="N955" s="28" t="n">
        <v>0.8</v>
      </c>
      <c r="O955" s="28" t="n">
        <v>0.6812</v>
      </c>
      <c r="P955" s="28" t="n">
        <v>0.05</v>
      </c>
      <c r="Q955" s="28" t="n">
        <v>-0.1188</v>
      </c>
      <c r="R955" s="26" t="n">
        <v>0</v>
      </c>
      <c r="S955" s="29" t="n">
        <v>1</v>
      </c>
      <c r="T955" s="24" t="inlineStr">
        <is>
          <t>tennis-surface-elo-v1</t>
        </is>
      </c>
      <c r="U955" s="24" t="inlineStr">
        <is>
          <t>settled</t>
        </is>
      </c>
      <c r="V955" s="24" t="inlineStr">
        <is>
          <t>win</t>
        </is>
      </c>
      <c r="W955" s="26" t="n">
        <v>0</v>
      </c>
      <c r="X955" s="26" t="n">
        <v>1</v>
      </c>
      <c r="Y955" s="25" t="n"/>
      <c r="Z955" s="26" t="n">
        <v>-400</v>
      </c>
      <c r="AA955" s="28" t="n">
        <v>0.8</v>
      </c>
      <c r="AB955" s="28" t="n">
        <v>0</v>
      </c>
      <c r="AC955" s="30" t="n">
        <v>0.25</v>
      </c>
      <c r="AD955" s="24" t="inlineStr">
        <is>
          <t>2026-09-05T22:00:45.227127Z</t>
        </is>
      </c>
      <c r="AE955" s="31" t="inlineStr">
        <is>
          <t>Surface-blended Elo on Hard: Nikola Bartunkova p=0.319 vs Mirra Andreeva. Executable ask 0.8000 (aec-wta-mirand-nikbar-2026-09-04).</t>
        </is>
      </c>
      <c r="AF955" s="31" t="inlineStr">
        <is>
          <t>Surface-blended Elo model; singles only, WTA+ATP market coverage, not yet locked-holdout qualified -- promoted by explicit operator directive, not genuine walk-forward validation.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PAPER_CALL_LOW_EDGE</t>
        </is>
      </c>
      <c r="AP955" s="24" t="inlineStr">
        <is>
          <t>Nikola Bartunkova</t>
        </is>
      </c>
      <c r="AQ955" s="24" t="inlineStr">
        <is>
          <t>Nikola Bartunkova</t>
        </is>
      </c>
      <c r="AR955" s="24" t="inlineStr">
        <is>
          <t>Nikola Bartunkova</t>
        </is>
      </c>
      <c r="AS955" s="24" t="inlineStr">
        <is>
          <t>Mirra Andreeva</t>
        </is>
      </c>
      <c r="AT955" s="24" t="inlineStr">
        <is>
          <t>Mirra Andreeva</t>
        </is>
      </c>
      <c r="AU955" s="24" t="inlineStr">
        <is>
          <t>Mirra Andreeva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0ce66f49b381187fe6255a40ca2fdbfc155d5e36125ccf6d30fe81a72962eafa</t>
        </is>
      </c>
      <c r="BB955" s="24" t="inlineStr">
        <is>
          <t>surface_blended_elo</t>
        </is>
      </c>
      <c r="BC955" s="24" t="inlineStr">
        <is>
          <t>tennis-surface-elo-v1</t>
        </is>
      </c>
      <c r="BD955" s="24" t="inlineStr">
        <is>
          <t>0ce66f49b381187fe6255a40ca2fdbfc155d5e36125ccf6d30fe81a72962eafa</t>
        </is>
      </c>
      <c r="BE955" s="24" t="inlineStr">
        <is>
          <t>tennis-surface-elo-v1</t>
        </is>
      </c>
      <c r="BF955" s="24" t="inlineStr">
        <is>
          <t>1</t>
        </is>
      </c>
      <c r="BG955" s="24" t="inlineStr">
        <is>
          <t>0ce66f49b381187fe6255a40ca2fdbfc155d5e36125ccf6d30fe81a72962eafa</t>
        </is>
      </c>
      <c r="BH955" s="24" t="inlineStr">
        <is>
          <t>2026-09-05T16:04:30.622379Z</t>
        </is>
      </c>
      <c r="BI955" s="24" t="inlineStr">
        <is>
          <t>["same_event","same_team_same_day","same_league_same_day"]</t>
        </is>
      </c>
      <c r="BJ955" s="25" t="n"/>
      <c r="BK955" s="26" t="n">
        <v>-400</v>
      </c>
      <c r="BL955" s="27" t="n">
        <v>1.25</v>
      </c>
      <c r="BM955" s="28" t="n">
        <v>0.8</v>
      </c>
      <c r="BN955" s="28" t="n"/>
      <c r="BO955" s="28" t="n"/>
      <c r="BP955" s="25" t="n"/>
      <c r="BQ955" s="27" t="n">
        <v>1.25</v>
      </c>
      <c r="BR955" s="28" t="n">
        <v>0.8</v>
      </c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inlineStr">
        <is>
          <t>15dce58823f64abfb445c3ef78db1cb4bc98f5039c961c22fdf0386d356e0d45</t>
        </is>
      </c>
      <c r="DE955" s="24" t="inlineStr">
        <is>
          <t>/Users/vincentc9002/model-prediction/data/odds/tennis/2026-09-05/polymarket_snapshots.jsonl</t>
        </is>
      </c>
      <c r="DF955" s="24" t="inlineStr">
        <is>
          <t>665829:2026-09-05T16:04:30.622379Z</t>
        </is>
      </c>
      <c r="DG955" s="24" t="n"/>
      <c r="DH955" s="24" t="n"/>
      <c r="DI955" s="24" t="n"/>
      <c r="DJ955" s="24" t="inlineStr">
        <is>
          <t>0.8</t>
        </is>
      </c>
      <c r="DK955" s="24" t="n"/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abadfd30817d4a3d</t>
        </is>
      </c>
      <c r="B956" s="24" t="inlineStr">
        <is>
          <t>2026-09-05T16:05:16.623786Z</t>
        </is>
      </c>
      <c r="C956" s="24" t="inlineStr">
        <is>
          <t>2026-09-05T16:30Z</t>
        </is>
      </c>
      <c r="D956" s="24" t="inlineStr">
        <is>
          <t>189-2026:182586</t>
        </is>
      </c>
      <c r="E956" s="24" t="inlineStr">
        <is>
          <t>TENNIS</t>
        </is>
      </c>
      <c r="F956" s="24" t="inlineStr">
        <is>
          <t>Marie Bouzkova</t>
        </is>
      </c>
      <c r="G956" s="24" t="inlineStr">
        <is>
          <t>Iga Swiatek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-590</v>
      </c>
      <c r="M956" s="27" t="n">
        <v>1.169492</v>
      </c>
      <c r="N956" s="28" t="n">
        <v>0.8550720000000001</v>
      </c>
      <c r="O956" s="28" t="n">
        <v>0.7499</v>
      </c>
      <c r="P956" s="28" t="n">
        <v>0.05</v>
      </c>
      <c r="Q956" s="28" t="n">
        <v>-0.105172</v>
      </c>
      <c r="R956" s="26" t="n">
        <v>0</v>
      </c>
      <c r="S956" s="29" t="n">
        <v>1</v>
      </c>
      <c r="T956" s="24" t="inlineStr">
        <is>
          <t>tennis-surface-elo-v1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/>
      <c r="Z956" s="26" t="n">
        <v>-590</v>
      </c>
      <c r="AA956" s="28" t="n">
        <v>0.855</v>
      </c>
      <c r="AB956" s="28" t="n">
        <v>-7.2e-05</v>
      </c>
      <c r="AC956" s="30" t="n">
        <v>0.1695</v>
      </c>
      <c r="AD956" s="24" t="inlineStr">
        <is>
          <t>2026-09-05T22:00:45.615080Z</t>
        </is>
      </c>
      <c r="AE956" s="31" t="inlineStr">
        <is>
          <t>Surface-blended Elo on Hard: Marie Bouzkova p=0.250 vs Iga Swiatek. Executable ask 0.8550 (aec-wta-igaswi-marbou-2026-09-04).</t>
        </is>
      </c>
      <c r="AF956" s="31" t="inlineStr">
        <is>
          <t>Surface-blended Elo model; singles only, WTA+ATP market coverage, not yet locked-holdout qualified -- promoted by explicit operator directive, not genuine walk-forward validation.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Marie Bouzkova</t>
        </is>
      </c>
      <c r="AQ956" s="24" t="inlineStr">
        <is>
          <t>Marie Bouzkova</t>
        </is>
      </c>
      <c r="AR956" s="24" t="inlineStr">
        <is>
          <t>Marie Bouzkova</t>
        </is>
      </c>
      <c r="AS956" s="24" t="inlineStr">
        <is>
          <t>Iga Swiatek</t>
        </is>
      </c>
      <c r="AT956" s="24" t="inlineStr">
        <is>
          <t>Iga Swiatek</t>
        </is>
      </c>
      <c r="AU956" s="24" t="inlineStr">
        <is>
          <t>Iga Swiatek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0ce66f49b381187fe6255a40ca2fdbfc155d5e36125ccf6d30fe81a72962eafa</t>
        </is>
      </c>
      <c r="BB956" s="24" t="inlineStr">
        <is>
          <t>surface_blended_elo</t>
        </is>
      </c>
      <c r="BC956" s="24" t="inlineStr">
        <is>
          <t>tennis-surface-elo-v1</t>
        </is>
      </c>
      <c r="BD956" s="24" t="inlineStr">
        <is>
          <t>0ce66f49b381187fe6255a40ca2fdbfc155d5e36125ccf6d30fe81a72962eafa</t>
        </is>
      </c>
      <c r="BE956" s="24" t="inlineStr">
        <is>
          <t>tennis-surface-elo-v1</t>
        </is>
      </c>
      <c r="BF956" s="24" t="inlineStr">
        <is>
          <t>1</t>
        </is>
      </c>
      <c r="BG956" s="24" t="inlineStr">
        <is>
          <t>0ce66f49b381187fe6255a40ca2fdbfc155d5e36125ccf6d30fe81a72962eafa</t>
        </is>
      </c>
      <c r="BH956" s="24" t="inlineStr">
        <is>
          <t>2026-09-05T16:04:30.497840Z</t>
        </is>
      </c>
      <c r="BI956" s="24" t="inlineStr">
        <is>
          <t>["same_event","same_team_same_day","same_league_same_day"]</t>
        </is>
      </c>
      <c r="BJ956" s="25" t="n"/>
      <c r="BK956" s="26" t="n">
        <v>-590</v>
      </c>
      <c r="BL956" s="27" t="n">
        <v>1.169492</v>
      </c>
      <c r="BM956" s="28" t="n">
        <v>0.8550720000000001</v>
      </c>
      <c r="BN956" s="28" t="n"/>
      <c r="BO956" s="28" t="n"/>
      <c r="BP956" s="25" t="n"/>
      <c r="BQ956" s="27" t="n">
        <v>1.169492</v>
      </c>
      <c r="BR956" s="28" t="n">
        <v>0.855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inlineStr">
        <is>
          <t>5002e6ae5a3556f0cc5e3348fd1613422e4244e04bcb420c94c40b38cc543df5</t>
        </is>
      </c>
      <c r="DE956" s="24" t="inlineStr">
        <is>
          <t>/Users/vincentc9002/model-prediction/data/odds/tennis/2026-09-05/polymarket_snapshots.jsonl</t>
        </is>
      </c>
      <c r="DF956" s="24" t="inlineStr">
        <is>
          <t>663639:2026-09-05T16:04:30.497840Z</t>
        </is>
      </c>
      <c r="DG956" s="24" t="n"/>
      <c r="DH956" s="24" t="n"/>
      <c r="DI956" s="24" t="n"/>
      <c r="DJ956" s="24" t="inlineStr">
        <is>
          <t>0.855072</t>
        </is>
      </c>
      <c r="DK956" s="24" t="n"/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34c200027f3e4323</t>
        </is>
      </c>
      <c r="B957" s="24" t="inlineStr">
        <is>
          <t>2026-09-05T16:05:16.623786Z</t>
        </is>
      </c>
      <c r="C957" s="24" t="inlineStr">
        <is>
          <t>2026-09-05T17:30Z</t>
        </is>
      </c>
      <c r="D957" s="24" t="inlineStr">
        <is>
          <t>189-2026:182581</t>
        </is>
      </c>
      <c r="E957" s="24" t="inlineStr">
        <is>
          <t>TENNIS</t>
        </is>
      </c>
      <c r="F957" s="24" t="inlineStr">
        <is>
          <t>Coco Gauff</t>
        </is>
      </c>
      <c r="G957" s="24" t="inlineStr">
        <is>
          <t>Cristina Bucsa</t>
        </is>
      </c>
      <c r="H957" s="24" t="inlineStr">
        <is>
          <t>moneyline</t>
        </is>
      </c>
      <c r="I957" s="24" t="inlineStr">
        <is>
          <t>away</t>
        </is>
      </c>
      <c r="J957" s="25" t="n"/>
      <c r="K957" s="24" t="inlineStr">
        <is>
          <t>polymarket_us</t>
        </is>
      </c>
      <c r="L957" s="26" t="n">
        <v>-2122</v>
      </c>
      <c r="M957" s="27" t="n">
        <v>1.047125</v>
      </c>
      <c r="N957" s="28" t="n">
        <v>0.954995</v>
      </c>
      <c r="O957" s="28" t="n">
        <v>0.8506</v>
      </c>
      <c r="P957" s="28" t="n">
        <v>0.05</v>
      </c>
      <c r="Q957" s="28" t="n">
        <v>-0.104395</v>
      </c>
      <c r="R957" s="26" t="n">
        <v>0</v>
      </c>
      <c r="S957" s="29" t="n">
        <v>1</v>
      </c>
      <c r="T957" s="24" t="inlineStr">
        <is>
          <t>tennis-surface-elo-v1</t>
        </is>
      </c>
      <c r="U957" s="24" t="inlineStr">
        <is>
          <t>settled</t>
        </is>
      </c>
      <c r="V957" s="24" t="inlineStr">
        <is>
          <t>win</t>
        </is>
      </c>
      <c r="W957" s="26" t="n">
        <v>1</v>
      </c>
      <c r="X957" s="26" t="n">
        <v>0</v>
      </c>
      <c r="Y957" s="25" t="n"/>
      <c r="Z957" s="26" t="n">
        <v>-2122</v>
      </c>
      <c r="AA957" s="28" t="n">
        <v>0.955</v>
      </c>
      <c r="AB957" s="28" t="n">
        <v>5e-06</v>
      </c>
      <c r="AC957" s="30" t="n">
        <v>0.0471</v>
      </c>
      <c r="AD957" s="24" t="inlineStr">
        <is>
          <t>2026-09-05T22:00:46.011262Z</t>
        </is>
      </c>
      <c r="AE957" s="31" t="inlineStr">
        <is>
          <t>Surface-blended Elo on Hard: Coco Gauff p=0.851 vs Cristina Bucsa. Executable ask 0.9550 (aec-wta-cribuc-cocgau-2026-09-05).</t>
        </is>
      </c>
      <c r="AF957" s="31" t="inlineStr">
        <is>
          <t>Surface-blended Elo model; singles only, WTA+ATP market coverage, not yet locked-holdout qualified -- promoted by explicit operator directive, not genuine walk-forward validation.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paper_call</t>
        </is>
      </c>
      <c r="AL957" s="26" t="n">
        <v>4</v>
      </c>
      <c r="AM957" s="24" t="inlineStr">
        <is>
          <t>RESEARCH_OBSERVATION</t>
        </is>
      </c>
      <c r="AN957" s="24" t="inlineStr">
        <is>
          <t>CALL</t>
        </is>
      </c>
      <c r="AO957" s="24" t="inlineStr">
        <is>
          <t>PAPER_CALL_LOW_EDGE</t>
        </is>
      </c>
      <c r="AP957" s="24" t="inlineStr">
        <is>
          <t>Coco Gauff</t>
        </is>
      </c>
      <c r="AQ957" s="24" t="inlineStr">
        <is>
          <t>Coco Gauff</t>
        </is>
      </c>
      <c r="AR957" s="24" t="inlineStr">
        <is>
          <t>Coco Gauff</t>
        </is>
      </c>
      <c r="AS957" s="24" t="inlineStr">
        <is>
          <t>Cristina Bucsa</t>
        </is>
      </c>
      <c r="AT957" s="24" t="inlineStr">
        <is>
          <t>Cristina Bucsa</t>
        </is>
      </c>
      <c r="AU957" s="24" t="inlineStr">
        <is>
          <t>Cristina Bucsa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0ce66f49b381187fe6255a40ca2fdbfc155d5e36125ccf6d30fe81a72962eafa</t>
        </is>
      </c>
      <c r="BB957" s="24" t="inlineStr">
        <is>
          <t>surface_blended_elo</t>
        </is>
      </c>
      <c r="BC957" s="24" t="inlineStr">
        <is>
          <t>tennis-surface-elo-v1</t>
        </is>
      </c>
      <c r="BD957" s="24" t="inlineStr">
        <is>
          <t>0ce66f49b381187fe6255a40ca2fdbfc155d5e36125ccf6d30fe81a72962eafa</t>
        </is>
      </c>
      <c r="BE957" s="24" t="inlineStr">
        <is>
          <t>tennis-surface-elo-v1</t>
        </is>
      </c>
      <c r="BF957" s="24" t="inlineStr">
        <is>
          <t>1</t>
        </is>
      </c>
      <c r="BG957" s="24" t="inlineStr">
        <is>
          <t>0ce66f49b381187fe6255a40ca2fdbfc155d5e36125ccf6d30fe81a72962eafa</t>
        </is>
      </c>
      <c r="BH957" s="24" t="inlineStr">
        <is>
          <t>2026-09-05T16:04:30.793465Z</t>
        </is>
      </c>
      <c r="BI957" s="24" t="inlineStr">
        <is>
          <t>["same_event","same_team_same_day","same_league_same_day"]</t>
        </is>
      </c>
      <c r="BJ957" s="25" t="n"/>
      <c r="BK957" s="26" t="n">
        <v>-2122</v>
      </c>
      <c r="BL957" s="27" t="n">
        <v>1.047125</v>
      </c>
      <c r="BM957" s="28" t="n">
        <v>0.954995</v>
      </c>
      <c r="BN957" s="28" t="n"/>
      <c r="BO957" s="28" t="n"/>
      <c r="BP957" s="25" t="n"/>
      <c r="BQ957" s="27" t="n">
        <v>1.047125</v>
      </c>
      <c r="BR957" s="28" t="n">
        <v>0.955</v>
      </c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False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inlineStr">
        <is>
          <t>7c56df318dbd7c35152ee08c5eac2b0459191ac0c88c933e30b79afb9173df93</t>
        </is>
      </c>
      <c r="DE957" s="24" t="inlineStr">
        <is>
          <t>/Users/vincentc9002/model-prediction/data/odds/tennis/2026-09-05/polymarket_snapshots.jsonl</t>
        </is>
      </c>
      <c r="DF957" s="24" t="inlineStr">
        <is>
          <t>666412:2026-09-05T16:04:30.793465Z</t>
        </is>
      </c>
      <c r="DG957" s="24" t="n"/>
      <c r="DH957" s="24" t="n"/>
      <c r="DI957" s="24" t="n"/>
      <c r="DJ957" s="24" t="inlineStr">
        <is>
          <t>0.954995</t>
        </is>
      </c>
      <c r="DK957" s="24" t="n"/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9e25639803da4e84</t>
        </is>
      </c>
      <c r="B958" s="24" t="inlineStr">
        <is>
          <t>2026-09-05T16:05:16.623786Z</t>
        </is>
      </c>
      <c r="C958" s="24" t="inlineStr">
        <is>
          <t>2026-09-05T21:00Z</t>
        </is>
      </c>
      <c r="D958" s="24" t="inlineStr">
        <is>
          <t>189-2026:182530</t>
        </is>
      </c>
      <c r="E958" s="24" t="inlineStr">
        <is>
          <t>TENNIS</t>
        </is>
      </c>
      <c r="F958" s="24" t="inlineStr">
        <is>
          <t>Elena Rybakina</t>
        </is>
      </c>
      <c r="G958" s="24" t="inlineStr">
        <is>
          <t>Yuliia Starodubtseva</t>
        </is>
      </c>
      <c r="H958" s="24" t="inlineStr">
        <is>
          <t>moneyline</t>
        </is>
      </c>
      <c r="I958" s="24" t="inlineStr">
        <is>
          <t>away</t>
        </is>
      </c>
      <c r="J958" s="25" t="n"/>
      <c r="K958" s="24" t="inlineStr">
        <is>
          <t>polymarket_us</t>
        </is>
      </c>
      <c r="L958" s="26" t="n">
        <v>-953</v>
      </c>
      <c r="M958" s="27" t="n">
        <v>1.104932</v>
      </c>
      <c r="N958" s="28" t="n">
        <v>0.905033</v>
      </c>
      <c r="O958" s="28" t="n">
        <v>0.8788</v>
      </c>
      <c r="P958" s="28" t="n">
        <v>0.05</v>
      </c>
      <c r="Q958" s="28" t="n">
        <v>-0.026233</v>
      </c>
      <c r="R958" s="26" t="n">
        <v>7</v>
      </c>
      <c r="S958" s="29" t="n">
        <v>1</v>
      </c>
      <c r="T958" s="24" t="inlineStr">
        <is>
          <t>tennis-surface-elo-v1</t>
        </is>
      </c>
      <c r="U958" s="24" t="inlineStr">
        <is>
          <t>settled</t>
        </is>
      </c>
      <c r="V958" s="24" t="inlineStr">
        <is>
          <t>win</t>
        </is>
      </c>
      <c r="W958" s="26" t="n">
        <v>1</v>
      </c>
      <c r="X958" s="26" t="n">
        <v>0</v>
      </c>
      <c r="Y958" s="25" t="n"/>
      <c r="Z958" s="26" t="n">
        <v>-953</v>
      </c>
      <c r="AA958" s="28" t="n">
        <v>0.905</v>
      </c>
      <c r="AB958" s="28" t="n">
        <v>-3.3e-05</v>
      </c>
      <c r="AC958" s="30" t="n">
        <v>0.1049</v>
      </c>
      <c r="AD958" s="24" t="inlineStr">
        <is>
          <t>2026-09-06T04:31:27.339064Z</t>
        </is>
      </c>
      <c r="AE958" s="31" t="inlineStr">
        <is>
          <t>Surface-blended Elo on Hard: Elena Rybakina p=0.879 vs Yuliia Starodubtseva. Executable ask 0.9050 (aec-wta-yulsta-eleryb-2026-09-05).</t>
        </is>
      </c>
      <c r="AF958" s="31" t="inlineStr">
        <is>
          <t>Surface-blended Elo model; singles only, WTA+ATP market coverage, not yet locked-holdout qualified -- promoted by explicit operator directive, not genuine walk-forward validation.</t>
        </is>
      </c>
      <c r="AG958" s="24" t="inlineStr">
        <is>
          <t>not_applicable</t>
        </is>
      </c>
      <c r="AH958" s="24" t="n"/>
      <c r="AI958" s="31" t="n"/>
      <c r="AJ958" s="31" t="n"/>
      <c r="AK958" s="24" t="inlineStr">
        <is>
          <t>paper_call</t>
        </is>
      </c>
      <c r="AL958" s="26" t="n">
        <v>4</v>
      </c>
      <c r="AM958" s="24" t="inlineStr">
        <is>
          <t>RESEARCH_OBSERVATION</t>
        </is>
      </c>
      <c r="AN958" s="24" t="inlineStr">
        <is>
          <t>CALL</t>
        </is>
      </c>
      <c r="AO958" s="24" t="inlineStr">
        <is>
          <t>PAPER_CALL_LOW_EDGE</t>
        </is>
      </c>
      <c r="AP958" s="24" t="inlineStr">
        <is>
          <t>Elena Rybakina</t>
        </is>
      </c>
      <c r="AQ958" s="24" t="inlineStr">
        <is>
          <t>Elena Rybakina</t>
        </is>
      </c>
      <c r="AR958" s="24" t="inlineStr">
        <is>
          <t>Elena Rybakina</t>
        </is>
      </c>
      <c r="AS958" s="24" t="inlineStr">
        <is>
          <t>Yuliia Starodubtseva</t>
        </is>
      </c>
      <c r="AT958" s="24" t="inlineStr">
        <is>
          <t>Yuliia Starodubtseva</t>
        </is>
      </c>
      <c r="AU958" s="24" t="inlineStr">
        <is>
          <t>Yuliia Starodubtseva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0ce66f49b381187fe6255a40ca2fdbfc155d5e36125ccf6d30fe81a72962eafa</t>
        </is>
      </c>
      <c r="BB958" s="24" t="inlineStr">
        <is>
          <t>surface_blended_elo</t>
        </is>
      </c>
      <c r="BC958" s="24" t="inlineStr">
        <is>
          <t>tennis-surface-elo-v1</t>
        </is>
      </c>
      <c r="BD958" s="24" t="inlineStr">
        <is>
          <t>0ce66f49b381187fe6255a40ca2fdbfc155d5e36125ccf6d30fe81a72962eafa</t>
        </is>
      </c>
      <c r="BE958" s="24" t="inlineStr">
        <is>
          <t>tennis-surface-elo-v1</t>
        </is>
      </c>
      <c r="BF958" s="24" t="inlineStr">
        <is>
          <t>1</t>
        </is>
      </c>
      <c r="BG958" s="24" t="inlineStr">
        <is>
          <t>0ce66f49b381187fe6255a40ca2fdbfc155d5e36125ccf6d30fe81a72962eafa</t>
        </is>
      </c>
      <c r="BH958" s="24" t="inlineStr">
        <is>
          <t>2026-09-05T16:04:30.948846Z</t>
        </is>
      </c>
      <c r="BI958" s="24" t="inlineStr">
        <is>
          <t>["same_event","same_team_same_day","same_league_same_day"]</t>
        </is>
      </c>
      <c r="BJ958" s="25" t="n"/>
      <c r="BK958" s="26" t="n">
        <v>-953</v>
      </c>
      <c r="BL958" s="27" t="n">
        <v>1.104932</v>
      </c>
      <c r="BM958" s="28" t="n">
        <v>0.905033</v>
      </c>
      <c r="BN958" s="28" t="n"/>
      <c r="BO958" s="28" t="n"/>
      <c r="BP958" s="25" t="n"/>
      <c r="BQ958" s="27" t="n">
        <v>1.104932</v>
      </c>
      <c r="BR958" s="28" t="n">
        <v>0.905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False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inlineStr">
        <is>
          <t>8ae8abce173e2b53f9093496323d4e0e69f5547d7859b2f49ff2c0a7ce3be77c</t>
        </is>
      </c>
      <c r="DE958" s="24" t="inlineStr">
        <is>
          <t>/Users/vincentc9002/model-prediction/data/odds/tennis/2026-09-05/polymarket_snapshots.jsonl</t>
        </is>
      </c>
      <c r="DF958" s="24" t="inlineStr">
        <is>
          <t>666925:2026-09-05T16:04:30.948846Z</t>
        </is>
      </c>
      <c r="DG958" s="24" t="n"/>
      <c r="DH958" s="24" t="n"/>
      <c r="DI958" s="24" t="n"/>
      <c r="DJ958" s="24" t="inlineStr">
        <is>
          <t>0.905033</t>
        </is>
      </c>
      <c r="DK958" s="24" t="n"/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8958309b8e8d4cbd</t>
        </is>
      </c>
      <c r="B959" s="24" t="inlineStr">
        <is>
          <t>2026-09-05T16:05:16.623786Z</t>
        </is>
      </c>
      <c r="C959" s="24" t="inlineStr">
        <is>
          <t>2026-09-05T16:30Z</t>
        </is>
      </c>
      <c r="D959" s="24" t="inlineStr">
        <is>
          <t>189-2026:182731</t>
        </is>
      </c>
      <c r="E959" s="24" t="inlineStr">
        <is>
          <t>TENNIS</t>
        </is>
      </c>
      <c r="F959" s="24" t="inlineStr">
        <is>
          <t>Flavio Cobolli</t>
        </is>
      </c>
      <c r="G959" s="24" t="inlineStr">
        <is>
          <t>Alexander Blockx</t>
        </is>
      </c>
      <c r="H959" s="24" t="inlineStr">
        <is>
          <t>moneyline</t>
        </is>
      </c>
      <c r="I959" s="24" t="inlineStr">
        <is>
          <t>away</t>
        </is>
      </c>
      <c r="J959" s="25" t="n"/>
      <c r="K959" s="24" t="inlineStr">
        <is>
          <t>polymarket_us</t>
        </is>
      </c>
      <c r="L959" s="26" t="n">
        <v>-106</v>
      </c>
      <c r="M959" s="27" t="n">
        <v>1.943396</v>
      </c>
      <c r="N959" s="28" t="n">
        <v>0.514563</v>
      </c>
      <c r="O959" s="28" t="n">
        <v>0.636</v>
      </c>
      <c r="P959" s="28" t="n">
        <v>0.05</v>
      </c>
      <c r="Q959" s="28" t="n">
        <v>0.121437</v>
      </c>
      <c r="R959" s="26" t="n">
        <v>81</v>
      </c>
      <c r="S959" s="29" t="n">
        <v>1.5</v>
      </c>
      <c r="T959" s="24" t="inlineStr">
        <is>
          <t>tennis-surface-elo-v1</t>
        </is>
      </c>
      <c r="U959" s="24" t="inlineStr">
        <is>
          <t>settled</t>
        </is>
      </c>
      <c r="V959" s="24" t="inlineStr">
        <is>
          <t>loss</t>
        </is>
      </c>
      <c r="W959" s="26" t="n">
        <v>0</v>
      </c>
      <c r="X959" s="26" t="n">
        <v>1</v>
      </c>
      <c r="Y959" s="25" t="n"/>
      <c r="Z959" s="26" t="n">
        <v>-106</v>
      </c>
      <c r="AA959" s="28" t="n">
        <v>0.515</v>
      </c>
      <c r="AB959" s="28" t="n">
        <v>0.000437</v>
      </c>
      <c r="AC959" s="30" t="n">
        <v>-1.5</v>
      </c>
      <c r="AD959" s="24" t="inlineStr">
        <is>
          <t>2026-09-05T22:00:46.407447Z</t>
        </is>
      </c>
      <c r="AE959" s="31" t="inlineStr">
        <is>
          <t>Surface-blended Elo on Hard: Flavio Cobolli p=0.636 vs Alexander Blockx. Executable ask 0.5150 (aec-atp-aleblo-flacob-2026-09-04).</t>
        </is>
      </c>
      <c r="AF959" s="31" t="inlineStr">
        <is>
          <t>Surface-blended Elo model; singles only, WTA+ATP market coverage, not yet locked-holdout qualified -- promoted by explicit operator directive, not genuine walk-forward validation.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Flavio Cobolli</t>
        </is>
      </c>
      <c r="AQ959" s="24" t="inlineStr">
        <is>
          <t>Flavio Cobolli</t>
        </is>
      </c>
      <c r="AR959" s="24" t="inlineStr">
        <is>
          <t>Flavio Cobolli</t>
        </is>
      </c>
      <c r="AS959" s="24" t="inlineStr">
        <is>
          <t>Alexander Blockx</t>
        </is>
      </c>
      <c r="AT959" s="24" t="inlineStr">
        <is>
          <t>Alexander Blockx</t>
        </is>
      </c>
      <c r="AU959" s="24" t="inlineStr">
        <is>
          <t>Alexander Blockx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0ce66f49b381187fe6255a40ca2fdbfc155d5e36125ccf6d30fe81a72962eafa</t>
        </is>
      </c>
      <c r="BB959" s="24" t="inlineStr">
        <is>
          <t>surface_blended_elo</t>
        </is>
      </c>
      <c r="BC959" s="24" t="inlineStr">
        <is>
          <t>tennis-surface-elo-v1</t>
        </is>
      </c>
      <c r="BD959" s="24" t="inlineStr">
        <is>
          <t>0ce66f49b381187fe6255a40ca2fdbfc155d5e36125ccf6d30fe81a72962eafa</t>
        </is>
      </c>
      <c r="BE959" s="24" t="inlineStr">
        <is>
          <t>tennis-surface-elo-v1</t>
        </is>
      </c>
      <c r="BF959" s="24" t="inlineStr">
        <is>
          <t>1</t>
        </is>
      </c>
      <c r="BG959" s="24" t="inlineStr">
        <is>
          <t>0ce66f49b381187fe6255a40ca2fdbfc155d5e36125ccf6d30fe81a72962eafa</t>
        </is>
      </c>
      <c r="BH959" s="24" t="inlineStr">
        <is>
          <t>2026-09-05T16:04:31.837582Z</t>
        </is>
      </c>
      <c r="BI959" s="24" t="inlineStr">
        <is>
          <t>["same_event","same_team_same_day","same_league_same_day"]</t>
        </is>
      </c>
      <c r="BJ959" s="25" t="n"/>
      <c r="BK959" s="26" t="n">
        <v>-106</v>
      </c>
      <c r="BL959" s="27" t="n">
        <v>1.943396</v>
      </c>
      <c r="BM959" s="28" t="n">
        <v>0.514563</v>
      </c>
      <c r="BN959" s="28" t="n"/>
      <c r="BO959" s="28" t="n"/>
      <c r="BP959" s="25" t="n"/>
      <c r="BQ959" s="27" t="n">
        <v>1.943396</v>
      </c>
      <c r="BR959" s="28" t="n">
        <v>0.515</v>
      </c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inlineStr">
        <is>
          <t>618d28f99ddd45e71dc04a6af3c5bed01f228c92cfcd2e7acf0daf1e7eda3228</t>
        </is>
      </c>
      <c r="DE959" s="24" t="inlineStr">
        <is>
          <t>/Users/vincentc9002/model-prediction/data/odds/tennis/2026-09-05/polymarket_snapshots.jsonl</t>
        </is>
      </c>
      <c r="DF959" s="24" t="inlineStr">
        <is>
          <t>665492:2026-09-05T16:04:31.837582Z</t>
        </is>
      </c>
      <c r="DG959" s="24" t="n"/>
      <c r="DH959" s="24" t="n"/>
      <c r="DI959" s="24" t="n"/>
      <c r="DJ959" s="24" t="inlineStr">
        <is>
          <t>0.514563</t>
        </is>
      </c>
      <c r="DK959" s="24" t="n"/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28ff47fa5d5e49cd</t>
        </is>
      </c>
      <c r="B960" s="24" t="inlineStr">
        <is>
          <t>2026-09-05T16:05:16.623786Z</t>
        </is>
      </c>
      <c r="C960" s="24" t="inlineStr">
        <is>
          <t>2026-09-05T18:00Z</t>
        </is>
      </c>
      <c r="D960" s="24" t="inlineStr">
        <is>
          <t>189-2026:182716</t>
        </is>
      </c>
      <c r="E960" s="24" t="inlineStr">
        <is>
          <t>TENNIS</t>
        </is>
      </c>
      <c r="F960" s="24" t="inlineStr">
        <is>
          <t>Benjamin Bonzi</t>
        </is>
      </c>
      <c r="G960" s="24" t="inlineStr">
        <is>
          <t>Karen Khachanov</t>
        </is>
      </c>
      <c r="H960" s="24" t="inlineStr">
        <is>
          <t>moneyline</t>
        </is>
      </c>
      <c r="I960" s="24" t="inlineStr">
        <is>
          <t>away</t>
        </is>
      </c>
      <c r="J960" s="25" t="n"/>
      <c r="K960" s="24" t="inlineStr">
        <is>
          <t>polymarket_us</t>
        </is>
      </c>
      <c r="L960" s="26" t="n">
        <v>190</v>
      </c>
      <c r="M960" s="27" t="n">
        <v>2.9</v>
      </c>
      <c r="N960" s="28" t="n">
        <v>0.344828</v>
      </c>
      <c r="O960" s="28" t="n">
        <v>0.5669</v>
      </c>
      <c r="P960" s="28" t="n">
        <v>0.05</v>
      </c>
      <c r="Q960" s="28" t="n">
        <v>0.222072</v>
      </c>
      <c r="R960" s="26" t="n">
        <v>100</v>
      </c>
      <c r="S960" s="29" t="n">
        <v>2</v>
      </c>
      <c r="T960" s="24" t="inlineStr">
        <is>
          <t>tennis-surface-elo-v1</t>
        </is>
      </c>
      <c r="U960" s="24" t="inlineStr">
        <is>
          <t>settled</t>
        </is>
      </c>
      <c r="V960" s="24" t="inlineStr">
        <is>
          <t>loss</t>
        </is>
      </c>
      <c r="W960" s="26" t="n">
        <v>0</v>
      </c>
      <c r="X960" s="26" t="n">
        <v>1</v>
      </c>
      <c r="Y960" s="25" t="n"/>
      <c r="Z960" s="26" t="n">
        <v>190</v>
      </c>
      <c r="AA960" s="28" t="n">
        <v>0.345</v>
      </c>
      <c r="AB960" s="28" t="n">
        <v>0.000172</v>
      </c>
      <c r="AC960" s="30" t="n">
        <v>-2</v>
      </c>
      <c r="AD960" s="24" t="inlineStr">
        <is>
          <t>2026-09-05T22:00:46.796386Z</t>
        </is>
      </c>
      <c r="AE960" s="31" t="inlineStr">
        <is>
          <t>Surface-blended Elo on Hard: Benjamin Bonzi p=0.567 vs Karen Khachanov. Executable ask 0.3450 (aec-atp-karkha-benbon-2026-09-04).</t>
        </is>
      </c>
      <c r="AF960" s="31" t="inlineStr">
        <is>
          <t>Surface-blended Elo model; singles only, WTA+ATP market coverage, not yet locked-holdout qualified -- promoted by explicit operator directive, not genuine walk-forward validation.</t>
        </is>
      </c>
      <c r="AG960" s="24" t="inlineStr">
        <is>
          <t>review_required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Benjamin Bonzi</t>
        </is>
      </c>
      <c r="AQ960" s="24" t="inlineStr">
        <is>
          <t>Benjamin Bonzi</t>
        </is>
      </c>
      <c r="AR960" s="24" t="inlineStr">
        <is>
          <t>Benjamin Bonzi</t>
        </is>
      </c>
      <c r="AS960" s="24" t="inlineStr">
        <is>
          <t>Karen Khachanov</t>
        </is>
      </c>
      <c r="AT960" s="24" t="inlineStr">
        <is>
          <t>Karen Khachanov</t>
        </is>
      </c>
      <c r="AU960" s="24" t="inlineStr">
        <is>
          <t>Karen Khachanov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0ce66f49b381187fe6255a40ca2fdbfc155d5e36125ccf6d30fe81a72962eafa</t>
        </is>
      </c>
      <c r="BB960" s="24" t="inlineStr">
        <is>
          <t>surface_blended_elo</t>
        </is>
      </c>
      <c r="BC960" s="24" t="inlineStr">
        <is>
          <t>tennis-surface-elo-v1</t>
        </is>
      </c>
      <c r="BD960" s="24" t="inlineStr">
        <is>
          <t>0ce66f49b381187fe6255a40ca2fdbfc155d5e36125ccf6d30fe81a72962eafa</t>
        </is>
      </c>
      <c r="BE960" s="24" t="inlineStr">
        <is>
          <t>tennis-surface-elo-v1</t>
        </is>
      </c>
      <c r="BF960" s="24" t="inlineStr">
        <is>
          <t>1</t>
        </is>
      </c>
      <c r="BG960" s="24" t="inlineStr">
        <is>
          <t>0ce66f49b381187fe6255a40ca2fdbfc155d5e36125ccf6d30fe81a72962eafa</t>
        </is>
      </c>
      <c r="BH960" s="24" t="inlineStr">
        <is>
          <t>2026-09-05T16:04:32.255106Z</t>
        </is>
      </c>
      <c r="BI960" s="24" t="inlineStr">
        <is>
          <t>["same_event","same_team_same_day","same_league_same_day"]</t>
        </is>
      </c>
      <c r="BJ960" s="25" t="n"/>
      <c r="BK960" s="26" t="n">
        <v>190</v>
      </c>
      <c r="BL960" s="27" t="n">
        <v>2.9</v>
      </c>
      <c r="BM960" s="28" t="n">
        <v>0.344828</v>
      </c>
      <c r="BN960" s="28" t="n"/>
      <c r="BO960" s="28" t="n"/>
      <c r="BP960" s="25" t="n"/>
      <c r="BQ960" s="27" t="n">
        <v>2.9</v>
      </c>
      <c r="BR960" s="28" t="n">
        <v>0.345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inlineStr">
        <is>
          <t>1be19af43f04b1af7807ad3a5e33182ec557d24d6b8d26b1e17edb7aa03fd8f1</t>
        </is>
      </c>
      <c r="DE960" s="24" t="inlineStr">
        <is>
          <t>/Users/vincentc9002/model-prediction/data/odds/tennis/2026-09-05/polymarket_snapshots.jsonl</t>
        </is>
      </c>
      <c r="DF960" s="24" t="inlineStr">
        <is>
          <t>665915:2026-09-05T16:04:32.255106Z</t>
        </is>
      </c>
      <c r="DG960" s="24" t="n"/>
      <c r="DH960" s="24" t="n"/>
      <c r="DI960" s="24" t="n"/>
      <c r="DJ960" s="24" t="inlineStr">
        <is>
          <t>0.344828</t>
        </is>
      </c>
      <c r="DK960" s="24" t="n"/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ef12a345d68b4390</t>
        </is>
      </c>
      <c r="B961" s="24" t="inlineStr">
        <is>
          <t>2026-09-05T16:05:16.623786Z</t>
        </is>
      </c>
      <c r="C961" s="24" t="inlineStr">
        <is>
          <t>2026-09-05T18:00Z</t>
        </is>
      </c>
      <c r="D961" s="24" t="inlineStr">
        <is>
          <t>189-2026:182737</t>
        </is>
      </c>
      <c r="E961" s="24" t="inlineStr">
        <is>
          <t>TENNIS</t>
        </is>
      </c>
      <c r="F961" s="24" t="inlineStr">
        <is>
          <t>Dane Sweeny</t>
        </is>
      </c>
      <c r="G961" s="24" t="inlineStr">
        <is>
          <t>Luciano Darderi</t>
        </is>
      </c>
      <c r="H961" s="24" t="inlineStr">
        <is>
          <t>moneyline</t>
        </is>
      </c>
      <c r="I961" s="24" t="inlineStr">
        <is>
          <t>home</t>
        </is>
      </c>
      <c r="J961" s="25" t="n"/>
      <c r="K961" s="24" t="inlineStr">
        <is>
          <t>polymarket_us</t>
        </is>
      </c>
      <c r="L961" s="26" t="n">
        <v>-317</v>
      </c>
      <c r="M961" s="27" t="n">
        <v>1.315457</v>
      </c>
      <c r="N961" s="28" t="n">
        <v>0.760192</v>
      </c>
      <c r="O961" s="28" t="n">
        <v>0.6401</v>
      </c>
      <c r="P961" s="28" t="n">
        <v>0.05</v>
      </c>
      <c r="Q961" s="28" t="n">
        <v>-0.120092</v>
      </c>
      <c r="R961" s="26" t="n">
        <v>0</v>
      </c>
      <c r="S961" s="29" t="n">
        <v>1</v>
      </c>
      <c r="T961" s="24" t="inlineStr">
        <is>
          <t>tennis-surface-elo-v1</t>
        </is>
      </c>
      <c r="U961" s="24" t="inlineStr">
        <is>
          <t>settled</t>
        </is>
      </c>
      <c r="V961" s="24" t="inlineStr">
        <is>
          <t>win</t>
        </is>
      </c>
      <c r="W961" s="26" t="n">
        <v>0</v>
      </c>
      <c r="X961" s="26" t="n">
        <v>1</v>
      </c>
      <c r="Y961" s="25" t="n"/>
      <c r="Z961" s="26" t="n">
        <v>-317</v>
      </c>
      <c r="AA961" s="28" t="n">
        <v>0.76</v>
      </c>
      <c r="AB961" s="28" t="n">
        <v>-0.000192</v>
      </c>
      <c r="AC961" s="30" t="n">
        <v>0.3155</v>
      </c>
      <c r="AD961" s="24" t="inlineStr">
        <is>
          <t>2026-09-05T22:00:47.188568Z</t>
        </is>
      </c>
      <c r="AE961" s="31" t="inlineStr">
        <is>
          <t>Surface-blended Elo on Hard: Dane Sweeny p=0.360 vs Luciano Darderi. Executable ask 0.7600 (aec-atp-lucdar-danswe-2026-09-04).</t>
        </is>
      </c>
      <c r="AF961" s="31" t="inlineStr">
        <is>
          <t>Surface-blended Elo model; singles only, WTA+ATP market coverage, not yet locked-holdout qualified -- promoted by explicit operator directive, not genuine walk-forward validation.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PAPER_CALL_LOW_EDGE</t>
        </is>
      </c>
      <c r="AP961" s="24" t="inlineStr">
        <is>
          <t>Dane Sweeny</t>
        </is>
      </c>
      <c r="AQ961" s="24" t="inlineStr">
        <is>
          <t>Dane Sweeny</t>
        </is>
      </c>
      <c r="AR961" s="24" t="inlineStr">
        <is>
          <t>Dane Sweeny</t>
        </is>
      </c>
      <c r="AS961" s="24" t="inlineStr">
        <is>
          <t>Luciano Darderi</t>
        </is>
      </c>
      <c r="AT961" s="24" t="inlineStr">
        <is>
          <t>Luciano Darderi</t>
        </is>
      </c>
      <c r="AU961" s="24" t="inlineStr">
        <is>
          <t>Luciano Darderi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0ce66f49b381187fe6255a40ca2fdbfc155d5e36125ccf6d30fe81a72962eafa</t>
        </is>
      </c>
      <c r="BB961" s="24" t="inlineStr">
        <is>
          <t>surface_blended_elo</t>
        </is>
      </c>
      <c r="BC961" s="24" t="inlineStr">
        <is>
          <t>tennis-surface-elo-v1</t>
        </is>
      </c>
      <c r="BD961" s="24" t="inlineStr">
        <is>
          <t>0ce66f49b381187fe6255a40ca2fdbfc155d5e36125ccf6d30fe81a72962eafa</t>
        </is>
      </c>
      <c r="BE961" s="24" t="inlineStr">
        <is>
          <t>tennis-surface-elo-v1</t>
        </is>
      </c>
      <c r="BF961" s="24" t="inlineStr">
        <is>
          <t>1</t>
        </is>
      </c>
      <c r="BG961" s="24" t="inlineStr">
        <is>
          <t>0ce66f49b381187fe6255a40ca2fdbfc155d5e36125ccf6d30fe81a72962eafa</t>
        </is>
      </c>
      <c r="BH961" s="24" t="inlineStr">
        <is>
          <t>2026-09-05T16:04:32.094951Z</t>
        </is>
      </c>
      <c r="BI961" s="24" t="inlineStr">
        <is>
          <t>["same_event","same_team_same_day","same_league_same_day"]</t>
        </is>
      </c>
      <c r="BJ961" s="25" t="n"/>
      <c r="BK961" s="26" t="n">
        <v>-317</v>
      </c>
      <c r="BL961" s="27" t="n">
        <v>1.315457</v>
      </c>
      <c r="BM961" s="28" t="n">
        <v>0.760192</v>
      </c>
      <c r="BN961" s="28" t="n"/>
      <c r="BO961" s="28" t="n"/>
      <c r="BP961" s="25" t="n"/>
      <c r="BQ961" s="27" t="n">
        <v>1.315457</v>
      </c>
      <c r="BR961" s="28" t="n">
        <v>0.76</v>
      </c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inlineStr">
        <is>
          <t>30a363e837e58fe6ab4ea562fed3c9cecfa9a2c831d5b0d53c49cf18cf589e1f</t>
        </is>
      </c>
      <c r="DE961" s="24" t="inlineStr">
        <is>
          <t>/Users/vincentc9002/model-prediction/data/odds/tennis/2026-09-05/polymarket_snapshots.jsonl</t>
        </is>
      </c>
      <c r="DF961" s="24" t="inlineStr">
        <is>
          <t>665602:2026-09-05T16:04:32.094951Z</t>
        </is>
      </c>
      <c r="DG961" s="24" t="n"/>
      <c r="DH961" s="24" t="n"/>
      <c r="DI961" s="24" t="n"/>
      <c r="DJ961" s="24" t="inlineStr">
        <is>
          <t>0.760192</t>
        </is>
      </c>
      <c r="DK961" s="24" t="n"/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68aba9e6d30a4191</t>
        </is>
      </c>
      <c r="B962" s="24" t="inlineStr">
        <is>
          <t>2026-09-05T16:05:16.623786Z</t>
        </is>
      </c>
      <c r="C962" s="24" t="inlineStr">
        <is>
          <t>2026-09-05T18:00Z</t>
        </is>
      </c>
      <c r="D962" s="24" t="inlineStr">
        <is>
          <t>189-2026:182749</t>
        </is>
      </c>
      <c r="E962" s="24" t="inlineStr">
        <is>
          <t>TENNIS</t>
        </is>
      </c>
      <c r="F962" s="24" t="inlineStr">
        <is>
          <t>Arthur Gea</t>
        </is>
      </c>
      <c r="G962" s="24" t="inlineStr">
        <is>
          <t>Michael Zheng</t>
        </is>
      </c>
      <c r="H962" s="24" t="inlineStr">
        <is>
          <t>moneyline</t>
        </is>
      </c>
      <c r="I962" s="24" t="inlineStr">
        <is>
          <t>home</t>
        </is>
      </c>
      <c r="J962" s="25" t="n"/>
      <c r="K962" s="24" t="inlineStr">
        <is>
          <t>polymarket_us</t>
        </is>
      </c>
      <c r="L962" s="26" t="n">
        <v>-141</v>
      </c>
      <c r="M962" s="27" t="n">
        <v>1.70922</v>
      </c>
      <c r="N962" s="28" t="n">
        <v>0.585062</v>
      </c>
      <c r="O962" s="28" t="n">
        <v>0.5628</v>
      </c>
      <c r="P962" s="28" t="n">
        <v>0.05</v>
      </c>
      <c r="Q962" s="28" t="n">
        <v>-0.022262</v>
      </c>
      <c r="R962" s="26" t="n">
        <v>9</v>
      </c>
      <c r="S962" s="29" t="n">
        <v>1</v>
      </c>
      <c r="T962" s="24" t="inlineStr">
        <is>
          <t>tennis-surface-elo-v1</t>
        </is>
      </c>
      <c r="U962" s="24" t="inlineStr">
        <is>
          <t>settled</t>
        </is>
      </c>
      <c r="V962" s="24" t="inlineStr">
        <is>
          <t>loss</t>
        </is>
      </c>
      <c r="W962" s="26" t="n">
        <v>1</v>
      </c>
      <c r="X962" s="26" t="n">
        <v>0</v>
      </c>
      <c r="Y962" s="25" t="n"/>
      <c r="Z962" s="26" t="n">
        <v>-141</v>
      </c>
      <c r="AA962" s="28" t="n">
        <v>0.585</v>
      </c>
      <c r="AB962" s="28" t="n">
        <v>-6.2e-05</v>
      </c>
      <c r="AC962" s="30" t="n">
        <v>-1</v>
      </c>
      <c r="AD962" s="24" t="inlineStr">
        <is>
          <t>2026-09-06T04:31:27.739288Z</t>
        </is>
      </c>
      <c r="AE962" s="31" t="inlineStr">
        <is>
          <t>Surface-blended Elo on Hard: Arthur Gea p=0.437 vs Michael Zheng. Executable ask 0.5850 (aec-atp-miczhe-artgea-2026-09-05).</t>
        </is>
      </c>
      <c r="AF962" s="31" t="inlineStr">
        <is>
          <t>Surface-blended Elo model; singles only, WTA+ATP market coverage, not yet locked-holdout qualified -- promoted by explicit operator directive, not genuine walk-forward validation.</t>
        </is>
      </c>
      <c r="AG962" s="24" t="inlineStr">
        <is>
          <t>review_required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PAPER_CALL_LOW_EDGE</t>
        </is>
      </c>
      <c r="AP962" s="24" t="inlineStr">
        <is>
          <t>Arthur Gea</t>
        </is>
      </c>
      <c r="AQ962" s="24" t="inlineStr">
        <is>
          <t>Arthur Gea</t>
        </is>
      </c>
      <c r="AR962" s="24" t="inlineStr">
        <is>
          <t>Arthur Gea</t>
        </is>
      </c>
      <c r="AS962" s="24" t="inlineStr">
        <is>
          <t>Michael Zheng</t>
        </is>
      </c>
      <c r="AT962" s="24" t="inlineStr">
        <is>
          <t>Michael Zheng</t>
        </is>
      </c>
      <c r="AU962" s="24" t="inlineStr">
        <is>
          <t>Michael Zheng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0ce66f49b381187fe6255a40ca2fdbfc155d5e36125ccf6d30fe81a72962eafa</t>
        </is>
      </c>
      <c r="BB962" s="24" t="inlineStr">
        <is>
          <t>surface_blended_elo</t>
        </is>
      </c>
      <c r="BC962" s="24" t="inlineStr">
        <is>
          <t>tennis-surface-elo-v1</t>
        </is>
      </c>
      <c r="BD962" s="24" t="inlineStr">
        <is>
          <t>0ce66f49b381187fe6255a40ca2fdbfc155d5e36125ccf6d30fe81a72962eafa</t>
        </is>
      </c>
      <c r="BE962" s="24" t="inlineStr">
        <is>
          <t>tennis-surface-elo-v1</t>
        </is>
      </c>
      <c r="BF962" s="24" t="inlineStr">
        <is>
          <t>1</t>
        </is>
      </c>
      <c r="BG962" s="24" t="inlineStr">
        <is>
          <t>0ce66f49b381187fe6255a40ca2fdbfc155d5e36125ccf6d30fe81a72962eafa</t>
        </is>
      </c>
      <c r="BH962" s="24" t="inlineStr">
        <is>
          <t>2026-09-05T16:04:31.967484Z</t>
        </is>
      </c>
      <c r="BI962" s="24" t="inlineStr">
        <is>
          <t>["same_event","same_team_same_day","same_league_same_day"]</t>
        </is>
      </c>
      <c r="BJ962" s="25" t="n"/>
      <c r="BK962" s="26" t="n">
        <v>-141</v>
      </c>
      <c r="BL962" s="27" t="n">
        <v>1.70922</v>
      </c>
      <c r="BM962" s="28" t="n">
        <v>0.585062</v>
      </c>
      <c r="BN962" s="28" t="n"/>
      <c r="BO962" s="28" t="n"/>
      <c r="BP962" s="25" t="n"/>
      <c r="BQ962" s="27" t="n">
        <v>1.70922</v>
      </c>
      <c r="BR962" s="28" t="n">
        <v>0.585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False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inlineStr">
        <is>
          <t>14a33748d0e73da5026a0c9f66c49ff71d9260800b8b02c53a1d3a8c7c096bf2</t>
        </is>
      </c>
      <c r="DE962" s="24" t="inlineStr">
        <is>
          <t>/Users/vincentc9002/model-prediction/data/odds/tennis/2026-09-05/polymarket_snapshots.jsonl</t>
        </is>
      </c>
      <c r="DF962" s="24" t="inlineStr">
        <is>
          <t>666477:2026-09-05T16:04:31.967484Z</t>
        </is>
      </c>
      <c r="DG962" s="24" t="n"/>
      <c r="DH962" s="24" t="n"/>
      <c r="DI962" s="24" t="n"/>
      <c r="DJ962" s="24" t="inlineStr">
        <is>
          <t>0.585062</t>
        </is>
      </c>
      <c r="DK962" s="24" t="n"/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cba303c198604f50</t>
        </is>
      </c>
      <c r="B963" s="24" t="inlineStr">
        <is>
          <t>2026-09-05T16:05:16.623786Z</t>
        </is>
      </c>
      <c r="C963" s="24" t="inlineStr">
        <is>
          <t>2026-09-05T20:30Z</t>
        </is>
      </c>
      <c r="D963" s="24" t="inlineStr">
        <is>
          <t>189-2026:182757</t>
        </is>
      </c>
      <c r="E963" s="24" t="inlineStr">
        <is>
          <t>TENNIS</t>
        </is>
      </c>
      <c r="F963" s="24" t="inlineStr">
        <is>
          <t>Botic Van De Zandschulp</t>
        </is>
      </c>
      <c r="G963" s="24" t="inlineStr">
        <is>
          <t>Zizou Bergs</t>
        </is>
      </c>
      <c r="H963" s="24" t="inlineStr">
        <is>
          <t>moneyline</t>
        </is>
      </c>
      <c r="I963" s="24" t="inlineStr">
        <is>
          <t>away</t>
        </is>
      </c>
      <c r="J963" s="25" t="n"/>
      <c r="K963" s="24" t="inlineStr">
        <is>
          <t>polymarket_us</t>
        </is>
      </c>
      <c r="L963" s="26" t="n">
        <v>-194</v>
      </c>
      <c r="M963" s="27" t="n">
        <v>1.515464</v>
      </c>
      <c r="N963" s="28" t="n">
        <v>0.659864</v>
      </c>
      <c r="O963" s="28" t="n">
        <v>0.5688</v>
      </c>
      <c r="P963" s="28" t="n">
        <v>0.05</v>
      </c>
      <c r="Q963" s="28" t="n">
        <v>-0.09106400000000001</v>
      </c>
      <c r="R963" s="26" t="n">
        <v>0</v>
      </c>
      <c r="S963" s="29" t="n">
        <v>1</v>
      </c>
      <c r="T963" s="24" t="inlineStr">
        <is>
          <t>tennis-surface-elo-v1</t>
        </is>
      </c>
      <c r="U963" s="24" t="inlineStr">
        <is>
          <t>settled</t>
        </is>
      </c>
      <c r="V963" s="24" t="inlineStr">
        <is>
          <t>win</t>
        </is>
      </c>
      <c r="W963" s="26" t="n">
        <v>1</v>
      </c>
      <c r="X963" s="26" t="n">
        <v>0</v>
      </c>
      <c r="Y963" s="25" t="n"/>
      <c r="Z963" s="26" t="n">
        <v>-194</v>
      </c>
      <c r="AA963" s="28" t="n">
        <v>0.66</v>
      </c>
      <c r="AB963" s="28" t="n">
        <v>0.000136</v>
      </c>
      <c r="AC963" s="30" t="n">
        <v>0.5155</v>
      </c>
      <c r="AD963" s="24" t="inlineStr">
        <is>
          <t>2026-09-06T04:31:28.153879Z</t>
        </is>
      </c>
      <c r="AE963" s="31" t="inlineStr">
        <is>
          <t>Surface-blended Elo on Hard: Botic Van De Zandschulp p=0.569 vs Zizou Bergs. Executable ask 0.6600 (aec-atp-zizber-botzan-2026-09-05).</t>
        </is>
      </c>
      <c r="AF963" s="31" t="inlineStr">
        <is>
          <t>Surface-blended Elo model; singles only, WTA+ATP market coverage, not yet locked-holdout qualified -- promoted by explicit operator directive, not genuine walk-forward validation.</t>
        </is>
      </c>
      <c r="AG963" s="24" t="inlineStr">
        <is>
          <t>not_applicable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Botic Van De Zandschulp</t>
        </is>
      </c>
      <c r="AQ963" s="24" t="inlineStr">
        <is>
          <t>Botic Van De Zandschulp</t>
        </is>
      </c>
      <c r="AR963" s="24" t="inlineStr">
        <is>
          <t>Botic Van De Zandschulp</t>
        </is>
      </c>
      <c r="AS963" s="24" t="inlineStr">
        <is>
          <t>Zizou Bergs</t>
        </is>
      </c>
      <c r="AT963" s="24" t="inlineStr">
        <is>
          <t>Zizou Bergs</t>
        </is>
      </c>
      <c r="AU963" s="24" t="inlineStr">
        <is>
          <t>Zizou Bergs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0ce66f49b381187fe6255a40ca2fdbfc155d5e36125ccf6d30fe81a72962eafa</t>
        </is>
      </c>
      <c r="BB963" s="24" t="inlineStr">
        <is>
          <t>surface_blended_elo</t>
        </is>
      </c>
      <c r="BC963" s="24" t="inlineStr">
        <is>
          <t>tennis-surface-elo-v1</t>
        </is>
      </c>
      <c r="BD963" s="24" t="inlineStr">
        <is>
          <t>0ce66f49b381187fe6255a40ca2fdbfc155d5e36125ccf6d30fe81a72962eafa</t>
        </is>
      </c>
      <c r="BE963" s="24" t="inlineStr">
        <is>
          <t>tennis-surface-elo-v1</t>
        </is>
      </c>
      <c r="BF963" s="24" t="inlineStr">
        <is>
          <t>1</t>
        </is>
      </c>
      <c r="BG963" s="24" t="inlineStr">
        <is>
          <t>0ce66f49b381187fe6255a40ca2fdbfc155d5e36125ccf6d30fe81a72962eafa</t>
        </is>
      </c>
      <c r="BH963" s="24" t="inlineStr">
        <is>
          <t>2026-09-05T16:04:32.499726Z</t>
        </is>
      </c>
      <c r="BI963" s="24" t="inlineStr">
        <is>
          <t>["same_event","same_team_same_day","same_league_same_day"]</t>
        </is>
      </c>
      <c r="BJ963" s="25" t="n"/>
      <c r="BK963" s="26" t="n">
        <v>-194</v>
      </c>
      <c r="BL963" s="27" t="n">
        <v>1.515464</v>
      </c>
      <c r="BM963" s="28" t="n">
        <v>0.659864</v>
      </c>
      <c r="BN963" s="28" t="n"/>
      <c r="BO963" s="28" t="n"/>
      <c r="BP963" s="25" t="n"/>
      <c r="BQ963" s="27" t="n">
        <v>1.515464</v>
      </c>
      <c r="BR963" s="28" t="n">
        <v>0.66</v>
      </c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False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inlineStr">
        <is>
          <t>71097e5553cf34a110eecf72a1526fe074e361777850237561d9201b87179bf2</t>
        </is>
      </c>
      <c r="DE963" s="24" t="inlineStr">
        <is>
          <t>/Users/vincentc9002/model-prediction/data/odds/tennis/2026-09-05/polymarket_snapshots.jsonl</t>
        </is>
      </c>
      <c r="DF963" s="24" t="inlineStr">
        <is>
          <t>666476:2026-09-05T16:04:32.499726Z</t>
        </is>
      </c>
      <c r="DG963" s="24" t="n"/>
      <c r="DH963" s="24" t="n"/>
      <c r="DI963" s="24" t="n"/>
      <c r="DJ963" s="24" t="inlineStr">
        <is>
          <t>0.659864</t>
        </is>
      </c>
      <c r="DK963" s="24" t="n"/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4612695fec7a44cc</t>
        </is>
      </c>
      <c r="B964" s="24" t="inlineStr">
        <is>
          <t>2026-09-05T22:05:16.756925Z</t>
        </is>
      </c>
      <c r="C964" s="24" t="inlineStr">
        <is>
          <t>2026-09-05T23:00Z</t>
        </is>
      </c>
      <c r="D964" s="24" t="inlineStr">
        <is>
          <t>189-2026:182566</t>
        </is>
      </c>
      <c r="E964" s="24" t="inlineStr">
        <is>
          <t>TENNIS</t>
        </is>
      </c>
      <c r="F964" s="24" t="inlineStr">
        <is>
          <t>Elise Mertens</t>
        </is>
      </c>
      <c r="G964" s="24" t="inlineStr">
        <is>
          <t>Naomi Osaka</t>
        </is>
      </c>
      <c r="H964" s="24" t="inlineStr">
        <is>
          <t>moneyline</t>
        </is>
      </c>
      <c r="I964" s="24" t="inlineStr">
        <is>
          <t>home</t>
        </is>
      </c>
      <c r="J964" s="25" t="n"/>
      <c r="K964" s="24" t="inlineStr">
        <is>
          <t>polymarket_us</t>
        </is>
      </c>
      <c r="L964" s="26" t="n">
        <v>-277</v>
      </c>
      <c r="M964" s="27" t="n">
        <v>1.361011</v>
      </c>
      <c r="N964" s="28" t="n">
        <v>0.734748</v>
      </c>
      <c r="O964" s="28" t="n">
        <v>0.6261</v>
      </c>
      <c r="P964" s="28" t="n">
        <v>0.05</v>
      </c>
      <c r="Q964" s="28" t="n">
        <v>-0.108648</v>
      </c>
      <c r="R964" s="26" t="n">
        <v>0</v>
      </c>
      <c r="S964" s="29" t="n">
        <v>1</v>
      </c>
      <c r="T964" s="24" t="inlineStr">
        <is>
          <t>tennis-surface-elo-v1</t>
        </is>
      </c>
      <c r="U964" s="24" t="inlineStr">
        <is>
          <t>settled</t>
        </is>
      </c>
      <c r="V964" s="24" t="inlineStr">
        <is>
          <t>win</t>
        </is>
      </c>
      <c r="W964" s="26" t="n">
        <v>0</v>
      </c>
      <c r="X964" s="26" t="n">
        <v>1</v>
      </c>
      <c r="Y964" s="25" t="n"/>
      <c r="Z964" s="26" t="n">
        <v>-277</v>
      </c>
      <c r="AA964" s="28" t="n">
        <v>0.735</v>
      </c>
      <c r="AB964" s="28" t="n">
        <v>0.000252</v>
      </c>
      <c r="AC964" s="30" t="n">
        <v>0.361</v>
      </c>
      <c r="AD964" s="24" t="inlineStr">
        <is>
          <t>2026-09-06T04:32:01.254421Z</t>
        </is>
      </c>
      <c r="AE964" s="31" t="inlineStr">
        <is>
          <t>Surface-blended Elo on Hard: Elise Mertens p=0.374 vs Naomi Osaka. Executable ask 0.7350 (aec-wta-naoosa-elimer-2026-09-04).</t>
        </is>
      </c>
      <c r="AF964" s="31" t="inlineStr">
        <is>
          <t>Surface-blended Elo model; singles only, WTA+ATP market coverage, not yet locked-holdout qualified -- promoted by explicit operator directive, not genuine walk-forward validation.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paper_call</t>
        </is>
      </c>
      <c r="AL964" s="26" t="n">
        <v>4</v>
      </c>
      <c r="AM964" s="24" t="inlineStr">
        <is>
          <t>RESEARCH_OBSERVATION</t>
        </is>
      </c>
      <c r="AN964" s="24" t="inlineStr">
        <is>
          <t>CALL</t>
        </is>
      </c>
      <c r="AO964" s="24" t="inlineStr">
        <is>
          <t>PAPER_CALL_LOW_EDGE</t>
        </is>
      </c>
      <c r="AP964" s="24" t="inlineStr">
        <is>
          <t>Elise Mertens</t>
        </is>
      </c>
      <c r="AQ964" s="24" t="inlineStr">
        <is>
          <t>Elise Mertens</t>
        </is>
      </c>
      <c r="AR964" s="24" t="inlineStr">
        <is>
          <t>Elise Mertens</t>
        </is>
      </c>
      <c r="AS964" s="24" t="inlineStr">
        <is>
          <t>Naomi Osaka</t>
        </is>
      </c>
      <c r="AT964" s="24" t="inlineStr">
        <is>
          <t>Naomi Osaka</t>
        </is>
      </c>
      <c r="AU964" s="24" t="inlineStr">
        <is>
          <t>Naomi Osaka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0ce66f49b381187fe6255a40ca2fdbfc155d5e36125ccf6d30fe81a72962eafa</t>
        </is>
      </c>
      <c r="BB964" s="24" t="inlineStr">
        <is>
          <t>surface_blended_elo</t>
        </is>
      </c>
      <c r="BC964" s="24" t="inlineStr">
        <is>
          <t>tennis-surface-elo-v1</t>
        </is>
      </c>
      <c r="BD964" s="24" t="inlineStr">
        <is>
          <t>0ce66f49b381187fe6255a40ca2fdbfc155d5e36125ccf6d30fe81a72962eafa</t>
        </is>
      </c>
      <c r="BE964" s="24" t="inlineStr">
        <is>
          <t>tennis-surface-elo-v1</t>
        </is>
      </c>
      <c r="BF964" s="24" t="inlineStr">
        <is>
          <t>1</t>
        </is>
      </c>
      <c r="BG964" s="24" t="inlineStr">
        <is>
          <t>0ce66f49b381187fe6255a40ca2fdbfc155d5e36125ccf6d30fe81a72962eafa</t>
        </is>
      </c>
      <c r="BH964" s="24" t="inlineStr">
        <is>
          <t>2026-09-05T22:04:36.749618Z</t>
        </is>
      </c>
      <c r="BI964" s="24" t="inlineStr">
        <is>
          <t>["same_event","same_team_same_day","same_league_same_day"]</t>
        </is>
      </c>
      <c r="BJ964" s="25" t="n"/>
      <c r="BK964" s="26" t="n">
        <v>-277</v>
      </c>
      <c r="BL964" s="27" t="n">
        <v>1.361011</v>
      </c>
      <c r="BM964" s="28" t="n">
        <v>0.734748</v>
      </c>
      <c r="BN964" s="28" t="n"/>
      <c r="BO964" s="28" t="n"/>
      <c r="BP964" s="25" t="n"/>
      <c r="BQ964" s="27" t="n">
        <v>1.361011</v>
      </c>
      <c r="BR964" s="28" t="n">
        <v>0.735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False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inlineStr">
        <is>
          <t>fdda4bbfcd44466de909ecf9c5799c23156934aae49170f67e9afe477db59ec0</t>
        </is>
      </c>
      <c r="DE964" s="24" t="inlineStr">
        <is>
          <t>/Users/vincentc9002/model-prediction/data/odds/tennis/2026-09-05/polymarket_snapshots.jsonl</t>
        </is>
      </c>
      <c r="DF964" s="24" t="inlineStr">
        <is>
          <t>663583:2026-09-05T22:04:36.749618Z</t>
        </is>
      </c>
      <c r="DG964" s="24" t="n"/>
      <c r="DH964" s="24" t="n"/>
      <c r="DI964" s="24" t="n"/>
      <c r="DJ964" s="24" t="inlineStr">
        <is>
          <t>0.734748</t>
        </is>
      </c>
      <c r="DK964" s="24" t="n"/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bf83b372d0424f7d</t>
        </is>
      </c>
      <c r="B965" s="24" t="inlineStr">
        <is>
          <t>2026-09-05T22:05:16.756925Z</t>
        </is>
      </c>
      <c r="C965" s="24" t="inlineStr">
        <is>
          <t>2026-09-05T23:00Z</t>
        </is>
      </c>
      <c r="D965" s="24" t="inlineStr">
        <is>
          <t>189-2026:182578</t>
        </is>
      </c>
      <c r="E965" s="24" t="inlineStr">
        <is>
          <t>TENNIS</t>
        </is>
      </c>
      <c r="F965" s="24" t="inlineStr">
        <is>
          <t>Alexandra Eala</t>
        </is>
      </c>
      <c r="G965" s="24" t="inlineStr">
        <is>
          <t>Iva Jovic</t>
        </is>
      </c>
      <c r="H965" s="24" t="inlineStr">
        <is>
          <t>moneyline</t>
        </is>
      </c>
      <c r="I965" s="24" t="inlineStr">
        <is>
          <t>home</t>
        </is>
      </c>
      <c r="J965" s="25" t="n"/>
      <c r="K965" s="24" t="inlineStr">
        <is>
          <t>polymarket_us</t>
        </is>
      </c>
      <c r="L965" s="26" t="n">
        <v>-113</v>
      </c>
      <c r="M965" s="27" t="n">
        <v>1.884956</v>
      </c>
      <c r="N965" s="28" t="n">
        <v>0.530516</v>
      </c>
      <c r="O965" s="28" t="n">
        <v>0.5548</v>
      </c>
      <c r="P965" s="28" t="n">
        <v>0.05</v>
      </c>
      <c r="Q965" s="28" t="n">
        <v>0.024284</v>
      </c>
      <c r="R965" s="26" t="n">
        <v>32</v>
      </c>
      <c r="S965" s="29" t="n">
        <v>1</v>
      </c>
      <c r="T965" s="24" t="inlineStr">
        <is>
          <t>tennis-surface-elo-v1</t>
        </is>
      </c>
      <c r="U965" s="24" t="inlineStr">
        <is>
          <t>settled</t>
        </is>
      </c>
      <c r="V965" s="24" t="inlineStr">
        <is>
          <t>win</t>
        </is>
      </c>
      <c r="W965" s="26" t="n">
        <v>0</v>
      </c>
      <c r="X965" s="26" t="n">
        <v>1</v>
      </c>
      <c r="Y965" s="25" t="n"/>
      <c r="Z965" s="26" t="n">
        <v>-113</v>
      </c>
      <c r="AA965" s="28" t="n">
        <v>0.53</v>
      </c>
      <c r="AB965" s="28" t="n">
        <v>-0.000516</v>
      </c>
      <c r="AC965" s="30" t="n">
        <v>0.885</v>
      </c>
      <c r="AD965" s="24" t="inlineStr">
        <is>
          <t>2026-09-06T04:32:01.662676Z</t>
        </is>
      </c>
      <c r="AE965" s="31" t="inlineStr">
        <is>
          <t>Surface-blended Elo on Hard: Alexandra Eala p=0.445 vs Iva Jovic. Executable ask 0.5300 (aec-wta-ivajov-aleeal-2026-09-05).</t>
        </is>
      </c>
      <c r="AF965" s="31" t="inlineStr">
        <is>
          <t>Surface-blended Elo model; singles only, WTA+ATP market coverage, not yet locked-holdout qualified -- promoted by explicit operator directive, not genuine walk-forward validation.</t>
        </is>
      </c>
      <c r="AG965" s="24" t="inlineStr">
        <is>
          <t>not_applicable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PAPER_CALL_LOW_EDGE</t>
        </is>
      </c>
      <c r="AP965" s="24" t="inlineStr">
        <is>
          <t>Alexandra Eala</t>
        </is>
      </c>
      <c r="AQ965" s="24" t="inlineStr">
        <is>
          <t>Alexandra Eala</t>
        </is>
      </c>
      <c r="AR965" s="24" t="inlineStr">
        <is>
          <t>Alexandra Eala</t>
        </is>
      </c>
      <c r="AS965" s="24" t="inlineStr">
        <is>
          <t>Iva Jovic</t>
        </is>
      </c>
      <c r="AT965" s="24" t="inlineStr">
        <is>
          <t>Iva Jovic</t>
        </is>
      </c>
      <c r="AU965" s="24" t="inlineStr">
        <is>
          <t>Iva Jovic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0ce66f49b381187fe6255a40ca2fdbfc155d5e36125ccf6d30fe81a72962eafa</t>
        </is>
      </c>
      <c r="BB965" s="24" t="inlineStr">
        <is>
          <t>surface_blended_elo</t>
        </is>
      </c>
      <c r="BC965" s="24" t="inlineStr">
        <is>
          <t>tennis-surface-elo-v1</t>
        </is>
      </c>
      <c r="BD965" s="24" t="inlineStr">
        <is>
          <t>0ce66f49b381187fe6255a40ca2fdbfc155d5e36125ccf6d30fe81a72962eafa</t>
        </is>
      </c>
      <c r="BE965" s="24" t="inlineStr">
        <is>
          <t>tennis-surface-elo-v1</t>
        </is>
      </c>
      <c r="BF965" s="24" t="inlineStr">
        <is>
          <t>1</t>
        </is>
      </c>
      <c r="BG965" s="24" t="inlineStr">
        <is>
          <t>0ce66f49b381187fe6255a40ca2fdbfc155d5e36125ccf6d30fe81a72962eafa</t>
        </is>
      </c>
      <c r="BH965" s="24" t="inlineStr">
        <is>
          <t>2026-09-05T22:04:36.654034Z</t>
        </is>
      </c>
      <c r="BI965" s="24" t="inlineStr">
        <is>
          <t>["same_event","same_team_same_day","same_league_same_day"]</t>
        </is>
      </c>
      <c r="BJ965" s="25" t="n"/>
      <c r="BK965" s="26" t="n">
        <v>-113</v>
      </c>
      <c r="BL965" s="27" t="n">
        <v>1.884956</v>
      </c>
      <c r="BM965" s="28" t="n">
        <v>0.530516</v>
      </c>
      <c r="BN965" s="28" t="n"/>
      <c r="BO965" s="28" t="n"/>
      <c r="BP965" s="25" t="n"/>
      <c r="BQ965" s="27" t="n">
        <v>1.884956</v>
      </c>
      <c r="BR965" s="28" t="n">
        <v>0.53</v>
      </c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inlineStr">
        <is>
          <t>5d4f99c7fe4f3a0ad93431cfb332665b6610231025bb8e0fc9ada6e78b52be24</t>
        </is>
      </c>
      <c r="DE965" s="24" t="inlineStr">
        <is>
          <t>/Users/vincentc9002/model-prediction/data/odds/tennis/2026-09-05/polymarket_snapshots.jsonl</t>
        </is>
      </c>
      <c r="DF965" s="24" t="inlineStr">
        <is>
          <t>666356:2026-09-05T22:04:36.654034Z</t>
        </is>
      </c>
      <c r="DG965" s="24" t="n"/>
      <c r="DH965" s="24" t="n"/>
      <c r="DI965" s="24" t="n"/>
      <c r="DJ965" s="24" t="inlineStr">
        <is>
          <t>0.530516</t>
        </is>
      </c>
      <c r="DK965" s="24" t="n"/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c727fcb81eeb4db2</t>
        </is>
      </c>
      <c r="B966" s="24" t="inlineStr">
        <is>
          <t>2026-09-05T22:05:16.756925Z</t>
        </is>
      </c>
      <c r="C966" s="24" t="inlineStr">
        <is>
          <t>2026-09-06T00:30Z</t>
        </is>
      </c>
      <c r="D966" s="24" t="inlineStr">
        <is>
          <t>189-2026:182699</t>
        </is>
      </c>
      <c r="E966" s="24" t="inlineStr">
        <is>
          <t>TENNIS</t>
        </is>
      </c>
      <c r="F966" s="24" t="inlineStr">
        <is>
          <t>Alejandro Tabilo</t>
        </is>
      </c>
      <c r="G966" s="24" t="inlineStr">
        <is>
          <t>Alexander Zverev</t>
        </is>
      </c>
      <c r="H966" s="24" t="inlineStr">
        <is>
          <t>moneyline</t>
        </is>
      </c>
      <c r="I966" s="24" t="inlineStr">
        <is>
          <t>home</t>
        </is>
      </c>
      <c r="J966" s="25" t="n"/>
      <c r="K966" s="24" t="inlineStr">
        <is>
          <t>polymarket_us</t>
        </is>
      </c>
      <c r="L966" s="26" t="n">
        <v>-506</v>
      </c>
      <c r="M966" s="27" t="n">
        <v>1.197628</v>
      </c>
      <c r="N966" s="28" t="n">
        <v>0.834983</v>
      </c>
      <c r="O966" s="28" t="n">
        <v>0.7926</v>
      </c>
      <c r="P966" s="28" t="n">
        <v>0.05</v>
      </c>
      <c r="Q966" s="28" t="n">
        <v>-0.042383</v>
      </c>
      <c r="R966" s="26" t="n">
        <v>0</v>
      </c>
      <c r="S966" s="29" t="n">
        <v>1</v>
      </c>
      <c r="T966" s="24" t="inlineStr">
        <is>
          <t>tennis-surface-elo-v1</t>
        </is>
      </c>
      <c r="U966" s="24" t="inlineStr">
        <is>
          <t>settled</t>
        </is>
      </c>
      <c r="V966" s="24" t="inlineStr">
        <is>
          <t>win</t>
        </is>
      </c>
      <c r="W966" s="26" t="n">
        <v>0</v>
      </c>
      <c r="X966" s="26" t="n">
        <v>1</v>
      </c>
      <c r="Y966" s="25" t="n"/>
      <c r="Z966" s="26" t="n">
        <v>-506</v>
      </c>
      <c r="AA966" s="28" t="n">
        <v>0.835</v>
      </c>
      <c r="AB966" s="28" t="n">
        <v>1.7e-05</v>
      </c>
      <c r="AC966" s="30" t="n">
        <v>0.1976</v>
      </c>
      <c r="AD966" s="24" t="inlineStr">
        <is>
          <t>2026-09-06T10:00:21.666991Z</t>
        </is>
      </c>
      <c r="AE966" s="31" t="inlineStr">
        <is>
          <t>Surface-blended Elo on Hard: Alejandro Tabilo p=0.207 vs Alexander Zverev. Executable ask 0.8350 (aec-atp-alezve-aletab-2026-09-05).</t>
        </is>
      </c>
      <c r="AF966" s="31" t="inlineStr">
        <is>
          <t>Surface-blended Elo model; singles only, WTA+ATP market coverage, not yet locked-holdout qualified -- promoted by explicit operator directive, not genuine walk-forward validation.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paper_call</t>
        </is>
      </c>
      <c r="AL966" s="26" t="n">
        <v>4</v>
      </c>
      <c r="AM966" s="24" t="inlineStr">
        <is>
          <t>RESEARCH_OBSERVATION</t>
        </is>
      </c>
      <c r="AN966" s="24" t="inlineStr">
        <is>
          <t>CALL</t>
        </is>
      </c>
      <c r="AO966" s="24" t="inlineStr">
        <is>
          <t>PAPER_CALL_LOW_EDGE</t>
        </is>
      </c>
      <c r="AP966" s="24" t="inlineStr">
        <is>
          <t>Alejandro Tabilo</t>
        </is>
      </c>
      <c r="AQ966" s="24" t="inlineStr">
        <is>
          <t>Alejandro Tabilo</t>
        </is>
      </c>
      <c r="AR966" s="24" t="inlineStr">
        <is>
          <t>Alejandro Tabilo</t>
        </is>
      </c>
      <c r="AS966" s="24" t="inlineStr">
        <is>
          <t>Alexander Zverev</t>
        </is>
      </c>
      <c r="AT966" s="24" t="inlineStr">
        <is>
          <t>Alexander Zverev</t>
        </is>
      </c>
      <c r="AU966" s="24" t="inlineStr">
        <is>
          <t>Alexander Zverev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0ce66f49b381187fe6255a40ca2fdbfc155d5e36125ccf6d30fe81a72962eafa</t>
        </is>
      </c>
      <c r="BB966" s="24" t="inlineStr">
        <is>
          <t>surface_blended_elo</t>
        </is>
      </c>
      <c r="BC966" s="24" t="inlineStr">
        <is>
          <t>tennis-surface-elo-v1</t>
        </is>
      </c>
      <c r="BD966" s="24" t="inlineStr">
        <is>
          <t>0ce66f49b381187fe6255a40ca2fdbfc155d5e36125ccf6d30fe81a72962eafa</t>
        </is>
      </c>
      <c r="BE966" s="24" t="inlineStr">
        <is>
          <t>tennis-surface-elo-v1</t>
        </is>
      </c>
      <c r="BF966" s="24" t="inlineStr">
        <is>
          <t>1</t>
        </is>
      </c>
      <c r="BG966" s="24" t="inlineStr">
        <is>
          <t>0ce66f49b381187fe6255a40ca2fdbfc155d5e36125ccf6d30fe81a72962eafa</t>
        </is>
      </c>
      <c r="BH966" s="24" t="inlineStr">
        <is>
          <t>2026-09-05T22:04:39.567909Z</t>
        </is>
      </c>
      <c r="BI966" s="24" t="inlineStr">
        <is>
          <t>["same_event","same_team_same_day","same_league_same_day"]</t>
        </is>
      </c>
      <c r="BJ966" s="25" t="n"/>
      <c r="BK966" s="26" t="n">
        <v>-506</v>
      </c>
      <c r="BL966" s="27" t="n">
        <v>1.197628</v>
      </c>
      <c r="BM966" s="28" t="n">
        <v>0.834983</v>
      </c>
      <c r="BN966" s="28" t="n"/>
      <c r="BO966" s="28" t="n"/>
      <c r="BP966" s="25" t="n"/>
      <c r="BQ966" s="27" t="n">
        <v>1.197628</v>
      </c>
      <c r="BR966" s="28" t="n">
        <v>0.835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inlineStr">
        <is>
          <t>0c3157e9fd90e7549edb009ac310a969ba18dbc127389c0f2be5a93d0f97ba78</t>
        </is>
      </c>
      <c r="DE966" s="24" t="inlineStr">
        <is>
          <t>/Users/vincentc9002/model-prediction/data/odds/tennis/2026-09-05/polymarket_snapshots.jsonl</t>
        </is>
      </c>
      <c r="DF966" s="24" t="inlineStr">
        <is>
          <t>668908:2026-09-05T22:04:39.567909Z</t>
        </is>
      </c>
      <c r="DG966" s="24" t="n"/>
      <c r="DH966" s="24" t="n"/>
      <c r="DI966" s="24" t="n"/>
      <c r="DJ966" s="24" t="inlineStr">
        <is>
          <t>0.834983</t>
        </is>
      </c>
      <c r="DK966" s="24" t="n"/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51d350e1c02c4231</t>
        </is>
      </c>
      <c r="B967" s="24" t="inlineStr">
        <is>
          <t>2026-09-05T22:05:16.756925Z</t>
        </is>
      </c>
      <c r="C967" s="24" t="inlineStr">
        <is>
          <t>2026-09-06T00:30Z</t>
        </is>
      </c>
      <c r="D967" s="24" t="inlineStr">
        <is>
          <t>189-2026:182728</t>
        </is>
      </c>
      <c r="E967" s="24" t="inlineStr">
        <is>
          <t>TENNIS</t>
        </is>
      </c>
      <c r="F967" s="24" t="inlineStr">
        <is>
          <t>Learner Tien</t>
        </is>
      </c>
      <c r="G967" s="24" t="inlineStr">
        <is>
          <t>Jakub Mensik</t>
        </is>
      </c>
      <c r="H967" s="24" t="inlineStr">
        <is>
          <t>moneyline</t>
        </is>
      </c>
      <c r="I967" s="24" t="inlineStr">
        <is>
          <t>away</t>
        </is>
      </c>
      <c r="J967" s="25" t="n"/>
      <c r="K967" s="24" t="inlineStr">
        <is>
          <t>polymarket_us</t>
        </is>
      </c>
      <c r="L967" s="26" t="n">
        <v>-122</v>
      </c>
      <c r="M967" s="27" t="n">
        <v>1.819672</v>
      </c>
      <c r="N967" s="28" t="n">
        <v>0.54955</v>
      </c>
      <c r="O967" s="28" t="n">
        <v>0.5669999999999999</v>
      </c>
      <c r="P967" s="28" t="n">
        <v>0.05</v>
      </c>
      <c r="Q967" s="28" t="n">
        <v>0.01745</v>
      </c>
      <c r="R967" s="26" t="n">
        <v>29</v>
      </c>
      <c r="S967" s="29" t="n">
        <v>1</v>
      </c>
      <c r="T967" s="24" t="inlineStr">
        <is>
          <t>tennis-surface-elo-v1</t>
        </is>
      </c>
      <c r="U967" s="24" t="inlineStr">
        <is>
          <t>settled</t>
        </is>
      </c>
      <c r="V967" s="24" t="inlineStr">
        <is>
          <t>win</t>
        </is>
      </c>
      <c r="W967" s="26" t="n">
        <v>1</v>
      </c>
      <c r="X967" s="26" t="n">
        <v>0</v>
      </c>
      <c r="Y967" s="25" t="n"/>
      <c r="Z967" s="26" t="n">
        <v>-122</v>
      </c>
      <c r="AA967" s="28" t="n">
        <v>0.55</v>
      </c>
      <c r="AB967" s="28" t="n">
        <v>0.00045</v>
      </c>
      <c r="AC967" s="30" t="n">
        <v>0.8197</v>
      </c>
      <c r="AD967" s="24" t="inlineStr">
        <is>
          <t>2026-09-06T10:00:22.052258Z</t>
        </is>
      </c>
      <c r="AE967" s="31" t="inlineStr">
        <is>
          <t>Surface-blended Elo on Hard: Learner Tien p=0.567 vs Jakub Mensik. Executable ask 0.5500 (aec-atp-jakmen-leatie-2026-09-05).</t>
        </is>
      </c>
      <c r="AF967" s="31" t="inlineStr">
        <is>
          <t>Surface-blended Elo model; singles only, WTA+ATP market coverage, not yet locked-holdout qualified -- promoted by explicit operator directive, not genuine walk-forward validation.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Learner Tien</t>
        </is>
      </c>
      <c r="AQ967" s="24" t="inlineStr">
        <is>
          <t>Learner Tien</t>
        </is>
      </c>
      <c r="AR967" s="24" t="inlineStr">
        <is>
          <t>Learner Tien</t>
        </is>
      </c>
      <c r="AS967" s="24" t="inlineStr">
        <is>
          <t>Jakub Mensik</t>
        </is>
      </c>
      <c r="AT967" s="24" t="inlineStr">
        <is>
          <t>Jakub Mensik</t>
        </is>
      </c>
      <c r="AU967" s="24" t="inlineStr">
        <is>
          <t>Jakub Mensik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0ce66f49b381187fe6255a40ca2fdbfc155d5e36125ccf6d30fe81a72962eafa</t>
        </is>
      </c>
      <c r="BB967" s="24" t="inlineStr">
        <is>
          <t>surface_blended_elo</t>
        </is>
      </c>
      <c r="BC967" s="24" t="inlineStr">
        <is>
          <t>tennis-surface-elo-v1</t>
        </is>
      </c>
      <c r="BD967" s="24" t="inlineStr">
        <is>
          <t>0ce66f49b381187fe6255a40ca2fdbfc155d5e36125ccf6d30fe81a72962eafa</t>
        </is>
      </c>
      <c r="BE967" s="24" t="inlineStr">
        <is>
          <t>tennis-surface-elo-v1</t>
        </is>
      </c>
      <c r="BF967" s="24" t="inlineStr">
        <is>
          <t>1</t>
        </is>
      </c>
      <c r="BG967" s="24" t="inlineStr">
        <is>
          <t>0ce66f49b381187fe6255a40ca2fdbfc155d5e36125ccf6d30fe81a72962eafa</t>
        </is>
      </c>
      <c r="BH967" s="24" t="inlineStr">
        <is>
          <t>2026-09-05T22:04:39.476240Z</t>
        </is>
      </c>
      <c r="BI967" s="24" t="inlineStr">
        <is>
          <t>["same_event","same_team_same_day","same_league_same_day"]</t>
        </is>
      </c>
      <c r="BJ967" s="25" t="n"/>
      <c r="BK967" s="26" t="n">
        <v>-122</v>
      </c>
      <c r="BL967" s="27" t="n">
        <v>1.819672</v>
      </c>
      <c r="BM967" s="28" t="n">
        <v>0.54955</v>
      </c>
      <c r="BN967" s="28" t="n"/>
      <c r="BO967" s="28" t="n"/>
      <c r="BP967" s="25" t="n"/>
      <c r="BQ967" s="27" t="n">
        <v>1.819672</v>
      </c>
      <c r="BR967" s="28" t="n">
        <v>0.55</v>
      </c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True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inlineStr">
        <is>
          <t>de59f87b4da75e2ba901302f56358734149ae936e410335d2780aaf0eaa6b581</t>
        </is>
      </c>
      <c r="DE967" s="24" t="inlineStr">
        <is>
          <t>/Users/vincentc9002/model-prediction/data/odds/tennis/2026-09-05/polymarket_snapshots.jsonl</t>
        </is>
      </c>
      <c r="DF967" s="24" t="inlineStr">
        <is>
          <t>666416:2026-09-05T22:04:39.476240Z</t>
        </is>
      </c>
      <c r="DG967" s="24" t="n"/>
      <c r="DH967" s="24" t="n"/>
      <c r="DI967" s="24" t="n"/>
      <c r="DJ967" s="24" t="inlineStr">
        <is>
          <t>0.54955</t>
        </is>
      </c>
      <c r="DK967" s="24" t="n"/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b30ef345dac644b4</t>
        </is>
      </c>
      <c r="B968" s="24" t="inlineStr">
        <is>
          <t>2026-09-06T10:03:24.787128Z</t>
        </is>
      </c>
      <c r="C968" s="24" t="inlineStr">
        <is>
          <t>2026-09-06T15:30Z</t>
        </is>
      </c>
      <c r="D968" s="24" t="inlineStr">
        <is>
          <t>189-2026:182541</t>
        </is>
      </c>
      <c r="E968" s="24" t="inlineStr">
        <is>
          <t>TENNIS</t>
        </is>
      </c>
      <c r="F968" s="24" t="inlineStr">
        <is>
          <t>Taylor Townsend</t>
        </is>
      </c>
      <c r="G968" s="24" t="inlineStr">
        <is>
          <t>Aryna Sabalenka</t>
        </is>
      </c>
      <c r="H968" s="24" t="inlineStr">
        <is>
          <t>moneyline</t>
        </is>
      </c>
      <c r="I968" s="24" t="inlineStr">
        <is>
          <t>home</t>
        </is>
      </c>
      <c r="J968" s="25" t="n"/>
      <c r="K968" s="24" t="inlineStr">
        <is>
          <t>polymarket_us</t>
        </is>
      </c>
      <c r="L968" s="26" t="n">
        <v>-471</v>
      </c>
      <c r="M968" s="27" t="n">
        <v>1.212314</v>
      </c>
      <c r="N968" s="28" t="n">
        <v>0.824869</v>
      </c>
      <c r="O968" s="28" t="n">
        <v>0.8376</v>
      </c>
      <c r="P968" s="28" t="n">
        <v>0.05</v>
      </c>
      <c r="Q968" s="28" t="n">
        <v>0.012731</v>
      </c>
      <c r="R968" s="26" t="n">
        <v>26</v>
      </c>
      <c r="S968" s="29" t="n">
        <v>1</v>
      </c>
      <c r="T968" s="24" t="inlineStr">
        <is>
          <t>tennis-surface-elo-v1</t>
        </is>
      </c>
      <c r="U968" s="24" t="inlineStr">
        <is>
          <t>settled</t>
        </is>
      </c>
      <c r="V968" s="24" t="inlineStr">
        <is>
          <t>win</t>
        </is>
      </c>
      <c r="W968" s="26" t="n">
        <v>0</v>
      </c>
      <c r="X968" s="26" t="n">
        <v>1</v>
      </c>
      <c r="Y968" s="25" t="n"/>
      <c r="Z968" s="26" t="n">
        <v>-471</v>
      </c>
      <c r="AA968" s="28" t="n">
        <v>0.825</v>
      </c>
      <c r="AB968" s="28" t="n">
        <v>0.000131</v>
      </c>
      <c r="AC968" s="30" t="n">
        <v>0.2123</v>
      </c>
      <c r="AD968" s="24" t="inlineStr">
        <is>
          <t>2026-09-06T22:01:10.336681Z</t>
        </is>
      </c>
      <c r="AE968" s="31" t="inlineStr">
        <is>
          <t>Surface-blended Elo on Hard: Taylor Townsend p=0.162 vs Aryna Sabalenka. Executable ask 0.8250 (aec-wta-arysab-taytow-2026-09-06).</t>
        </is>
      </c>
      <c r="AF968" s="31" t="inlineStr">
        <is>
          <t>Surface-blended Elo model; singles only, WTA+ATP market coverage, not yet locked-holdout qualified -- promoted by explicit operator directive, not genuine walk-forward validation.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paper_call</t>
        </is>
      </c>
      <c r="AL968" s="26" t="n">
        <v>4</v>
      </c>
      <c r="AM968" s="24" t="inlineStr">
        <is>
          <t>RESEARCH_OBSERVATION</t>
        </is>
      </c>
      <c r="AN968" s="24" t="inlineStr">
        <is>
          <t>CALL</t>
        </is>
      </c>
      <c r="AO968" s="24" t="inlineStr">
        <is>
          <t>PAPER_CALL_LOW_EDGE</t>
        </is>
      </c>
      <c r="AP968" s="24" t="inlineStr">
        <is>
          <t>Taylor Townsend</t>
        </is>
      </c>
      <c r="AQ968" s="24" t="inlineStr">
        <is>
          <t>Taylor Townsend</t>
        </is>
      </c>
      <c r="AR968" s="24" t="inlineStr">
        <is>
          <t>Taylor Townsend</t>
        </is>
      </c>
      <c r="AS968" s="24" t="inlineStr">
        <is>
          <t>Aryna Sabalenka</t>
        </is>
      </c>
      <c r="AT968" s="24" t="inlineStr">
        <is>
          <t>Aryna Sabalenka</t>
        </is>
      </c>
      <c r="AU968" s="24" t="inlineStr">
        <is>
          <t>Aryna Sabalenka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0ce66f49b381187fe6255a40ca2fdbfc155d5e36125ccf6d30fe81a72962eafa</t>
        </is>
      </c>
      <c r="BB968" s="24" t="inlineStr">
        <is>
          <t>surface_blended_elo</t>
        </is>
      </c>
      <c r="BC968" s="24" t="inlineStr">
        <is>
          <t>tennis-surface-elo-v1</t>
        </is>
      </c>
      <c r="BD968" s="24" t="inlineStr">
        <is>
          <t>0ce66f49b381187fe6255a40ca2fdbfc155d5e36125ccf6d30fe81a72962eafa</t>
        </is>
      </c>
      <c r="BE968" s="24" t="inlineStr">
        <is>
          <t>tennis-surface-elo-v1</t>
        </is>
      </c>
      <c r="BF968" s="24" t="inlineStr">
        <is>
          <t>1</t>
        </is>
      </c>
      <c r="BG968" s="24" t="inlineStr">
        <is>
          <t>0ce66f49b381187fe6255a40ca2fdbfc155d5e36125ccf6d30fe81a72962eafa</t>
        </is>
      </c>
      <c r="BH968" s="24" t="inlineStr">
        <is>
          <t>2026-09-06T04:34:49.088325Z</t>
        </is>
      </c>
      <c r="BI968" s="24" t="inlineStr">
        <is>
          <t>["same_event","same_team_same_day","same_league_same_day"]</t>
        </is>
      </c>
      <c r="BJ968" s="25" t="n"/>
      <c r="BK968" s="26" t="n">
        <v>-471</v>
      </c>
      <c r="BL968" s="27" t="n">
        <v>1.212314</v>
      </c>
      <c r="BM968" s="28" t="n">
        <v>0.824869</v>
      </c>
      <c r="BN968" s="28" t="n"/>
      <c r="BO968" s="28" t="n"/>
      <c r="BP968" s="25" t="n"/>
      <c r="BQ968" s="27" t="n">
        <v>1.212314</v>
      </c>
      <c r="BR968" s="28" t="n">
        <v>0.825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inlineStr">
        <is>
          <t>a983c5d8ac5dea78c6e69c9bb9600acb1c2c156799abc03ecbbd95c825713246</t>
        </is>
      </c>
      <c r="DE968" s="24" t="inlineStr">
        <is>
          <t>/Users/vincentc9002/model-prediction/data/odds/tennis/2026-09-06/polymarket_snapshots.jsonl</t>
        </is>
      </c>
      <c r="DF968" s="24" t="inlineStr">
        <is>
          <t>675296:2026-09-06T04:34:49.088325Z</t>
        </is>
      </c>
      <c r="DG968" s="24" t="n"/>
      <c r="DH968" s="24" t="n"/>
      <c r="DI968" s="24" t="n"/>
      <c r="DJ968" s="24" t="inlineStr">
        <is>
          <t>0.824869</t>
        </is>
      </c>
      <c r="DK968" s="24" t="n"/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eb46bd57eb9d4919</t>
        </is>
      </c>
      <c r="B969" s="24" t="inlineStr">
        <is>
          <t>2026-09-06T16:03:12.878161Z</t>
        </is>
      </c>
      <c r="C969" s="24" t="inlineStr">
        <is>
          <t>2026-09-06T16:30Z</t>
        </is>
      </c>
      <c r="D969" s="24" t="inlineStr">
        <is>
          <t>189-2026:182571</t>
        </is>
      </c>
      <c r="E969" s="24" t="inlineStr">
        <is>
          <t>TENNIS</t>
        </is>
      </c>
      <c r="F969" s="24" t="inlineStr">
        <is>
          <t>Linda Noskova</t>
        </is>
      </c>
      <c r="G969" s="24" t="inlineStr">
        <is>
          <t>Marta Kostyuk</t>
        </is>
      </c>
      <c r="H969" s="24" t="inlineStr">
        <is>
          <t>moneyline</t>
        </is>
      </c>
      <c r="I969" s="24" t="inlineStr">
        <is>
          <t>home</t>
        </is>
      </c>
      <c r="J969" s="25" t="n"/>
      <c r="K969" s="24" t="inlineStr">
        <is>
          <t>polymarket_us</t>
        </is>
      </c>
      <c r="L969" s="26" t="n">
        <v>-138</v>
      </c>
      <c r="M969" s="27" t="n">
        <v>1.724638</v>
      </c>
      <c r="N969" s="28" t="n">
        <v>0.579832</v>
      </c>
      <c r="O969" s="28" t="n">
        <v>0.5659</v>
      </c>
      <c r="P969" s="28" t="n">
        <v>0.05</v>
      </c>
      <c r="Q969" s="28" t="n">
        <v>-0.013932</v>
      </c>
      <c r="R969" s="26" t="n">
        <v>13</v>
      </c>
      <c r="S969" s="29" t="n">
        <v>1</v>
      </c>
      <c r="T969" s="24" t="inlineStr">
        <is>
          <t>tennis-surface-elo-v1</t>
        </is>
      </c>
      <c r="U969" s="24" t="inlineStr">
        <is>
          <t>settled</t>
        </is>
      </c>
      <c r="V969" s="24" t="inlineStr">
        <is>
          <t>loss</t>
        </is>
      </c>
      <c r="W969" s="26" t="n">
        <v>1</v>
      </c>
      <c r="X969" s="26" t="n">
        <v>0</v>
      </c>
      <c r="Y969" s="25" t="n"/>
      <c r="Z969" s="26" t="n">
        <v>-138</v>
      </c>
      <c r="AA969" s="28" t="n">
        <v>0.58</v>
      </c>
      <c r="AB969" s="28" t="n">
        <v>0.000168</v>
      </c>
      <c r="AC969" s="30" t="n">
        <v>-1</v>
      </c>
      <c r="AD969" s="24" t="inlineStr">
        <is>
          <t>2026-09-06T22:01:35.458187Z</t>
        </is>
      </c>
      <c r="AE969" s="31" t="inlineStr">
        <is>
          <t>Surface-blended Elo on Hard: Linda Noskova p=0.434 vs Marta Kostyuk. Executable ask 0.5800 (aec-wta-markos-linnos-2026-09-06).</t>
        </is>
      </c>
      <c r="AF969" s="31" t="inlineStr">
        <is>
          <t>Surface-blended Elo model; singles only, WTA+ATP market coverage, not yet locked-holdout qualified -- promoted by explicit operator directive, not genuine walk-forward validation.</t>
        </is>
      </c>
      <c r="AG969" s="24" t="inlineStr">
        <is>
          <t>review_required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Linda Noskova</t>
        </is>
      </c>
      <c r="AQ969" s="24" t="inlineStr">
        <is>
          <t>Linda Noskova</t>
        </is>
      </c>
      <c r="AR969" s="24" t="inlineStr">
        <is>
          <t>Linda Noskova</t>
        </is>
      </c>
      <c r="AS969" s="24" t="inlineStr">
        <is>
          <t>Marta Kostyuk</t>
        </is>
      </c>
      <c r="AT969" s="24" t="inlineStr">
        <is>
          <t>Marta Kostyuk</t>
        </is>
      </c>
      <c r="AU969" s="24" t="inlineStr">
        <is>
          <t>Marta Kostyuk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0ce66f49b381187fe6255a40ca2fdbfc155d5e36125ccf6d30fe81a72962eafa</t>
        </is>
      </c>
      <c r="BB969" s="24" t="inlineStr">
        <is>
          <t>surface_blended_elo</t>
        </is>
      </c>
      <c r="BC969" s="24" t="inlineStr">
        <is>
          <t>tennis-surface-elo-v1</t>
        </is>
      </c>
      <c r="BD969" s="24" t="inlineStr">
        <is>
          <t>0ce66f49b381187fe6255a40ca2fdbfc155d5e36125ccf6d30fe81a72962eafa</t>
        </is>
      </c>
      <c r="BE969" s="24" t="inlineStr">
        <is>
          <t>tennis-surface-elo-v1</t>
        </is>
      </c>
      <c r="BF969" s="24" t="inlineStr">
        <is>
          <t>1</t>
        </is>
      </c>
      <c r="BG969" s="24" t="inlineStr">
        <is>
          <t>0ce66f49b381187fe6255a40ca2fdbfc155d5e36125ccf6d30fe81a72962eafa</t>
        </is>
      </c>
      <c r="BH969" s="24" t="inlineStr">
        <is>
          <t>2026-09-06T16:02:32.272692Z</t>
        </is>
      </c>
      <c r="BI969" s="24" t="inlineStr">
        <is>
          <t>["same_event","same_team_same_day","same_league_same_day"]</t>
        </is>
      </c>
      <c r="BJ969" s="25" t="n"/>
      <c r="BK969" s="26" t="n">
        <v>-138</v>
      </c>
      <c r="BL969" s="27" t="n">
        <v>1.724638</v>
      </c>
      <c r="BM969" s="28" t="n">
        <v>0.579832</v>
      </c>
      <c r="BN969" s="28" t="n"/>
      <c r="BO969" s="28" t="n"/>
      <c r="BP969" s="25" t="n"/>
      <c r="BQ969" s="27" t="n">
        <v>1.724638</v>
      </c>
      <c r="BR969" s="28" t="n">
        <v>0.58</v>
      </c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False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inlineStr">
        <is>
          <t>6018661262709fed2c8f77c3c37cbca8dadf4c38b1b66f582d093297b588c0bb</t>
        </is>
      </c>
      <c r="DE969" s="24" t="inlineStr">
        <is>
          <t>/Users/vincentc9002/model-prediction/data/odds/tennis/2026-09-06/polymarket_snapshots.jsonl</t>
        </is>
      </c>
      <c r="DF969" s="24" t="inlineStr">
        <is>
          <t>676672:2026-09-06T16:02:32.272692Z</t>
        </is>
      </c>
      <c r="DG969" s="24" t="n"/>
      <c r="DH969" s="24" t="n"/>
      <c r="DI969" s="24" t="n"/>
      <c r="DJ969" s="24" t="inlineStr">
        <is>
          <t>0.579832</t>
        </is>
      </c>
      <c r="DK969" s="24" t="n"/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ad847fd3cd27476b</t>
        </is>
      </c>
      <c r="B970" s="24" t="inlineStr">
        <is>
          <t>2026-09-06T16:03:12.878161Z</t>
        </is>
      </c>
      <c r="C970" s="24" t="inlineStr">
        <is>
          <t>2026-09-06T21:00Z</t>
        </is>
      </c>
      <c r="D970" s="24" t="inlineStr">
        <is>
          <t>189-2026:182582</t>
        </is>
      </c>
      <c r="E970" s="24" t="inlineStr">
        <is>
          <t>TENNIS</t>
        </is>
      </c>
      <c r="F970" s="24" t="inlineStr">
        <is>
          <t>Sorana Cirstea</t>
        </is>
      </c>
      <c r="G970" s="24" t="inlineStr">
        <is>
          <t>Jessica Pegula</t>
        </is>
      </c>
      <c r="H970" s="24" t="inlineStr">
        <is>
          <t>moneyline</t>
        </is>
      </c>
      <c r="I970" s="24" t="inlineStr">
        <is>
          <t>home</t>
        </is>
      </c>
      <c r="J970" s="25" t="n"/>
      <c r="K970" s="24" t="inlineStr">
        <is>
          <t>polymarket_us</t>
        </is>
      </c>
      <c r="L970" s="26" t="n">
        <v>-257</v>
      </c>
      <c r="M970" s="27" t="n">
        <v>1.389105</v>
      </c>
      <c r="N970" s="28" t="n">
        <v>0.719888</v>
      </c>
      <c r="O970" s="28" t="n">
        <v>0.7429</v>
      </c>
      <c r="P970" s="28" t="n">
        <v>0.05</v>
      </c>
      <c r="Q970" s="28" t="n">
        <v>0.023012</v>
      </c>
      <c r="R970" s="26" t="n">
        <v>32</v>
      </c>
      <c r="S970" s="29" t="n">
        <v>1</v>
      </c>
      <c r="T970" s="24" t="inlineStr">
        <is>
          <t>tennis-surface-elo-v1</t>
        </is>
      </c>
      <c r="U970" s="24" t="inlineStr">
        <is>
          <t>settled</t>
        </is>
      </c>
      <c r="V970" s="24" t="inlineStr">
        <is>
          <t>win</t>
        </is>
      </c>
      <c r="W970" s="26" t="n">
        <v>0</v>
      </c>
      <c r="X970" s="26" t="n">
        <v>1</v>
      </c>
      <c r="Y970" s="25" t="n"/>
      <c r="Z970" s="26" t="n">
        <v>-257</v>
      </c>
      <c r="AA970" s="28" t="n">
        <v>0.72</v>
      </c>
      <c r="AB970" s="28" t="n">
        <v>0.000112</v>
      </c>
      <c r="AC970" s="30" t="n">
        <v>0.3891</v>
      </c>
      <c r="AD970" s="24" t="inlineStr">
        <is>
          <t>2026-09-07T04:30:58.552021Z</t>
        </is>
      </c>
      <c r="AE970" s="31" t="inlineStr">
        <is>
          <t>Surface-blended Elo on Hard: Sorana Cirstea p=0.257 vs Jessica Pegula. Executable ask 0.7200 (aec-wta-jespeg-sorcir-2026-09-06).</t>
        </is>
      </c>
      <c r="AF970" s="31" t="inlineStr">
        <is>
          <t>Surface-blended Elo model; singles only, WTA+ATP market coverage, not yet locked-holdout qualified -- promoted by explicit operator directive, not genuine walk-forward validation.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paper_call</t>
        </is>
      </c>
      <c r="AL970" s="26" t="n">
        <v>4</v>
      </c>
      <c r="AM970" s="24" t="inlineStr">
        <is>
          <t>RESEARCH_OBSERVATION</t>
        </is>
      </c>
      <c r="AN970" s="24" t="inlineStr">
        <is>
          <t>CALL</t>
        </is>
      </c>
      <c r="AO970" s="24" t="inlineStr">
        <is>
          <t>PAPER_CALL_LOW_EDGE</t>
        </is>
      </c>
      <c r="AP970" s="24" t="inlineStr">
        <is>
          <t>Sorana Cirstea</t>
        </is>
      </c>
      <c r="AQ970" s="24" t="inlineStr">
        <is>
          <t>Sorana Cirstea</t>
        </is>
      </c>
      <c r="AR970" s="24" t="inlineStr">
        <is>
          <t>Sorana Cirstea</t>
        </is>
      </c>
      <c r="AS970" s="24" t="inlineStr">
        <is>
          <t>Jessica Pegula</t>
        </is>
      </c>
      <c r="AT970" s="24" t="inlineStr">
        <is>
          <t>Jessica Pegula</t>
        </is>
      </c>
      <c r="AU970" s="24" t="inlineStr">
        <is>
          <t>Jessica Pegula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0ce66f49b381187fe6255a40ca2fdbfc155d5e36125ccf6d30fe81a72962eafa</t>
        </is>
      </c>
      <c r="BB970" s="24" t="inlineStr">
        <is>
          <t>surface_blended_elo</t>
        </is>
      </c>
      <c r="BC970" s="24" t="inlineStr">
        <is>
          <t>tennis-surface-elo-v1</t>
        </is>
      </c>
      <c r="BD970" s="24" t="inlineStr">
        <is>
          <t>0ce66f49b381187fe6255a40ca2fdbfc155d5e36125ccf6d30fe81a72962eafa</t>
        </is>
      </c>
      <c r="BE970" s="24" t="inlineStr">
        <is>
          <t>tennis-surface-elo-v1</t>
        </is>
      </c>
      <c r="BF970" s="24" t="inlineStr">
        <is>
          <t>1</t>
        </is>
      </c>
      <c r="BG970" s="24" t="inlineStr">
        <is>
          <t>0ce66f49b381187fe6255a40ca2fdbfc155d5e36125ccf6d30fe81a72962eafa</t>
        </is>
      </c>
      <c r="BH970" s="24" t="inlineStr">
        <is>
          <t>2026-09-06T16:02:32.373035Z</t>
        </is>
      </c>
      <c r="BI970" s="24" t="inlineStr">
        <is>
          <t>["same_event","same_team_same_day","same_league_same_day"]</t>
        </is>
      </c>
      <c r="BJ970" s="25" t="n"/>
      <c r="BK970" s="26" t="n">
        <v>-257</v>
      </c>
      <c r="BL970" s="27" t="n">
        <v>1.389105</v>
      </c>
      <c r="BM970" s="28" t="n">
        <v>0.719888</v>
      </c>
      <c r="BN970" s="28" t="n"/>
      <c r="BO970" s="28" t="n"/>
      <c r="BP970" s="25" t="n"/>
      <c r="BQ970" s="27" t="n">
        <v>1.389105</v>
      </c>
      <c r="BR970" s="28" t="n">
        <v>0.72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True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inlineStr">
        <is>
          <t>0407f1e4f5353fb0356cfe6f08cca28a401a8b51cf703c32499659aa8682c12c</t>
        </is>
      </c>
      <c r="DE970" s="24" t="inlineStr">
        <is>
          <t>/Users/vincentc9002/model-prediction/data/odds/tennis/2026-09-06/polymarket_snapshots.jsonl</t>
        </is>
      </c>
      <c r="DF970" s="24" t="inlineStr">
        <is>
          <t>673558:2026-09-06T16:02:32.373035Z</t>
        </is>
      </c>
      <c r="DG970" s="24" t="n"/>
      <c r="DH970" s="24" t="n"/>
      <c r="DI970" s="24" t="n"/>
      <c r="DJ970" s="24" t="inlineStr">
        <is>
          <t>0.719888</t>
        </is>
      </c>
      <c r="DK970" s="24" t="n"/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3951a0db3b5c4fb2</t>
        </is>
      </c>
      <c r="B971" s="24" t="inlineStr">
        <is>
          <t>2026-09-06T16:03:12.878161Z</t>
        </is>
      </c>
      <c r="C971" s="24" t="inlineStr">
        <is>
          <t>2026-09-06T18:00Z</t>
        </is>
      </c>
      <c r="D971" s="24" t="inlineStr">
        <is>
          <t>189-2026:182724</t>
        </is>
      </c>
      <c r="E971" s="24" t="inlineStr">
        <is>
          <t>TENNIS</t>
        </is>
      </c>
      <c r="F971" s="24" t="inlineStr">
        <is>
          <t>Carlos Alcaraz</t>
        </is>
      </c>
      <c r="G971" s="24" t="inlineStr">
        <is>
          <t>Tommy Paul</t>
        </is>
      </c>
      <c r="H971" s="24" t="inlineStr">
        <is>
          <t>moneyline</t>
        </is>
      </c>
      <c r="I971" s="24" t="inlineStr">
        <is>
          <t>away</t>
        </is>
      </c>
      <c r="J971" s="25" t="n"/>
      <c r="K971" s="24" t="inlineStr">
        <is>
          <t>polymarket_us</t>
        </is>
      </c>
      <c r="L971" s="26" t="n">
        <v>-413</v>
      </c>
      <c r="M971" s="27" t="n">
        <v>1.242131</v>
      </c>
      <c r="N971" s="28" t="n">
        <v>0.805068</v>
      </c>
      <c r="O971" s="28" t="n">
        <v>0.7544999999999999</v>
      </c>
      <c r="P971" s="28" t="n">
        <v>0.05</v>
      </c>
      <c r="Q971" s="28" t="n">
        <v>-0.050568</v>
      </c>
      <c r="R971" s="26" t="n">
        <v>0</v>
      </c>
      <c r="S971" s="29" t="n">
        <v>1</v>
      </c>
      <c r="T971" s="24" t="inlineStr">
        <is>
          <t>tennis-surface-elo-v1</t>
        </is>
      </c>
      <c r="U971" s="24" t="inlineStr">
        <is>
          <t>settled</t>
        </is>
      </c>
      <c r="V971" s="24" t="inlineStr">
        <is>
          <t>win</t>
        </is>
      </c>
      <c r="W971" s="26" t="n">
        <v>1</v>
      </c>
      <c r="X971" s="26" t="n">
        <v>0</v>
      </c>
      <c r="Y971" s="25" t="n"/>
      <c r="Z971" s="26" t="n">
        <v>-413</v>
      </c>
      <c r="AA971" s="28" t="n">
        <v>0.805</v>
      </c>
      <c r="AB971" s="28" t="n">
        <v>-6.8e-05</v>
      </c>
      <c r="AC971" s="30" t="n">
        <v>0.2421</v>
      </c>
      <c r="AD971" s="24" t="inlineStr">
        <is>
          <t>2026-09-06T22:01:35.858540Z</t>
        </is>
      </c>
      <c r="AE971" s="31" t="inlineStr">
        <is>
          <t>Surface-blended Elo on Hard: Carlos Alcaraz p=0.754 vs Tommy Paul. Executable ask 0.8050 (aec-atp-tompau-caralc-2026-09-06).</t>
        </is>
      </c>
      <c r="AF971" s="31" t="inlineStr">
        <is>
          <t>Surface-blended Elo model; singles only, WTA+ATP market coverage, not yet locked-holdout qualified -- promoted by explicit operator directive, not genuine walk-forward validation.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PAPER_CALL_LOW_EDGE</t>
        </is>
      </c>
      <c r="AP971" s="24" t="inlineStr">
        <is>
          <t>Carlos Alcaraz</t>
        </is>
      </c>
      <c r="AQ971" s="24" t="inlineStr">
        <is>
          <t>Carlos Alcaraz</t>
        </is>
      </c>
      <c r="AR971" s="24" t="inlineStr">
        <is>
          <t>Carlos Alcaraz</t>
        </is>
      </c>
      <c r="AS971" s="24" t="inlineStr">
        <is>
          <t>Tommy Paul</t>
        </is>
      </c>
      <c r="AT971" s="24" t="inlineStr">
        <is>
          <t>Tommy Paul</t>
        </is>
      </c>
      <c r="AU971" s="24" t="inlineStr">
        <is>
          <t>Tommy Paul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shadow_qualified</t>
        </is>
      </c>
      <c r="BA971" s="24" t="inlineStr">
        <is>
          <t>0ce66f49b381187fe6255a40ca2fdbfc155d5e36125ccf6d30fe81a72962eafa</t>
        </is>
      </c>
      <c r="BB971" s="24" t="inlineStr">
        <is>
          <t>surface_blended_elo</t>
        </is>
      </c>
      <c r="BC971" s="24" t="inlineStr">
        <is>
          <t>tennis-surface-elo-v1</t>
        </is>
      </c>
      <c r="BD971" s="24" t="inlineStr">
        <is>
          <t>0ce66f49b381187fe6255a40ca2fdbfc155d5e36125ccf6d30fe81a72962eafa</t>
        </is>
      </c>
      <c r="BE971" s="24" t="inlineStr">
        <is>
          <t>tennis-surface-elo-v1</t>
        </is>
      </c>
      <c r="BF971" s="24" t="inlineStr">
        <is>
          <t>1</t>
        </is>
      </c>
      <c r="BG971" s="24" t="inlineStr">
        <is>
          <t>0ce66f49b381187fe6255a40ca2fdbfc155d5e36125ccf6d30fe81a72962eafa</t>
        </is>
      </c>
      <c r="BH971" s="24" t="inlineStr">
        <is>
          <t>2026-09-06T16:02:33.182051Z</t>
        </is>
      </c>
      <c r="BI971" s="24" t="inlineStr">
        <is>
          <t>["same_event","same_team_same_day","same_league_same_day"]</t>
        </is>
      </c>
      <c r="BJ971" s="25" t="n"/>
      <c r="BK971" s="26" t="n">
        <v>-413</v>
      </c>
      <c r="BL971" s="27" t="n">
        <v>1.242131</v>
      </c>
      <c r="BM971" s="28" t="n">
        <v>0.805068</v>
      </c>
      <c r="BN971" s="28" t="n"/>
      <c r="BO971" s="28" t="n"/>
      <c r="BP971" s="25" t="n"/>
      <c r="BQ971" s="27" t="n">
        <v>1.242131</v>
      </c>
      <c r="BR971" s="28" t="n">
        <v>0.805</v>
      </c>
      <c r="BS971" s="28" t="n"/>
      <c r="BT971" s="28" t="n"/>
      <c r="BU971" s="25" t="n"/>
      <c r="BV971" s="29" t="n"/>
      <c r="BW971" s="24" t="n"/>
      <c r="BX971" s="30" t="n"/>
      <c r="BY971" s="27" t="n"/>
      <c r="BZ971" s="24" t="n"/>
      <c r="CA971" s="31" t="n"/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False</t>
        </is>
      </c>
      <c r="CT971" s="24" t="n"/>
      <c r="CU971" s="24" t="n"/>
      <c r="CV971" s="24" t="n"/>
      <c r="CW971" s="24" t="n"/>
      <c r="CX971" s="24" t="n"/>
      <c r="CY971" s="24" t="n"/>
      <c r="CZ971" s="24" t="n"/>
      <c r="DA971" s="24" t="n"/>
      <c r="DB971" s="24" t="n"/>
      <c r="DC971" s="24" t="n"/>
      <c r="DD971" s="24" t="inlineStr">
        <is>
          <t>0fea28ba437de992f6bd0b12d926e1cfcefa514e0b54df190e22884c25c76458</t>
        </is>
      </c>
      <c r="DE971" s="24" t="inlineStr">
        <is>
          <t>/Users/vincentc9002/model-prediction/data/odds/tennis/2026-09-06/polymarket_snapshots.jsonl</t>
        </is>
      </c>
      <c r="DF971" s="24" t="inlineStr">
        <is>
          <t>676737:2026-09-06T16:02:33.182051Z</t>
        </is>
      </c>
      <c r="DG971" s="24" t="n"/>
      <c r="DH971" s="24" t="n"/>
      <c r="DI971" s="24" t="n"/>
      <c r="DJ971" s="24" t="inlineStr">
        <is>
          <t>0.805068</t>
        </is>
      </c>
      <c r="DK971" s="24" t="n"/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e02d1fbf4df5472a</t>
        </is>
      </c>
      <c r="B972" s="24" t="inlineStr">
        <is>
          <t>2026-09-06T16:03:12.878161Z</t>
        </is>
      </c>
      <c r="C972" s="24" t="inlineStr">
        <is>
          <t>2026-09-06T18:30Z</t>
        </is>
      </c>
      <c r="D972" s="24" t="inlineStr">
        <is>
          <t>189-2026:182717</t>
        </is>
      </c>
      <c r="E972" s="24" t="inlineStr">
        <is>
          <t>TENNIS</t>
        </is>
      </c>
      <c r="F972" s="24" t="inlineStr">
        <is>
          <t>Tomas Martin Etcheverry</t>
        </is>
      </c>
      <c r="G972" s="24" t="inlineStr">
        <is>
          <t>Alex Michelsen</t>
        </is>
      </c>
      <c r="H972" s="24" t="inlineStr">
        <is>
          <t>moneyline</t>
        </is>
      </c>
      <c r="I972" s="24" t="inlineStr">
        <is>
          <t>home</t>
        </is>
      </c>
      <c r="J972" s="25" t="n"/>
      <c r="K972" s="24" t="inlineStr">
        <is>
          <t>polymarket_us</t>
        </is>
      </c>
      <c r="L972" s="26" t="n">
        <v>-257</v>
      </c>
      <c r="M972" s="27" t="n">
        <v>1.389105</v>
      </c>
      <c r="N972" s="28" t="n">
        <v>0.719888</v>
      </c>
      <c r="O972" s="28" t="n">
        <v>0.5725</v>
      </c>
      <c r="P972" s="28" t="n">
        <v>0.05</v>
      </c>
      <c r="Q972" s="28" t="n">
        <v>-0.147388</v>
      </c>
      <c r="R972" s="26" t="n">
        <v>0</v>
      </c>
      <c r="S972" s="29" t="n">
        <v>1</v>
      </c>
      <c r="T972" s="24" t="inlineStr">
        <is>
          <t>tennis-surface-elo-v1</t>
        </is>
      </c>
      <c r="U972" s="24" t="inlineStr">
        <is>
          <t>settled</t>
        </is>
      </c>
      <c r="V972" s="24" t="inlineStr">
        <is>
          <t>win</t>
        </is>
      </c>
      <c r="W972" s="26" t="n">
        <v>0</v>
      </c>
      <c r="X972" s="26" t="n">
        <v>1</v>
      </c>
      <c r="Y972" s="25" t="n"/>
      <c r="Z972" s="26" t="n">
        <v>-257</v>
      </c>
      <c r="AA972" s="28" t="n">
        <v>0.72</v>
      </c>
      <c r="AB972" s="28" t="n">
        <v>0.000112</v>
      </c>
      <c r="AC972" s="30" t="n">
        <v>0.3891</v>
      </c>
      <c r="AD972" s="24" t="inlineStr">
        <is>
          <t>2026-09-07T04:30:58.971909Z</t>
        </is>
      </c>
      <c r="AE972" s="31" t="inlineStr">
        <is>
          <t>Surface-blended Elo on Hard: Tomas Martin Etcheverry p=0.427 vs Alex Michelsen. Executable ask 0.7200 (aec-atp-alemic-tometc-2026-09-06).</t>
        </is>
      </c>
      <c r="AF972" s="31" t="inlineStr">
        <is>
          <t>Surface-blended Elo model; singles only, WTA+ATP market coverage, not yet locked-holdout qualified -- promoted by explicit operator directive, not genuine walk-forward validation.</t>
        </is>
      </c>
      <c r="AG972" s="24" t="inlineStr">
        <is>
          <t>not_applicable</t>
        </is>
      </c>
      <c r="AH972" s="24" t="n"/>
      <c r="AI972" s="31" t="n"/>
      <c r="AJ972" s="31" t="n"/>
      <c r="AK972" s="24" t="inlineStr">
        <is>
          <t>paper_call</t>
        </is>
      </c>
      <c r="AL972" s="26" t="n">
        <v>4</v>
      </c>
      <c r="AM972" s="24" t="inlineStr">
        <is>
          <t>RESEARCH_OBSERVATION</t>
        </is>
      </c>
      <c r="AN972" s="24" t="inlineStr">
        <is>
          <t>CALL</t>
        </is>
      </c>
      <c r="AO972" s="24" t="inlineStr">
        <is>
          <t>PAPER_CALL_LOW_EDGE</t>
        </is>
      </c>
      <c r="AP972" s="24" t="inlineStr">
        <is>
          <t>Tomas Martin Etcheverry</t>
        </is>
      </c>
      <c r="AQ972" s="24" t="inlineStr">
        <is>
          <t>Tomas Martin Etcheverry</t>
        </is>
      </c>
      <c r="AR972" s="24" t="inlineStr">
        <is>
          <t>Tomas Martin Etcheverry</t>
        </is>
      </c>
      <c r="AS972" s="24" t="inlineStr">
        <is>
          <t>Alex Michelsen</t>
        </is>
      </c>
      <c r="AT972" s="24" t="inlineStr">
        <is>
          <t>Alex Michelsen</t>
        </is>
      </c>
      <c r="AU972" s="24" t="inlineStr">
        <is>
          <t>Alex Michelsen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shadow_qualified</t>
        </is>
      </c>
      <c r="BA972" s="24" t="inlineStr">
        <is>
          <t>0ce66f49b381187fe6255a40ca2fdbfc155d5e36125ccf6d30fe81a72962eafa</t>
        </is>
      </c>
      <c r="BB972" s="24" t="inlineStr">
        <is>
          <t>surface_blended_elo</t>
        </is>
      </c>
      <c r="BC972" s="24" t="inlineStr">
        <is>
          <t>tennis-surface-elo-v1</t>
        </is>
      </c>
      <c r="BD972" s="24" t="inlineStr">
        <is>
          <t>0ce66f49b381187fe6255a40ca2fdbfc155d5e36125ccf6d30fe81a72962eafa</t>
        </is>
      </c>
      <c r="BE972" s="24" t="inlineStr">
        <is>
          <t>tennis-surface-elo-v1</t>
        </is>
      </c>
      <c r="BF972" s="24" t="inlineStr">
        <is>
          <t>1</t>
        </is>
      </c>
      <c r="BG972" s="24" t="inlineStr">
        <is>
          <t>0ce66f49b381187fe6255a40ca2fdbfc155d5e36125ccf6d30fe81a72962eafa</t>
        </is>
      </c>
      <c r="BH972" s="24" t="inlineStr">
        <is>
          <t>2026-09-06T16:02:33.360267Z</t>
        </is>
      </c>
      <c r="BI972" s="24" t="inlineStr">
        <is>
          <t>["same_event","same_team_same_day","same_league_same_day"]</t>
        </is>
      </c>
      <c r="BJ972" s="25" t="n"/>
      <c r="BK972" s="26" t="n">
        <v>-257</v>
      </c>
      <c r="BL972" s="27" t="n">
        <v>1.389105</v>
      </c>
      <c r="BM972" s="28" t="n">
        <v>0.719888</v>
      </c>
      <c r="BN972" s="28" t="n"/>
      <c r="BO972" s="28" t="n"/>
      <c r="BP972" s="25" t="n"/>
      <c r="BQ972" s="27" t="n">
        <v>1.389105</v>
      </c>
      <c r="BR972" s="28" t="n">
        <v>0.72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False</t>
        </is>
      </c>
      <c r="CT972" s="24" t="n"/>
      <c r="CU972" s="24" t="n"/>
      <c r="CV972" s="24" t="n"/>
      <c r="CW972" s="24" t="n"/>
      <c r="CX972" s="24" t="n"/>
      <c r="CY972" s="24" t="n"/>
      <c r="CZ972" s="24" t="n"/>
      <c r="DA972" s="24" t="n"/>
      <c r="DB972" s="24" t="n"/>
      <c r="DC972" s="24" t="n"/>
      <c r="DD972" s="24" t="inlineStr">
        <is>
          <t>10d983d6e7de68a3f45d8da70beee56a84eb56e3f2fb96e915870a0f5ad0d9fe</t>
        </is>
      </c>
      <c r="DE972" s="24" t="inlineStr">
        <is>
          <t>/Users/vincentc9002/model-prediction/data/odds/tennis/2026-09-06/polymarket_snapshots.jsonl</t>
        </is>
      </c>
      <c r="DF972" s="24" t="inlineStr">
        <is>
          <t>678068:2026-09-06T16:02:33.360267Z</t>
        </is>
      </c>
      <c r="DG972" s="24" t="n"/>
      <c r="DH972" s="24" t="n"/>
      <c r="DI972" s="24" t="n"/>
      <c r="DJ972" s="24" t="inlineStr">
        <is>
          <t>0.719888</t>
        </is>
      </c>
      <c r="DK972" s="24" t="n"/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75cc031ac8ed4a50</t>
        </is>
      </c>
      <c r="B973" s="24" t="inlineStr">
        <is>
          <t>2026-09-06T16:03:12.878161Z</t>
        </is>
      </c>
      <c r="C973" s="24" t="inlineStr">
        <is>
          <t>2026-09-06T19:00Z</t>
        </is>
      </c>
      <c r="D973" s="24" t="inlineStr">
        <is>
          <t>189-2026:182744</t>
        </is>
      </c>
      <c r="E973" s="24" t="inlineStr">
        <is>
          <t>TENNIS</t>
        </is>
      </c>
      <c r="F973" s="24" t="inlineStr">
        <is>
          <t>Frances Tiafoe</t>
        </is>
      </c>
      <c r="G973" s="24" t="inlineStr">
        <is>
          <t>Daniil Medvedev</t>
        </is>
      </c>
      <c r="H973" s="24" t="inlineStr">
        <is>
          <t>moneyline</t>
        </is>
      </c>
      <c r="I973" s="24" t="inlineStr">
        <is>
          <t>away</t>
        </is>
      </c>
      <c r="J973" s="25" t="n"/>
      <c r="K973" s="24" t="inlineStr">
        <is>
          <t>polymarket_us</t>
        </is>
      </c>
      <c r="L973" s="26" t="n">
        <v>153</v>
      </c>
      <c r="M973" s="27" t="n">
        <v>2.53</v>
      </c>
      <c r="N973" s="28" t="n">
        <v>0.395257</v>
      </c>
      <c r="O973" s="28" t="n">
        <v>0.5615</v>
      </c>
      <c r="P973" s="28" t="n">
        <v>0.05</v>
      </c>
      <c r="Q973" s="28" t="n">
        <v>0.166243</v>
      </c>
      <c r="R973" s="26" t="n">
        <v>100</v>
      </c>
      <c r="S973" s="29" t="n">
        <v>1.75</v>
      </c>
      <c r="T973" s="24" t="inlineStr">
        <is>
          <t>tennis-surface-elo-v1</t>
        </is>
      </c>
      <c r="U973" s="24" t="inlineStr">
        <is>
          <t>settled</t>
        </is>
      </c>
      <c r="V973" s="24" t="inlineStr">
        <is>
          <t>win</t>
        </is>
      </c>
      <c r="W973" s="26" t="n">
        <v>1</v>
      </c>
      <c r="X973" s="26" t="n">
        <v>0</v>
      </c>
      <c r="Y973" s="25" t="n"/>
      <c r="Z973" s="26" t="n">
        <v>153</v>
      </c>
      <c r="AA973" s="28" t="n">
        <v>0.395</v>
      </c>
      <c r="AB973" s="28" t="n">
        <v>-0.000257</v>
      </c>
      <c r="AC973" s="30" t="n">
        <v>2.6775</v>
      </c>
      <c r="AD973" s="24" t="inlineStr">
        <is>
          <t>2026-09-07T04:30:59.381986Z</t>
        </is>
      </c>
      <c r="AE973" s="31" t="inlineStr">
        <is>
          <t>Surface-blended Elo on Hard: Frances Tiafoe p=0.562 vs Daniil Medvedev. Executable ask 0.3950 (aec-atp-danmed-fratia-2026-09-06).</t>
        </is>
      </c>
      <c r="AF973" s="31" t="inlineStr">
        <is>
          <t>Surface-blended Elo model; singles only, WTA+ATP market coverage, not yet locked-holdout qualified -- promoted by explicit operator directive, not genuine walk-forward validation.</t>
        </is>
      </c>
      <c r="AG973" s="24" t="inlineStr">
        <is>
          <t>not_applicable</t>
        </is>
      </c>
      <c r="AH973" s="24" t="n"/>
      <c r="AI973" s="31" t="n"/>
      <c r="AJ973" s="31" t="n"/>
      <c r="AK973" s="24" t="inlineStr">
        <is>
          <t>model_qualified</t>
        </is>
      </c>
      <c r="AL973" s="26" t="n">
        <v>4</v>
      </c>
      <c r="AM973" s="24" t="inlineStr">
        <is>
          <t>QUALIFIED_SHADOW_CALL</t>
        </is>
      </c>
      <c r="AN973" s="24" t="inlineStr">
        <is>
          <t>CALL</t>
        </is>
      </c>
      <c r="AO973" s="24" t="inlineStr">
        <is>
          <t>QUALIFIED</t>
        </is>
      </c>
      <c r="AP973" s="24" t="inlineStr">
        <is>
          <t>Frances Tiafoe</t>
        </is>
      </c>
      <c r="AQ973" s="24" t="inlineStr">
        <is>
          <t>Frances Tiafoe</t>
        </is>
      </c>
      <c r="AR973" s="24" t="inlineStr">
        <is>
          <t>Frances Tiafoe</t>
        </is>
      </c>
      <c r="AS973" s="24" t="inlineStr">
        <is>
          <t>Daniil Medvedev</t>
        </is>
      </c>
      <c r="AT973" s="24" t="inlineStr">
        <is>
          <t>Daniil Medvedev</t>
        </is>
      </c>
      <c r="AU973" s="24" t="inlineStr">
        <is>
          <t>Daniil Medvedev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shadow_qualified</t>
        </is>
      </c>
      <c r="BA973" s="24" t="inlineStr">
        <is>
          <t>0ce66f49b381187fe6255a40ca2fdbfc155d5e36125ccf6d30fe81a72962eafa</t>
        </is>
      </c>
      <c r="BB973" s="24" t="inlineStr">
        <is>
          <t>surface_blended_elo</t>
        </is>
      </c>
      <c r="BC973" s="24" t="inlineStr">
        <is>
          <t>tennis-surface-elo-v1</t>
        </is>
      </c>
      <c r="BD973" s="24" t="inlineStr">
        <is>
          <t>0ce66f49b381187fe6255a40ca2fdbfc155d5e36125ccf6d30fe81a72962eafa</t>
        </is>
      </c>
      <c r="BE973" s="24" t="inlineStr">
        <is>
          <t>tennis-surface-elo-v1</t>
        </is>
      </c>
      <c r="BF973" s="24" t="inlineStr">
        <is>
          <t>1</t>
        </is>
      </c>
      <c r="BG973" s="24" t="inlineStr">
        <is>
          <t>0ce66f49b381187fe6255a40ca2fdbfc155d5e36125ccf6d30fe81a72962eafa</t>
        </is>
      </c>
      <c r="BH973" s="24" t="inlineStr">
        <is>
          <t>2026-09-06T16:02:33.521050Z</t>
        </is>
      </c>
      <c r="BI973" s="24" t="inlineStr">
        <is>
          <t>["same_event","same_team_same_day","same_league_same_day"]</t>
        </is>
      </c>
      <c r="BJ973" s="25" t="n"/>
      <c r="BK973" s="26" t="n">
        <v>153</v>
      </c>
      <c r="BL973" s="27" t="n">
        <v>2.53</v>
      </c>
      <c r="BM973" s="28" t="n">
        <v>0.395257</v>
      </c>
      <c r="BN973" s="28" t="n"/>
      <c r="BO973" s="28" t="n"/>
      <c r="BP973" s="25" t="n"/>
      <c r="BQ973" s="27" t="n">
        <v>2.53</v>
      </c>
      <c r="BR973" s="28" t="n">
        <v>0.395</v>
      </c>
      <c r="BS973" s="28" t="n"/>
      <c r="BT973" s="28" t="n"/>
      <c r="BU973" s="25" t="n"/>
      <c r="BV973" s="29" t="n"/>
      <c r="BW973" s="24" t="n"/>
      <c r="BX973" s="30" t="n"/>
      <c r="BY973" s="27" t="n"/>
      <c r="BZ973" s="24" t="n"/>
      <c r="CA973" s="31" t="n"/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n"/>
      <c r="CU973" s="24" t="n"/>
      <c r="CV973" s="24" t="n"/>
      <c r="CW973" s="24" t="n"/>
      <c r="CX973" s="24" t="n"/>
      <c r="CY973" s="24" t="n"/>
      <c r="CZ973" s="24" t="n"/>
      <c r="DA973" s="24" t="n"/>
      <c r="DB973" s="24" t="n"/>
      <c r="DC973" s="24" t="n"/>
      <c r="DD973" s="24" t="inlineStr">
        <is>
          <t>d5ce2ab70cdf75c767f50462385be98170aee95bcd712f314166a7e02756b55e</t>
        </is>
      </c>
      <c r="DE973" s="24" t="inlineStr">
        <is>
          <t>/Users/vincentc9002/model-prediction/data/odds/tennis/2026-09-06/polymarket_snapshots.jsonl</t>
        </is>
      </c>
      <c r="DF973" s="24" t="inlineStr">
        <is>
          <t>678150:2026-09-06T16:02:33.521050Z</t>
        </is>
      </c>
      <c r="DG973" s="24" t="n"/>
      <c r="DH973" s="24" t="n"/>
      <c r="DI973" s="24" t="n"/>
      <c r="DJ973" s="24" t="inlineStr">
        <is>
          <t>0.395257</t>
        </is>
      </c>
      <c r="DK973" s="24" t="n"/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346f5383633e4d84</t>
        </is>
      </c>
      <c r="B974" s="24" t="inlineStr">
        <is>
          <t>2026-09-06T22:03:59.969438Z</t>
        </is>
      </c>
      <c r="C974" s="24" t="inlineStr">
        <is>
          <t>2026-09-07T01:00Z</t>
        </is>
      </c>
      <c r="D974" s="24" t="inlineStr">
        <is>
          <t>189-2026:182588</t>
        </is>
      </c>
      <c r="E974" s="24" t="inlineStr">
        <is>
          <t>TENNIS</t>
        </is>
      </c>
      <c r="F974" s="24" t="inlineStr">
        <is>
          <t>Emma Navarro</t>
        </is>
      </c>
      <c r="G974" s="24" t="inlineStr">
        <is>
          <t>Anna Kalinskaya</t>
        </is>
      </c>
      <c r="H974" s="24" t="inlineStr">
        <is>
          <t>moneyline</t>
        </is>
      </c>
      <c r="I974" s="24" t="inlineStr">
        <is>
          <t>home</t>
        </is>
      </c>
      <c r="J974" s="25" t="n"/>
      <c r="K974" s="24" t="inlineStr">
        <is>
          <t>polymarket_us</t>
        </is>
      </c>
      <c r="L974" s="26" t="n">
        <v>-108</v>
      </c>
      <c r="M974" s="27" t="n">
        <v>1.925926</v>
      </c>
      <c r="N974" s="28" t="n">
        <v>0.519231</v>
      </c>
      <c r="O974" s="28" t="n">
        <v>0.5527</v>
      </c>
      <c r="P974" s="28" t="n">
        <v>0.05</v>
      </c>
      <c r="Q974" s="28" t="n">
        <v>0.033469</v>
      </c>
      <c r="R974" s="26" t="n">
        <v>37</v>
      </c>
      <c r="S974" s="29" t="n">
        <v>1</v>
      </c>
      <c r="T974" s="24" t="inlineStr">
        <is>
          <t>tennis-surface-elo-v1</t>
        </is>
      </c>
      <c r="U974" s="24" t="inlineStr">
        <is>
          <t>settled</t>
        </is>
      </c>
      <c r="V974" s="24" t="inlineStr">
        <is>
          <t>loss</t>
        </is>
      </c>
      <c r="W974" s="26" t="n">
        <v>1</v>
      </c>
      <c r="X974" s="26" t="n">
        <v>0</v>
      </c>
      <c r="Y974" s="25" t="n"/>
      <c r="Z974" s="26" t="n">
        <v>-108</v>
      </c>
      <c r="AA974" s="28" t="n">
        <v>0.52</v>
      </c>
      <c r="AB974" s="28" t="n">
        <v>0.000769</v>
      </c>
      <c r="AC974" s="30" t="n">
        <v>-1</v>
      </c>
      <c r="AD974" s="24" t="inlineStr">
        <is>
          <t>2026-09-07T04:31:04.220254Z</t>
        </is>
      </c>
      <c r="AE974" s="31" t="inlineStr">
        <is>
          <t>Surface-blended Elo on Hard: Emma Navarro p=0.447 vs Anna Kalinskaya. Executable ask 0.5200 (aec-wta-annkal-emmnav-2026-09-06).</t>
        </is>
      </c>
      <c r="AF974" s="31" t="inlineStr">
        <is>
          <t>Surface-blended Elo model; singles only, WTA+ATP market coverage, not yet locked-holdout qualified -- promoted by explicit operator directive, not genuine walk-forward validation.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paper_call</t>
        </is>
      </c>
      <c r="AL974" s="26" t="n">
        <v>4</v>
      </c>
      <c r="AM974" s="24" t="inlineStr">
        <is>
          <t>RESEARCH_OBSERVATION</t>
        </is>
      </c>
      <c r="AN974" s="24" t="inlineStr">
        <is>
          <t>CALL</t>
        </is>
      </c>
      <c r="AO974" s="24" t="inlineStr">
        <is>
          <t>PAPER_CALL_LOW_EDGE</t>
        </is>
      </c>
      <c r="AP974" s="24" t="inlineStr">
        <is>
          <t>Emma Navarro</t>
        </is>
      </c>
      <c r="AQ974" s="24" t="inlineStr">
        <is>
          <t>Emma Navarro</t>
        </is>
      </c>
      <c r="AR974" s="24" t="inlineStr">
        <is>
          <t>Emma Navarro</t>
        </is>
      </c>
      <c r="AS974" s="24" t="inlineStr">
        <is>
          <t>Anna Kalinskaya</t>
        </is>
      </c>
      <c r="AT974" s="24" t="inlineStr">
        <is>
          <t>Anna Kalinskaya</t>
        </is>
      </c>
      <c r="AU974" s="24" t="inlineStr">
        <is>
          <t>Anna Kalinskaya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shadow_qualified</t>
        </is>
      </c>
      <c r="BA974" s="24" t="inlineStr">
        <is>
          <t>0ce66f49b381187fe6255a40ca2fdbfc155d5e36125ccf6d30fe81a72962eafa</t>
        </is>
      </c>
      <c r="BB974" s="24" t="inlineStr">
        <is>
          <t>surface_blended_elo</t>
        </is>
      </c>
      <c r="BC974" s="24" t="inlineStr">
        <is>
          <t>tennis-surface-elo-v1</t>
        </is>
      </c>
      <c r="BD974" s="24" t="inlineStr">
        <is>
          <t>0ce66f49b381187fe6255a40ca2fdbfc155d5e36125ccf6d30fe81a72962eafa</t>
        </is>
      </c>
      <c r="BE974" s="24" t="inlineStr">
        <is>
          <t>tennis-surface-elo-v1</t>
        </is>
      </c>
      <c r="BF974" s="24" t="inlineStr">
        <is>
          <t>1</t>
        </is>
      </c>
      <c r="BG974" s="24" t="inlineStr">
        <is>
          <t>0ce66f49b381187fe6255a40ca2fdbfc155d5e36125ccf6d30fe81a72962eafa</t>
        </is>
      </c>
      <c r="BH974" s="24" t="inlineStr">
        <is>
          <t>2026-09-06T22:03:40.629686Z</t>
        </is>
      </c>
      <c r="BI974" s="24" t="inlineStr">
        <is>
          <t>["same_event","same_team_same_day","same_league_same_day"]</t>
        </is>
      </c>
      <c r="BJ974" s="25" t="n"/>
      <c r="BK974" s="26" t="n">
        <v>-108</v>
      </c>
      <c r="BL974" s="27" t="n">
        <v>1.925926</v>
      </c>
      <c r="BM974" s="28" t="n">
        <v>0.519231</v>
      </c>
      <c r="BN974" s="28" t="n"/>
      <c r="BO974" s="28" t="n"/>
      <c r="BP974" s="25" t="n"/>
      <c r="BQ974" s="27" t="n">
        <v>1.925926</v>
      </c>
      <c r="BR974" s="28" t="n">
        <v>0.52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n"/>
      <c r="CU974" s="24" t="n"/>
      <c r="CV974" s="24" t="n"/>
      <c r="CW974" s="24" t="n"/>
      <c r="CX974" s="24" t="n"/>
      <c r="CY974" s="24" t="n"/>
      <c r="CZ974" s="24" t="n"/>
      <c r="DA974" s="24" t="n"/>
      <c r="DB974" s="24" t="n"/>
      <c r="DC974" s="24" t="n"/>
      <c r="DD974" s="24" t="inlineStr">
        <is>
          <t>cfbde5ab4f359e9ca90e01300b802e48420c5819142f8306f5bcd4bf79ac5006</t>
        </is>
      </c>
      <c r="DE974" s="24" t="inlineStr">
        <is>
          <t>/Users/vincentc9002/model-prediction/data/odds/tennis/2026-09-06/polymarket_snapshots.jsonl</t>
        </is>
      </c>
      <c r="DF974" s="24" t="inlineStr">
        <is>
          <t>679405:2026-09-06T22:03:40.629686Z</t>
        </is>
      </c>
      <c r="DG974" s="24" t="n"/>
      <c r="DH974" s="24" t="n"/>
      <c r="DI974" s="24" t="n"/>
      <c r="DJ974" s="24" t="inlineStr">
        <is>
          <t>0.519231</t>
        </is>
      </c>
      <c r="DK974" s="24" t="n"/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b5ca88359cc54e3f</t>
        </is>
      </c>
      <c r="B975" s="24" t="inlineStr">
        <is>
          <t>2026-09-06T22:03:59.969438Z</t>
        </is>
      </c>
      <c r="C975" s="24" t="inlineStr">
        <is>
          <t>2026-09-06T23:00Z</t>
        </is>
      </c>
      <c r="D975" s="24" t="inlineStr">
        <is>
          <t>189-2026:182722</t>
        </is>
      </c>
      <c r="E975" s="24" t="inlineStr">
        <is>
          <t>TENNIS</t>
        </is>
      </c>
      <c r="F975" s="24" t="inlineStr">
        <is>
          <t>Stefanos Tsitsipas</t>
        </is>
      </c>
      <c r="G975" s="24" t="inlineStr">
        <is>
          <t>Ben Shelton</t>
        </is>
      </c>
      <c r="H975" s="24" t="inlineStr">
        <is>
          <t>moneyline</t>
        </is>
      </c>
      <c r="I975" s="24" t="inlineStr">
        <is>
          <t>home</t>
        </is>
      </c>
      <c r="J975" s="25" t="n"/>
      <c r="K975" s="24" t="inlineStr">
        <is>
          <t>polymarket_us</t>
        </is>
      </c>
      <c r="L975" s="26" t="n">
        <v>-257</v>
      </c>
      <c r="M975" s="27" t="n">
        <v>1.389105</v>
      </c>
      <c r="N975" s="28" t="n">
        <v>0.719888</v>
      </c>
      <c r="O975" s="28" t="n">
        <v>0.7351</v>
      </c>
      <c r="P975" s="28" t="n">
        <v>0.05</v>
      </c>
      <c r="Q975" s="28" t="n">
        <v>0.015212</v>
      </c>
      <c r="R975" s="26" t="n">
        <v>28</v>
      </c>
      <c r="S975" s="29" t="n">
        <v>1</v>
      </c>
      <c r="T975" s="24" t="inlineStr">
        <is>
          <t>tennis-surface-elo-v1</t>
        </is>
      </c>
      <c r="U975" s="24" t="inlineStr">
        <is>
          <t>settled</t>
        </is>
      </c>
      <c r="V975" s="24" t="inlineStr">
        <is>
          <t>win</t>
        </is>
      </c>
      <c r="W975" s="26" t="n">
        <v>0</v>
      </c>
      <c r="X975" s="26" t="n">
        <v>1</v>
      </c>
      <c r="Y975" s="25" t="n"/>
      <c r="Z975" s="26" t="n">
        <v>-257</v>
      </c>
      <c r="AA975" s="28" t="n">
        <v>0.72</v>
      </c>
      <c r="AB975" s="28" t="n">
        <v>0.000112</v>
      </c>
      <c r="AC975" s="30" t="n">
        <v>0.3891</v>
      </c>
      <c r="AD975" s="24" t="inlineStr">
        <is>
          <t>2026-09-07T04:31:04.631287Z</t>
        </is>
      </c>
      <c r="AE975" s="31" t="inlineStr">
        <is>
          <t>Surface-blended Elo on Hard: Stefanos Tsitsipas p=0.265 vs Ben Shelton. Executable ask 0.7200 (aec-atp-benshe-stetsi-2026-09-06).</t>
        </is>
      </c>
      <c r="AF975" s="31" t="inlineStr">
        <is>
          <t>Surface-blended Elo model; singles only, WTA+ATP market coverage, not yet locked-holdout qualified -- promoted by explicit operator directive, not genuine walk-forward validation.</t>
        </is>
      </c>
      <c r="AG975" s="24" t="inlineStr">
        <is>
          <t>not_applicable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PAPER_CALL_LOW_EDGE</t>
        </is>
      </c>
      <c r="AP975" s="24" t="inlineStr">
        <is>
          <t>Stefanos Tsitsipas</t>
        </is>
      </c>
      <c r="AQ975" s="24" t="inlineStr">
        <is>
          <t>Stefanos Tsitsipas</t>
        </is>
      </c>
      <c r="AR975" s="24" t="inlineStr">
        <is>
          <t>Stefanos Tsitsipas</t>
        </is>
      </c>
      <c r="AS975" s="24" t="inlineStr">
        <is>
          <t>Ben Shelton</t>
        </is>
      </c>
      <c r="AT975" s="24" t="inlineStr">
        <is>
          <t>Ben Shelton</t>
        </is>
      </c>
      <c r="AU975" s="24" t="inlineStr">
        <is>
          <t>Ben Shelton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shadow_qualified</t>
        </is>
      </c>
      <c r="BA975" s="24" t="inlineStr">
        <is>
          <t>0ce66f49b381187fe6255a40ca2fdbfc155d5e36125ccf6d30fe81a72962eafa</t>
        </is>
      </c>
      <c r="BB975" s="24" t="inlineStr">
        <is>
          <t>surface_blended_elo</t>
        </is>
      </c>
      <c r="BC975" s="24" t="inlineStr">
        <is>
          <t>tennis-surface-elo-v1</t>
        </is>
      </c>
      <c r="BD975" s="24" t="inlineStr">
        <is>
          <t>0ce66f49b381187fe6255a40ca2fdbfc155d5e36125ccf6d30fe81a72962eafa</t>
        </is>
      </c>
      <c r="BE975" s="24" t="inlineStr">
        <is>
          <t>tennis-surface-elo-v1</t>
        </is>
      </c>
      <c r="BF975" s="24" t="inlineStr">
        <is>
          <t>1</t>
        </is>
      </c>
      <c r="BG975" s="24" t="inlineStr">
        <is>
          <t>0ce66f49b381187fe6255a40ca2fdbfc155d5e36125ccf6d30fe81a72962eafa</t>
        </is>
      </c>
      <c r="BH975" s="24" t="inlineStr">
        <is>
          <t>2026-09-06T22:03:40.826277Z</t>
        </is>
      </c>
      <c r="BI975" s="24" t="inlineStr">
        <is>
          <t>["same_event","same_team_same_day","same_league_same_day"]</t>
        </is>
      </c>
      <c r="BJ975" s="25" t="n"/>
      <c r="BK975" s="26" t="n">
        <v>-257</v>
      </c>
      <c r="BL975" s="27" t="n">
        <v>1.389105</v>
      </c>
      <c r="BM975" s="28" t="n">
        <v>0.719888</v>
      </c>
      <c r="BN975" s="28" t="n"/>
      <c r="BO975" s="28" t="n"/>
      <c r="BP975" s="25" t="n"/>
      <c r="BQ975" s="27" t="n">
        <v>1.389105</v>
      </c>
      <c r="BR975" s="28" t="n">
        <v>0.72</v>
      </c>
      <c r="BS975" s="28" t="n"/>
      <c r="BT975" s="28" t="n"/>
      <c r="BU975" s="25" t="n"/>
      <c r="BV975" s="29" t="n"/>
      <c r="BW975" s="24" t="n"/>
      <c r="BX975" s="30" t="n"/>
      <c r="BY975" s="27" t="n"/>
      <c r="BZ975" s="24" t="n"/>
      <c r="CA975" s="31" t="n"/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n"/>
      <c r="CU975" s="24" t="n"/>
      <c r="CV975" s="24" t="n"/>
      <c r="CW975" s="24" t="n"/>
      <c r="CX975" s="24" t="n"/>
      <c r="CY975" s="24" t="n"/>
      <c r="CZ975" s="24" t="n"/>
      <c r="DA975" s="24" t="n"/>
      <c r="DB975" s="24" t="n"/>
      <c r="DC975" s="24" t="n"/>
      <c r="DD975" s="24" t="inlineStr">
        <is>
          <t>4432fb1dd153e23a84b57a90d5d1c3498c141ca50ebb34965baf9cf83153deff</t>
        </is>
      </c>
      <c r="DE975" s="24" t="inlineStr">
        <is>
          <t>/Users/vincentc9002/model-prediction/data/odds/tennis/2026-09-06/polymarket_snapshots.jsonl</t>
        </is>
      </c>
      <c r="DF975" s="24" t="inlineStr">
        <is>
          <t>681219:2026-09-06T22:03:40.826277Z</t>
        </is>
      </c>
      <c r="DG975" s="24" t="n"/>
      <c r="DH975" s="24" t="n"/>
      <c r="DI975" s="24" t="n"/>
      <c r="DJ975" s="24" t="inlineStr">
        <is>
          <t>0.719888</t>
        </is>
      </c>
      <c r="DK975" s="24" t="n"/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751b1182ed9a49a3</t>
        </is>
      </c>
      <c r="B976" s="24" t="inlineStr">
        <is>
          <t>2026-09-07T04:33:25.566147Z</t>
        </is>
      </c>
      <c r="C976" s="24" t="inlineStr">
        <is>
          <t>2026-09-07T08:30Z</t>
        </is>
      </c>
      <c r="D976" s="24" t="inlineStr">
        <is>
          <t>1076-2026:183530</t>
        </is>
      </c>
      <c r="E976" s="24" t="inlineStr">
        <is>
          <t>TENNIS</t>
        </is>
      </c>
      <c r="F976" s="24" t="inlineStr">
        <is>
          <t>Irene Burillo</t>
        </is>
      </c>
      <c r="G976" s="24" t="inlineStr">
        <is>
          <t>Lucia Bronzetti</t>
        </is>
      </c>
      <c r="H976" s="24" t="inlineStr">
        <is>
          <t>moneyline</t>
        </is>
      </c>
      <c r="I976" s="24" t="inlineStr">
        <is>
          <t>home</t>
        </is>
      </c>
      <c r="J976" s="25" t="n"/>
      <c r="K976" s="24" t="inlineStr">
        <is>
          <t>polymarket_us</t>
        </is>
      </c>
      <c r="L976" s="26" t="n">
        <v>-270</v>
      </c>
      <c r="M976" s="27" t="n">
        <v>1.37037</v>
      </c>
      <c r="N976" s="28" t="n">
        <v>0.72973</v>
      </c>
      <c r="O976" s="28" t="n">
        <v>0.7332</v>
      </c>
      <c r="P976" s="28" t="n">
        <v>0.05</v>
      </c>
      <c r="Q976" s="28" t="n">
        <v>0.00347</v>
      </c>
      <c r="R976" s="26" t="n">
        <v>22</v>
      </c>
      <c r="S976" s="29" t="n">
        <v>1</v>
      </c>
      <c r="T976" s="24" t="inlineStr">
        <is>
          <t>tennis-surface-elo-v1</t>
        </is>
      </c>
      <c r="U976" s="24" t="inlineStr">
        <is>
          <t>settled</t>
        </is>
      </c>
      <c r="V976" s="24" t="inlineStr">
        <is>
          <t>loss</t>
        </is>
      </c>
      <c r="W976" s="26" t="n">
        <v>1</v>
      </c>
      <c r="X976" s="26" t="n">
        <v>0</v>
      </c>
      <c r="Y976" s="25" t="n"/>
      <c r="Z976" s="26" t="n">
        <v>-270</v>
      </c>
      <c r="AA976" s="28" t="n">
        <v>0.73</v>
      </c>
      <c r="AB976" s="28" t="n">
        <v>0.00027</v>
      </c>
      <c r="AC976" s="30" t="n">
        <v>-1</v>
      </c>
      <c r="AD976" s="24" t="inlineStr">
        <is>
          <t>2026-09-07T16:00:30.088559Z</t>
        </is>
      </c>
      <c r="AE976" s="31" t="inlineStr">
        <is>
          <t>Surface-blended Elo on Hard: Irene Burillo p=0.267 vs Lucia Bronzetti. Executable ask 0.7300 (aec-wta-lucbro-ireesc-2026-09-07).</t>
        </is>
      </c>
      <c r="AF976" s="31" t="inlineStr">
        <is>
          <t>Surface-blended Elo model; singles only, WTA+ATP market coverage, not yet locked-holdout qualified -- promoted by explicit operator directive, not genuine walk-forward validation.</t>
        </is>
      </c>
      <c r="AG976" s="24" t="inlineStr">
        <is>
          <t>review_required</t>
        </is>
      </c>
      <c r="AH976" s="24" t="n"/>
      <c r="AI976" s="31" t="n"/>
      <c r="AJ976" s="31" t="n"/>
      <c r="AK976" s="24" t="inlineStr">
        <is>
          <t>paper_call</t>
        </is>
      </c>
      <c r="AL976" s="26" t="n">
        <v>4</v>
      </c>
      <c r="AM976" s="24" t="inlineStr">
        <is>
          <t>RESEARCH_OBSERVATION</t>
        </is>
      </c>
      <c r="AN976" s="24" t="inlineStr">
        <is>
          <t>CALL</t>
        </is>
      </c>
      <c r="AO976" s="24" t="inlineStr">
        <is>
          <t>PAPER_CALL_LOW_EDGE</t>
        </is>
      </c>
      <c r="AP976" s="24" t="inlineStr">
        <is>
          <t>Irene Burillo</t>
        </is>
      </c>
      <c r="AQ976" s="24" t="inlineStr">
        <is>
          <t>Irene Burillo</t>
        </is>
      </c>
      <c r="AR976" s="24" t="inlineStr">
        <is>
          <t>Irene Burillo</t>
        </is>
      </c>
      <c r="AS976" s="24" t="inlineStr">
        <is>
          <t>Lucia Bronzetti</t>
        </is>
      </c>
      <c r="AT976" s="24" t="inlineStr">
        <is>
          <t>Lucia Bronzetti</t>
        </is>
      </c>
      <c r="AU976" s="24" t="inlineStr">
        <is>
          <t>Lucia Bronzetti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shadow_qualified</t>
        </is>
      </c>
      <c r="BA976" s="24" t="inlineStr">
        <is>
          <t>0ce66f49b381187fe6255a40ca2fdbfc155d5e36125ccf6d30fe81a72962eafa</t>
        </is>
      </c>
      <c r="BB976" s="24" t="inlineStr">
        <is>
          <t>surface_blended_elo</t>
        </is>
      </c>
      <c r="BC976" s="24" t="inlineStr">
        <is>
          <t>tennis-surface-elo-v1</t>
        </is>
      </c>
      <c r="BD976" s="24" t="inlineStr">
        <is>
          <t>0ce66f49b381187fe6255a40ca2fdbfc155d5e36125ccf6d30fe81a72962eafa</t>
        </is>
      </c>
      <c r="BE976" s="24" t="inlineStr">
        <is>
          <t>tennis-surface-elo-v1</t>
        </is>
      </c>
      <c r="BF976" s="24" t="inlineStr">
        <is>
          <t>1</t>
        </is>
      </c>
      <c r="BG976" s="24" t="inlineStr">
        <is>
          <t>0ce66f49b381187fe6255a40ca2fdbfc155d5e36125ccf6d30fe81a72962eafa</t>
        </is>
      </c>
      <c r="BH976" s="24" t="inlineStr">
        <is>
          <t>2026-09-07T04:32:50.892793Z</t>
        </is>
      </c>
      <c r="BI976" s="24" t="inlineStr">
        <is>
          <t>["same_event","same_team_same_day","same_league_same_day"]</t>
        </is>
      </c>
      <c r="BJ976" s="25" t="n"/>
      <c r="BK976" s="26" t="n">
        <v>-270</v>
      </c>
      <c r="BL976" s="27" t="n">
        <v>1.37037</v>
      </c>
      <c r="BM976" s="28" t="n">
        <v>0.72973</v>
      </c>
      <c r="BN976" s="28" t="n"/>
      <c r="BO976" s="28" t="n"/>
      <c r="BP976" s="25" t="n"/>
      <c r="BQ976" s="27" t="n">
        <v>1.37037</v>
      </c>
      <c r="BR976" s="28" t="n">
        <v>0.73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n"/>
      <c r="CU976" s="24" t="n"/>
      <c r="CV976" s="24" t="n"/>
      <c r="CW976" s="24" t="n"/>
      <c r="CX976" s="24" t="n"/>
      <c r="CY976" s="24" t="n"/>
      <c r="CZ976" s="24" t="n"/>
      <c r="DA976" s="24" t="n"/>
      <c r="DB976" s="24" t="n"/>
      <c r="DC976" s="24" t="n"/>
      <c r="DD976" s="24" t="inlineStr">
        <is>
          <t>6486c6715254b61016e3a4fb113ffba27f90f5757f39fdfeed9a27e823803d06</t>
        </is>
      </c>
      <c r="DE976" s="24" t="inlineStr">
        <is>
          <t>/Users/vincentc9002/model-prediction/data/odds/tennis/2026-09-07/polymarket_snapshots.jsonl</t>
        </is>
      </c>
      <c r="DF976" s="24" t="inlineStr">
        <is>
          <t>707238:2026-09-07T04:32:50.892793Z</t>
        </is>
      </c>
      <c r="DG976" s="24" t="n"/>
      <c r="DH976" s="24" t="n"/>
      <c r="DI976" s="24" t="n"/>
      <c r="DJ976" s="24" t="inlineStr">
        <is>
          <t>0.72973</t>
        </is>
      </c>
      <c r="DK976" s="24" t="n"/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afa3c9e3ae694e8d</t>
        </is>
      </c>
      <c r="B977" s="24" t="inlineStr">
        <is>
          <t>2026-09-07T04:33:25.566147Z</t>
        </is>
      </c>
      <c r="C977" s="24" t="inlineStr">
        <is>
          <t>2026-09-07T08:30Z</t>
        </is>
      </c>
      <c r="D977" s="24" t="inlineStr">
        <is>
          <t>1076-2026:183540</t>
        </is>
      </c>
      <c r="E977" s="24" t="inlineStr">
        <is>
          <t>TENNIS</t>
        </is>
      </c>
      <c r="F977" s="24" t="inlineStr">
        <is>
          <t>Zhibek Kulambayeva</t>
        </is>
      </c>
      <c r="G977" s="24" t="inlineStr">
        <is>
          <t>Radka Zelnickova</t>
        </is>
      </c>
      <c r="H977" s="24" t="inlineStr">
        <is>
          <t>moneyline</t>
        </is>
      </c>
      <c r="I977" s="24" t="inlineStr">
        <is>
          <t>away</t>
        </is>
      </c>
      <c r="J977" s="25" t="n"/>
      <c r="K977" s="24" t="inlineStr">
        <is>
          <t>polymarket_us</t>
        </is>
      </c>
      <c r="L977" s="26" t="n">
        <v>-213</v>
      </c>
      <c r="M977" s="27" t="n">
        <v>1.469484</v>
      </c>
      <c r="N977" s="28" t="n">
        <v>0.680511</v>
      </c>
      <c r="O977" s="28" t="n">
        <v>0.5046</v>
      </c>
      <c r="P977" s="28" t="n">
        <v>0.05</v>
      </c>
      <c r="Q977" s="28" t="n">
        <v>-0.175911</v>
      </c>
      <c r="R977" s="26" t="n">
        <v>0</v>
      </c>
      <c r="S977" s="29" t="n">
        <v>1</v>
      </c>
      <c r="T977" s="24" t="inlineStr">
        <is>
          <t>tennis-surface-elo-v1</t>
        </is>
      </c>
      <c r="U977" s="24" t="inlineStr">
        <is>
          <t>settled</t>
        </is>
      </c>
      <c r="V977" s="24" t="inlineStr">
        <is>
          <t>win</t>
        </is>
      </c>
      <c r="W977" s="26" t="n">
        <v>1</v>
      </c>
      <c r="X977" s="26" t="n">
        <v>0</v>
      </c>
      <c r="Y977" s="25" t="n"/>
      <c r="Z977" s="26" t="n">
        <v>-213</v>
      </c>
      <c r="AA977" s="28" t="n">
        <v>0.68</v>
      </c>
      <c r="AB977" s="28" t="n">
        <v>-0.000511</v>
      </c>
      <c r="AC977" s="30" t="n">
        <v>0.4695</v>
      </c>
      <c r="AD977" s="24" t="inlineStr">
        <is>
          <t>2026-09-07T16:00:30.563338Z</t>
        </is>
      </c>
      <c r="AE977" s="31" t="inlineStr">
        <is>
          <t>Surface-blended Elo on Hard: Zhibek Kulambayeva p=0.505 vs Radka Zelnickova. Executable ask 0.6800 (aec-wta-radzel-zhikul-2026-09-07).</t>
        </is>
      </c>
      <c r="AF977" s="31" t="inlineStr">
        <is>
          <t>Surface-blended Elo model; singles only, WTA+ATP market coverage, not yet locked-holdout qualified -- promoted by explicit operator directive, not genuine walk-forward validation.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Zhibek Kulambayeva</t>
        </is>
      </c>
      <c r="AQ977" s="24" t="inlineStr">
        <is>
          <t>Zhibek Kulambayeva</t>
        </is>
      </c>
      <c r="AR977" s="24" t="inlineStr">
        <is>
          <t>Zhibek Kulambayeva</t>
        </is>
      </c>
      <c r="AS977" s="24" t="inlineStr">
        <is>
          <t>Radka Zelnickova</t>
        </is>
      </c>
      <c r="AT977" s="24" t="inlineStr">
        <is>
          <t>Radka Zelnickova</t>
        </is>
      </c>
      <c r="AU977" s="24" t="inlineStr">
        <is>
          <t>Radka Zelnickova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shadow_qualified</t>
        </is>
      </c>
      <c r="BA977" s="24" t="inlineStr">
        <is>
          <t>0ce66f49b381187fe6255a40ca2fdbfc155d5e36125ccf6d30fe81a72962eafa</t>
        </is>
      </c>
      <c r="BB977" s="24" t="inlineStr">
        <is>
          <t>surface_blended_elo</t>
        </is>
      </c>
      <c r="BC977" s="24" t="inlineStr">
        <is>
          <t>tennis-surface-elo-v1</t>
        </is>
      </c>
      <c r="BD977" s="24" t="inlineStr">
        <is>
          <t>0ce66f49b381187fe6255a40ca2fdbfc155d5e36125ccf6d30fe81a72962eafa</t>
        </is>
      </c>
      <c r="BE977" s="24" t="inlineStr">
        <is>
          <t>tennis-surface-elo-v1</t>
        </is>
      </c>
      <c r="BF977" s="24" t="inlineStr">
        <is>
          <t>1</t>
        </is>
      </c>
      <c r="BG977" s="24" t="inlineStr">
        <is>
          <t>0ce66f49b381187fe6255a40ca2fdbfc155d5e36125ccf6d30fe81a72962eafa</t>
        </is>
      </c>
      <c r="BH977" s="24" t="inlineStr">
        <is>
          <t>2026-09-07T04:32:50.893419Z</t>
        </is>
      </c>
      <c r="BI977" s="24" t="inlineStr">
        <is>
          <t>["same_event","same_team_same_day","same_league_same_day"]</t>
        </is>
      </c>
      <c r="BJ977" s="25" t="n"/>
      <c r="BK977" s="26" t="n">
        <v>-213</v>
      </c>
      <c r="BL977" s="27" t="n">
        <v>1.469484</v>
      </c>
      <c r="BM977" s="28" t="n">
        <v>0.680511</v>
      </c>
      <c r="BN977" s="28" t="n"/>
      <c r="BO977" s="28" t="n"/>
      <c r="BP977" s="25" t="n"/>
      <c r="BQ977" s="27" t="n">
        <v>1.469484</v>
      </c>
      <c r="BR977" s="28" t="n">
        <v>0.68</v>
      </c>
      <c r="BS977" s="28" t="n"/>
      <c r="BT977" s="28" t="n"/>
      <c r="BU977" s="25" t="n"/>
      <c r="BV977" s="29" t="n"/>
      <c r="BW977" s="24" t="n"/>
      <c r="BX977" s="30" t="n"/>
      <c r="BY977" s="27" t="n"/>
      <c r="BZ977" s="24" t="n"/>
      <c r="CA977" s="31" t="n"/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n"/>
      <c r="CU977" s="24" t="n"/>
      <c r="CV977" s="24" t="n"/>
      <c r="CW977" s="24" t="n"/>
      <c r="CX977" s="24" t="n"/>
      <c r="CY977" s="24" t="n"/>
      <c r="CZ977" s="24" t="n"/>
      <c r="DA977" s="24" t="n"/>
      <c r="DB977" s="24" t="n"/>
      <c r="DC977" s="24" t="n"/>
      <c r="DD977" s="24" t="inlineStr">
        <is>
          <t>073154d280b472089bad4afa41abc8e48e0d90a0c29b4de5c428d60470fa7d2c</t>
        </is>
      </c>
      <c r="DE977" s="24" t="inlineStr">
        <is>
          <t>/Users/vincentc9002/model-prediction/data/odds/tennis/2026-09-07/polymarket_snapshots.jsonl</t>
        </is>
      </c>
      <c r="DF977" s="24" t="inlineStr">
        <is>
          <t>710928:2026-09-07T04:32:50.893419Z</t>
        </is>
      </c>
      <c r="DG977" s="24" t="n"/>
      <c r="DH977" s="24" t="n"/>
      <c r="DI977" s="24" t="n"/>
      <c r="DJ977" s="24" t="inlineStr">
        <is>
          <t>0.680511</t>
        </is>
      </c>
      <c r="DK977" s="24" t="n"/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8290f91b1c964b01</t>
        </is>
      </c>
      <c r="B978" s="24" t="inlineStr">
        <is>
          <t>2026-09-07T04:33:25.566147Z</t>
        </is>
      </c>
      <c r="C978" s="24" t="inlineStr">
        <is>
          <t>2026-09-07T10:00Z</t>
        </is>
      </c>
      <c r="D978" s="24" t="inlineStr">
        <is>
          <t>1076-2026:183538</t>
        </is>
      </c>
      <c r="E978" s="24" t="inlineStr">
        <is>
          <t>TENNIS</t>
        </is>
      </c>
      <c r="F978" s="24" t="inlineStr">
        <is>
          <t>Elizara Yaneva</t>
        </is>
      </c>
      <c r="G978" s="24" t="inlineStr">
        <is>
          <t>Weronika Falkowska</t>
        </is>
      </c>
      <c r="H978" s="24" t="inlineStr">
        <is>
          <t>moneyline</t>
        </is>
      </c>
      <c r="I978" s="24" t="inlineStr">
        <is>
          <t>home</t>
        </is>
      </c>
      <c r="J978" s="25" t="n"/>
      <c r="K978" s="24" t="inlineStr">
        <is>
          <t>polymarket_us</t>
        </is>
      </c>
      <c r="L978" s="26" t="n">
        <v>257</v>
      </c>
      <c r="M978" s="27" t="n">
        <v>3.57</v>
      </c>
      <c r="N978" s="28" t="n">
        <v>0.280112</v>
      </c>
      <c r="O978" s="28" t="n">
        <v>0.5329</v>
      </c>
      <c r="P978" s="28" t="n">
        <v>0.05</v>
      </c>
      <c r="Q978" s="28" t="n">
        <v>0.252788</v>
      </c>
      <c r="R978" s="26" t="n">
        <v>100</v>
      </c>
      <c r="S978" s="29" t="n">
        <v>2</v>
      </c>
      <c r="T978" s="24" t="inlineStr">
        <is>
          <t>tennis-surface-elo-v1</t>
        </is>
      </c>
      <c r="U978" s="24" t="inlineStr">
        <is>
          <t>settled</t>
        </is>
      </c>
      <c r="V978" s="24" t="inlineStr">
        <is>
          <t>loss</t>
        </is>
      </c>
      <c r="W978" s="26" t="n">
        <v>1</v>
      </c>
      <c r="X978" s="26" t="n">
        <v>0</v>
      </c>
      <c r="Y978" s="25" t="n"/>
      <c r="Z978" s="26" t="n">
        <v>257</v>
      </c>
      <c r="AA978" s="28" t="n">
        <v>0.28</v>
      </c>
      <c r="AB978" s="28" t="n">
        <v>-0.000112</v>
      </c>
      <c r="AC978" s="30" t="n">
        <v>-2</v>
      </c>
      <c r="AD978" s="24" t="inlineStr">
        <is>
          <t>2026-09-07T22:01:04.953584Z</t>
        </is>
      </c>
      <c r="AE978" s="31" t="inlineStr">
        <is>
          <t>Surface-blended Elo on Hard: Elizara Yaneva p=0.467 vs Weronika Falkowska. Executable ask 0.2800 (aec-wta-werfal-eliyan-2026-09-07).</t>
        </is>
      </c>
      <c r="AF978" s="31" t="inlineStr">
        <is>
          <t>Surface-blended Elo model; singles only, WTA+ATP market coverage, not yet locked-holdout qualified -- promoted by explicit operator directive, not genuine walk-forward validation.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PAPER_CALL_LOW_EDGE</t>
        </is>
      </c>
      <c r="AP978" s="24" t="inlineStr">
        <is>
          <t>Elizara Yaneva</t>
        </is>
      </c>
      <c r="AQ978" s="24" t="inlineStr">
        <is>
          <t>Elizara Yaneva</t>
        </is>
      </c>
      <c r="AR978" s="24" t="inlineStr">
        <is>
          <t>Elizara Yaneva</t>
        </is>
      </c>
      <c r="AS978" s="24" t="inlineStr">
        <is>
          <t>Weronika Falkowska</t>
        </is>
      </c>
      <c r="AT978" s="24" t="inlineStr">
        <is>
          <t>Weronika Falkowska</t>
        </is>
      </c>
      <c r="AU978" s="24" t="inlineStr">
        <is>
          <t>Weronika Falkowska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inlineStr">
        <is>
          <t>0ce66f49b381187fe6255a40ca2fdbfc155d5e36125ccf6d30fe81a72962eafa</t>
        </is>
      </c>
      <c r="BB978" s="24" t="inlineStr">
        <is>
          <t>surface_blended_elo</t>
        </is>
      </c>
      <c r="BC978" s="24" t="inlineStr">
        <is>
          <t>tennis-surface-elo-v1</t>
        </is>
      </c>
      <c r="BD978" s="24" t="inlineStr">
        <is>
          <t>0ce66f49b381187fe6255a40ca2fdbfc155d5e36125ccf6d30fe81a72962eafa</t>
        </is>
      </c>
      <c r="BE978" s="24" t="inlineStr">
        <is>
          <t>tennis-surface-elo-v1</t>
        </is>
      </c>
      <c r="BF978" s="24" t="inlineStr">
        <is>
          <t>1</t>
        </is>
      </c>
      <c r="BG978" s="24" t="inlineStr">
        <is>
          <t>0ce66f49b381187fe6255a40ca2fdbfc155d5e36125ccf6d30fe81a72962eafa</t>
        </is>
      </c>
      <c r="BH978" s="24" t="inlineStr">
        <is>
          <t>2026-09-07T04:32:50.896226Z</t>
        </is>
      </c>
      <c r="BI978" s="24" t="inlineStr">
        <is>
          <t>["same_event","same_team_same_day","same_league_same_day"]</t>
        </is>
      </c>
      <c r="BJ978" s="25" t="n"/>
      <c r="BK978" s="26" t="n">
        <v>257</v>
      </c>
      <c r="BL978" s="27" t="n">
        <v>3.57</v>
      </c>
      <c r="BM978" s="28" t="n">
        <v>0.280112</v>
      </c>
      <c r="BN978" s="28" t="n"/>
      <c r="BO978" s="28" t="n"/>
      <c r="BP978" s="25" t="n"/>
      <c r="BQ978" s="27" t="n">
        <v>3.57</v>
      </c>
      <c r="BR978" s="28" t="n">
        <v>0.28</v>
      </c>
      <c r="BS978" s="28" t="n"/>
      <c r="BT978" s="28" t="n"/>
      <c r="BU978" s="25" t="n"/>
      <c r="BV978" s="29" t="n"/>
      <c r="BW978" s="24" t="n"/>
      <c r="BX978" s="30" t="n"/>
      <c r="BY978" s="27" t="n"/>
      <c r="BZ978" s="24" t="n"/>
      <c r="CA978" s="31" t="n"/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inlineStr">
        <is>
          <t>2d9f6881e782cae86952d601c90cd17b694eb70ef79070fd9a535e662967587a</t>
        </is>
      </c>
      <c r="DE978" s="24" t="inlineStr">
        <is>
          <t>/Users/vincentc9002/model-prediction/data/odds/tennis/2026-09-07/polymarket_snapshots.jsonl</t>
        </is>
      </c>
      <c r="DF978" s="24" t="inlineStr">
        <is>
          <t>707240:2026-09-07T04:32:50.896226Z</t>
        </is>
      </c>
      <c r="DG978" s="24" t="n"/>
      <c r="DH978" s="24" t="n"/>
      <c r="DI978" s="24" t="n"/>
      <c r="DJ978" s="24" t="inlineStr">
        <is>
          <t>0.280112</t>
        </is>
      </c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71207899eed643c8</t>
        </is>
      </c>
      <c r="B979" s="24" t="inlineStr">
        <is>
          <t>2026-09-07T04:33:25.566147Z</t>
        </is>
      </c>
      <c r="C979" s="24" t="inlineStr">
        <is>
          <t>2026-09-07T10:00Z</t>
        </is>
      </c>
      <c r="D979" s="24" t="inlineStr">
        <is>
          <t>1076-2026:183536</t>
        </is>
      </c>
      <c r="E979" s="24" t="inlineStr">
        <is>
          <t>TENNIS</t>
        </is>
      </c>
      <c r="F979" s="24" t="inlineStr">
        <is>
          <t>Lina Gjorcheska</t>
        </is>
      </c>
      <c r="G979" s="24" t="inlineStr">
        <is>
          <t>Mia Ristic</t>
        </is>
      </c>
      <c r="H979" s="24" t="inlineStr">
        <is>
          <t>moneyline</t>
        </is>
      </c>
      <c r="I979" s="24" t="inlineStr">
        <is>
          <t>home</t>
        </is>
      </c>
      <c r="J979" s="25" t="n"/>
      <c r="K979" s="24" t="inlineStr">
        <is>
          <t>polymarket_us</t>
        </is>
      </c>
      <c r="L979" s="26" t="n">
        <v>-355</v>
      </c>
      <c r="M979" s="27" t="n">
        <v>1.28169</v>
      </c>
      <c r="N979" s="28" t="n">
        <v>0.78022</v>
      </c>
      <c r="O979" s="28" t="n">
        <v>0.6427</v>
      </c>
      <c r="P979" s="28" t="n">
        <v>0.05</v>
      </c>
      <c r="Q979" s="28" t="n">
        <v>-0.13752</v>
      </c>
      <c r="R979" s="26" t="n">
        <v>0</v>
      </c>
      <c r="S979" s="29" t="n">
        <v>1</v>
      </c>
      <c r="T979" s="24" t="inlineStr">
        <is>
          <t>tennis-surface-elo-v1</t>
        </is>
      </c>
      <c r="U979" s="24" t="inlineStr">
        <is>
          <t>settled</t>
        </is>
      </c>
      <c r="V979" s="24" t="inlineStr">
        <is>
          <t>loss</t>
        </is>
      </c>
      <c r="W979" s="26" t="n">
        <v>1</v>
      </c>
      <c r="X979" s="26" t="n">
        <v>0</v>
      </c>
      <c r="Y979" s="25" t="n"/>
      <c r="Z979" s="26" t="n">
        <v>-355</v>
      </c>
      <c r="AA979" s="28" t="n">
        <v>0.78</v>
      </c>
      <c r="AB979" s="28" t="n">
        <v>-0.00022</v>
      </c>
      <c r="AC979" s="30" t="n">
        <v>-1</v>
      </c>
      <c r="AD979" s="24" t="inlineStr">
        <is>
          <t>2026-09-07T16:00:30.991082Z</t>
        </is>
      </c>
      <c r="AE979" s="31" t="inlineStr">
        <is>
          <t>Surface-blended Elo on Hard: Lina Gjorcheska p=0.357 vs Mia Ristic. Executable ask 0.7800 (aec-wta-miaris-lingjo-2026-09-07).</t>
        </is>
      </c>
      <c r="AF979" s="31" t="inlineStr">
        <is>
          <t>Surface-blended Elo model; singles only, WTA+ATP market coverage, not yet locked-holdout qualified -- promoted by explicit operator directive, not genuine walk-forward validation.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PAPER_CALL_LOW_EDGE</t>
        </is>
      </c>
      <c r="AP979" s="24" t="inlineStr">
        <is>
          <t>Lina Gjorcheska</t>
        </is>
      </c>
      <c r="AQ979" s="24" t="inlineStr">
        <is>
          <t>Lina Gjorcheska</t>
        </is>
      </c>
      <c r="AR979" s="24" t="inlineStr">
        <is>
          <t>Lina Gjorcheska</t>
        </is>
      </c>
      <c r="AS979" s="24" t="inlineStr">
        <is>
          <t>Mia Ristic</t>
        </is>
      </c>
      <c r="AT979" s="24" t="inlineStr">
        <is>
          <t>Mia Ristic</t>
        </is>
      </c>
      <c r="AU979" s="24" t="inlineStr">
        <is>
          <t>Mia Ristic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inlineStr">
        <is>
          <t>0ce66f49b381187fe6255a40ca2fdbfc155d5e36125ccf6d30fe81a72962eafa</t>
        </is>
      </c>
      <c r="BB979" s="24" t="inlineStr">
        <is>
          <t>surface_blended_elo</t>
        </is>
      </c>
      <c r="BC979" s="24" t="inlineStr">
        <is>
          <t>tennis-surface-elo-v1</t>
        </is>
      </c>
      <c r="BD979" s="24" t="inlineStr">
        <is>
          <t>0ce66f49b381187fe6255a40ca2fdbfc155d5e36125ccf6d30fe81a72962eafa</t>
        </is>
      </c>
      <c r="BE979" s="24" t="inlineStr">
        <is>
          <t>tennis-surface-elo-v1</t>
        </is>
      </c>
      <c r="BF979" s="24" t="inlineStr">
        <is>
          <t>1</t>
        </is>
      </c>
      <c r="BG979" s="24" t="inlineStr">
        <is>
          <t>0ce66f49b381187fe6255a40ca2fdbfc155d5e36125ccf6d30fe81a72962eafa</t>
        </is>
      </c>
      <c r="BH979" s="24" t="inlineStr">
        <is>
          <t>2026-09-07T04:32:50.902914Z</t>
        </is>
      </c>
      <c r="BI979" s="24" t="inlineStr">
        <is>
          <t>["same_event","same_team_same_day","same_league_same_day"]</t>
        </is>
      </c>
      <c r="BJ979" s="25" t="n"/>
      <c r="BK979" s="26" t="n">
        <v>-355</v>
      </c>
      <c r="BL979" s="27" t="n">
        <v>1.28169</v>
      </c>
      <c r="BM979" s="28" t="n">
        <v>0.78022</v>
      </c>
      <c r="BN979" s="28" t="n"/>
      <c r="BO979" s="28" t="n"/>
      <c r="BP979" s="25" t="n"/>
      <c r="BQ979" s="27" t="n">
        <v>1.28169</v>
      </c>
      <c r="BR979" s="28" t="n">
        <v>0.78</v>
      </c>
      <c r="BS979" s="28" t="n"/>
      <c r="BT979" s="28" t="n"/>
      <c r="BU979" s="25" t="n"/>
      <c r="BV979" s="29" t="n"/>
      <c r="BW979" s="24" t="n"/>
      <c r="BX979" s="30" t="n"/>
      <c r="BY979" s="27" t="n"/>
      <c r="BZ979" s="24" t="n"/>
      <c r="CA979" s="31" t="n"/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inlineStr">
        <is>
          <t>38bec9688bb79c81adabe224815353f6e6e1e2db3d7713e49ae0146d6795fcf6</t>
        </is>
      </c>
      <c r="DE979" s="24" t="inlineStr">
        <is>
          <t>/Users/vincentc9002/model-prediction/data/odds/tennis/2026-09-07/polymarket_snapshots.jsonl</t>
        </is>
      </c>
      <c r="DF979" s="24" t="inlineStr">
        <is>
          <t>707241:2026-09-07T04:32:50.902914Z</t>
        </is>
      </c>
      <c r="DG979" s="24" t="n"/>
      <c r="DH979" s="24" t="n"/>
      <c r="DI979" s="24" t="n"/>
      <c r="DJ979" s="24" t="inlineStr">
        <is>
          <t>0.78022</t>
        </is>
      </c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8f96a206413e435a</t>
        </is>
      </c>
      <c r="B980" s="24" t="inlineStr">
        <is>
          <t>2026-09-07T10:02:31.424426Z</t>
        </is>
      </c>
      <c r="C980" s="24" t="inlineStr">
        <is>
          <t>2026-09-07T15:00Z</t>
        </is>
      </c>
      <c r="D980" s="24" t="inlineStr">
        <is>
          <t>189-2026:182555</t>
        </is>
      </c>
      <c r="E980" s="24" t="inlineStr">
        <is>
          <t>TENNIS</t>
        </is>
      </c>
      <c r="F980" s="24" t="inlineStr">
        <is>
          <t>Anastasia Potapova</t>
        </is>
      </c>
      <c r="G980" s="24" t="inlineStr">
        <is>
          <t>Mirra Andreeva</t>
        </is>
      </c>
      <c r="H980" s="24" t="inlineStr">
        <is>
          <t>moneyline</t>
        </is>
      </c>
      <c r="I980" s="24" t="inlineStr">
        <is>
          <t>home</t>
        </is>
      </c>
      <c r="J980" s="25" t="n"/>
      <c r="K980" s="24" t="inlineStr">
        <is>
          <t>polymarket_us</t>
        </is>
      </c>
      <c r="L980" s="26" t="n">
        <v>-506</v>
      </c>
      <c r="M980" s="27" t="n">
        <v>1.197628</v>
      </c>
      <c r="N980" s="28" t="n">
        <v>0.834983</v>
      </c>
      <c r="O980" s="28" t="n">
        <v>0.7004</v>
      </c>
      <c r="P980" s="28" t="n">
        <v>0.05</v>
      </c>
      <c r="Q980" s="28" t="n">
        <v>-0.134583</v>
      </c>
      <c r="R980" s="26" t="n">
        <v>0</v>
      </c>
      <c r="S980" s="29" t="n">
        <v>1</v>
      </c>
      <c r="T980" s="24" t="inlineStr">
        <is>
          <t>tennis-surface-elo-v1</t>
        </is>
      </c>
      <c r="U980" s="24" t="inlineStr">
        <is>
          <t>settled</t>
        </is>
      </c>
      <c r="V980" s="24" t="inlineStr">
        <is>
          <t>win</t>
        </is>
      </c>
      <c r="W980" s="26" t="n">
        <v>0</v>
      </c>
      <c r="X980" s="26" t="n">
        <v>1</v>
      </c>
      <c r="Y980" s="25" t="n"/>
      <c r="Z980" s="26" t="n">
        <v>-506</v>
      </c>
      <c r="AA980" s="28" t="n">
        <v>0.835</v>
      </c>
      <c r="AB980" s="28" t="n">
        <v>1.7e-05</v>
      </c>
      <c r="AC980" s="30" t="n">
        <v>0.1976</v>
      </c>
      <c r="AD980" s="24" t="inlineStr">
        <is>
          <t>2026-09-07T22:01:05.377464Z</t>
        </is>
      </c>
      <c r="AE980" s="31" t="inlineStr">
        <is>
          <t>Surface-blended Elo on Hard: Anastasia Potapova p=0.300 vs Mirra Andreeva. Executable ask 0.8350 (aec-wta-mirand-anapot-2026-09-06).</t>
        </is>
      </c>
      <c r="AF980" s="31" t="inlineStr">
        <is>
          <t>Surface-blended Elo model; singles only, WTA+ATP market coverage, not yet locked-holdout qualified -- promoted by explicit operator directive, not genuine walk-forward validation.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PAPER_CALL_LOW_EDGE</t>
        </is>
      </c>
      <c r="AP980" s="24" t="inlineStr">
        <is>
          <t>Anastasia Potapova</t>
        </is>
      </c>
      <c r="AQ980" s="24" t="inlineStr">
        <is>
          <t>Anastasia Potapova</t>
        </is>
      </c>
      <c r="AR980" s="24" t="inlineStr">
        <is>
          <t>Anastasia Potapova</t>
        </is>
      </c>
      <c r="AS980" s="24" t="inlineStr">
        <is>
          <t>Mirra Andreeva</t>
        </is>
      </c>
      <c r="AT980" s="24" t="inlineStr">
        <is>
          <t>Mirra Andreeva</t>
        </is>
      </c>
      <c r="AU980" s="24" t="inlineStr">
        <is>
          <t>Mirra Andreeva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inlineStr">
        <is>
          <t>0ce66f49b381187fe6255a40ca2fdbfc155d5e36125ccf6d30fe81a72962eafa</t>
        </is>
      </c>
      <c r="BB980" s="24" t="inlineStr">
        <is>
          <t>surface_blended_elo</t>
        </is>
      </c>
      <c r="BC980" s="24" t="inlineStr">
        <is>
          <t>tennis-surface-elo-v1</t>
        </is>
      </c>
      <c r="BD980" s="24" t="inlineStr">
        <is>
          <t>0ce66f49b381187fe6255a40ca2fdbfc155d5e36125ccf6d30fe81a72962eafa</t>
        </is>
      </c>
      <c r="BE980" s="24" t="inlineStr">
        <is>
          <t>tennis-surface-elo-v1</t>
        </is>
      </c>
      <c r="BF980" s="24" t="inlineStr">
        <is>
          <t>1</t>
        </is>
      </c>
      <c r="BG980" s="24" t="inlineStr">
        <is>
          <t>0ce66f49b381187fe6255a40ca2fdbfc155d5e36125ccf6d30fe81a72962eafa</t>
        </is>
      </c>
      <c r="BH980" s="24" t="inlineStr">
        <is>
          <t>2026-09-07T10:01:53.839918Z</t>
        </is>
      </c>
      <c r="BI980" s="24" t="inlineStr">
        <is>
          <t>["same_event","same_team_same_day","same_league_same_day"]</t>
        </is>
      </c>
      <c r="BJ980" s="25" t="n"/>
      <c r="BK980" s="26" t="n">
        <v>-506</v>
      </c>
      <c r="BL980" s="27" t="n">
        <v>1.197628</v>
      </c>
      <c r="BM980" s="28" t="n">
        <v>0.834983</v>
      </c>
      <c r="BN980" s="28" t="n"/>
      <c r="BO980" s="28" t="n"/>
      <c r="BP980" s="25" t="n"/>
      <c r="BQ980" s="27" t="n">
        <v>1.197628</v>
      </c>
      <c r="BR980" s="28" t="n">
        <v>0.835</v>
      </c>
      <c r="BS980" s="28" t="n"/>
      <c r="BT980" s="28" t="n"/>
      <c r="BU980" s="25" t="n"/>
      <c r="BV980" s="29" t="n"/>
      <c r="BW980" s="24" t="n"/>
      <c r="BX980" s="30" t="n"/>
      <c r="BY980" s="27" t="n"/>
      <c r="BZ980" s="24" t="n"/>
      <c r="CA980" s="31" t="n"/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inlineStr">
        <is>
          <t>f4b5a27af42d4aa2389c6882bd329c0bf07d7ee3cad848994f918949295d8265</t>
        </is>
      </c>
      <c r="DE980" s="24" t="inlineStr">
        <is>
          <t>/Users/vincentc9002/model-prediction/data/odds/tennis/2026-09-07/polymarket_snapshots.jsonl</t>
        </is>
      </c>
      <c r="DF980" s="24" t="inlineStr">
        <is>
          <t>690350:2026-09-07T10:01:53.839918Z</t>
        </is>
      </c>
      <c r="DG980" s="24" t="n"/>
      <c r="DH980" s="24" t="n"/>
      <c r="DI980" s="24" t="n"/>
      <c r="DJ980" s="24" t="inlineStr">
        <is>
          <t>0.834983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249518ca1ef04bc6</t>
        </is>
      </c>
      <c r="B981" s="24" t="inlineStr">
        <is>
          <t>2026-09-07T10:02:31.424426Z</t>
        </is>
      </c>
      <c r="C981" s="24" t="inlineStr">
        <is>
          <t>2026-09-07T15:30Z</t>
        </is>
      </c>
      <c r="D981" s="24" t="inlineStr">
        <is>
          <t>189-2026:182562</t>
        </is>
      </c>
      <c r="E981" s="24" t="inlineStr">
        <is>
          <t>TENNIS</t>
        </is>
      </c>
      <c r="F981" s="24" t="inlineStr">
        <is>
          <t>Zheng Qinwen</t>
        </is>
      </c>
      <c r="G981" s="24" t="inlineStr">
        <is>
          <t>Iga Swiatek</t>
        </is>
      </c>
      <c r="H981" s="24" t="inlineStr">
        <is>
          <t>moneyline</t>
        </is>
      </c>
      <c r="I981" s="24" t="inlineStr">
        <is>
          <t>home</t>
        </is>
      </c>
      <c r="J981" s="25" t="n"/>
      <c r="K981" s="24" t="inlineStr">
        <is>
          <t>polymarket_us</t>
        </is>
      </c>
      <c r="L981" s="26" t="n">
        <v>-400</v>
      </c>
      <c r="M981" s="27" t="n">
        <v>1.25</v>
      </c>
      <c r="N981" s="28" t="n">
        <v>0.8</v>
      </c>
      <c r="O981" s="28" t="n">
        <v>0.7129</v>
      </c>
      <c r="P981" s="28" t="n">
        <v>0.05</v>
      </c>
      <c r="Q981" s="28" t="n">
        <v>-0.0871</v>
      </c>
      <c r="R981" s="26" t="n">
        <v>0</v>
      </c>
      <c r="S981" s="29" t="n">
        <v>1</v>
      </c>
      <c r="T981" s="24" t="inlineStr">
        <is>
          <t>tennis-surface-elo-v1</t>
        </is>
      </c>
      <c r="U981" s="24" t="inlineStr">
        <is>
          <t>settled</t>
        </is>
      </c>
      <c r="V981" s="24" t="inlineStr">
        <is>
          <t>loss</t>
        </is>
      </c>
      <c r="W981" s="26" t="n">
        <v>1</v>
      </c>
      <c r="X981" s="26" t="n">
        <v>0</v>
      </c>
      <c r="Y981" s="25" t="n"/>
      <c r="Z981" s="26" t="n">
        <v>-400</v>
      </c>
      <c r="AA981" s="28" t="n">
        <v>0.8</v>
      </c>
      <c r="AB981" s="28" t="n">
        <v>0</v>
      </c>
      <c r="AC981" s="30" t="n">
        <v>-1</v>
      </c>
      <c r="AD981" s="24" t="inlineStr">
        <is>
          <t>2026-09-07T22:01:05.892083Z</t>
        </is>
      </c>
      <c r="AE981" s="31" t="inlineStr">
        <is>
          <t>Surface-blended Elo on Hard: Zheng Qinwen p=0.287 vs Iga Swiatek. Executable ask 0.8000 (aec-wta-igaswi-qinzhe-2026-09-06).</t>
        </is>
      </c>
      <c r="AF981" s="31" t="inlineStr">
        <is>
          <t>Surface-blended Elo model; singles only, WTA+ATP market coverage, not yet locked-holdout qualified -- promoted by explicit operator directive, not genuine walk-forward validation.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PAPER_CALL_LOW_EDGE</t>
        </is>
      </c>
      <c r="AP981" s="24" t="inlineStr">
        <is>
          <t>Zheng Qinwen</t>
        </is>
      </c>
      <c r="AQ981" s="24" t="inlineStr">
        <is>
          <t>Zheng Qinwen</t>
        </is>
      </c>
      <c r="AR981" s="24" t="inlineStr">
        <is>
          <t>Zheng Qinwen</t>
        </is>
      </c>
      <c r="AS981" s="24" t="inlineStr">
        <is>
          <t>Iga Swiatek</t>
        </is>
      </c>
      <c r="AT981" s="24" t="inlineStr">
        <is>
          <t>Iga Swiatek</t>
        </is>
      </c>
      <c r="AU981" s="24" t="inlineStr">
        <is>
          <t>Iga Swiatek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inlineStr">
        <is>
          <t>0ce66f49b381187fe6255a40ca2fdbfc155d5e36125ccf6d30fe81a72962eafa</t>
        </is>
      </c>
      <c r="BB981" s="24" t="inlineStr">
        <is>
          <t>surface_blended_elo</t>
        </is>
      </c>
      <c r="BC981" s="24" t="inlineStr">
        <is>
          <t>tennis-surface-elo-v1</t>
        </is>
      </c>
      <c r="BD981" s="24" t="inlineStr">
        <is>
          <t>0ce66f49b381187fe6255a40ca2fdbfc155d5e36125ccf6d30fe81a72962eafa</t>
        </is>
      </c>
      <c r="BE981" s="24" t="inlineStr">
        <is>
          <t>tennis-surface-elo-v1</t>
        </is>
      </c>
      <c r="BF981" s="24" t="inlineStr">
        <is>
          <t>1</t>
        </is>
      </c>
      <c r="BG981" s="24" t="inlineStr">
        <is>
          <t>0ce66f49b381187fe6255a40ca2fdbfc155d5e36125ccf6d30fe81a72962eafa</t>
        </is>
      </c>
      <c r="BH981" s="24" t="inlineStr">
        <is>
          <t>2026-09-07T10:01:53.900290Z</t>
        </is>
      </c>
      <c r="BI981" s="24" t="inlineStr">
        <is>
          <t>["same_event","same_team_same_day","same_league_same_day"]</t>
        </is>
      </c>
      <c r="BJ981" s="25" t="n"/>
      <c r="BK981" s="26" t="n">
        <v>-400</v>
      </c>
      <c r="BL981" s="27" t="n">
        <v>1.25</v>
      </c>
      <c r="BM981" s="28" t="n">
        <v>0.8</v>
      </c>
      <c r="BN981" s="28" t="n"/>
      <c r="BO981" s="28" t="n"/>
      <c r="BP981" s="25" t="n"/>
      <c r="BQ981" s="27" t="n">
        <v>1.25</v>
      </c>
      <c r="BR981" s="28" t="n">
        <v>0.8</v>
      </c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False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inlineStr">
        <is>
          <t>84a834102729fabce214ea9110b9f81b5e9f632904b88e55fb3a23a37595d590</t>
        </is>
      </c>
      <c r="DE981" s="24" t="inlineStr">
        <is>
          <t>/Users/vincentc9002/model-prediction/data/odds/tennis/2026-09-07/polymarket_snapshots.jsonl</t>
        </is>
      </c>
      <c r="DF981" s="24" t="inlineStr">
        <is>
          <t>691077:2026-09-07T10:01:53.900290Z</t>
        </is>
      </c>
      <c r="DG981" s="24" t="n"/>
      <c r="DH981" s="24" t="n"/>
      <c r="DI981" s="24" t="n"/>
      <c r="DJ981" s="24" t="inlineStr">
        <is>
          <t>0.8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bbf188fe4b844821</t>
        </is>
      </c>
      <c r="B982" s="24" t="inlineStr">
        <is>
          <t>2026-09-07T10:02:31.424426Z</t>
        </is>
      </c>
      <c r="C982" s="24" t="inlineStr">
        <is>
          <t>2026-09-07T10:30Z</t>
        </is>
      </c>
      <c r="D982" s="24" t="inlineStr">
        <is>
          <t>998-2026:183580</t>
        </is>
      </c>
      <c r="E982" s="24" t="inlineStr">
        <is>
          <t>TENNIS</t>
        </is>
      </c>
      <c r="F982" s="24" t="inlineStr">
        <is>
          <t>Despina Papamichail</t>
        </is>
      </c>
      <c r="G982" s="24" t="inlineStr">
        <is>
          <t>Anastasia Zolotareva</t>
        </is>
      </c>
      <c r="H982" s="24" t="inlineStr">
        <is>
          <t>moneyline</t>
        </is>
      </c>
      <c r="I982" s="24" t="inlineStr">
        <is>
          <t>home</t>
        </is>
      </c>
      <c r="J982" s="25" t="n"/>
      <c r="K982" s="24" t="inlineStr">
        <is>
          <t>polymarket_us</t>
        </is>
      </c>
      <c r="L982" s="26" t="n">
        <v>-163</v>
      </c>
      <c r="M982" s="27" t="n">
        <v>1.613497</v>
      </c>
      <c r="N982" s="28" t="n">
        <v>0.619772</v>
      </c>
      <c r="O982" s="28" t="n">
        <v>0.5824</v>
      </c>
      <c r="P982" s="28" t="n">
        <v>0.05</v>
      </c>
      <c r="Q982" s="28" t="n">
        <v>-0.037372</v>
      </c>
      <c r="R982" s="26" t="n">
        <v>1</v>
      </c>
      <c r="S982" s="29" t="n">
        <v>1</v>
      </c>
      <c r="T982" s="24" t="inlineStr">
        <is>
          <t>tennis-surface-elo-v1</t>
        </is>
      </c>
      <c r="U982" s="24" t="inlineStr">
        <is>
          <t>settled</t>
        </is>
      </c>
      <c r="V982" s="24" t="inlineStr">
        <is>
          <t>loss</t>
        </is>
      </c>
      <c r="W982" s="26" t="n">
        <v>1</v>
      </c>
      <c r="X982" s="26" t="n">
        <v>0</v>
      </c>
      <c r="Y982" s="25" t="n"/>
      <c r="Z982" s="26" t="n">
        <v>-163</v>
      </c>
      <c r="AA982" s="28" t="n">
        <v>0.62</v>
      </c>
      <c r="AB982" s="28" t="n">
        <v>0.000228</v>
      </c>
      <c r="AC982" s="30" t="n">
        <v>-1</v>
      </c>
      <c r="AD982" s="24" t="inlineStr">
        <is>
          <t>2026-09-07T16:00:31.416797Z</t>
        </is>
      </c>
      <c r="AE982" s="31" t="inlineStr">
        <is>
          <t>Surface-blended Elo on Hard: Despina Papamichail p=0.418 vs Anastasia Zolotareva. Executable ask 0.6200 (aec-wta-anazol-despap-2026-09-07).</t>
        </is>
      </c>
      <c r="AF982" s="31" t="inlineStr">
        <is>
          <t>Surface-blended Elo model; singles only, WTA+ATP market coverage, not yet locked-holdout qualified -- promoted by explicit operator directive, not genuine walk-forward validation.</t>
        </is>
      </c>
      <c r="AG982" s="24" t="inlineStr">
        <is>
          <t>review_required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PAPER_CALL_LOW_EDGE</t>
        </is>
      </c>
      <c r="AP982" s="24" t="inlineStr">
        <is>
          <t>Despina Papamichail</t>
        </is>
      </c>
      <c r="AQ982" s="24" t="inlineStr">
        <is>
          <t>Despina Papamichail</t>
        </is>
      </c>
      <c r="AR982" s="24" t="inlineStr">
        <is>
          <t>Despina Papamichail</t>
        </is>
      </c>
      <c r="AS982" s="24" t="inlineStr">
        <is>
          <t>Anastasia Zolotareva</t>
        </is>
      </c>
      <c r="AT982" s="24" t="inlineStr">
        <is>
          <t>Anastasia Zolotareva</t>
        </is>
      </c>
      <c r="AU982" s="24" t="inlineStr">
        <is>
          <t>Anastasia Zolotareva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inlineStr">
        <is>
          <t>0ce66f49b381187fe6255a40ca2fdbfc155d5e36125ccf6d30fe81a72962eafa</t>
        </is>
      </c>
      <c r="BB982" s="24" t="inlineStr">
        <is>
          <t>surface_blended_elo</t>
        </is>
      </c>
      <c r="BC982" s="24" t="inlineStr">
        <is>
          <t>tennis-surface-elo-v1</t>
        </is>
      </c>
      <c r="BD982" s="24" t="inlineStr">
        <is>
          <t>0ce66f49b381187fe6255a40ca2fdbfc155d5e36125ccf6d30fe81a72962eafa</t>
        </is>
      </c>
      <c r="BE982" s="24" t="inlineStr">
        <is>
          <t>tennis-surface-elo-v1</t>
        </is>
      </c>
      <c r="BF982" s="24" t="inlineStr">
        <is>
          <t>1</t>
        </is>
      </c>
      <c r="BG982" s="24" t="inlineStr">
        <is>
          <t>0ce66f49b381187fe6255a40ca2fdbfc155d5e36125ccf6d30fe81a72962eafa</t>
        </is>
      </c>
      <c r="BH982" s="24" t="inlineStr">
        <is>
          <t>2026-09-07T10:01:53.814414Z</t>
        </is>
      </c>
      <c r="BI982" s="24" t="inlineStr">
        <is>
          <t>["same_event","same_team_same_day","same_league_same_day"]</t>
        </is>
      </c>
      <c r="BJ982" s="25" t="n"/>
      <c r="BK982" s="26" t="n">
        <v>-163</v>
      </c>
      <c r="BL982" s="27" t="n">
        <v>1.613497</v>
      </c>
      <c r="BM982" s="28" t="n">
        <v>0.619772</v>
      </c>
      <c r="BN982" s="28" t="n"/>
      <c r="BO982" s="28" t="n"/>
      <c r="BP982" s="25" t="n"/>
      <c r="BQ982" s="27" t="n">
        <v>1.613497</v>
      </c>
      <c r="BR982" s="28" t="n">
        <v>0.62</v>
      </c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inlineStr">
        <is>
          <t>7c1803ca3bfff869e612e6662ac372f5d32afbe53631c92c1b6d4b5b448770ef</t>
        </is>
      </c>
      <c r="DE982" s="24" t="inlineStr">
        <is>
          <t>/Users/vincentc9002/model-prediction/data/odds/tennis/2026-09-07/polymarket_snapshots.jsonl</t>
        </is>
      </c>
      <c r="DF982" s="24" t="inlineStr">
        <is>
          <t>691086:2026-09-07T10:01:53.814414Z</t>
        </is>
      </c>
      <c r="DG982" s="24" t="n"/>
      <c r="DH982" s="24" t="n"/>
      <c r="DI982" s="24" t="n"/>
      <c r="DJ982" s="24" t="inlineStr">
        <is>
          <t>0.619772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2a35dfc6a88648d6</t>
        </is>
      </c>
      <c r="B983" s="24" t="inlineStr">
        <is>
          <t>2026-09-07T10:02:31.424426Z</t>
        </is>
      </c>
      <c r="C983" s="24" t="inlineStr">
        <is>
          <t>2026-09-07T12:00Z</t>
        </is>
      </c>
      <c r="D983" s="24" t="inlineStr">
        <is>
          <t>998-2026:183581</t>
        </is>
      </c>
      <c r="E983" s="24" t="inlineStr">
        <is>
          <t>TENNIS</t>
        </is>
      </c>
      <c r="F983" s="24" t="inlineStr">
        <is>
          <t>Tessa Johanna Brockmann</t>
        </is>
      </c>
      <c r="G983" s="24" t="inlineStr">
        <is>
          <t>Tamara Zidansek</t>
        </is>
      </c>
      <c r="H983" s="24" t="inlineStr">
        <is>
          <t>moneyline</t>
        </is>
      </c>
      <c r="I983" s="24" t="inlineStr">
        <is>
          <t>home</t>
        </is>
      </c>
      <c r="J983" s="25" t="n"/>
      <c r="K983" s="24" t="inlineStr">
        <is>
          <t>polymarket_us</t>
        </is>
      </c>
      <c r="L983" s="26" t="n">
        <v>-400</v>
      </c>
      <c r="M983" s="27" t="n">
        <v>1.25</v>
      </c>
      <c r="N983" s="28" t="n">
        <v>0.8</v>
      </c>
      <c r="O983" s="28" t="n">
        <v>0.7237</v>
      </c>
      <c r="P983" s="28" t="n">
        <v>0.05</v>
      </c>
      <c r="Q983" s="28" t="n">
        <v>-0.07630000000000001</v>
      </c>
      <c r="R983" s="26" t="n">
        <v>0</v>
      </c>
      <c r="S983" s="29" t="n">
        <v>1</v>
      </c>
      <c r="T983" s="24" t="inlineStr">
        <is>
          <t>tennis-surface-elo-v1</t>
        </is>
      </c>
      <c r="U983" s="24" t="inlineStr">
        <is>
          <t>settled</t>
        </is>
      </c>
      <c r="V983" s="24" t="inlineStr">
        <is>
          <t>loss</t>
        </is>
      </c>
      <c r="W983" s="26" t="n">
        <v>1</v>
      </c>
      <c r="X983" s="26" t="n">
        <v>0</v>
      </c>
      <c r="Y983" s="25" t="n"/>
      <c r="Z983" s="26" t="n">
        <v>-400</v>
      </c>
      <c r="AA983" s="28" t="n">
        <v>0.8</v>
      </c>
      <c r="AB983" s="28" t="n">
        <v>0</v>
      </c>
      <c r="AC983" s="30" t="n">
        <v>-1</v>
      </c>
      <c r="AD983" s="24" t="inlineStr">
        <is>
          <t>2026-09-07T16:00:31.837335Z</t>
        </is>
      </c>
      <c r="AE983" s="31" t="inlineStr">
        <is>
          <t>Surface-blended Elo on Hard: Tessa Johanna Brockmann p=0.276 vs Tamara Zidansek. Executable ask 0.8000 (aec-wta-tamzid-tesbro-2026-09-07).</t>
        </is>
      </c>
      <c r="AF983" s="31" t="inlineStr">
        <is>
          <t>Surface-blended Elo model; singles only, WTA+ATP market coverage, not yet locked-holdout qualified -- promoted by explicit operator directive, not genuine walk-forward validation.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PAPER_CALL_LOW_EDGE</t>
        </is>
      </c>
      <c r="AP983" s="24" t="inlineStr">
        <is>
          <t>Tessa Johanna Brockmann</t>
        </is>
      </c>
      <c r="AQ983" s="24" t="inlineStr">
        <is>
          <t>Tessa Johanna Brockmann</t>
        </is>
      </c>
      <c r="AR983" s="24" t="inlineStr">
        <is>
          <t>Tessa Johanna Brockmann</t>
        </is>
      </c>
      <c r="AS983" s="24" t="inlineStr">
        <is>
          <t>Tamara Zidansek</t>
        </is>
      </c>
      <c r="AT983" s="24" t="inlineStr">
        <is>
          <t>Tamara Zidansek</t>
        </is>
      </c>
      <c r="AU983" s="24" t="inlineStr">
        <is>
          <t>Tamara Zidansek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inlineStr">
        <is>
          <t>0ce66f49b381187fe6255a40ca2fdbfc155d5e36125ccf6d30fe81a72962eafa</t>
        </is>
      </c>
      <c r="BB983" s="24" t="inlineStr">
        <is>
          <t>surface_blended_elo</t>
        </is>
      </c>
      <c r="BC983" s="24" t="inlineStr">
        <is>
          <t>tennis-surface-elo-v1</t>
        </is>
      </c>
      <c r="BD983" s="24" t="inlineStr">
        <is>
          <t>0ce66f49b381187fe6255a40ca2fdbfc155d5e36125ccf6d30fe81a72962eafa</t>
        </is>
      </c>
      <c r="BE983" s="24" t="inlineStr">
        <is>
          <t>tennis-surface-elo-v1</t>
        </is>
      </c>
      <c r="BF983" s="24" t="inlineStr">
        <is>
          <t>1</t>
        </is>
      </c>
      <c r="BG983" s="24" t="inlineStr">
        <is>
          <t>0ce66f49b381187fe6255a40ca2fdbfc155d5e36125ccf6d30fe81a72962eafa</t>
        </is>
      </c>
      <c r="BH983" s="24" t="inlineStr">
        <is>
          <t>2026-09-07T10:01:53.833198Z</t>
        </is>
      </c>
      <c r="BI983" s="24" t="inlineStr">
        <is>
          <t>["same_event","same_team_same_day","same_league_same_day"]</t>
        </is>
      </c>
      <c r="BJ983" s="25" t="n"/>
      <c r="BK983" s="26" t="n">
        <v>-400</v>
      </c>
      <c r="BL983" s="27" t="n">
        <v>1.25</v>
      </c>
      <c r="BM983" s="28" t="n">
        <v>0.8</v>
      </c>
      <c r="BN983" s="28" t="n"/>
      <c r="BO983" s="28" t="n"/>
      <c r="BP983" s="25" t="n"/>
      <c r="BQ983" s="27" t="n">
        <v>1.25</v>
      </c>
      <c r="BR983" s="28" t="n">
        <v>0.8</v>
      </c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False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inlineStr">
        <is>
          <t>833904d60035adf989fb5ac7afbcf8f22a3f74c55447286e3e2ef448f1f455dd</t>
        </is>
      </c>
      <c r="DE983" s="24" t="inlineStr">
        <is>
          <t>/Users/vincentc9002/model-prediction/data/odds/tennis/2026-09-07/polymarket_snapshots.jsonl</t>
        </is>
      </c>
      <c r="DF983" s="24" t="inlineStr">
        <is>
          <t>691083:2026-09-07T10:01:53.833198Z</t>
        </is>
      </c>
      <c r="DG983" s="24" t="n"/>
      <c r="DH983" s="24" t="n"/>
      <c r="DI983" s="24" t="n"/>
      <c r="DJ983" s="24" t="inlineStr">
        <is>
          <t>0.8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d8416fc674ed4e8b</t>
        </is>
      </c>
      <c r="B984" s="24" t="inlineStr">
        <is>
          <t>2026-09-07T10:02:31.424426Z</t>
        </is>
      </c>
      <c r="C984" s="24" t="inlineStr">
        <is>
          <t>2026-09-07T12:00Z</t>
        </is>
      </c>
      <c r="D984" s="24" t="inlineStr">
        <is>
          <t>998-2026:183595</t>
        </is>
      </c>
      <c r="E984" s="24" t="inlineStr">
        <is>
          <t>TENNIS</t>
        </is>
      </c>
      <c r="F984" s="24" t="inlineStr">
        <is>
          <t>Anastasiia Sobolieva</t>
        </is>
      </c>
      <c r="G984" s="24" t="inlineStr">
        <is>
          <t>Mina Hodzic</t>
        </is>
      </c>
      <c r="H984" s="24" t="inlineStr">
        <is>
          <t>moneyline</t>
        </is>
      </c>
      <c r="I984" s="24" t="inlineStr">
        <is>
          <t>home</t>
        </is>
      </c>
      <c r="J984" s="25" t="n"/>
      <c r="K984" s="24" t="inlineStr">
        <is>
          <t>polymarket_us</t>
        </is>
      </c>
      <c r="L984" s="26" t="n">
        <v>245</v>
      </c>
      <c r="M984" s="27" t="n">
        <v>3.45</v>
      </c>
      <c r="N984" s="28" t="n">
        <v>0.289855</v>
      </c>
      <c r="O984" s="28" t="n">
        <v>0.643</v>
      </c>
      <c r="P984" s="28" t="n">
        <v>0.05</v>
      </c>
      <c r="Q984" s="28" t="n">
        <v>0.353145</v>
      </c>
      <c r="R984" s="26" t="n">
        <v>100</v>
      </c>
      <c r="S984" s="29" t="n">
        <v>2</v>
      </c>
      <c r="T984" s="24" t="inlineStr">
        <is>
          <t>tennis-surface-elo-v1</t>
        </is>
      </c>
      <c r="U984" s="24" t="inlineStr">
        <is>
          <t>settled</t>
        </is>
      </c>
      <c r="V984" s="24" t="inlineStr">
        <is>
          <t>loss</t>
        </is>
      </c>
      <c r="W984" s="26" t="n">
        <v>1</v>
      </c>
      <c r="X984" s="26" t="n">
        <v>0</v>
      </c>
      <c r="Y984" s="25" t="n"/>
      <c r="Z984" s="26" t="n">
        <v>245</v>
      </c>
      <c r="AA984" s="28" t="n">
        <v>0.29</v>
      </c>
      <c r="AB984" s="28" t="n">
        <v>0.000145</v>
      </c>
      <c r="AC984" s="30" t="n">
        <v>-2</v>
      </c>
      <c r="AD984" s="24" t="inlineStr">
        <is>
          <t>2026-09-07T22:01:06.454255Z</t>
        </is>
      </c>
      <c r="AE984" s="31" t="inlineStr">
        <is>
          <t>Surface-blended Elo on Hard: Anastasiia Sobolieva p=0.357 vs Mina Hodzic. Executable ask 0.2900 (aec-wta-minhod-anasob-2026-09-07).</t>
        </is>
      </c>
      <c r="AF984" s="31" t="inlineStr">
        <is>
          <t>Surface-blended Elo model; singles only, WTA+ATP market coverage, not yet locked-holdout qualified -- promoted by explicit operator directive, not genuine walk-forward validation.</t>
        </is>
      </c>
      <c r="AG984" s="24" t="inlineStr">
        <is>
          <t>review_required</t>
        </is>
      </c>
      <c r="AH984" s="24" t="n"/>
      <c r="AI984" s="31" t="n"/>
      <c r="AJ984" s="31" t="n"/>
      <c r="AK984" s="24" t="inlineStr">
        <is>
          <t>model_qualified</t>
        </is>
      </c>
      <c r="AL984" s="26" t="n">
        <v>4</v>
      </c>
      <c r="AM984" s="24" t="inlineStr">
        <is>
          <t>QUALIFIED_SHADOW_CALL</t>
        </is>
      </c>
      <c r="AN984" s="24" t="inlineStr">
        <is>
          <t>CALL</t>
        </is>
      </c>
      <c r="AO984" s="24" t="inlineStr">
        <is>
          <t>QUALIFIED</t>
        </is>
      </c>
      <c r="AP984" s="24" t="inlineStr">
        <is>
          <t>Anastasiia Sobolieva</t>
        </is>
      </c>
      <c r="AQ984" s="24" t="inlineStr">
        <is>
          <t>Anastasiia Sobolieva</t>
        </is>
      </c>
      <c r="AR984" s="24" t="inlineStr">
        <is>
          <t>Anastasiia Sobolieva</t>
        </is>
      </c>
      <c r="AS984" s="24" t="inlineStr">
        <is>
          <t>Mina Hodzic</t>
        </is>
      </c>
      <c r="AT984" s="24" t="inlineStr">
        <is>
          <t>Mina Hodzic</t>
        </is>
      </c>
      <c r="AU984" s="24" t="inlineStr">
        <is>
          <t>Mina Hodzic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inlineStr">
        <is>
          <t>0ce66f49b381187fe6255a40ca2fdbfc155d5e36125ccf6d30fe81a72962eafa</t>
        </is>
      </c>
      <c r="BB984" s="24" t="inlineStr">
        <is>
          <t>surface_blended_elo</t>
        </is>
      </c>
      <c r="BC984" s="24" t="inlineStr">
        <is>
          <t>tennis-surface-elo-v1</t>
        </is>
      </c>
      <c r="BD984" s="24" t="inlineStr">
        <is>
          <t>0ce66f49b381187fe6255a40ca2fdbfc155d5e36125ccf6d30fe81a72962eafa</t>
        </is>
      </c>
      <c r="BE984" s="24" t="inlineStr">
        <is>
          <t>tennis-surface-elo-v1</t>
        </is>
      </c>
      <c r="BF984" s="24" t="inlineStr">
        <is>
          <t>1</t>
        </is>
      </c>
      <c r="BG984" s="24" t="inlineStr">
        <is>
          <t>0ce66f49b381187fe6255a40ca2fdbfc155d5e36125ccf6d30fe81a72962eafa</t>
        </is>
      </c>
      <c r="BH984" s="24" t="inlineStr">
        <is>
          <t>2026-09-07T10:01:53.821085Z</t>
        </is>
      </c>
      <c r="BI984" s="24" t="inlineStr">
        <is>
          <t>["same_event","same_team_same_day","same_league_same_day"]</t>
        </is>
      </c>
      <c r="BJ984" s="25" t="n"/>
      <c r="BK984" s="26" t="n">
        <v>245</v>
      </c>
      <c r="BL984" s="27" t="n">
        <v>3.45</v>
      </c>
      <c r="BM984" s="28" t="n">
        <v>0.289855</v>
      </c>
      <c r="BN984" s="28" t="n"/>
      <c r="BO984" s="28" t="n"/>
      <c r="BP984" s="25" t="n"/>
      <c r="BQ984" s="27" t="n">
        <v>3.45</v>
      </c>
      <c r="BR984" s="28" t="n">
        <v>0.29</v>
      </c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inlineStr">
        <is>
          <t>f0b28af51f0eed568968f923a466230851f5884b766b4115f07a2203401664d2</t>
        </is>
      </c>
      <c r="DE984" s="24" t="inlineStr">
        <is>
          <t>/Users/vincentc9002/model-prediction/data/odds/tennis/2026-09-07/polymarket_snapshots.jsonl</t>
        </is>
      </c>
      <c r="DF984" s="24" t="inlineStr">
        <is>
          <t>691080:2026-09-07T10:01:53.821085Z</t>
        </is>
      </c>
      <c r="DG984" s="24" t="n"/>
      <c r="DH984" s="24" t="n"/>
      <c r="DI984" s="24" t="n"/>
      <c r="DJ984" s="24" t="inlineStr">
        <is>
          <t>0.289855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7a6109d29e9e4cbe</t>
        </is>
      </c>
      <c r="B985" s="24" t="inlineStr">
        <is>
          <t>2026-09-07T10:02:31.424426Z</t>
        </is>
      </c>
      <c r="C985" s="24" t="inlineStr">
        <is>
          <t>2026-09-07T13:30Z</t>
        </is>
      </c>
      <c r="D985" s="24" t="inlineStr">
        <is>
          <t>998-2026:183578</t>
        </is>
      </c>
      <c r="E985" s="24" t="inlineStr">
        <is>
          <t>TENNIS</t>
        </is>
      </c>
      <c r="F985" s="24" t="inlineStr">
        <is>
          <t>Francesca Curmi</t>
        </is>
      </c>
      <c r="G985" s="24" t="inlineStr">
        <is>
          <t>Nuria Brancaccio</t>
        </is>
      </c>
      <c r="H985" s="24" t="inlineStr">
        <is>
          <t>moneyline</t>
        </is>
      </c>
      <c r="I985" s="24" t="inlineStr">
        <is>
          <t>away</t>
        </is>
      </c>
      <c r="J985" s="25" t="n"/>
      <c r="K985" s="24" t="inlineStr">
        <is>
          <t>polymarket_us</t>
        </is>
      </c>
      <c r="L985" s="26" t="n">
        <v>108</v>
      </c>
      <c r="M985" s="27" t="n">
        <v>2.08</v>
      </c>
      <c r="N985" s="28" t="n">
        <v>0.480769</v>
      </c>
      <c r="O985" s="28" t="n">
        <v>0.5415</v>
      </c>
      <c r="P985" s="28" t="n">
        <v>0.05</v>
      </c>
      <c r="Q985" s="28" t="n">
        <v>0.060731</v>
      </c>
      <c r="R985" s="26" t="n">
        <v>50</v>
      </c>
      <c r="S985" s="29" t="n">
        <v>1</v>
      </c>
      <c r="T985" s="24" t="inlineStr">
        <is>
          <t>tennis-surface-elo-v1</t>
        </is>
      </c>
      <c r="U985" s="24" t="inlineStr">
        <is>
          <t>settled</t>
        </is>
      </c>
      <c r="V985" s="24" t="inlineStr">
        <is>
          <t>loss</t>
        </is>
      </c>
      <c r="W985" s="26" t="n">
        <v>0</v>
      </c>
      <c r="X985" s="26" t="n">
        <v>1</v>
      </c>
      <c r="Y985" s="25" t="n"/>
      <c r="Z985" s="26" t="n">
        <v>108</v>
      </c>
      <c r="AA985" s="28" t="n">
        <v>0.48</v>
      </c>
      <c r="AB985" s="28" t="n">
        <v>-0.000769</v>
      </c>
      <c r="AC985" s="30" t="n">
        <v>-1</v>
      </c>
      <c r="AD985" s="24" t="inlineStr">
        <is>
          <t>2026-09-07T22:01:06.893270Z</t>
        </is>
      </c>
      <c r="AE985" s="31" t="inlineStr">
        <is>
          <t>Surface-blended Elo on Hard: Francesca Curmi p=0.542 vs Nuria Brancaccio. Executable ask 0.4800 (aec-wta-nurbra-fracur-2026-09-07).</t>
        </is>
      </c>
      <c r="AF985" s="31" t="inlineStr">
        <is>
          <t>Surface-blended Elo model; singles only, WTA+ATP market coverage, not yet locked-holdout qualified -- promoted by explicit operator directive, not genuine walk-forward validation.</t>
        </is>
      </c>
      <c r="AG985" s="24" t="inlineStr">
        <is>
          <t>review_required</t>
        </is>
      </c>
      <c r="AH985" s="24" t="n"/>
      <c r="AI985" s="31" t="n"/>
      <c r="AJ985" s="31" t="n"/>
      <c r="AK985" s="24" t="inlineStr">
        <is>
          <t>model_qualified</t>
        </is>
      </c>
      <c r="AL985" s="26" t="n">
        <v>4</v>
      </c>
      <c r="AM985" s="24" t="inlineStr">
        <is>
          <t>QUALIFIED_SHADOW_CALL</t>
        </is>
      </c>
      <c r="AN985" s="24" t="inlineStr">
        <is>
          <t>CALL</t>
        </is>
      </c>
      <c r="AO985" s="24" t="inlineStr">
        <is>
          <t>QUALIFIED</t>
        </is>
      </c>
      <c r="AP985" s="24" t="inlineStr">
        <is>
          <t>Francesca Curmi</t>
        </is>
      </c>
      <c r="AQ985" s="24" t="inlineStr">
        <is>
          <t>Francesca Curmi</t>
        </is>
      </c>
      <c r="AR985" s="24" t="inlineStr">
        <is>
          <t>Francesca Curmi</t>
        </is>
      </c>
      <c r="AS985" s="24" t="inlineStr">
        <is>
          <t>Nuria Brancaccio</t>
        </is>
      </c>
      <c r="AT985" s="24" t="inlineStr">
        <is>
          <t>Nuria Brancaccio</t>
        </is>
      </c>
      <c r="AU985" s="24" t="inlineStr">
        <is>
          <t>Nuria Brancaccio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inlineStr">
        <is>
          <t>0ce66f49b381187fe6255a40ca2fdbfc155d5e36125ccf6d30fe81a72962eafa</t>
        </is>
      </c>
      <c r="BB985" s="24" t="inlineStr">
        <is>
          <t>surface_blended_elo</t>
        </is>
      </c>
      <c r="BC985" s="24" t="inlineStr">
        <is>
          <t>tennis-surface-elo-v1</t>
        </is>
      </c>
      <c r="BD985" s="24" t="inlineStr">
        <is>
          <t>0ce66f49b381187fe6255a40ca2fdbfc155d5e36125ccf6d30fe81a72962eafa</t>
        </is>
      </c>
      <c r="BE985" s="24" t="inlineStr">
        <is>
          <t>tennis-surface-elo-v1</t>
        </is>
      </c>
      <c r="BF985" s="24" t="inlineStr">
        <is>
          <t>1</t>
        </is>
      </c>
      <c r="BG985" s="24" t="inlineStr">
        <is>
          <t>0ce66f49b381187fe6255a40ca2fdbfc155d5e36125ccf6d30fe81a72962eafa</t>
        </is>
      </c>
      <c r="BH985" s="24" t="inlineStr">
        <is>
          <t>2026-09-07T10:01:53.850129Z</t>
        </is>
      </c>
      <c r="BI985" s="24" t="inlineStr">
        <is>
          <t>["same_event","same_team_same_day","same_league_same_day"]</t>
        </is>
      </c>
      <c r="BJ985" s="25" t="n"/>
      <c r="BK985" s="26" t="n">
        <v>108</v>
      </c>
      <c r="BL985" s="27" t="n">
        <v>2.08</v>
      </c>
      <c r="BM985" s="28" t="n">
        <v>0.480769</v>
      </c>
      <c r="BN985" s="28" t="n"/>
      <c r="BO985" s="28" t="n"/>
      <c r="BP985" s="25" t="n"/>
      <c r="BQ985" s="27" t="n">
        <v>2.08</v>
      </c>
      <c r="BR985" s="28" t="n">
        <v>0.48</v>
      </c>
      <c r="BS985" s="28" t="n"/>
      <c r="BT985" s="28" t="n"/>
      <c r="BU985" s="25" t="n"/>
      <c r="BV985" s="29" t="n"/>
      <c r="BW985" s="24" t="n"/>
      <c r="BX985" s="30" t="n"/>
      <c r="BY985" s="27" t="n"/>
      <c r="BZ985" s="24" t="n"/>
      <c r="CA985" s="31" t="n"/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inlineStr">
        <is>
          <t>0d3c6b2d984a2b53690ccb5cab28912842696ac3e7d0f2b45af9b9a40a2a1919</t>
        </is>
      </c>
      <c r="DE985" s="24" t="inlineStr">
        <is>
          <t>/Users/vincentc9002/model-prediction/data/odds/tennis/2026-09-07/polymarket_snapshots.jsonl</t>
        </is>
      </c>
      <c r="DF985" s="24" t="inlineStr">
        <is>
          <t>691072:2026-09-07T10:01:53.850129Z</t>
        </is>
      </c>
      <c r="DG985" s="24" t="n"/>
      <c r="DH985" s="24" t="n"/>
      <c r="DI985" s="24" t="n"/>
      <c r="DJ985" s="24" t="inlineStr">
        <is>
          <t>0.480769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04e9109ffca64364</t>
        </is>
      </c>
      <c r="B986" s="24" t="inlineStr">
        <is>
          <t>2026-09-07T10:02:31.424426Z</t>
        </is>
      </c>
      <c r="C986" s="24" t="inlineStr">
        <is>
          <t>2026-09-07T10:30Z</t>
        </is>
      </c>
      <c r="D986" s="24" t="inlineStr">
        <is>
          <t>1076-2026:183550</t>
        </is>
      </c>
      <c r="E986" s="24" t="inlineStr">
        <is>
          <t>TENNIS</t>
        </is>
      </c>
      <c r="F986" s="24" t="inlineStr">
        <is>
          <t>Aurora Zantedeschi</t>
        </is>
      </c>
      <c r="G986" s="24" t="inlineStr">
        <is>
          <t>Sofya Lansere</t>
        </is>
      </c>
      <c r="H986" s="24" t="inlineStr">
        <is>
          <t>moneyline</t>
        </is>
      </c>
      <c r="I986" s="24" t="inlineStr">
        <is>
          <t>away</t>
        </is>
      </c>
      <c r="J986" s="25" t="n"/>
      <c r="K986" s="24" t="inlineStr">
        <is>
          <t>polymarket_us</t>
        </is>
      </c>
      <c r="L986" s="26" t="n">
        <v>-203</v>
      </c>
      <c r="M986" s="27" t="n">
        <v>1.492611</v>
      </c>
      <c r="N986" s="28" t="n">
        <v>0.669967</v>
      </c>
      <c r="O986" s="28" t="n">
        <v>0.5673</v>
      </c>
      <c r="P986" s="28" t="n">
        <v>0.05</v>
      </c>
      <c r="Q986" s="28" t="n">
        <v>-0.102667</v>
      </c>
      <c r="R986" s="26" t="n">
        <v>0</v>
      </c>
      <c r="S986" s="29" t="n">
        <v>1</v>
      </c>
      <c r="T986" s="24" t="inlineStr">
        <is>
          <t>tennis-surface-elo-v1</t>
        </is>
      </c>
      <c r="U986" s="24" t="inlineStr">
        <is>
          <t>settled</t>
        </is>
      </c>
      <c r="V986" s="24" t="inlineStr">
        <is>
          <t>win</t>
        </is>
      </c>
      <c r="W986" s="26" t="n">
        <v>1</v>
      </c>
      <c r="X986" s="26" t="n">
        <v>0</v>
      </c>
      <c r="Y986" s="25" t="n"/>
      <c r="Z986" s="26" t="n">
        <v>-203</v>
      </c>
      <c r="AA986" s="28" t="n">
        <v>0.67</v>
      </c>
      <c r="AB986" s="28" t="n">
        <v>3.3e-05</v>
      </c>
      <c r="AC986" s="30" t="n">
        <v>0.4926</v>
      </c>
      <c r="AD986" s="24" t="inlineStr">
        <is>
          <t>2026-09-07T16:00:32.260316Z</t>
        </is>
      </c>
      <c r="AE986" s="31" t="inlineStr">
        <is>
          <t>Surface-blended Elo on Hard: Aurora Zantedeschi p=0.567 vs Sofya Lansere. Executable ask 0.6700 (aec-wta-soflan-aurzan-2026-09-07).</t>
        </is>
      </c>
      <c r="AF986" s="31" t="inlineStr">
        <is>
          <t>Surface-blended Elo model; singles only, WTA+ATP market coverage, not yet locked-holdout qualified -- promoted by explicit operator directive, not genuine walk-forward validation.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PAPER_CALL_LOW_EDGE</t>
        </is>
      </c>
      <c r="AP986" s="24" t="inlineStr">
        <is>
          <t>Aurora Zantedeschi</t>
        </is>
      </c>
      <c r="AQ986" s="24" t="inlineStr">
        <is>
          <t>Aurora Zantedeschi</t>
        </is>
      </c>
      <c r="AR986" s="24" t="inlineStr">
        <is>
          <t>Aurora Zantedeschi</t>
        </is>
      </c>
      <c r="AS986" s="24" t="inlineStr">
        <is>
          <t>Sofya Lansere</t>
        </is>
      </c>
      <c r="AT986" s="24" t="inlineStr">
        <is>
          <t>Sofya Lansere</t>
        </is>
      </c>
      <c r="AU986" s="24" t="inlineStr">
        <is>
          <t>Sofya Lansere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inlineStr">
        <is>
          <t>0ce66f49b381187fe6255a40ca2fdbfc155d5e36125ccf6d30fe81a72962eafa</t>
        </is>
      </c>
      <c r="BB986" s="24" t="inlineStr">
        <is>
          <t>surface_blended_elo</t>
        </is>
      </c>
      <c r="BC986" s="24" t="inlineStr">
        <is>
          <t>tennis-surface-elo-v1</t>
        </is>
      </c>
      <c r="BD986" s="24" t="inlineStr">
        <is>
          <t>0ce66f49b381187fe6255a40ca2fdbfc155d5e36125ccf6d30fe81a72962eafa</t>
        </is>
      </c>
      <c r="BE986" s="24" t="inlineStr">
        <is>
          <t>tennis-surface-elo-v1</t>
        </is>
      </c>
      <c r="BF986" s="24" t="inlineStr">
        <is>
          <t>1</t>
        </is>
      </c>
      <c r="BG986" s="24" t="inlineStr">
        <is>
          <t>0ce66f49b381187fe6255a40ca2fdbfc155d5e36125ccf6d30fe81a72962eafa</t>
        </is>
      </c>
      <c r="BH986" s="24" t="inlineStr">
        <is>
          <t>2026-09-07T10:01:53.815696Z</t>
        </is>
      </c>
      <c r="BI986" s="24" t="inlineStr">
        <is>
          <t>["same_event","same_team_same_day","same_league_same_day"]</t>
        </is>
      </c>
      <c r="BJ986" s="25" t="n"/>
      <c r="BK986" s="26" t="n">
        <v>-203</v>
      </c>
      <c r="BL986" s="27" t="n">
        <v>1.492611</v>
      </c>
      <c r="BM986" s="28" t="n">
        <v>0.669967</v>
      </c>
      <c r="BN986" s="28" t="n"/>
      <c r="BO986" s="28" t="n"/>
      <c r="BP986" s="25" t="n"/>
      <c r="BQ986" s="27" t="n">
        <v>1.492611</v>
      </c>
      <c r="BR986" s="28" t="n">
        <v>0.67</v>
      </c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inlineStr">
        <is>
          <t>d46b86aa3a3bf19150bbe2af0bfdc794d84eb9017eff65297f8479be35c9b395</t>
        </is>
      </c>
      <c r="DE986" s="24" t="inlineStr">
        <is>
          <t>/Users/vincentc9002/model-prediction/data/odds/tennis/2026-09-07/polymarket_snapshots.jsonl</t>
        </is>
      </c>
      <c r="DF986" s="24" t="inlineStr">
        <is>
          <t>707242:2026-09-07T10:01:53.815696Z</t>
        </is>
      </c>
      <c r="DG986" s="24" t="n"/>
      <c r="DH986" s="24" t="n"/>
      <c r="DI986" s="24" t="n"/>
      <c r="DJ986" s="24" t="inlineStr">
        <is>
          <t>0.669967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0d7e46f78d954471</t>
        </is>
      </c>
      <c r="B987" s="24" t="inlineStr">
        <is>
          <t>2026-09-07T10:02:31.424426Z</t>
        </is>
      </c>
      <c r="C987" s="24" t="inlineStr">
        <is>
          <t>2026-09-07T13:00Z</t>
        </is>
      </c>
      <c r="D987" s="24" t="inlineStr">
        <is>
          <t>1076-2026:183546</t>
        </is>
      </c>
      <c r="E987" s="24" t="inlineStr">
        <is>
          <t>TENNIS</t>
        </is>
      </c>
      <c r="F987" s="24" t="inlineStr">
        <is>
          <t>Leyre Romero Gormaz</t>
        </is>
      </c>
      <c r="G987" s="24" t="inlineStr">
        <is>
          <t>Berfu Cengiz</t>
        </is>
      </c>
      <c r="H987" s="24" t="inlineStr">
        <is>
          <t>moneyline</t>
        </is>
      </c>
      <c r="I987" s="24" t="inlineStr">
        <is>
          <t>away</t>
        </is>
      </c>
      <c r="J987" s="25" t="n"/>
      <c r="K987" s="24" t="inlineStr">
        <is>
          <t>polymarket_us</t>
        </is>
      </c>
      <c r="L987" s="26" t="n">
        <v>-144</v>
      </c>
      <c r="M987" s="27" t="n">
        <v>1.694444</v>
      </c>
      <c r="N987" s="28" t="n">
        <v>0.590164</v>
      </c>
      <c r="O987" s="28" t="n">
        <v>0.7339</v>
      </c>
      <c r="P987" s="28" t="n">
        <v>0.05</v>
      </c>
      <c r="Q987" s="28" t="n">
        <v>0.143736</v>
      </c>
      <c r="R987" s="26" t="n">
        <v>92</v>
      </c>
      <c r="S987" s="29" t="n">
        <v>1.5</v>
      </c>
      <c r="T987" s="24" t="inlineStr">
        <is>
          <t>tennis-surface-elo-v1</t>
        </is>
      </c>
      <c r="U987" s="24" t="inlineStr">
        <is>
          <t>settled</t>
        </is>
      </c>
      <c r="V987" s="24" t="inlineStr">
        <is>
          <t>win</t>
        </is>
      </c>
      <c r="W987" s="26" t="n">
        <v>1</v>
      </c>
      <c r="X987" s="26" t="n">
        <v>0</v>
      </c>
      <c r="Y987" s="25" t="n"/>
      <c r="Z987" s="26" t="n">
        <v>-144</v>
      </c>
      <c r="AA987" s="28" t="n">
        <v>0.59</v>
      </c>
      <c r="AB987" s="28" t="n">
        <v>-0.000164</v>
      </c>
      <c r="AC987" s="30" t="n">
        <v>1.0417</v>
      </c>
      <c r="AD987" s="24" t="inlineStr">
        <is>
          <t>2026-09-07T22:01:07.339777Z</t>
        </is>
      </c>
      <c r="AE987" s="31" t="inlineStr">
        <is>
          <t>Surface-blended Elo on Hard: Leyre Romero Gormaz p=0.734 vs Berfu Cengiz. Executable ask 0.5900 (aec-wta-bercen-leygor-2026-09-07).</t>
        </is>
      </c>
      <c r="AF987" s="31" t="inlineStr">
        <is>
          <t>Surface-blended Elo model; singles only, WTA+ATP market coverage, not yet locked-holdout qualified -- promoted by explicit operator directive, not genuine walk-forward validation.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model_qualified</t>
        </is>
      </c>
      <c r="AL987" s="26" t="n">
        <v>4</v>
      </c>
      <c r="AM987" s="24" t="inlineStr">
        <is>
          <t>QUALIFIED_SHADOW_CALL</t>
        </is>
      </c>
      <c r="AN987" s="24" t="inlineStr">
        <is>
          <t>CALL</t>
        </is>
      </c>
      <c r="AO987" s="24" t="inlineStr">
        <is>
          <t>QUALIFIED</t>
        </is>
      </c>
      <c r="AP987" s="24" t="inlineStr">
        <is>
          <t>Leyre Romero Gormaz</t>
        </is>
      </c>
      <c r="AQ987" s="24" t="inlineStr">
        <is>
          <t>Leyre Romero Gormaz</t>
        </is>
      </c>
      <c r="AR987" s="24" t="inlineStr">
        <is>
          <t>Leyre Romero Gormaz</t>
        </is>
      </c>
      <c r="AS987" s="24" t="inlineStr">
        <is>
          <t>Berfu Cengiz</t>
        </is>
      </c>
      <c r="AT987" s="24" t="inlineStr">
        <is>
          <t>Berfu Cengiz</t>
        </is>
      </c>
      <c r="AU987" s="24" t="inlineStr">
        <is>
          <t>Berfu Cengiz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inlineStr">
        <is>
          <t>0ce66f49b381187fe6255a40ca2fdbfc155d5e36125ccf6d30fe81a72962eafa</t>
        </is>
      </c>
      <c r="BB987" s="24" t="inlineStr">
        <is>
          <t>surface_blended_elo</t>
        </is>
      </c>
      <c r="BC987" s="24" t="inlineStr">
        <is>
          <t>tennis-surface-elo-v1</t>
        </is>
      </c>
      <c r="BD987" s="24" t="inlineStr">
        <is>
          <t>0ce66f49b381187fe6255a40ca2fdbfc155d5e36125ccf6d30fe81a72962eafa</t>
        </is>
      </c>
      <c r="BE987" s="24" t="inlineStr">
        <is>
          <t>tennis-surface-elo-v1</t>
        </is>
      </c>
      <c r="BF987" s="24" t="inlineStr">
        <is>
          <t>1</t>
        </is>
      </c>
      <c r="BG987" s="24" t="inlineStr">
        <is>
          <t>0ce66f49b381187fe6255a40ca2fdbfc155d5e36125ccf6d30fe81a72962eafa</t>
        </is>
      </c>
      <c r="BH987" s="24" t="inlineStr">
        <is>
          <t>2026-09-07T10:01:53.831531Z</t>
        </is>
      </c>
      <c r="BI987" s="24" t="inlineStr">
        <is>
          <t>["same_event","same_team_same_day","same_league_same_day"]</t>
        </is>
      </c>
      <c r="BJ987" s="25" t="n"/>
      <c r="BK987" s="26" t="n">
        <v>-144</v>
      </c>
      <c r="BL987" s="27" t="n">
        <v>1.694444</v>
      </c>
      <c r="BM987" s="28" t="n">
        <v>0.590164</v>
      </c>
      <c r="BN987" s="28" t="n"/>
      <c r="BO987" s="28" t="n"/>
      <c r="BP987" s="25" t="n"/>
      <c r="BQ987" s="27" t="n">
        <v>1.694444</v>
      </c>
      <c r="BR987" s="28" t="n">
        <v>0.59</v>
      </c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True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inlineStr">
        <is>
          <t>ef1f7715753dfe802d54b1acafea97d2e2d6f0900a3ddb8b1317b9c2b33e5f07</t>
        </is>
      </c>
      <c r="DE987" s="24" t="inlineStr">
        <is>
          <t>/Users/vincentc9002/model-prediction/data/odds/tennis/2026-09-07/polymarket_snapshots.jsonl</t>
        </is>
      </c>
      <c r="DF987" s="24" t="inlineStr">
        <is>
          <t>707243:2026-09-07T10:01:53.831531Z</t>
        </is>
      </c>
      <c r="DG987" s="24" t="n"/>
      <c r="DH987" s="24" t="n"/>
      <c r="DI987" s="24" t="n"/>
      <c r="DJ987" s="24" t="inlineStr">
        <is>
          <t>0.590164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66b57e03b00c4569</t>
        </is>
      </c>
      <c r="B988" s="24" t="inlineStr">
        <is>
          <t>2026-09-07T16:02:59.290160Z</t>
        </is>
      </c>
      <c r="C988" s="24" t="inlineStr">
        <is>
          <t>2026-09-07T18:30Z</t>
        </is>
      </c>
      <c r="D988" s="24" t="inlineStr">
        <is>
          <t>189-2026:182527</t>
        </is>
      </c>
      <c r="E988" s="24" t="inlineStr">
        <is>
          <t>TENNIS</t>
        </is>
      </c>
      <c r="F988" s="24" t="inlineStr">
        <is>
          <t>Elena Rybakina</t>
        </is>
      </c>
      <c r="G988" s="24" t="inlineStr">
        <is>
          <t>Naomi Osaka</t>
        </is>
      </c>
      <c r="H988" s="24" t="inlineStr">
        <is>
          <t>moneyline</t>
        </is>
      </c>
      <c r="I988" s="24" t="inlineStr">
        <is>
          <t>away</t>
        </is>
      </c>
      <c r="J988" s="25" t="n"/>
      <c r="K988" s="24" t="inlineStr">
        <is>
          <t>polymarket_us</t>
        </is>
      </c>
      <c r="L988" s="26" t="n">
        <v>-130</v>
      </c>
      <c r="M988" s="27" t="n">
        <v>1.769231</v>
      </c>
      <c r="N988" s="28" t="n">
        <v>0.565217</v>
      </c>
      <c r="O988" s="28" t="n">
        <v>0.722</v>
      </c>
      <c r="P988" s="28" t="n">
        <v>0.05</v>
      </c>
      <c r="Q988" s="28" t="n">
        <v>0.156783</v>
      </c>
      <c r="R988" s="26" t="n">
        <v>98</v>
      </c>
      <c r="S988" s="29" t="n">
        <v>1.75</v>
      </c>
      <c r="T988" s="24" t="inlineStr">
        <is>
          <t>tennis-surface-elo-v1</t>
        </is>
      </c>
      <c r="U988" s="24" t="inlineStr">
        <is>
          <t>settled</t>
        </is>
      </c>
      <c r="V988" s="24" t="inlineStr">
        <is>
          <t>win</t>
        </is>
      </c>
      <c r="W988" s="26" t="n">
        <v>1</v>
      </c>
      <c r="X988" s="26" t="n">
        <v>0</v>
      </c>
      <c r="Y988" s="25" t="n"/>
      <c r="Z988" s="26" t="n">
        <v>-130</v>
      </c>
      <c r="AA988" s="28" t="n">
        <v>0.5649999999999999</v>
      </c>
      <c r="AB988" s="28" t="n">
        <v>-0.000217</v>
      </c>
      <c r="AC988" s="30" t="n">
        <v>1.3462</v>
      </c>
      <c r="AD988" s="24" t="inlineStr">
        <is>
          <t>2026-09-07T22:01:25.166391Z</t>
        </is>
      </c>
      <c r="AE988" s="31" t="inlineStr">
        <is>
          <t>Surface-blended Elo on Hard: Elena Rybakina p=0.722 vs Naomi Osaka. Executable ask 0.5650 (aec-wta-naoosa-eleryb-2026-09-07).</t>
        </is>
      </c>
      <c r="AF988" s="31" t="inlineStr">
        <is>
          <t>Surface-blended Elo model; singles only, WTA+ATP market coverage, not yet locked-holdout qualified -- promoted by explicit operator directive, not genuine walk-forward validation.</t>
        </is>
      </c>
      <c r="AG988" s="24" t="inlineStr">
        <is>
          <t>not_applicable</t>
        </is>
      </c>
      <c r="AH988" s="24" t="n"/>
      <c r="AI988" s="31" t="n"/>
      <c r="AJ988" s="31" t="n"/>
      <c r="AK988" s="24" t="inlineStr">
        <is>
          <t>model_qualified</t>
        </is>
      </c>
      <c r="AL988" s="26" t="n">
        <v>4</v>
      </c>
      <c r="AM988" s="24" t="inlineStr">
        <is>
          <t>QUALIFIED_SHADOW_CALL</t>
        </is>
      </c>
      <c r="AN988" s="24" t="inlineStr">
        <is>
          <t>CALL</t>
        </is>
      </c>
      <c r="AO988" s="24" t="inlineStr">
        <is>
          <t>QUALIFIED</t>
        </is>
      </c>
      <c r="AP988" s="24" t="inlineStr">
        <is>
          <t>Elena Rybakina</t>
        </is>
      </c>
      <c r="AQ988" s="24" t="inlineStr">
        <is>
          <t>Elena Rybakina</t>
        </is>
      </c>
      <c r="AR988" s="24" t="inlineStr">
        <is>
          <t>Elena Rybakina</t>
        </is>
      </c>
      <c r="AS988" s="24" t="inlineStr">
        <is>
          <t>Naomi Osaka</t>
        </is>
      </c>
      <c r="AT988" s="24" t="inlineStr">
        <is>
          <t>Naomi Osaka</t>
        </is>
      </c>
      <c r="AU988" s="24" t="inlineStr">
        <is>
          <t>Naomi Osaka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inlineStr">
        <is>
          <t>0ce66f49b381187fe6255a40ca2fdbfc155d5e36125ccf6d30fe81a72962eafa</t>
        </is>
      </c>
      <c r="BB988" s="24" t="inlineStr">
        <is>
          <t>surface_blended_elo</t>
        </is>
      </c>
      <c r="BC988" s="24" t="inlineStr">
        <is>
          <t>tennis-surface-elo-v1</t>
        </is>
      </c>
      <c r="BD988" s="24" t="inlineStr">
        <is>
          <t>0ce66f49b381187fe6255a40ca2fdbfc155d5e36125ccf6d30fe81a72962eafa</t>
        </is>
      </c>
      <c r="BE988" s="24" t="inlineStr">
        <is>
          <t>tennis-surface-elo-v1</t>
        </is>
      </c>
      <c r="BF988" s="24" t="inlineStr">
        <is>
          <t>1</t>
        </is>
      </c>
      <c r="BG988" s="24" t="inlineStr">
        <is>
          <t>0ce66f49b381187fe6255a40ca2fdbfc155d5e36125ccf6d30fe81a72962eafa</t>
        </is>
      </c>
      <c r="BH988" s="24" t="inlineStr">
        <is>
          <t>2026-09-07T16:02:19.372778Z</t>
        </is>
      </c>
      <c r="BI988" s="24" t="inlineStr">
        <is>
          <t>["same_event","same_team_same_day","same_league_same_day"]</t>
        </is>
      </c>
      <c r="BJ988" s="25" t="n"/>
      <c r="BK988" s="26" t="n">
        <v>-130</v>
      </c>
      <c r="BL988" s="27" t="n">
        <v>1.769231</v>
      </c>
      <c r="BM988" s="28" t="n">
        <v>0.565217</v>
      </c>
      <c r="BN988" s="28" t="n"/>
      <c r="BO988" s="28" t="n"/>
      <c r="BP988" s="25" t="n"/>
      <c r="BQ988" s="27" t="n">
        <v>1.769231</v>
      </c>
      <c r="BR988" s="28" t="n">
        <v>0.5649999999999999</v>
      </c>
      <c r="BS988" s="28" t="n"/>
      <c r="BT988" s="28" t="n"/>
      <c r="BU988" s="25" t="n"/>
      <c r="BV988" s="29" t="n"/>
      <c r="BW988" s="24" t="n"/>
      <c r="BX988" s="30" t="n"/>
      <c r="BY988" s="27" t="n"/>
      <c r="BZ988" s="24" t="n"/>
      <c r="CA988" s="31" t="n"/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True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inlineStr">
        <is>
          <t>815476f8010c676a9e6ae5e58cdc46b53fd32aeda88ced358c7f832ac0aa3567</t>
        </is>
      </c>
      <c r="DE988" s="24" t="inlineStr">
        <is>
          <t>/Users/vincentc9002/model-prediction/data/odds/tennis/2026-09-07/polymarket_snapshots.jsonl</t>
        </is>
      </c>
      <c r="DF988" s="24" t="inlineStr">
        <is>
          <t>694998:2026-09-07T16:02:19.372778Z</t>
        </is>
      </c>
      <c r="DG988" s="24" t="n"/>
      <c r="DH988" s="24" t="n"/>
      <c r="DI988" s="24" t="n"/>
      <c r="DJ988" s="24" t="inlineStr">
        <is>
          <t>0.565217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cf80190652494a79</t>
        </is>
      </c>
      <c r="B989" s="24" t="inlineStr">
        <is>
          <t>2026-09-07T16:02:59.290160Z</t>
        </is>
      </c>
      <c r="C989" s="24" t="inlineStr">
        <is>
          <t>2026-09-07T17:00Z</t>
        </is>
      </c>
      <c r="D989" s="24" t="inlineStr">
        <is>
          <t>998-2026:183583</t>
        </is>
      </c>
      <c r="E989" s="24" t="inlineStr">
        <is>
          <t>TENNIS</t>
        </is>
      </c>
      <c r="F989" s="24" t="inlineStr">
        <is>
          <t>Noma Noha Akugue</t>
        </is>
      </c>
      <c r="G989" s="24" t="inlineStr">
        <is>
          <t>Denisa Zoldakova</t>
        </is>
      </c>
      <c r="H989" s="24" t="inlineStr">
        <is>
          <t>moneyline</t>
        </is>
      </c>
      <c r="I989" s="24" t="inlineStr">
        <is>
          <t>home</t>
        </is>
      </c>
      <c r="J989" s="25" t="n"/>
      <c r="K989" s="24" t="inlineStr">
        <is>
          <t>polymarket_us</t>
        </is>
      </c>
      <c r="L989" s="26" t="n">
        <v>122</v>
      </c>
      <c r="M989" s="27" t="n">
        <v>2.22</v>
      </c>
      <c r="N989" s="28" t="n">
        <v>0.45045</v>
      </c>
      <c r="O989" s="28" t="n">
        <v>0.5252</v>
      </c>
      <c r="P989" s="28" t="n">
        <v>0.05</v>
      </c>
      <c r="Q989" s="28" t="n">
        <v>0.07475</v>
      </c>
      <c r="R989" s="26" t="n">
        <v>57</v>
      </c>
      <c r="S989" s="29" t="n">
        <v>1.25</v>
      </c>
      <c r="T989" s="24" t="inlineStr">
        <is>
          <t>tennis-surface-elo-v1</t>
        </is>
      </c>
      <c r="U989" s="24" t="inlineStr">
        <is>
          <t>settled</t>
        </is>
      </c>
      <c r="V989" s="24" t="inlineStr">
        <is>
          <t>loss</t>
        </is>
      </c>
      <c r="W989" s="26" t="n">
        <v>1</v>
      </c>
      <c r="X989" s="26" t="n">
        <v>0</v>
      </c>
      <c r="Y989" s="25" t="n"/>
      <c r="Z989" s="26" t="n">
        <v>122</v>
      </c>
      <c r="AA989" s="28" t="n">
        <v>0.45</v>
      </c>
      <c r="AB989" s="28" t="n">
        <v>-0.00045</v>
      </c>
      <c r="AC989" s="30" t="n">
        <v>-1.25</v>
      </c>
      <c r="AD989" s="24" t="inlineStr">
        <is>
          <t>2026-09-07T22:01:25.648060Z</t>
        </is>
      </c>
      <c r="AE989" s="31" t="inlineStr">
        <is>
          <t>Surface-blended Elo on Hard: Noma Noha Akugue p=0.475 vs Denisa Zoldakova. Executable ask 0.4500 (aec-wta-denzol-nomaku-2026-09-07).</t>
        </is>
      </c>
      <c r="AF989" s="31" t="inlineStr">
        <is>
          <t>Surface-blended Elo model; singles only, WTA+ATP market coverage, not yet locked-holdout qualified -- promoted by explicit operator directive, not genuine walk-forward validation.</t>
        </is>
      </c>
      <c r="AG989" s="24" t="inlineStr">
        <is>
          <t>review_required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Noma Noha Akugue</t>
        </is>
      </c>
      <c r="AQ989" s="24" t="inlineStr">
        <is>
          <t>Noma Noha Akugue</t>
        </is>
      </c>
      <c r="AR989" s="24" t="inlineStr">
        <is>
          <t>Noma Noha Akugue</t>
        </is>
      </c>
      <c r="AS989" s="24" t="inlineStr">
        <is>
          <t>Denisa Zoldakova</t>
        </is>
      </c>
      <c r="AT989" s="24" t="inlineStr">
        <is>
          <t>Denisa Zoldakova</t>
        </is>
      </c>
      <c r="AU989" s="24" t="inlineStr">
        <is>
          <t>Denisa Zoldakova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inlineStr">
        <is>
          <t>0ce66f49b381187fe6255a40ca2fdbfc155d5e36125ccf6d30fe81a72962eafa</t>
        </is>
      </c>
      <c r="BB989" s="24" t="inlineStr">
        <is>
          <t>surface_blended_elo</t>
        </is>
      </c>
      <c r="BC989" s="24" t="inlineStr">
        <is>
          <t>tennis-surface-elo-v1</t>
        </is>
      </c>
      <c r="BD989" s="24" t="inlineStr">
        <is>
          <t>0ce66f49b381187fe6255a40ca2fdbfc155d5e36125ccf6d30fe81a72962eafa</t>
        </is>
      </c>
      <c r="BE989" s="24" t="inlineStr">
        <is>
          <t>tennis-surface-elo-v1</t>
        </is>
      </c>
      <c r="BF989" s="24" t="inlineStr">
        <is>
          <t>1</t>
        </is>
      </c>
      <c r="BG989" s="24" t="inlineStr">
        <is>
          <t>0ce66f49b381187fe6255a40ca2fdbfc155d5e36125ccf6d30fe81a72962eafa</t>
        </is>
      </c>
      <c r="BH989" s="24" t="inlineStr">
        <is>
          <t>2026-09-07T16:02:19.293675Z</t>
        </is>
      </c>
      <c r="BI989" s="24" t="inlineStr">
        <is>
          <t>["same_event","same_team_same_day","same_league_same_day"]</t>
        </is>
      </c>
      <c r="BJ989" s="25" t="n"/>
      <c r="BK989" s="26" t="n">
        <v>122</v>
      </c>
      <c r="BL989" s="27" t="n">
        <v>2.22</v>
      </c>
      <c r="BM989" s="28" t="n">
        <v>0.45045</v>
      </c>
      <c r="BN989" s="28" t="n"/>
      <c r="BO989" s="28" t="n"/>
      <c r="BP989" s="25" t="n"/>
      <c r="BQ989" s="27" t="n">
        <v>2.22</v>
      </c>
      <c r="BR989" s="28" t="n">
        <v>0.45</v>
      </c>
      <c r="BS989" s="28" t="n"/>
      <c r="BT989" s="28" t="n"/>
      <c r="BU989" s="25" t="n"/>
      <c r="BV989" s="29" t="n"/>
      <c r="BW989" s="24" t="n"/>
      <c r="BX989" s="30" t="n"/>
      <c r="BY989" s="27" t="n"/>
      <c r="BZ989" s="24" t="n"/>
      <c r="CA989" s="31" t="n"/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True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inlineStr">
        <is>
          <t>cf5b91872c094f2ce89df0df4ca4512014cbf88c56f64d1a82139ff50340248d</t>
        </is>
      </c>
      <c r="DE989" s="24" t="inlineStr">
        <is>
          <t>/Users/vincentc9002/model-prediction/data/odds/tennis/2026-09-07/polymarket_snapshots.jsonl</t>
        </is>
      </c>
      <c r="DF989" s="24" t="inlineStr">
        <is>
          <t>691073:2026-09-07T16:02:19.293675Z</t>
        </is>
      </c>
      <c r="DG989" s="24" t="n"/>
      <c r="DH989" s="24" t="n"/>
      <c r="DI989" s="24" t="n"/>
      <c r="DJ989" s="24" t="inlineStr">
        <is>
          <t>0.45045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b09e5b4ea1804ffe</t>
        </is>
      </c>
      <c r="B990" s="24" t="inlineStr">
        <is>
          <t>2026-09-07T16:02:59.290160Z</t>
        </is>
      </c>
      <c r="C990" s="24" t="inlineStr">
        <is>
          <t>2026-09-07T16:30Z</t>
        </is>
      </c>
      <c r="D990" s="24" t="inlineStr">
        <is>
          <t>964-2026:183620</t>
        </is>
      </c>
      <c r="E990" s="24" t="inlineStr">
        <is>
          <t>TENNIS</t>
        </is>
      </c>
      <c r="F990" s="24" t="inlineStr">
        <is>
          <t>Suzan Lamens</t>
        </is>
      </c>
      <c r="G990" s="24" t="inlineStr">
        <is>
          <t>Kayla Day</t>
        </is>
      </c>
      <c r="H990" s="24" t="inlineStr">
        <is>
          <t>moneyline</t>
        </is>
      </c>
      <c r="I990" s="24" t="inlineStr">
        <is>
          <t>home</t>
        </is>
      </c>
      <c r="J990" s="25" t="n"/>
      <c r="K990" s="24" t="inlineStr">
        <is>
          <t>polymarket_us</t>
        </is>
      </c>
      <c r="L990" s="26" t="n">
        <v>-194</v>
      </c>
      <c r="M990" s="27" t="n">
        <v>1.515464</v>
      </c>
      <c r="N990" s="28" t="n">
        <v>0.659864</v>
      </c>
      <c r="O990" s="28" t="n">
        <v>0.5056</v>
      </c>
      <c r="P990" s="28" t="n">
        <v>0.05</v>
      </c>
      <c r="Q990" s="28" t="n">
        <v>-0.154264</v>
      </c>
      <c r="R990" s="26" t="n">
        <v>0</v>
      </c>
      <c r="S990" s="29" t="n">
        <v>1</v>
      </c>
      <c r="T990" s="24" t="inlineStr">
        <is>
          <t>tennis-surface-elo-v1</t>
        </is>
      </c>
      <c r="U990" s="24" t="inlineStr">
        <is>
          <t>settled</t>
        </is>
      </c>
      <c r="V990" s="24" t="inlineStr">
        <is>
          <t>win</t>
        </is>
      </c>
      <c r="W990" s="26" t="n">
        <v>0</v>
      </c>
      <c r="X990" s="26" t="n">
        <v>1</v>
      </c>
      <c r="Y990" s="25" t="n"/>
      <c r="Z990" s="26" t="n">
        <v>-194</v>
      </c>
      <c r="AA990" s="28" t="n">
        <v>0.66</v>
      </c>
      <c r="AB990" s="28" t="n">
        <v>0.000136</v>
      </c>
      <c r="AC990" s="30" t="n">
        <v>0.5155</v>
      </c>
      <c r="AD990" s="24" t="inlineStr">
        <is>
          <t>2026-09-08T04:31:13.609904Z</t>
        </is>
      </c>
      <c r="AE990" s="31" t="inlineStr">
        <is>
          <t>Surface-blended Elo on Hard: Suzan Lamens p=0.494 vs Kayla Day. Executable ask 0.6600 (aec-wta-kayday-suzlam-2026-09-07).</t>
        </is>
      </c>
      <c r="AF990" s="31" t="inlineStr">
        <is>
          <t>Surface-blended Elo model; singles only, WTA+ATP market coverage, not yet locked-holdout qualified -- promoted by explicit operator directive, not genuine walk-forward validation.</t>
        </is>
      </c>
      <c r="AG990" s="24" t="inlineStr">
        <is>
          <t>not_applicable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PAPER_CALL_LOW_EDGE</t>
        </is>
      </c>
      <c r="AP990" s="24" t="inlineStr">
        <is>
          <t>Suzan Lamens</t>
        </is>
      </c>
      <c r="AQ990" s="24" t="inlineStr">
        <is>
          <t>Suzan Lamens</t>
        </is>
      </c>
      <c r="AR990" s="24" t="inlineStr">
        <is>
          <t>Suzan Lamens</t>
        </is>
      </c>
      <c r="AS990" s="24" t="inlineStr">
        <is>
          <t>Kayla Day</t>
        </is>
      </c>
      <c r="AT990" s="24" t="inlineStr">
        <is>
          <t>Kayla Day</t>
        </is>
      </c>
      <c r="AU990" s="24" t="inlineStr">
        <is>
          <t>Kayla Day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inlineStr">
        <is>
          <t>0ce66f49b381187fe6255a40ca2fdbfc155d5e36125ccf6d30fe81a72962eafa</t>
        </is>
      </c>
      <c r="BB990" s="24" t="inlineStr">
        <is>
          <t>surface_blended_elo</t>
        </is>
      </c>
      <c r="BC990" s="24" t="inlineStr">
        <is>
          <t>tennis-surface-elo-v1</t>
        </is>
      </c>
      <c r="BD990" s="24" t="inlineStr">
        <is>
          <t>0ce66f49b381187fe6255a40ca2fdbfc155d5e36125ccf6d30fe81a72962eafa</t>
        </is>
      </c>
      <c r="BE990" s="24" t="inlineStr">
        <is>
          <t>tennis-surface-elo-v1</t>
        </is>
      </c>
      <c r="BF990" s="24" t="inlineStr">
        <is>
          <t>1</t>
        </is>
      </c>
      <c r="BG990" s="24" t="inlineStr">
        <is>
          <t>0ce66f49b381187fe6255a40ca2fdbfc155d5e36125ccf6d30fe81a72962eafa</t>
        </is>
      </c>
      <c r="BH990" s="24" t="inlineStr">
        <is>
          <t>2026-09-07T16:02:19.257506Z</t>
        </is>
      </c>
      <c r="BI990" s="24" t="inlineStr">
        <is>
          <t>["same_event","same_team_same_day","same_league_same_day"]</t>
        </is>
      </c>
      <c r="BJ990" s="25" t="n"/>
      <c r="BK990" s="26" t="n">
        <v>-194</v>
      </c>
      <c r="BL990" s="27" t="n">
        <v>1.515464</v>
      </c>
      <c r="BM990" s="28" t="n">
        <v>0.659864</v>
      </c>
      <c r="BN990" s="28" t="n"/>
      <c r="BO990" s="28" t="n"/>
      <c r="BP990" s="25" t="n"/>
      <c r="BQ990" s="27" t="n">
        <v>1.515464</v>
      </c>
      <c r="BR990" s="28" t="n">
        <v>0.66</v>
      </c>
      <c r="BS990" s="28" t="n"/>
      <c r="BT990" s="28" t="n"/>
      <c r="BU990" s="25" t="n"/>
      <c r="BV990" s="29" t="n"/>
      <c r="BW990" s="24" t="n"/>
      <c r="BX990" s="30" t="n"/>
      <c r="BY990" s="27" t="n"/>
      <c r="BZ990" s="24" t="n"/>
      <c r="CA990" s="31" t="n"/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False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inlineStr">
        <is>
          <t>63991793c773ecd349f35ed158357c7eb6ad2f95581dd2f0bced39e489606d1d</t>
        </is>
      </c>
      <c r="DE990" s="24" t="inlineStr">
        <is>
          <t>/Users/vincentc9002/model-prediction/data/odds/tennis/2026-09-07/polymarket_snapshots.jsonl</t>
        </is>
      </c>
      <c r="DF990" s="24" t="inlineStr">
        <is>
          <t>713628:2026-09-07T16:02:19.257506Z</t>
        </is>
      </c>
      <c r="DG990" s="24" t="n"/>
      <c r="DH990" s="24" t="n"/>
      <c r="DI990" s="24" t="n"/>
      <c r="DJ990" s="24" t="inlineStr">
        <is>
          <t>0.659864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fb008904e79b42ae</t>
        </is>
      </c>
      <c r="B991" s="24" t="inlineStr">
        <is>
          <t>2026-09-07T16:02:59.290160Z</t>
        </is>
      </c>
      <c r="C991" s="24" t="inlineStr">
        <is>
          <t>2026-09-07T16:30Z</t>
        </is>
      </c>
      <c r="D991" s="24" t="inlineStr">
        <is>
          <t>964-2026:183629</t>
        </is>
      </c>
      <c r="E991" s="24" t="inlineStr">
        <is>
          <t>TENNIS</t>
        </is>
      </c>
      <c r="F991" s="24" t="inlineStr">
        <is>
          <t>Darja Semenistaja</t>
        </is>
      </c>
      <c r="G991" s="24" t="inlineStr">
        <is>
          <t>Anastasia Tikhonova</t>
        </is>
      </c>
      <c r="H991" s="24" t="inlineStr">
        <is>
          <t>moneyline</t>
        </is>
      </c>
      <c r="I991" s="24" t="inlineStr">
        <is>
          <t>away</t>
        </is>
      </c>
      <c r="J991" s="25" t="n"/>
      <c r="K991" s="24" t="inlineStr">
        <is>
          <t>polymarket_us</t>
        </is>
      </c>
      <c r="L991" s="26" t="n">
        <v>-335</v>
      </c>
      <c r="M991" s="27" t="n">
        <v>1.298507</v>
      </c>
      <c r="N991" s="28" t="n">
        <v>0.770115</v>
      </c>
      <c r="O991" s="28" t="n">
        <v>0.6892</v>
      </c>
      <c r="P991" s="28" t="n">
        <v>0.05</v>
      </c>
      <c r="Q991" s="28" t="n">
        <v>-0.080915</v>
      </c>
      <c r="R991" s="26" t="n">
        <v>0</v>
      </c>
      <c r="S991" s="29" t="n">
        <v>1</v>
      </c>
      <c r="T991" s="24" t="inlineStr">
        <is>
          <t>tennis-surface-elo-v1</t>
        </is>
      </c>
      <c r="U991" s="24" t="inlineStr">
        <is>
          <t>settled</t>
        </is>
      </c>
      <c r="V991" s="24" t="inlineStr">
        <is>
          <t>loss</t>
        </is>
      </c>
      <c r="W991" s="26" t="n">
        <v>0</v>
      </c>
      <c r="X991" s="26" t="n">
        <v>1</v>
      </c>
      <c r="Y991" s="25" t="n"/>
      <c r="Z991" s="26" t="n">
        <v>-335</v>
      </c>
      <c r="AA991" s="28" t="n">
        <v>0.77</v>
      </c>
      <c r="AB991" s="28" t="n">
        <v>-0.000115</v>
      </c>
      <c r="AC991" s="30" t="n">
        <v>-1</v>
      </c>
      <c r="AD991" s="24" t="inlineStr">
        <is>
          <t>2026-09-08T04:31:14.601770Z</t>
        </is>
      </c>
      <c r="AE991" s="31" t="inlineStr">
        <is>
          <t>Surface-blended Elo on Hard: Darja Semenistaja p=0.689 vs Anastasia Tikhonova. Executable ask 0.7700 (aec-wta-anatik-darsem-2026-09-07).</t>
        </is>
      </c>
      <c r="AF991" s="31" t="inlineStr">
        <is>
          <t>Surface-blended Elo model; singles only, WTA+ATP market coverage, not yet locked-holdout qualified -- promoted by explicit operator directive, not genuine walk-forward validation.</t>
        </is>
      </c>
      <c r="AG991" s="24" t="inlineStr">
        <is>
          <t>review_required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PAPER_CALL_LOW_EDGE</t>
        </is>
      </c>
      <c r="AP991" s="24" t="inlineStr">
        <is>
          <t>Darja Semenistaja</t>
        </is>
      </c>
      <c r="AQ991" s="24" t="inlineStr">
        <is>
          <t>Darja Semenistaja</t>
        </is>
      </c>
      <c r="AR991" s="24" t="inlineStr">
        <is>
          <t>Darja Semenistaja</t>
        </is>
      </c>
      <c r="AS991" s="24" t="inlineStr">
        <is>
          <t>Anastasia Tikhonova</t>
        </is>
      </c>
      <c r="AT991" s="24" t="inlineStr">
        <is>
          <t>Anastasia Tikhonova</t>
        </is>
      </c>
      <c r="AU991" s="24" t="inlineStr">
        <is>
          <t>Anastasia Tikhonova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0ce66f49b381187fe6255a40ca2fdbfc155d5e36125ccf6d30fe81a72962eafa</t>
        </is>
      </c>
      <c r="BB991" s="24" t="inlineStr">
        <is>
          <t>surface_blended_elo</t>
        </is>
      </c>
      <c r="BC991" s="24" t="inlineStr">
        <is>
          <t>tennis-surface-elo-v1</t>
        </is>
      </c>
      <c r="BD991" s="24" t="inlineStr">
        <is>
          <t>0ce66f49b381187fe6255a40ca2fdbfc155d5e36125ccf6d30fe81a72962eafa</t>
        </is>
      </c>
      <c r="BE991" s="24" t="inlineStr">
        <is>
          <t>tennis-surface-elo-v1</t>
        </is>
      </c>
      <c r="BF991" s="24" t="inlineStr">
        <is>
          <t>1</t>
        </is>
      </c>
      <c r="BG991" s="24" t="inlineStr">
        <is>
          <t>0ce66f49b381187fe6255a40ca2fdbfc155d5e36125ccf6d30fe81a72962eafa</t>
        </is>
      </c>
      <c r="BH991" s="24" t="inlineStr">
        <is>
          <t>2026-09-07T16:02:19.272168Z</t>
        </is>
      </c>
      <c r="BI991" s="24" t="inlineStr">
        <is>
          <t>["same_event","same_team_same_day","same_league_same_day"]</t>
        </is>
      </c>
      <c r="BJ991" s="25" t="n"/>
      <c r="BK991" s="26" t="n">
        <v>-335</v>
      </c>
      <c r="BL991" s="27" t="n">
        <v>1.298507</v>
      </c>
      <c r="BM991" s="28" t="n">
        <v>0.770115</v>
      </c>
      <c r="BN991" s="28" t="n"/>
      <c r="BO991" s="28" t="n"/>
      <c r="BP991" s="25" t="n"/>
      <c r="BQ991" s="27" t="n">
        <v>1.298507</v>
      </c>
      <c r="BR991" s="28" t="n">
        <v>0.77</v>
      </c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False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inlineStr">
        <is>
          <t>86eb9a64e0765457f734aa0924d7aa688a7a6b28a5e84cd873f1dff986dd2097</t>
        </is>
      </c>
      <c r="DE991" s="24" t="inlineStr">
        <is>
          <t>/Users/vincentc9002/model-prediction/data/odds/tennis/2026-09-07/polymarket_snapshots.jsonl</t>
        </is>
      </c>
      <c r="DF991" s="24" t="inlineStr">
        <is>
          <t>713629:2026-09-07T16:02:19.272168Z</t>
        </is>
      </c>
      <c r="DG991" s="24" t="n"/>
      <c r="DH991" s="24" t="n"/>
      <c r="DI991" s="24" t="n"/>
      <c r="DJ991" s="24" t="inlineStr">
        <is>
          <t>0.770115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619fc6a68fcd4142</t>
        </is>
      </c>
      <c r="B992" s="24" t="inlineStr">
        <is>
          <t>2026-09-07T16:02:59.290160Z</t>
        </is>
      </c>
      <c r="C992" s="24" t="inlineStr">
        <is>
          <t>2026-09-07T18:00Z</t>
        </is>
      </c>
      <c r="D992" s="24" t="inlineStr">
        <is>
          <t>964-2026:183619</t>
        </is>
      </c>
      <c r="E992" s="24" t="inlineStr">
        <is>
          <t>TENNIS</t>
        </is>
      </c>
      <c r="F992" s="24" t="inlineStr">
        <is>
          <t>Carol Young Suh Lee</t>
        </is>
      </c>
      <c r="G992" s="24" t="inlineStr">
        <is>
          <t>Vendula Valdmannova</t>
        </is>
      </c>
      <c r="H992" s="24" t="inlineStr">
        <is>
          <t>moneyline</t>
        </is>
      </c>
      <c r="I992" s="24" t="inlineStr">
        <is>
          <t>home</t>
        </is>
      </c>
      <c r="J992" s="25" t="n"/>
      <c r="K992" s="24" t="inlineStr">
        <is>
          <t>polymarket_us</t>
        </is>
      </c>
      <c r="L992" s="26" t="n">
        <v>133</v>
      </c>
      <c r="M992" s="27" t="n">
        <v>2.33</v>
      </c>
      <c r="N992" s="28" t="n">
        <v>0.429185</v>
      </c>
      <c r="O992" s="28" t="n">
        <v>0.5556</v>
      </c>
      <c r="P992" s="28" t="n">
        <v>0.05</v>
      </c>
      <c r="Q992" s="28" t="n">
        <v>0.126415</v>
      </c>
      <c r="R992" s="26" t="n">
        <v>83</v>
      </c>
      <c r="S992" s="29" t="n">
        <v>1.5</v>
      </c>
      <c r="T992" s="24" t="inlineStr">
        <is>
          <t>tennis-surface-elo-v1</t>
        </is>
      </c>
      <c r="U992" s="24" t="inlineStr">
        <is>
          <t>settled</t>
        </is>
      </c>
      <c r="V992" s="24" t="inlineStr">
        <is>
          <t>loss</t>
        </is>
      </c>
      <c r="W992" s="26" t="n">
        <v>1</v>
      </c>
      <c r="X992" s="26" t="n">
        <v>0</v>
      </c>
      <c r="Y992" s="25" t="n"/>
      <c r="Z992" s="26" t="n">
        <v>133</v>
      </c>
      <c r="AA992" s="28" t="n">
        <v>0.43</v>
      </c>
      <c r="AB992" s="28" t="n">
        <v>0.000815</v>
      </c>
      <c r="AC992" s="30" t="n">
        <v>-1.5</v>
      </c>
      <c r="AD992" s="24" t="inlineStr">
        <is>
          <t>2026-09-08T04:31:15.461304Z</t>
        </is>
      </c>
      <c r="AE992" s="31" t="inlineStr">
        <is>
          <t>Surface-blended Elo on Hard: Carol Young Suh Lee p=0.444 vs Vendula Valdmannova. Executable ask 0.4300 (aec-wta-venval-carlee-2026-09-07).</t>
        </is>
      </c>
      <c r="AF992" s="31" t="inlineStr">
        <is>
          <t>Surface-blended Elo model; singles only, WTA+ATP market coverage, not yet locked-holdout qualified -- promoted by explicit operator directive, not genuine walk-forward validation.</t>
        </is>
      </c>
      <c r="AG992" s="24" t="inlineStr">
        <is>
          <t>review_required</t>
        </is>
      </c>
      <c r="AH992" s="24" t="n"/>
      <c r="AI992" s="31" t="n"/>
      <c r="AJ992" s="31" t="n"/>
      <c r="AK992" s="24" t="inlineStr">
        <is>
          <t>model_qualified</t>
        </is>
      </c>
      <c r="AL992" s="26" t="n">
        <v>4</v>
      </c>
      <c r="AM992" s="24" t="inlineStr">
        <is>
          <t>QUALIFIED_SHADOW_CALL</t>
        </is>
      </c>
      <c r="AN992" s="24" t="inlineStr">
        <is>
          <t>CALL</t>
        </is>
      </c>
      <c r="AO992" s="24" t="inlineStr">
        <is>
          <t>QUALIFIED</t>
        </is>
      </c>
      <c r="AP992" s="24" t="inlineStr">
        <is>
          <t>Carol Young Suh Lee</t>
        </is>
      </c>
      <c r="AQ992" s="24" t="inlineStr">
        <is>
          <t>Carol Young Suh Lee</t>
        </is>
      </c>
      <c r="AR992" s="24" t="inlineStr">
        <is>
          <t>Carol Young Suh Lee</t>
        </is>
      </c>
      <c r="AS992" s="24" t="inlineStr">
        <is>
          <t>Vendula Valdmannova</t>
        </is>
      </c>
      <c r="AT992" s="24" t="inlineStr">
        <is>
          <t>Vendula Valdmannova</t>
        </is>
      </c>
      <c r="AU992" s="24" t="inlineStr">
        <is>
          <t>Vendula Valdmannova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0ce66f49b381187fe6255a40ca2fdbfc155d5e36125ccf6d30fe81a72962eafa</t>
        </is>
      </c>
      <c r="BB992" s="24" t="inlineStr">
        <is>
          <t>surface_blended_elo</t>
        </is>
      </c>
      <c r="BC992" s="24" t="inlineStr">
        <is>
          <t>tennis-surface-elo-v1</t>
        </is>
      </c>
      <c r="BD992" s="24" t="inlineStr">
        <is>
          <t>0ce66f49b381187fe6255a40ca2fdbfc155d5e36125ccf6d30fe81a72962eafa</t>
        </is>
      </c>
      <c r="BE992" s="24" t="inlineStr">
        <is>
          <t>tennis-surface-elo-v1</t>
        </is>
      </c>
      <c r="BF992" s="24" t="inlineStr">
        <is>
          <t>1</t>
        </is>
      </c>
      <c r="BG992" s="24" t="inlineStr">
        <is>
          <t>0ce66f49b381187fe6255a40ca2fdbfc155d5e36125ccf6d30fe81a72962eafa</t>
        </is>
      </c>
      <c r="BH992" s="24" t="inlineStr">
        <is>
          <t>2026-09-07T16:02:19.287638Z</t>
        </is>
      </c>
      <c r="BI992" s="24" t="inlineStr">
        <is>
          <t>["same_event","same_team_same_day","same_league_same_day"]</t>
        </is>
      </c>
      <c r="BJ992" s="25" t="n"/>
      <c r="BK992" s="26" t="n">
        <v>133</v>
      </c>
      <c r="BL992" s="27" t="n">
        <v>2.33</v>
      </c>
      <c r="BM992" s="28" t="n">
        <v>0.429185</v>
      </c>
      <c r="BN992" s="28" t="n"/>
      <c r="BO992" s="28" t="n"/>
      <c r="BP992" s="25" t="n"/>
      <c r="BQ992" s="27" t="n">
        <v>2.33</v>
      </c>
      <c r="BR992" s="28" t="n">
        <v>0.43</v>
      </c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True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inlineStr">
        <is>
          <t>badb90818fa646015834f60aa0afcf2a6710c967450f060ad961e061b2de86eb</t>
        </is>
      </c>
      <c r="DE992" s="24" t="inlineStr">
        <is>
          <t>/Users/vincentc9002/model-prediction/data/odds/tennis/2026-09-07/polymarket_snapshots.jsonl</t>
        </is>
      </c>
      <c r="DF992" s="24" t="inlineStr">
        <is>
          <t>713630:2026-09-07T16:02:19.287638Z</t>
        </is>
      </c>
      <c r="DG992" s="24" t="n"/>
      <c r="DH992" s="24" t="n"/>
      <c r="DI992" s="24" t="n"/>
      <c r="DJ992" s="24" t="inlineStr">
        <is>
          <t>0.429185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fbecb0efdaf94687</t>
        </is>
      </c>
      <c r="B993" s="24" t="inlineStr">
        <is>
          <t>2026-09-07T16:02:59.290160Z</t>
        </is>
      </c>
      <c r="C993" s="24" t="inlineStr">
        <is>
          <t>2026-09-07T19:00Z</t>
        </is>
      </c>
      <c r="D993" s="24" t="inlineStr">
        <is>
          <t>964-2026:183623</t>
        </is>
      </c>
      <c r="E993" s="24" t="inlineStr">
        <is>
          <t>TENNIS</t>
        </is>
      </c>
      <c r="F993" s="24" t="inlineStr">
        <is>
          <t>Varvara Lepchenko</t>
        </is>
      </c>
      <c r="G993" s="24" t="inlineStr">
        <is>
          <t>Katrina Scott</t>
        </is>
      </c>
      <c r="H993" s="24" t="inlineStr">
        <is>
          <t>moneyline</t>
        </is>
      </c>
      <c r="I993" s="24" t="inlineStr">
        <is>
          <t>home</t>
        </is>
      </c>
      <c r="J993" s="25" t="n"/>
      <c r="K993" s="24" t="inlineStr">
        <is>
          <t>polymarket_us</t>
        </is>
      </c>
      <c r="L993" s="26" t="n">
        <v>104</v>
      </c>
      <c r="M993" s="27" t="n">
        <v>2.04</v>
      </c>
      <c r="N993" s="28" t="n">
        <v>0.490196</v>
      </c>
      <c r="O993" s="28" t="n">
        <v>0.5581</v>
      </c>
      <c r="P993" s="28" t="n">
        <v>0.05</v>
      </c>
      <c r="Q993" s="28" t="n">
        <v>0.06790400000000001</v>
      </c>
      <c r="R993" s="26" t="n">
        <v>54</v>
      </c>
      <c r="S993" s="29" t="n">
        <v>1</v>
      </c>
      <c r="T993" s="24" t="inlineStr">
        <is>
          <t>tennis-surface-elo-v1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0</v>
      </c>
      <c r="Y993" s="25" t="n"/>
      <c r="Z993" s="26" t="n">
        <v>104</v>
      </c>
      <c r="AA993" s="28" t="n">
        <v>0.49</v>
      </c>
      <c r="AB993" s="28" t="n">
        <v>-0.000196</v>
      </c>
      <c r="AC993" s="30" t="n">
        <v>-1</v>
      </c>
      <c r="AD993" s="24" t="inlineStr">
        <is>
          <t>2026-09-08T04:31:16.308137Z</t>
        </is>
      </c>
      <c r="AE993" s="31" t="inlineStr">
        <is>
          <t>Surface-blended Elo on Hard: Varvara Lepchenko p=0.442 vs Katrina Scott. Executable ask 0.4900 (aec-wta-katsco-varlep-2026-09-07).</t>
        </is>
      </c>
      <c r="AF993" s="31" t="inlineStr">
        <is>
          <t>Surface-blended Elo model; singles only, WTA+ATP market coverage, not yet locked-holdout qualified -- promoted by explicit operator directive, not genuine walk-forward validation.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Varvara Lepchenko</t>
        </is>
      </c>
      <c r="AQ993" s="24" t="inlineStr">
        <is>
          <t>Varvara Lepchenko</t>
        </is>
      </c>
      <c r="AR993" s="24" t="inlineStr">
        <is>
          <t>Varvara Lepchenko</t>
        </is>
      </c>
      <c r="AS993" s="24" t="inlineStr">
        <is>
          <t>Katrina Scott</t>
        </is>
      </c>
      <c r="AT993" s="24" t="inlineStr">
        <is>
          <t>Katrina Scott</t>
        </is>
      </c>
      <c r="AU993" s="24" t="inlineStr">
        <is>
          <t>Katrina Scott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inlineStr">
        <is>
          <t>0ce66f49b381187fe6255a40ca2fdbfc155d5e36125ccf6d30fe81a72962eafa</t>
        </is>
      </c>
      <c r="BB993" s="24" t="inlineStr">
        <is>
          <t>surface_blended_elo</t>
        </is>
      </c>
      <c r="BC993" s="24" t="inlineStr">
        <is>
          <t>tennis-surface-elo-v1</t>
        </is>
      </c>
      <c r="BD993" s="24" t="inlineStr">
        <is>
          <t>0ce66f49b381187fe6255a40ca2fdbfc155d5e36125ccf6d30fe81a72962eafa</t>
        </is>
      </c>
      <c r="BE993" s="24" t="inlineStr">
        <is>
          <t>tennis-surface-elo-v1</t>
        </is>
      </c>
      <c r="BF993" s="24" t="inlineStr">
        <is>
          <t>1</t>
        </is>
      </c>
      <c r="BG993" s="24" t="inlineStr">
        <is>
          <t>0ce66f49b381187fe6255a40ca2fdbfc155d5e36125ccf6d30fe81a72962eafa</t>
        </is>
      </c>
      <c r="BH993" s="24" t="inlineStr">
        <is>
          <t>2026-09-07T16:02:19.447102Z</t>
        </is>
      </c>
      <c r="BI993" s="24" t="inlineStr">
        <is>
          <t>["same_event","same_team_same_day","same_league_same_day"]</t>
        </is>
      </c>
      <c r="BJ993" s="25" t="n"/>
      <c r="BK993" s="26" t="n">
        <v>104</v>
      </c>
      <c r="BL993" s="27" t="n">
        <v>2.04</v>
      </c>
      <c r="BM993" s="28" t="n">
        <v>0.490196</v>
      </c>
      <c r="BN993" s="28" t="n"/>
      <c r="BO993" s="28" t="n"/>
      <c r="BP993" s="25" t="n"/>
      <c r="BQ993" s="27" t="n">
        <v>2.04</v>
      </c>
      <c r="BR993" s="28" t="n">
        <v>0.49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True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inlineStr">
        <is>
          <t>140076628cfe864898293f2dbbdfbbfc89c1b4ad0a668dbced9593f8bbe1e109</t>
        </is>
      </c>
      <c r="DE993" s="24" t="inlineStr">
        <is>
          <t>/Users/vincentc9002/model-prediction/data/odds/tennis/2026-09-07/polymarket_snapshots.jsonl</t>
        </is>
      </c>
      <c r="DF993" s="24" t="inlineStr">
        <is>
          <t>713631:2026-09-07T16:02:19.447102Z</t>
        </is>
      </c>
      <c r="DG993" s="24" t="n"/>
      <c r="DH993" s="24" t="n"/>
      <c r="DI993" s="24" t="n"/>
      <c r="DJ993" s="24" t="inlineStr">
        <is>
          <t>0.490196</t>
        </is>
      </c>
      <c r="DK993" s="24" t="n"/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f7a8a9bab0f640ae</t>
        </is>
      </c>
      <c r="B994" s="24" t="inlineStr">
        <is>
          <t>2026-09-07T16:02:59.290160Z</t>
        </is>
      </c>
      <c r="C994" s="24" t="inlineStr">
        <is>
          <t>2026-09-07T17:00Z</t>
        </is>
      </c>
      <c r="D994" s="24" t="inlineStr">
        <is>
          <t>189-2026:182738</t>
        </is>
      </c>
      <c r="E994" s="24" t="inlineStr">
        <is>
          <t>TENNIS</t>
        </is>
      </c>
      <c r="F994" s="24" t="inlineStr">
        <is>
          <t>Alexander Blockx</t>
        </is>
      </c>
      <c r="G994" s="24" t="inlineStr">
        <is>
          <t>Francisco Cerundolo</t>
        </is>
      </c>
      <c r="H994" s="24" t="inlineStr">
        <is>
          <t>moneyline</t>
        </is>
      </c>
      <c r="I994" s="24" t="inlineStr">
        <is>
          <t>home</t>
        </is>
      </c>
      <c r="J994" s="25" t="n"/>
      <c r="K994" s="24" t="inlineStr">
        <is>
          <t>polymarket_us</t>
        </is>
      </c>
      <c r="L994" s="26" t="n">
        <v>147</v>
      </c>
      <c r="M994" s="27" t="n">
        <v>2.47</v>
      </c>
      <c r="N994" s="28" t="n">
        <v>0.404858</v>
      </c>
      <c r="O994" s="28" t="n">
        <v>0.6515</v>
      </c>
      <c r="P994" s="28" t="n">
        <v>0.05</v>
      </c>
      <c r="Q994" s="28" t="n">
        <v>0.246642</v>
      </c>
      <c r="R994" s="26" t="n">
        <v>100</v>
      </c>
      <c r="S994" s="29" t="n">
        <v>2</v>
      </c>
      <c r="T994" s="24" t="inlineStr">
        <is>
          <t>tennis-surface-elo-v1</t>
        </is>
      </c>
      <c r="U994" s="24" t="inlineStr">
        <is>
          <t>settled</t>
        </is>
      </c>
      <c r="V994" s="24" t="inlineStr">
        <is>
          <t>loss</t>
        </is>
      </c>
      <c r="W994" s="26" t="n">
        <v>1</v>
      </c>
      <c r="X994" s="26" t="n">
        <v>0</v>
      </c>
      <c r="Y994" s="25" t="n"/>
      <c r="Z994" s="26" t="n">
        <v>147</v>
      </c>
      <c r="AA994" s="28" t="n">
        <v>0.405</v>
      </c>
      <c r="AB994" s="28" t="n">
        <v>0.000142</v>
      </c>
      <c r="AC994" s="30" t="n">
        <v>-2</v>
      </c>
      <c r="AD994" s="24" t="inlineStr">
        <is>
          <t>2026-09-07T22:01:26.128218Z</t>
        </is>
      </c>
      <c r="AE994" s="31" t="inlineStr">
        <is>
          <t>Surface-blended Elo on Hard: Alexander Blockx p=0.348 vs Francisco Cerundolo. Executable ask 0.4050 (aec-atp-fracer-aleblo-2026-09-06).</t>
        </is>
      </c>
      <c r="AF994" s="31" t="inlineStr">
        <is>
          <t>Surface-blended Elo model; singles only, WTA+ATP market coverage, not yet locked-holdout qualified -- promoted by explicit operator directive, not genuine walk-forward validation.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model_qualified</t>
        </is>
      </c>
      <c r="AL994" s="26" t="n">
        <v>4</v>
      </c>
      <c r="AM994" s="24" t="inlineStr">
        <is>
          <t>QUALIFIED_SHADOW_CALL</t>
        </is>
      </c>
      <c r="AN994" s="24" t="inlineStr">
        <is>
          <t>CALL</t>
        </is>
      </c>
      <c r="AO994" s="24" t="inlineStr">
        <is>
          <t>QUALIFIED</t>
        </is>
      </c>
      <c r="AP994" s="24" t="inlineStr">
        <is>
          <t>Alexander Blockx</t>
        </is>
      </c>
      <c r="AQ994" s="24" t="inlineStr">
        <is>
          <t>Alexander Blockx</t>
        </is>
      </c>
      <c r="AR994" s="24" t="inlineStr">
        <is>
          <t>Alexander Blockx</t>
        </is>
      </c>
      <c r="AS994" s="24" t="inlineStr">
        <is>
          <t>Francisco Cerundolo</t>
        </is>
      </c>
      <c r="AT994" s="24" t="inlineStr">
        <is>
          <t>Francisco Cerundolo</t>
        </is>
      </c>
      <c r="AU994" s="24" t="inlineStr">
        <is>
          <t>Francisco Cerundolo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0ce66f49b381187fe6255a40ca2fdbfc155d5e36125ccf6d30fe81a72962eafa</t>
        </is>
      </c>
      <c r="BB994" s="24" t="inlineStr">
        <is>
          <t>surface_blended_elo</t>
        </is>
      </c>
      <c r="BC994" s="24" t="inlineStr">
        <is>
          <t>tennis-surface-elo-v1</t>
        </is>
      </c>
      <c r="BD994" s="24" t="inlineStr">
        <is>
          <t>0ce66f49b381187fe6255a40ca2fdbfc155d5e36125ccf6d30fe81a72962eafa</t>
        </is>
      </c>
      <c r="BE994" s="24" t="inlineStr">
        <is>
          <t>tennis-surface-elo-v1</t>
        </is>
      </c>
      <c r="BF994" s="24" t="inlineStr">
        <is>
          <t>1</t>
        </is>
      </c>
      <c r="BG994" s="24" t="inlineStr">
        <is>
          <t>0ce66f49b381187fe6255a40ca2fdbfc155d5e36125ccf6d30fe81a72962eafa</t>
        </is>
      </c>
      <c r="BH994" s="24" t="inlineStr">
        <is>
          <t>2026-09-07T16:02:19.757451Z</t>
        </is>
      </c>
      <c r="BI994" s="24" t="inlineStr">
        <is>
          <t>["same_event","same_team_same_day","same_league_same_day"]</t>
        </is>
      </c>
      <c r="BJ994" s="25" t="n"/>
      <c r="BK994" s="26" t="n">
        <v>147</v>
      </c>
      <c r="BL994" s="27" t="n">
        <v>2.47</v>
      </c>
      <c r="BM994" s="28" t="n">
        <v>0.404858</v>
      </c>
      <c r="BN994" s="28" t="n"/>
      <c r="BO994" s="28" t="n"/>
      <c r="BP994" s="25" t="n"/>
      <c r="BQ994" s="27" t="n">
        <v>2.47</v>
      </c>
      <c r="BR994" s="28" t="n">
        <v>0.405</v>
      </c>
      <c r="BS994" s="28" t="n"/>
      <c r="BT994" s="28" t="n"/>
      <c r="BU994" s="25" t="n"/>
      <c r="BV994" s="29" t="n"/>
      <c r="BW994" s="24" t="n"/>
      <c r="BX994" s="30" t="n"/>
      <c r="BY994" s="27" t="n"/>
      <c r="BZ994" s="24" t="n"/>
      <c r="CA994" s="31" t="n"/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n"/>
      <c r="CU994" s="24" t="n"/>
      <c r="CV994" s="24" t="n"/>
      <c r="CW994" s="24" t="n"/>
      <c r="CX994" s="24" t="n"/>
      <c r="CY994" s="24" t="n"/>
      <c r="CZ994" s="24" t="n"/>
      <c r="DA994" s="24" t="n"/>
      <c r="DB994" s="24" t="n"/>
      <c r="DC994" s="24" t="n"/>
      <c r="DD994" s="24" t="inlineStr">
        <is>
          <t>31cf069b7880e1db5b360b2859057a9360a16d0ad49a483fd4d896a766315495</t>
        </is>
      </c>
      <c r="DE994" s="24" t="inlineStr">
        <is>
          <t>/Users/vincentc9002/model-prediction/data/odds/tennis/2026-09-07/polymarket_snapshots.jsonl</t>
        </is>
      </c>
      <c r="DF994" s="24" t="inlineStr">
        <is>
          <t>691066:2026-09-07T16:02:19.757451Z</t>
        </is>
      </c>
      <c r="DG994" s="24" t="n"/>
      <c r="DH994" s="24" t="n"/>
      <c r="DI994" s="24" t="n"/>
      <c r="DJ994" s="24" t="inlineStr">
        <is>
          <t>0.404858</t>
        </is>
      </c>
      <c r="DK994" s="24" t="n"/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b8f3cc76ad2f4c91</t>
        </is>
      </c>
      <c r="B995" s="24" t="inlineStr">
        <is>
          <t>2026-09-07T16:02:59.290160Z</t>
        </is>
      </c>
      <c r="C995" s="24" t="inlineStr">
        <is>
          <t>2026-09-07T20:00Z</t>
        </is>
      </c>
      <c r="D995" s="24" t="inlineStr">
        <is>
          <t>189-2026:182692</t>
        </is>
      </c>
      <c r="E995" s="24" t="inlineStr">
        <is>
          <t>TENNIS</t>
        </is>
      </c>
      <c r="F995" s="24" t="inlineStr">
        <is>
          <t>Learner Tien</t>
        </is>
      </c>
      <c r="G995" s="24" t="inlineStr">
        <is>
          <t>Karen Khachanov</t>
        </is>
      </c>
      <c r="H995" s="24" t="inlineStr">
        <is>
          <t>moneyline</t>
        </is>
      </c>
      <c r="I995" s="24" t="inlineStr">
        <is>
          <t>away</t>
        </is>
      </c>
      <c r="J995" s="25" t="n"/>
      <c r="K995" s="24" t="inlineStr">
        <is>
          <t>polymarket_us</t>
        </is>
      </c>
      <c r="L995" s="26" t="n">
        <v>-174</v>
      </c>
      <c r="M995" s="27" t="n">
        <v>1.574713</v>
      </c>
      <c r="N995" s="28" t="n">
        <v>0.635036</v>
      </c>
      <c r="O995" s="28" t="n">
        <v>0.7203000000000001</v>
      </c>
      <c r="P995" s="28" t="n">
        <v>0.05</v>
      </c>
      <c r="Q995" s="28" t="n">
        <v>0.08526400000000001</v>
      </c>
      <c r="R995" s="26" t="n">
        <v>63</v>
      </c>
      <c r="S995" s="29" t="n">
        <v>1.25</v>
      </c>
      <c r="T995" s="24" t="inlineStr">
        <is>
          <t>tennis-surface-elo-v1</t>
        </is>
      </c>
      <c r="U995" s="24" t="inlineStr">
        <is>
          <t>settled</t>
        </is>
      </c>
      <c r="V995" s="24" t="inlineStr">
        <is>
          <t>loss</t>
        </is>
      </c>
      <c r="W995" s="26" t="n">
        <v>0</v>
      </c>
      <c r="X995" s="26" t="n">
        <v>1</v>
      </c>
      <c r="Y995" s="25" t="n"/>
      <c r="Z995" s="26" t="n">
        <v>-174</v>
      </c>
      <c r="AA995" s="28" t="n">
        <v>0.635</v>
      </c>
      <c r="AB995" s="28" t="n">
        <v>-3.6e-05</v>
      </c>
      <c r="AC995" s="30" t="n">
        <v>-1.25</v>
      </c>
      <c r="AD995" s="24" t="inlineStr">
        <is>
          <t>2026-09-08T04:31:17.151067Z</t>
        </is>
      </c>
      <c r="AE995" s="31" t="inlineStr">
        <is>
          <t>Surface-blended Elo on Hard: Learner Tien p=0.720 vs Karen Khachanov. Executable ask 0.6350 (aec-atp-karkha-leatie-2026-09-07).</t>
        </is>
      </c>
      <c r="AF995" s="31" t="inlineStr">
        <is>
          <t>Surface-blended Elo model; singles only, WTA+ATP market coverage, not yet locked-holdout qualified -- promoted by explicit operator directive, not genuine walk-forward validation.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model_qualified</t>
        </is>
      </c>
      <c r="AL995" s="26" t="n">
        <v>4</v>
      </c>
      <c r="AM995" s="24" t="inlineStr">
        <is>
          <t>QUALIFIED_SHADOW_CALL</t>
        </is>
      </c>
      <c r="AN995" s="24" t="inlineStr">
        <is>
          <t>CALL</t>
        </is>
      </c>
      <c r="AO995" s="24" t="inlineStr">
        <is>
          <t>QUALIFIED</t>
        </is>
      </c>
      <c r="AP995" s="24" t="inlineStr">
        <is>
          <t>Learner Tien</t>
        </is>
      </c>
      <c r="AQ995" s="24" t="inlineStr">
        <is>
          <t>Learner Tien</t>
        </is>
      </c>
      <c r="AR995" s="24" t="inlineStr">
        <is>
          <t>Learner Tien</t>
        </is>
      </c>
      <c r="AS995" s="24" t="inlineStr">
        <is>
          <t>Karen Khachanov</t>
        </is>
      </c>
      <c r="AT995" s="24" t="inlineStr">
        <is>
          <t>Karen Khachanov</t>
        </is>
      </c>
      <c r="AU995" s="24" t="inlineStr">
        <is>
          <t>Karen Khachanov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0ce66f49b381187fe6255a40ca2fdbfc155d5e36125ccf6d30fe81a72962eafa</t>
        </is>
      </c>
      <c r="BB995" s="24" t="inlineStr">
        <is>
          <t>surface_blended_elo</t>
        </is>
      </c>
      <c r="BC995" s="24" t="inlineStr">
        <is>
          <t>tennis-surface-elo-v1</t>
        </is>
      </c>
      <c r="BD995" s="24" t="inlineStr">
        <is>
          <t>0ce66f49b381187fe6255a40ca2fdbfc155d5e36125ccf6d30fe81a72962eafa</t>
        </is>
      </c>
      <c r="BE995" s="24" t="inlineStr">
        <is>
          <t>tennis-surface-elo-v1</t>
        </is>
      </c>
      <c r="BF995" s="24" t="inlineStr">
        <is>
          <t>1</t>
        </is>
      </c>
      <c r="BG995" s="24" t="inlineStr">
        <is>
          <t>0ce66f49b381187fe6255a40ca2fdbfc155d5e36125ccf6d30fe81a72962eafa</t>
        </is>
      </c>
      <c r="BH995" s="24" t="inlineStr">
        <is>
          <t>2026-09-07T16:02:19.874401Z</t>
        </is>
      </c>
      <c r="BI995" s="24" t="inlineStr">
        <is>
          <t>["same_event","same_team_same_day","same_league_same_day"]</t>
        </is>
      </c>
      <c r="BJ995" s="25" t="n"/>
      <c r="BK995" s="26" t="n">
        <v>-174</v>
      </c>
      <c r="BL995" s="27" t="n">
        <v>1.574713</v>
      </c>
      <c r="BM995" s="28" t="n">
        <v>0.635036</v>
      </c>
      <c r="BN995" s="28" t="n"/>
      <c r="BO995" s="28" t="n"/>
      <c r="BP995" s="25" t="n"/>
      <c r="BQ995" s="27" t="n">
        <v>1.574713</v>
      </c>
      <c r="BR995" s="28" t="n">
        <v>0.635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n"/>
      <c r="CU995" s="24" t="n"/>
      <c r="CV995" s="24" t="n"/>
      <c r="CW995" s="24" t="n"/>
      <c r="CX995" s="24" t="n"/>
      <c r="CY995" s="24" t="n"/>
      <c r="CZ995" s="24" t="n"/>
      <c r="DA995" s="24" t="n"/>
      <c r="DB995" s="24" t="n"/>
      <c r="DC995" s="24" t="n"/>
      <c r="DD995" s="24" t="inlineStr">
        <is>
          <t>f7ed510f7c58c3a8c4336e6f7c0fcf216137b0399f2107cad08caab0dcd03349</t>
        </is>
      </c>
      <c r="DE995" s="24" t="inlineStr">
        <is>
          <t>/Users/vincentc9002/model-prediction/data/odds/tennis/2026-09-07/polymarket_snapshots.jsonl</t>
        </is>
      </c>
      <c r="DF995" s="24" t="inlineStr">
        <is>
          <t>696967:2026-09-07T16:02:19.874401Z</t>
        </is>
      </c>
      <c r="DG995" s="24" t="n"/>
      <c r="DH995" s="24" t="n"/>
      <c r="DI995" s="24" t="n"/>
      <c r="DJ995" s="24" t="inlineStr">
        <is>
          <t>0.635036</t>
        </is>
      </c>
      <c r="DK995" s="24" t="n"/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24acd2f623e745ac</t>
        </is>
      </c>
      <c r="B996" s="24" t="inlineStr">
        <is>
          <t>2026-09-07T16:02:59.290160Z</t>
        </is>
      </c>
      <c r="C996" s="24" t="inlineStr">
        <is>
          <t>2026-09-07T20:30Z</t>
        </is>
      </c>
      <c r="D996" s="24" t="inlineStr">
        <is>
          <t>189-2026:182688</t>
        </is>
      </c>
      <c r="E996" s="24" t="inlineStr">
        <is>
          <t>TENNIS</t>
        </is>
      </c>
      <c r="F996" s="24" t="inlineStr">
        <is>
          <t>Botic Van De Zandschulp</t>
        </is>
      </c>
      <c r="G996" s="24" t="inlineStr">
        <is>
          <t>Arthur Gea</t>
        </is>
      </c>
      <c r="H996" s="24" t="inlineStr">
        <is>
          <t>moneyline</t>
        </is>
      </c>
      <c r="I996" s="24" t="inlineStr">
        <is>
          <t>away</t>
        </is>
      </c>
      <c r="J996" s="25" t="n"/>
      <c r="K996" s="24" t="inlineStr">
        <is>
          <t>polymarket_us</t>
        </is>
      </c>
      <c r="L996" s="26" t="n">
        <v>-153</v>
      </c>
      <c r="M996" s="27" t="n">
        <v>1.653595</v>
      </c>
      <c r="N996" s="28" t="n">
        <v>0.604743</v>
      </c>
      <c r="O996" s="28" t="n">
        <v>0.5866</v>
      </c>
      <c r="P996" s="28" t="n">
        <v>0.05</v>
      </c>
      <c r="Q996" s="28" t="n">
        <v>-0.018143</v>
      </c>
      <c r="R996" s="26" t="n">
        <v>11</v>
      </c>
      <c r="S996" s="29" t="n">
        <v>1</v>
      </c>
      <c r="T996" s="24" t="inlineStr">
        <is>
          <t>tennis-surface-elo-v1</t>
        </is>
      </c>
      <c r="U996" s="24" t="inlineStr">
        <is>
          <t>settled</t>
        </is>
      </c>
      <c r="V996" s="24" t="inlineStr">
        <is>
          <t>win</t>
        </is>
      </c>
      <c r="W996" s="26" t="n">
        <v>1</v>
      </c>
      <c r="X996" s="26" t="n">
        <v>0</v>
      </c>
      <c r="Y996" s="25" t="n"/>
      <c r="Z996" s="26" t="n">
        <v>-153</v>
      </c>
      <c r="AA996" s="28" t="n">
        <v>0.605</v>
      </c>
      <c r="AB996" s="28" t="n">
        <v>0.000257</v>
      </c>
      <c r="AC996" s="30" t="n">
        <v>0.6536</v>
      </c>
      <c r="AD996" s="24" t="inlineStr">
        <is>
          <t>2026-09-08T04:31:18.008062Z</t>
        </is>
      </c>
      <c r="AE996" s="31" t="inlineStr">
        <is>
          <t>Surface-blended Elo on Hard: Botic Van De Zandschulp p=0.587 vs Arthur Gea. Executable ask 0.6050 (aec-atp-artgea-botzan-2026-09-06).</t>
        </is>
      </c>
      <c r="AF996" s="31" t="inlineStr">
        <is>
          <t>Surface-blended Elo model; singles only, WTA+ATP market coverage, not yet locked-holdout qualified -- promoted by explicit operator directive, not genuine walk-forward validation.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PAPER_CALL_LOW_EDGE</t>
        </is>
      </c>
      <c r="AP996" s="24" t="inlineStr">
        <is>
          <t>Botic Van De Zandschulp</t>
        </is>
      </c>
      <c r="AQ996" s="24" t="inlineStr">
        <is>
          <t>Botic Van De Zandschulp</t>
        </is>
      </c>
      <c r="AR996" s="24" t="inlineStr">
        <is>
          <t>Botic Van De Zandschulp</t>
        </is>
      </c>
      <c r="AS996" s="24" t="inlineStr">
        <is>
          <t>Arthur Gea</t>
        </is>
      </c>
      <c r="AT996" s="24" t="inlineStr">
        <is>
          <t>Arthur Gea</t>
        </is>
      </c>
      <c r="AU996" s="24" t="inlineStr">
        <is>
          <t>Arthur Gea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0ce66f49b381187fe6255a40ca2fdbfc155d5e36125ccf6d30fe81a72962eafa</t>
        </is>
      </c>
      <c r="BB996" s="24" t="inlineStr">
        <is>
          <t>surface_blended_elo</t>
        </is>
      </c>
      <c r="BC996" s="24" t="inlineStr">
        <is>
          <t>tennis-surface-elo-v1</t>
        </is>
      </c>
      <c r="BD996" s="24" t="inlineStr">
        <is>
          <t>0ce66f49b381187fe6255a40ca2fdbfc155d5e36125ccf6d30fe81a72962eafa</t>
        </is>
      </c>
      <c r="BE996" s="24" t="inlineStr">
        <is>
          <t>tennis-surface-elo-v1</t>
        </is>
      </c>
      <c r="BF996" s="24" t="inlineStr">
        <is>
          <t>1</t>
        </is>
      </c>
      <c r="BG996" s="24" t="inlineStr">
        <is>
          <t>0ce66f49b381187fe6255a40ca2fdbfc155d5e36125ccf6d30fe81a72962eafa</t>
        </is>
      </c>
      <c r="BH996" s="24" t="inlineStr">
        <is>
          <t>2026-09-07T16:02:20.028744Z</t>
        </is>
      </c>
      <c r="BI996" s="24" t="inlineStr">
        <is>
          <t>["same_event","same_team_same_day","same_league_same_day"]</t>
        </is>
      </c>
      <c r="BJ996" s="25" t="n"/>
      <c r="BK996" s="26" t="n">
        <v>-153</v>
      </c>
      <c r="BL996" s="27" t="n">
        <v>1.653595</v>
      </c>
      <c r="BM996" s="28" t="n">
        <v>0.604743</v>
      </c>
      <c r="BN996" s="28" t="n"/>
      <c r="BO996" s="28" t="n"/>
      <c r="BP996" s="25" t="n"/>
      <c r="BQ996" s="27" t="n">
        <v>1.653595</v>
      </c>
      <c r="BR996" s="28" t="n">
        <v>0.605</v>
      </c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False</t>
        </is>
      </c>
      <c r="CT996" s="24" t="n"/>
      <c r="CU996" s="24" t="n"/>
      <c r="CV996" s="24" t="n"/>
      <c r="CW996" s="24" t="n"/>
      <c r="CX996" s="24" t="n"/>
      <c r="CY996" s="24" t="n"/>
      <c r="CZ996" s="24" t="n"/>
      <c r="DA996" s="24" t="n"/>
      <c r="DB996" s="24" t="n"/>
      <c r="DC996" s="24" t="n"/>
      <c r="DD996" s="24" t="inlineStr">
        <is>
          <t>2828fe98b01ebee6787bf2dd42a2b06ac7f2739026f164fd1b064d8c5bc1ae51</t>
        </is>
      </c>
      <c r="DE996" s="24" t="inlineStr">
        <is>
          <t>/Users/vincentc9002/model-prediction/data/odds/tennis/2026-09-07/polymarket_snapshots.jsonl</t>
        </is>
      </c>
      <c r="DF996" s="24" t="inlineStr">
        <is>
          <t>694758:2026-09-07T16:02:20.028744Z</t>
        </is>
      </c>
      <c r="DG996" s="24" t="n"/>
      <c r="DH996" s="24" t="n"/>
      <c r="DI996" s="24" t="n"/>
      <c r="DJ996" s="24" t="inlineStr">
        <is>
          <t>0.604743</t>
        </is>
      </c>
      <c r="DK996" s="24" t="n"/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07450af27b6e406f</t>
        </is>
      </c>
      <c r="B997" s="24" t="inlineStr">
        <is>
          <t>2026-09-07T22:04:13.917534Z</t>
        </is>
      </c>
      <c r="C997" s="24" t="inlineStr">
        <is>
          <t>2026-09-07T23:00Z</t>
        </is>
      </c>
      <c r="D997" s="24" t="inlineStr">
        <is>
          <t>189-2026:182557</t>
        </is>
      </c>
      <c r="E997" s="24" t="inlineStr">
        <is>
          <t>TENNIS</t>
        </is>
      </c>
      <c r="F997" s="24" t="inlineStr">
        <is>
          <t>Coco Gauff</t>
        </is>
      </c>
      <c r="G997" s="24" t="inlineStr">
        <is>
          <t>Iva Jovic</t>
        </is>
      </c>
      <c r="H997" s="24" t="inlineStr">
        <is>
          <t>moneyline</t>
        </is>
      </c>
      <c r="I997" s="24" t="inlineStr">
        <is>
          <t>away</t>
        </is>
      </c>
      <c r="J997" s="25" t="n"/>
      <c r="K997" s="24" t="inlineStr">
        <is>
          <t>polymarket_us</t>
        </is>
      </c>
      <c r="L997" s="26" t="n">
        <v>-277</v>
      </c>
      <c r="M997" s="27" t="n">
        <v>1.361011</v>
      </c>
      <c r="N997" s="28" t="n">
        <v>0.734748</v>
      </c>
      <c r="O997" s="28" t="n">
        <v>0.7328</v>
      </c>
      <c r="P997" s="28" t="n">
        <v>0.05</v>
      </c>
      <c r="Q997" s="28" t="n">
        <v>-0.001948</v>
      </c>
      <c r="R997" s="26" t="n">
        <v>19</v>
      </c>
      <c r="S997" s="29" t="n">
        <v>1</v>
      </c>
      <c r="T997" s="24" t="inlineStr">
        <is>
          <t>tennis-surface-elo-v1</t>
        </is>
      </c>
      <c r="U997" s="24" t="inlineStr">
        <is>
          <t>settled</t>
        </is>
      </c>
      <c r="V997" s="24" t="inlineStr">
        <is>
          <t>win</t>
        </is>
      </c>
      <c r="W997" s="26" t="n">
        <v>1</v>
      </c>
      <c r="X997" s="26" t="n">
        <v>0</v>
      </c>
      <c r="Y997" s="25" t="n"/>
      <c r="Z997" s="26" t="n">
        <v>-277</v>
      </c>
      <c r="AA997" s="28" t="n">
        <v>0.735</v>
      </c>
      <c r="AB997" s="28" t="n">
        <v>0.000252</v>
      </c>
      <c r="AC997" s="30" t="n">
        <v>0.361</v>
      </c>
      <c r="AD997" s="24" t="inlineStr">
        <is>
          <t>2026-09-08T04:31:29.928406Z</t>
        </is>
      </c>
      <c r="AE997" s="31" t="inlineStr">
        <is>
          <t>Surface-blended Elo on Hard: Coco Gauff p=0.733 vs Iva Jovic. Executable ask 0.7350 (aec-wta-ivajov-cocgau-2026-09-07).</t>
        </is>
      </c>
      <c r="AF997" s="31" t="inlineStr">
        <is>
          <t>Surface-blended Elo model; singles only, WTA+ATP market coverage, not yet locked-holdout qualified -- promoted by explicit operator directive, not genuine walk-forward validation.</t>
        </is>
      </c>
      <c r="AG997" s="24" t="inlineStr">
        <is>
          <t>not_applicable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PAPER_CALL_LOW_EDGE</t>
        </is>
      </c>
      <c r="AP997" s="24" t="inlineStr">
        <is>
          <t>Coco Gauff</t>
        </is>
      </c>
      <c r="AQ997" s="24" t="inlineStr">
        <is>
          <t>Coco Gauff</t>
        </is>
      </c>
      <c r="AR997" s="24" t="inlineStr">
        <is>
          <t>Coco Gauff</t>
        </is>
      </c>
      <c r="AS997" s="24" t="inlineStr">
        <is>
          <t>Iva Jovic</t>
        </is>
      </c>
      <c r="AT997" s="24" t="inlineStr">
        <is>
          <t>Iva Jovic</t>
        </is>
      </c>
      <c r="AU997" s="24" t="inlineStr">
        <is>
          <t>Iva Jovic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0ce66f49b381187fe6255a40ca2fdbfc155d5e36125ccf6d30fe81a72962eafa</t>
        </is>
      </c>
      <c r="BB997" s="24" t="inlineStr">
        <is>
          <t>surface_blended_elo</t>
        </is>
      </c>
      <c r="BC997" s="24" t="inlineStr">
        <is>
          <t>tennis-surface-elo-v1</t>
        </is>
      </c>
      <c r="BD997" s="24" t="inlineStr">
        <is>
          <t>0ce66f49b381187fe6255a40ca2fdbfc155d5e36125ccf6d30fe81a72962eafa</t>
        </is>
      </c>
      <c r="BE997" s="24" t="inlineStr">
        <is>
          <t>tennis-surface-elo-v1</t>
        </is>
      </c>
      <c r="BF997" s="24" t="inlineStr">
        <is>
          <t>1</t>
        </is>
      </c>
      <c r="BG997" s="24" t="inlineStr">
        <is>
          <t>0ce66f49b381187fe6255a40ca2fdbfc155d5e36125ccf6d30fe81a72962eafa</t>
        </is>
      </c>
      <c r="BH997" s="24" t="inlineStr">
        <is>
          <t>2026-09-07T22:03:48.229204Z</t>
        </is>
      </c>
      <c r="BI997" s="24" t="inlineStr">
        <is>
          <t>["same_event","same_team_same_day","same_league_same_day"]</t>
        </is>
      </c>
      <c r="BJ997" s="25" t="n"/>
      <c r="BK997" s="26" t="n">
        <v>-277</v>
      </c>
      <c r="BL997" s="27" t="n">
        <v>1.361011</v>
      </c>
      <c r="BM997" s="28" t="n">
        <v>0.734748</v>
      </c>
      <c r="BN997" s="28" t="n"/>
      <c r="BO997" s="28" t="n"/>
      <c r="BP997" s="25" t="n"/>
      <c r="BQ997" s="27" t="n">
        <v>1.361011</v>
      </c>
      <c r="BR997" s="28" t="n">
        <v>0.735</v>
      </c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False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inlineStr">
        <is>
          <t>f5b00b086da35bf5c925e03e1ae5564fe58ca4236c9738907ed855ee60ea2925</t>
        </is>
      </c>
      <c r="DE997" s="24" t="inlineStr">
        <is>
          <t>/Users/vincentc9002/model-prediction/data/odds/tennis/2026-09-07/polymarket_snapshots.jsonl</t>
        </is>
      </c>
      <c r="DF997" s="24" t="inlineStr">
        <is>
          <t>694795:2026-09-07T22:03:48.229204Z</t>
        </is>
      </c>
      <c r="DG997" s="24" t="n"/>
      <c r="DH997" s="24" t="n"/>
      <c r="DI997" s="24" t="n"/>
      <c r="DJ997" s="24" t="inlineStr">
        <is>
          <t>0.734748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dff18300e19444fa</t>
        </is>
      </c>
      <c r="B998" s="24" t="inlineStr">
        <is>
          <t>2026-09-07T22:04:13.917534Z</t>
        </is>
      </c>
      <c r="C998" s="24" t="inlineStr">
        <is>
          <t>2026-09-07T23:30Z</t>
        </is>
      </c>
      <c r="D998" s="24" t="inlineStr">
        <is>
          <t>964-2026:183617</t>
        </is>
      </c>
      <c r="E998" s="24" t="inlineStr">
        <is>
          <t>TENNIS</t>
        </is>
      </c>
      <c r="F998" s="24" t="inlineStr">
        <is>
          <t>Lucrezia Stefanini</t>
        </is>
      </c>
      <c r="G998" s="24" t="inlineStr">
        <is>
          <t>Julieta Pareja</t>
        </is>
      </c>
      <c r="H998" s="24" t="inlineStr">
        <is>
          <t>moneyline</t>
        </is>
      </c>
      <c r="I998" s="24" t="inlineStr">
        <is>
          <t>away</t>
        </is>
      </c>
      <c r="J998" s="25" t="n"/>
      <c r="K998" s="24" t="inlineStr">
        <is>
          <t>polymarket_us</t>
        </is>
      </c>
      <c r="L998" s="26" t="n">
        <v>-113</v>
      </c>
      <c r="M998" s="27" t="n">
        <v>1.884956</v>
      </c>
      <c r="N998" s="28" t="n">
        <v>0.530516</v>
      </c>
      <c r="O998" s="28" t="n">
        <v>0.5406</v>
      </c>
      <c r="P998" s="28" t="n">
        <v>0.05</v>
      </c>
      <c r="Q998" s="28" t="n">
        <v>0.010084</v>
      </c>
      <c r="R998" s="26" t="n">
        <v>25</v>
      </c>
      <c r="S998" s="29" t="n">
        <v>1</v>
      </c>
      <c r="T998" s="24" t="inlineStr">
        <is>
          <t>tennis-surface-elo-v1</t>
        </is>
      </c>
      <c r="U998" s="24" t="inlineStr">
        <is>
          <t>settled</t>
        </is>
      </c>
      <c r="V998" s="24" t="inlineStr">
        <is>
          <t>loss</t>
        </is>
      </c>
      <c r="W998" s="26" t="n">
        <v>0</v>
      </c>
      <c r="X998" s="26" t="n">
        <v>1</v>
      </c>
      <c r="Y998" s="25" t="n"/>
      <c r="Z998" s="26" t="n">
        <v>-113</v>
      </c>
      <c r="AA998" s="28" t="n">
        <v>0.53</v>
      </c>
      <c r="AB998" s="28" t="n">
        <v>-0.000516</v>
      </c>
      <c r="AC998" s="30" t="n">
        <v>-1</v>
      </c>
      <c r="AD998" s="24" t="inlineStr">
        <is>
          <t>2026-09-08T04:31:30.784909Z</t>
        </is>
      </c>
      <c r="AE998" s="31" t="inlineStr">
        <is>
          <t>Surface-blended Elo on Hard: Lucrezia Stefanini p=0.541 vs Julieta Pareja. Executable ask 0.5300 (aec-wta-julpar-lucste-2026-09-07).</t>
        </is>
      </c>
      <c r="AF998" s="31" t="inlineStr">
        <is>
          <t>Surface-blended Elo model; singles only, WTA+ATP market coverage, not yet locked-holdout qualified -- promoted by explicit operator directive, not genuine walk-forward validation.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PAPER_CALL_LOW_EDGE</t>
        </is>
      </c>
      <c r="AP998" s="24" t="inlineStr">
        <is>
          <t>Lucrezia Stefanini</t>
        </is>
      </c>
      <c r="AQ998" s="24" t="inlineStr">
        <is>
          <t>Lucrezia Stefanini</t>
        </is>
      </c>
      <c r="AR998" s="24" t="inlineStr">
        <is>
          <t>Lucrezia Stefanini</t>
        </is>
      </c>
      <c r="AS998" s="24" t="inlineStr">
        <is>
          <t>Julieta Pareja</t>
        </is>
      </c>
      <c r="AT998" s="24" t="inlineStr">
        <is>
          <t>Julieta Pareja</t>
        </is>
      </c>
      <c r="AU998" s="24" t="inlineStr">
        <is>
          <t>Julieta Pareja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0ce66f49b381187fe6255a40ca2fdbfc155d5e36125ccf6d30fe81a72962eafa</t>
        </is>
      </c>
      <c r="BB998" s="24" t="inlineStr">
        <is>
          <t>surface_blended_elo</t>
        </is>
      </c>
      <c r="BC998" s="24" t="inlineStr">
        <is>
          <t>tennis-surface-elo-v1</t>
        </is>
      </c>
      <c r="BD998" s="24" t="inlineStr">
        <is>
          <t>0ce66f49b381187fe6255a40ca2fdbfc155d5e36125ccf6d30fe81a72962eafa</t>
        </is>
      </c>
      <c r="BE998" s="24" t="inlineStr">
        <is>
          <t>tennis-surface-elo-v1</t>
        </is>
      </c>
      <c r="BF998" s="24" t="inlineStr">
        <is>
          <t>1</t>
        </is>
      </c>
      <c r="BG998" s="24" t="inlineStr">
        <is>
          <t>0ce66f49b381187fe6255a40ca2fdbfc155d5e36125ccf6d30fe81a72962eafa</t>
        </is>
      </c>
      <c r="BH998" s="24" t="inlineStr">
        <is>
          <t>2026-09-07T22:03:48.289263Z</t>
        </is>
      </c>
      <c r="BI998" s="24" t="inlineStr">
        <is>
          <t>["same_event","same_team_same_day","same_league_same_day"]</t>
        </is>
      </c>
      <c r="BJ998" s="25" t="n"/>
      <c r="BK998" s="26" t="n">
        <v>-113</v>
      </c>
      <c r="BL998" s="27" t="n">
        <v>1.884956</v>
      </c>
      <c r="BM998" s="28" t="n">
        <v>0.530516</v>
      </c>
      <c r="BN998" s="28" t="n"/>
      <c r="BO998" s="28" t="n"/>
      <c r="BP998" s="25" t="n"/>
      <c r="BQ998" s="27" t="n">
        <v>1.884956</v>
      </c>
      <c r="BR998" s="28" t="n">
        <v>0.53</v>
      </c>
      <c r="BS998" s="28" t="n"/>
      <c r="BT998" s="28" t="n"/>
      <c r="BU998" s="25" t="n"/>
      <c r="BV998" s="29" t="n"/>
      <c r="BW998" s="24" t="n"/>
      <c r="BX998" s="30" t="n"/>
      <c r="BY998" s="27" t="n"/>
      <c r="BZ998" s="24" t="n"/>
      <c r="CA998" s="31" t="n"/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True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inlineStr">
        <is>
          <t>62b87f7427a39d4666117a1f904494f5e55ba4c4da75a4798f5a2d225c548216</t>
        </is>
      </c>
      <c r="DE998" s="24" t="inlineStr">
        <is>
          <t>/Users/vincentc9002/model-prediction/data/odds/tennis/2026-09-07/polymarket_snapshots.jsonl</t>
        </is>
      </c>
      <c r="DF998" s="24" t="inlineStr">
        <is>
          <t>713633:2026-09-07T22:03:48.289263Z</t>
        </is>
      </c>
      <c r="DG998" s="24" t="n"/>
      <c r="DH998" s="24" t="n"/>
      <c r="DI998" s="24" t="n"/>
      <c r="DJ998" s="24" t="inlineStr">
        <is>
          <t>0.530516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4d61acdec7574826</t>
        </is>
      </c>
      <c r="B999" s="24" t="inlineStr">
        <is>
          <t>2026-09-07T22:04:13.917534Z</t>
        </is>
      </c>
      <c r="C999" s="24" t="inlineStr">
        <is>
          <t>2026-09-08T00:30Z</t>
        </is>
      </c>
      <c r="D999" s="24" t="inlineStr">
        <is>
          <t>189-2026:182682</t>
        </is>
      </c>
      <c r="E999" s="24" t="inlineStr">
        <is>
          <t>TENNIS</t>
        </is>
      </c>
      <c r="F999" s="24" t="inlineStr">
        <is>
          <t>Luciano Darderi</t>
        </is>
      </c>
      <c r="G999" s="24" t="inlineStr">
        <is>
          <t>Alexander Zverev</t>
        </is>
      </c>
      <c r="H999" s="24" t="inlineStr">
        <is>
          <t>moneyline</t>
        </is>
      </c>
      <c r="I999" s="24" t="inlineStr">
        <is>
          <t>home</t>
        </is>
      </c>
      <c r="J999" s="25" t="n"/>
      <c r="K999" s="24" t="inlineStr">
        <is>
          <t>polymarket_us</t>
        </is>
      </c>
      <c r="L999" s="26" t="n">
        <v>-770</v>
      </c>
      <c r="M999" s="27" t="n">
        <v>1.12987</v>
      </c>
      <c r="N999" s="28" t="n">
        <v>0.885057</v>
      </c>
      <c r="O999" s="28" t="n">
        <v>0.7665999999999999</v>
      </c>
      <c r="P999" s="28" t="n">
        <v>0.05</v>
      </c>
      <c r="Q999" s="28" t="n">
        <v>-0.118457</v>
      </c>
      <c r="R999" s="26" t="n">
        <v>0</v>
      </c>
      <c r="S999" s="29" t="n">
        <v>1</v>
      </c>
      <c r="T999" s="24" t="inlineStr">
        <is>
          <t>tennis-surface-elo-v1</t>
        </is>
      </c>
      <c r="U999" s="24" t="inlineStr">
        <is>
          <t>settled</t>
        </is>
      </c>
      <c r="V999" s="24" t="inlineStr">
        <is>
          <t>win</t>
        </is>
      </c>
      <c r="W999" s="26" t="n">
        <v>0</v>
      </c>
      <c r="X999" s="26" t="n">
        <v>1</v>
      </c>
      <c r="Y999" s="25" t="n"/>
      <c r="Z999" s="26" t="n">
        <v>-770</v>
      </c>
      <c r="AA999" s="28" t="n">
        <v>0.885</v>
      </c>
      <c r="AB999" s="28" t="n">
        <v>-5.7e-05</v>
      </c>
      <c r="AC999" s="30" t="n">
        <v>0.1299</v>
      </c>
      <c r="AD999" s="24" t="inlineStr">
        <is>
          <t>2026-09-08T04:31:31.621869Z</t>
        </is>
      </c>
      <c r="AE999" s="31" t="inlineStr">
        <is>
          <t>Surface-blended Elo on Hard: Luciano Darderi p=0.233 vs Alexander Zverev. Executable ask 0.8850 (aec-atp-alezve-lucdar-2026-09-07).</t>
        </is>
      </c>
      <c r="AF999" s="31" t="inlineStr">
        <is>
          <t>Surface-blended Elo model; singles only, WTA+ATP market coverage, not yet locked-holdout qualified -- promoted by explicit operator directive, not genuine walk-forward validation.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PAPER_CALL_LOW_EDGE</t>
        </is>
      </c>
      <c r="AP999" s="24" t="inlineStr">
        <is>
          <t>Luciano Darderi</t>
        </is>
      </c>
      <c r="AQ999" s="24" t="inlineStr">
        <is>
          <t>Luciano Darderi</t>
        </is>
      </c>
      <c r="AR999" s="24" t="inlineStr">
        <is>
          <t>Luciano Darderi</t>
        </is>
      </c>
      <c r="AS999" s="24" t="inlineStr">
        <is>
          <t>Alexander Zverev</t>
        </is>
      </c>
      <c r="AT999" s="24" t="inlineStr">
        <is>
          <t>Alexander Zverev</t>
        </is>
      </c>
      <c r="AU999" s="24" t="inlineStr">
        <is>
          <t>Alexander Zverev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0ce66f49b381187fe6255a40ca2fdbfc155d5e36125ccf6d30fe81a72962eafa</t>
        </is>
      </c>
      <c r="BB999" s="24" t="inlineStr">
        <is>
          <t>surface_blended_elo</t>
        </is>
      </c>
      <c r="BC999" s="24" t="inlineStr">
        <is>
          <t>tennis-surface-elo-v1</t>
        </is>
      </c>
      <c r="BD999" s="24" t="inlineStr">
        <is>
          <t>0ce66f49b381187fe6255a40ca2fdbfc155d5e36125ccf6d30fe81a72962eafa</t>
        </is>
      </c>
      <c r="BE999" s="24" t="inlineStr">
        <is>
          <t>tennis-surface-elo-v1</t>
        </is>
      </c>
      <c r="BF999" s="24" t="inlineStr">
        <is>
          <t>1</t>
        </is>
      </c>
      <c r="BG999" s="24" t="inlineStr">
        <is>
          <t>0ce66f49b381187fe6255a40ca2fdbfc155d5e36125ccf6d30fe81a72962eafa</t>
        </is>
      </c>
      <c r="BH999" s="24" t="inlineStr">
        <is>
          <t>2026-09-07T22:03:48.932216Z</t>
        </is>
      </c>
      <c r="BI999" s="24" t="inlineStr">
        <is>
          <t>["same_event","same_team_same_day","same_league_same_day"]</t>
        </is>
      </c>
      <c r="BJ999" s="25" t="n"/>
      <c r="BK999" s="26" t="n">
        <v>-770</v>
      </c>
      <c r="BL999" s="27" t="n">
        <v>1.12987</v>
      </c>
      <c r="BM999" s="28" t="n">
        <v>0.885057</v>
      </c>
      <c r="BN999" s="28" t="n"/>
      <c r="BO999" s="28" t="n"/>
      <c r="BP999" s="25" t="n"/>
      <c r="BQ999" s="27" t="n">
        <v>1.12987</v>
      </c>
      <c r="BR999" s="28" t="n">
        <v>0.885</v>
      </c>
      <c r="BS999" s="28" t="n"/>
      <c r="BT999" s="28" t="n"/>
      <c r="BU999" s="25" t="n"/>
      <c r="BV999" s="29" t="n"/>
      <c r="BW999" s="24" t="n"/>
      <c r="BX999" s="30" t="n"/>
      <c r="BY999" s="27" t="n"/>
      <c r="BZ999" s="24" t="n"/>
      <c r="CA999" s="31" t="n"/>
      <c r="CB999" s="24" t="n"/>
      <c r="CC999" s="24" t="n"/>
      <c r="CD999" s="24" t="n"/>
      <c r="CE999" s="24" t="n"/>
      <c r="CF999" s="24" t="n"/>
      <c r="CG999" s="24" t="n"/>
      <c r="CH999" s="24" t="n"/>
      <c r="CI999" s="24" t="n"/>
      <c r="CJ999" s="24" t="n"/>
      <c r="CK999" s="24" t="n"/>
      <c r="CL999" s="24" t="n"/>
      <c r="CM999" s="24" t="n"/>
      <c r="CN999" s="24" t="n"/>
      <c r="CO999" s="24" t="n"/>
      <c r="CP999" s="24" t="n"/>
      <c r="CQ999" s="24" t="n"/>
      <c r="CR999" s="24" t="n"/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n"/>
      <c r="CZ999" s="24" t="n"/>
      <c r="DA999" s="24" t="n"/>
      <c r="DB999" s="24" t="n"/>
      <c r="DC999" s="24" t="n"/>
      <c r="DD999" s="24" t="inlineStr">
        <is>
          <t>134fb70276fc573146defc1b07ab645ee044958118a7daf9f8599d81cb7696c1</t>
        </is>
      </c>
      <c r="DE999" s="24" t="inlineStr">
        <is>
          <t>/Users/vincentc9002/model-prediction/data/odds/tennis/2026-09-07/polymarket_snapshots.jsonl</t>
        </is>
      </c>
      <c r="DF999" s="24" t="inlineStr">
        <is>
          <t>696958:2026-09-07T22:03:48.932216Z</t>
        </is>
      </c>
      <c r="DG999" s="24" t="n"/>
      <c r="DH999" s="24" t="n"/>
      <c r="DI999" s="24" t="n"/>
      <c r="DJ999" s="24" t="inlineStr">
        <is>
          <t>0.885057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55efc1a82a9c4d31</t>
        </is>
      </c>
      <c r="B1000" s="24" t="inlineStr">
        <is>
          <t>2026-09-08T04:34:52.149310Z</t>
        </is>
      </c>
      <c r="C1000" s="24" t="inlineStr">
        <is>
          <t>2026-09-08T09:00Z</t>
        </is>
      </c>
      <c r="D1000" s="24" t="inlineStr">
        <is>
          <t>998-2026:183585</t>
        </is>
      </c>
      <c r="E1000" s="24" t="inlineStr">
        <is>
          <t>TENNIS</t>
        </is>
      </c>
      <c r="F1000" s="24" t="inlineStr">
        <is>
          <t>Alina Granwehr</t>
        </is>
      </c>
      <c r="G1000" s="24" t="inlineStr">
        <is>
          <t>Lucie Nguyen Tan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163</v>
      </c>
      <c r="M1000" s="27" t="n">
        <v>2.63</v>
      </c>
      <c r="N1000" s="28" t="n">
        <v>0.380228</v>
      </c>
      <c r="O1000" s="28" t="n">
        <v>0.5694</v>
      </c>
      <c r="P1000" s="28" t="n">
        <v>0.05</v>
      </c>
      <c r="Q1000" s="28" t="n">
        <v>0.189172</v>
      </c>
      <c r="R1000" s="26" t="n">
        <v>100</v>
      </c>
      <c r="S1000" s="29" t="n">
        <v>2</v>
      </c>
      <c r="T1000" s="24" t="inlineStr">
        <is>
          <t>tennis-surface-elo-v1</t>
        </is>
      </c>
      <c r="U1000" s="24" t="inlineStr">
        <is>
          <t>settled</t>
        </is>
      </c>
      <c r="V1000" s="24" t="inlineStr">
        <is>
          <t>loss</t>
        </is>
      </c>
      <c r="W1000" s="26" t="n">
        <v>1</v>
      </c>
      <c r="X1000" s="26" t="n">
        <v>0</v>
      </c>
      <c r="Y1000" s="25" t="n"/>
      <c r="Z1000" s="26" t="n">
        <v>163</v>
      </c>
      <c r="AA1000" s="28" t="n">
        <v>0.38</v>
      </c>
      <c r="AB1000" s="28" t="n">
        <v>-0.000228</v>
      </c>
      <c r="AC1000" s="30" t="n">
        <v>-2</v>
      </c>
      <c r="AD1000" s="24" t="inlineStr">
        <is>
          <t>2026-09-08T16:00:51.918470Z</t>
        </is>
      </c>
      <c r="AE1000" s="31" t="inlineStr">
        <is>
          <t>Surface-blended Elo on Hard: Alina Granwehr p=0.431 vs Lucie Nguyen Tan. Executable ask 0.3800 (aec-wta-luctan-aligra-2026-09-08).</t>
        </is>
      </c>
      <c r="AF1000" s="31" t="inlineStr">
        <is>
          <t>Surface-blended Elo model; singles only, WTA+ATP market coverage, not yet locked-holdout qualified -- promoted by explicit operator directive, not genuine walk-forward validation.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PAPER_CALL_MODEL_UNVALIDATED</t>
        </is>
      </c>
      <c r="AP1000" s="24" t="inlineStr">
        <is>
          <t>Alina Granwehr</t>
        </is>
      </c>
      <c r="AQ1000" s="24" t="inlineStr">
        <is>
          <t>Alina Granwehr</t>
        </is>
      </c>
      <c r="AR1000" s="24" t="inlineStr">
        <is>
          <t>Alina Granwehr</t>
        </is>
      </c>
      <c r="AS1000" s="24" t="inlineStr">
        <is>
          <t>Lucie Nguyen Tan</t>
        </is>
      </c>
      <c r="AT1000" s="24" t="inlineStr">
        <is>
          <t>Lucie Nguyen Tan</t>
        </is>
      </c>
      <c r="AU1000" s="24" t="inlineStr">
        <is>
          <t>Lucie Nguyen Tan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0ce66f49b381187fe6255a40ca2fdbfc155d5e36125ccf6d30fe81a72962eafa</t>
        </is>
      </c>
      <c r="BB1000" s="24" t="inlineStr">
        <is>
          <t>surface_blended_elo</t>
        </is>
      </c>
      <c r="BC1000" s="24" t="inlineStr">
        <is>
          <t>tennis-surface-elo-v1</t>
        </is>
      </c>
      <c r="BD1000" s="24" t="inlineStr">
        <is>
          <t>0ce66f49b381187fe6255a40ca2fdbfc155d5e36125ccf6d30fe81a72962eafa</t>
        </is>
      </c>
      <c r="BE1000" s="24" t="inlineStr">
        <is>
          <t>tennis-surface-elo-v1</t>
        </is>
      </c>
      <c r="BF1000" s="24" t="inlineStr">
        <is>
          <t>1</t>
        </is>
      </c>
      <c r="BG1000" s="24" t="inlineStr">
        <is>
          <t>0ce66f49b381187fe6255a40ca2fdbfc155d5e36125ccf6d30fe81a72962eafa</t>
        </is>
      </c>
      <c r="BH1000" s="24" t="inlineStr">
        <is>
          <t>2026-09-08T04:33:39.552528Z</t>
        </is>
      </c>
      <c r="BI1000" s="24" t="inlineStr">
        <is>
          <t>["same_event","same_team_same_day","same_league_same_day"]</t>
        </is>
      </c>
      <c r="BJ1000" s="25" t="n"/>
      <c r="BK1000" s="26" t="n">
        <v>163</v>
      </c>
      <c r="BL1000" s="27" t="n">
        <v>2.63</v>
      </c>
      <c r="BM1000" s="28" t="n">
        <v>0.380228</v>
      </c>
      <c r="BN1000" s="28" t="n"/>
      <c r="BO1000" s="28" t="n"/>
      <c r="BP1000" s="25" t="n"/>
      <c r="BQ1000" s="27" t="n">
        <v>2.63</v>
      </c>
      <c r="BR1000" s="28" t="n">
        <v>0.38</v>
      </c>
      <c r="BS1000" s="28" t="n"/>
      <c r="BT1000" s="28" t="n"/>
      <c r="BU1000" s="25" t="n"/>
      <c r="BV1000" s="29" t="n"/>
      <c r="BW1000" s="24" t="n"/>
      <c r="BX1000" s="30" t="n"/>
      <c r="BY1000" s="27" t="n"/>
      <c r="BZ1000" s="24" t="n"/>
      <c r="CA1000" s="31" t="n"/>
      <c r="CB1000" s="24" t="n"/>
      <c r="CC1000" s="24" t="n"/>
      <c r="CD1000" s="24" t="n"/>
      <c r="CE1000" s="24" t="n"/>
      <c r="CF1000" s="24" t="n"/>
      <c r="CG1000" s="24" t="n"/>
      <c r="CH1000" s="24" t="n"/>
      <c r="CI1000" s="24" t="n"/>
      <c r="CJ1000" s="24" t="n"/>
      <c r="CK1000" s="24" t="n"/>
      <c r="CL1000" s="24" t="n"/>
      <c r="CM1000" s="24" t="n"/>
      <c r="CN1000" s="24" t="n"/>
      <c r="CO1000" s="24" t="n"/>
      <c r="CP1000" s="24" t="n"/>
      <c r="CQ1000" s="24" t="n"/>
      <c r="CR1000" s="24" t="n"/>
      <c r="CS1000" s="24" t="inlineStr">
        <is>
          <t>True</t>
        </is>
      </c>
      <c r="CT1000" s="24" t="n"/>
      <c r="CU1000" s="24" t="n"/>
      <c r="CV1000" s="24" t="n"/>
      <c r="CW1000" s="24" t="n"/>
      <c r="CX1000" s="24" t="n"/>
      <c r="CY1000" s="24" t="n"/>
      <c r="CZ1000" s="24" t="n"/>
      <c r="DA1000" s="24" t="n"/>
      <c r="DB1000" s="24" t="n"/>
      <c r="DC1000" s="24" t="n"/>
      <c r="DD1000" s="24" t="inlineStr">
        <is>
          <t>111cdc4e632c6acabfdd1ef777dd91f198e5d3cacb440eca6ff0c1d9ace40146</t>
        </is>
      </c>
      <c r="DE1000" s="24" t="inlineStr">
        <is>
          <t>/Users/vincentc9002/model-prediction/data/odds/tennis/2026-09-08/polymarket_snapshots.jsonl</t>
        </is>
      </c>
      <c r="DF1000" s="24" t="inlineStr">
        <is>
          <t>719073:2026-09-08T04:33:39.552528Z</t>
        </is>
      </c>
      <c r="DG1000" s="24" t="n"/>
      <c r="DH1000" s="24" t="n"/>
      <c r="DI1000" s="24" t="n"/>
      <c r="DJ1000" s="24" t="inlineStr">
        <is>
          <t>0.380228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e0bf1dd710ee49b2</t>
        </is>
      </c>
      <c r="B1001" s="24" t="inlineStr">
        <is>
          <t>2026-09-08T04:34:52.149310Z</t>
        </is>
      </c>
      <c r="C1001" s="24" t="inlineStr">
        <is>
          <t>2026-09-08T09:00Z</t>
        </is>
      </c>
      <c r="D1001" s="24" t="inlineStr">
        <is>
          <t>998-2026:183597</t>
        </is>
      </c>
      <c r="E1001" s="24" t="inlineStr">
        <is>
          <t>TENNIS</t>
        </is>
      </c>
      <c r="F1001" s="24" t="inlineStr">
        <is>
          <t>Angela Fita Boluda</t>
        </is>
      </c>
      <c r="G1001" s="24" t="inlineStr">
        <is>
          <t>Andrea Lazaro Garcia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-186</v>
      </c>
      <c r="M1001" s="27" t="n">
        <v>1.537634</v>
      </c>
      <c r="N1001" s="28" t="n">
        <v>0.65035</v>
      </c>
      <c r="O1001" s="28" t="n">
        <v>0.6768</v>
      </c>
      <c r="P1001" s="28" t="n">
        <v>0.05</v>
      </c>
      <c r="Q1001" s="28" t="n">
        <v>0.02645</v>
      </c>
      <c r="R1001" s="26" t="n">
        <v>33</v>
      </c>
      <c r="S1001" s="29" t="n">
        <v>1</v>
      </c>
      <c r="T1001" s="24" t="inlineStr">
        <is>
          <t>tennis-surface-elo-v1</t>
        </is>
      </c>
      <c r="U1001" s="24" t="inlineStr">
        <is>
          <t>settled</t>
        </is>
      </c>
      <c r="V1001" s="24" t="inlineStr">
        <is>
          <t>win</t>
        </is>
      </c>
      <c r="W1001" s="26" t="n">
        <v>0</v>
      </c>
      <c r="X1001" s="26" t="n">
        <v>1</v>
      </c>
      <c r="Y1001" s="25" t="n"/>
      <c r="Z1001" s="26" t="n">
        <v>-186</v>
      </c>
      <c r="AA1001" s="28" t="n">
        <v>0.65</v>
      </c>
      <c r="AB1001" s="28" t="n">
        <v>-0.00035</v>
      </c>
      <c r="AC1001" s="30" t="n">
        <v>0.5376</v>
      </c>
      <c r="AD1001" s="24" t="inlineStr">
        <is>
          <t>2026-09-08T16:00:52.954790Z</t>
        </is>
      </c>
      <c r="AE1001" s="31" t="inlineStr">
        <is>
          <t>Surface-blended Elo on Hard: Angela Fita Boluda p=0.323 vs Andrea Lazaro Garcia. Executable ask 0.6500 (aec-wta-andgar-angbol-2026-09-07).</t>
        </is>
      </c>
      <c r="AF1001" s="31" t="inlineStr">
        <is>
          <t>Surface-blended Elo model; singles only, WTA+ATP market coverage, not yet locked-holdout qualified -- promoted by explicit operator directive, not genuine walk-forward validation.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PAPER_CALL_LOW_EDGE</t>
        </is>
      </c>
      <c r="AP1001" s="24" t="inlineStr">
        <is>
          <t>Angela Fita Boluda</t>
        </is>
      </c>
      <c r="AQ1001" s="24" t="inlineStr">
        <is>
          <t>Angela Fita Boluda</t>
        </is>
      </c>
      <c r="AR1001" s="24" t="inlineStr">
        <is>
          <t>Angela Fita Boluda</t>
        </is>
      </c>
      <c r="AS1001" s="24" t="inlineStr">
        <is>
          <t>Andrea Lazaro Garcia</t>
        </is>
      </c>
      <c r="AT1001" s="24" t="inlineStr">
        <is>
          <t>Andrea Lazaro Garcia</t>
        </is>
      </c>
      <c r="AU1001" s="24" t="inlineStr">
        <is>
          <t>Andrea Lazaro Garcia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0ce66f49b381187fe6255a40ca2fdbfc155d5e36125ccf6d30fe81a72962eafa</t>
        </is>
      </c>
      <c r="BB1001" s="24" t="inlineStr">
        <is>
          <t>surface_blended_elo</t>
        </is>
      </c>
      <c r="BC1001" s="24" t="inlineStr">
        <is>
          <t>tennis-surface-elo-v1</t>
        </is>
      </c>
      <c r="BD1001" s="24" t="inlineStr">
        <is>
          <t>0ce66f49b381187fe6255a40ca2fdbfc155d5e36125ccf6d30fe81a72962eafa</t>
        </is>
      </c>
      <c r="BE1001" s="24" t="inlineStr">
        <is>
          <t>tennis-surface-elo-v1</t>
        </is>
      </c>
      <c r="BF1001" s="24" t="inlineStr">
        <is>
          <t>1</t>
        </is>
      </c>
      <c r="BG1001" s="24" t="inlineStr">
        <is>
          <t>0ce66f49b381187fe6255a40ca2fdbfc155d5e36125ccf6d30fe81a72962eafa</t>
        </is>
      </c>
      <c r="BH1001" s="24" t="inlineStr">
        <is>
          <t>2026-09-08T04:33:39.564197Z</t>
        </is>
      </c>
      <c r="BI1001" s="24" t="inlineStr">
        <is>
          <t>["same_event","same_team_same_day","same_league_same_day"]</t>
        </is>
      </c>
      <c r="BJ1001" s="25" t="n"/>
      <c r="BK1001" s="26" t="n">
        <v>-186</v>
      </c>
      <c r="BL1001" s="27" t="n">
        <v>1.537634</v>
      </c>
      <c r="BM1001" s="28" t="n">
        <v>0.65035</v>
      </c>
      <c r="BN1001" s="28" t="n"/>
      <c r="BO1001" s="28" t="n"/>
      <c r="BP1001" s="25" t="n"/>
      <c r="BQ1001" s="27" t="n">
        <v>1.537634</v>
      </c>
      <c r="BR1001" s="28" t="n">
        <v>0.65</v>
      </c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n"/>
      <c r="CD1001" s="24" t="n"/>
      <c r="CE1001" s="24" t="n"/>
      <c r="CF1001" s="24" t="n"/>
      <c r="CG1001" s="24" t="n"/>
      <c r="CH1001" s="24" t="n"/>
      <c r="CI1001" s="24" t="n"/>
      <c r="CJ1001" s="24" t="n"/>
      <c r="CK1001" s="24" t="n"/>
      <c r="CL1001" s="24" t="n"/>
      <c r="CM1001" s="24" t="n"/>
      <c r="CN1001" s="24" t="n"/>
      <c r="CO1001" s="24" t="n"/>
      <c r="CP1001" s="24" t="n"/>
      <c r="CQ1001" s="24" t="n"/>
      <c r="CR1001" s="24" t="n"/>
      <c r="CS1001" s="24" t="inlineStr">
        <is>
          <t>True</t>
        </is>
      </c>
      <c r="CT1001" s="24" t="n"/>
      <c r="CU1001" s="24" t="n"/>
      <c r="CV1001" s="24" t="n"/>
      <c r="CW1001" s="24" t="n"/>
      <c r="CX1001" s="24" t="n"/>
      <c r="CY1001" s="24" t="n"/>
      <c r="CZ1001" s="24" t="n"/>
      <c r="DA1001" s="24" t="n"/>
      <c r="DB1001" s="24" t="n"/>
      <c r="DC1001" s="24" t="n"/>
      <c r="DD1001" s="24" t="inlineStr">
        <is>
          <t>5a19825258214006b03163430b86102da1c55007bb4c0ed08a9f77dbee469154</t>
        </is>
      </c>
      <c r="DE1001" s="24" t="inlineStr">
        <is>
          <t>/Users/vincentc9002/model-prediction/data/odds/tennis/2026-09-08/polymarket_snapshots.jsonl</t>
        </is>
      </c>
      <c r="DF1001" s="24" t="inlineStr">
        <is>
          <t>691085:2026-09-08T04:33:39.564197Z</t>
        </is>
      </c>
      <c r="DG1001" s="24" t="n"/>
      <c r="DH1001" s="24" t="n"/>
      <c r="DI1001" s="24" t="n"/>
      <c r="DJ1001" s="24" t="inlineStr">
        <is>
          <t>0.65035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0cb43c1cb86e49d0</t>
        </is>
      </c>
      <c r="B1002" s="24" t="inlineStr">
        <is>
          <t>2026-09-08T04:34:52.149310Z</t>
        </is>
      </c>
      <c r="C1002" s="24" t="inlineStr">
        <is>
          <t>2026-09-08T07:30Z</t>
        </is>
      </c>
      <c r="D1002" s="24" t="inlineStr">
        <is>
          <t>1076-2026:183531</t>
        </is>
      </c>
      <c r="E1002" s="24" t="inlineStr">
        <is>
          <t>TENNIS</t>
        </is>
      </c>
      <c r="F1002" s="24" t="inlineStr">
        <is>
          <t>Katarzyna Kawa</t>
        </is>
      </c>
      <c r="G1002" s="24" t="inlineStr">
        <is>
          <t>Eva Bennemann</t>
        </is>
      </c>
      <c r="H1002" s="24" t="inlineStr">
        <is>
          <t>moneyline</t>
        </is>
      </c>
      <c r="I1002" s="24" t="inlineStr">
        <is>
          <t>away</t>
        </is>
      </c>
      <c r="J1002" s="25" t="n"/>
      <c r="K1002" s="24" t="inlineStr">
        <is>
          <t>polymarket_us</t>
        </is>
      </c>
      <c r="L1002" s="26" t="n">
        <v>-257</v>
      </c>
      <c r="M1002" s="27" t="n">
        <v>1.389105</v>
      </c>
      <c r="N1002" s="28" t="n">
        <v>0.719888</v>
      </c>
      <c r="O1002" s="28" t="n">
        <v>0.6385999999999999</v>
      </c>
      <c r="P1002" s="28" t="n">
        <v>0.05</v>
      </c>
      <c r="Q1002" s="28" t="n">
        <v>-0.081288</v>
      </c>
      <c r="R1002" s="26" t="n">
        <v>0</v>
      </c>
      <c r="S1002" s="29" t="n">
        <v>1</v>
      </c>
      <c r="T1002" s="24" t="inlineStr">
        <is>
          <t>tennis-surface-elo-v1</t>
        </is>
      </c>
      <c r="U1002" s="24" t="inlineStr">
        <is>
          <t>settled</t>
        </is>
      </c>
      <c r="V1002" s="24" t="inlineStr">
        <is>
          <t>loss</t>
        </is>
      </c>
      <c r="W1002" s="26" t="n">
        <v>0</v>
      </c>
      <c r="X1002" s="26" t="n">
        <v>1</v>
      </c>
      <c r="Y1002" s="25" t="n"/>
      <c r="Z1002" s="26" t="n">
        <v>-257</v>
      </c>
      <c r="AA1002" s="28" t="n">
        <v>0.72</v>
      </c>
      <c r="AB1002" s="28" t="n">
        <v>0.000112</v>
      </c>
      <c r="AC1002" s="30" t="n">
        <v>-1</v>
      </c>
      <c r="AD1002" s="24" t="inlineStr">
        <is>
          <t>2026-09-08T10:00:22.426154Z</t>
        </is>
      </c>
      <c r="AE1002" s="31" t="inlineStr">
        <is>
          <t>Surface-blended Elo on Hard: Katarzyna Kawa p=0.639 vs Eva Bennemann. Executable ask 0.7200 (aec-wta-evaben-katkaw-2026-09-07).</t>
        </is>
      </c>
      <c r="AF1002" s="31" t="inlineStr">
        <is>
          <t>Surface-blended Elo model; singles only, WTA+ATP market coverage, not yet locked-holdout qualified -- promoted by explicit operator directive, not genuine walk-forward validation.</t>
        </is>
      </c>
      <c r="AG1002" s="24" t="inlineStr">
        <is>
          <t>review_required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PAPER_CALL_MODEL_UNVALIDATED</t>
        </is>
      </c>
      <c r="AP1002" s="24" t="inlineStr">
        <is>
          <t>Katarzyna Kawa</t>
        </is>
      </c>
      <c r="AQ1002" s="24" t="inlineStr">
        <is>
          <t>Katarzyna Kawa</t>
        </is>
      </c>
      <c r="AR1002" s="24" t="inlineStr">
        <is>
          <t>Katarzyna Kawa</t>
        </is>
      </c>
      <c r="AS1002" s="24" t="inlineStr">
        <is>
          <t>Eva Bennemann</t>
        </is>
      </c>
      <c r="AT1002" s="24" t="inlineStr">
        <is>
          <t>Eva Bennemann</t>
        </is>
      </c>
      <c r="AU1002" s="24" t="inlineStr">
        <is>
          <t>Eva Bennemann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0ce66f49b381187fe6255a40ca2fdbfc155d5e36125ccf6d30fe81a72962eafa</t>
        </is>
      </c>
      <c r="BB1002" s="24" t="inlineStr">
        <is>
          <t>surface_blended_elo</t>
        </is>
      </c>
      <c r="BC1002" s="24" t="inlineStr">
        <is>
          <t>tennis-surface-elo-v1</t>
        </is>
      </c>
      <c r="BD1002" s="24" t="inlineStr">
        <is>
          <t>0ce66f49b381187fe6255a40ca2fdbfc155d5e36125ccf6d30fe81a72962eafa</t>
        </is>
      </c>
      <c r="BE1002" s="24" t="inlineStr">
        <is>
          <t>tennis-surface-elo-v1</t>
        </is>
      </c>
      <c r="BF1002" s="24" t="inlineStr">
        <is>
          <t>1</t>
        </is>
      </c>
      <c r="BG1002" s="24" t="inlineStr">
        <is>
          <t>0ce66f49b381187fe6255a40ca2fdbfc155d5e36125ccf6d30fe81a72962eafa</t>
        </is>
      </c>
      <c r="BH1002" s="24" t="inlineStr">
        <is>
          <t>2026-09-08T04:33:39.537795Z</t>
        </is>
      </c>
      <c r="BI1002" s="24" t="inlineStr">
        <is>
          <t>["same_event","same_team_same_day","same_league_same_day"]</t>
        </is>
      </c>
      <c r="BJ1002" s="25" t="n"/>
      <c r="BK1002" s="26" t="n">
        <v>-257</v>
      </c>
      <c r="BL1002" s="27" t="n">
        <v>1.389105</v>
      </c>
      <c r="BM1002" s="28" t="n">
        <v>0.719888</v>
      </c>
      <c r="BN1002" s="28" t="n"/>
      <c r="BO1002" s="28" t="n"/>
      <c r="BP1002" s="25" t="n"/>
      <c r="BQ1002" s="27" t="n">
        <v>1.389105</v>
      </c>
      <c r="BR1002" s="28" t="n">
        <v>0.72</v>
      </c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n"/>
      <c r="CD1002" s="24" t="n"/>
      <c r="CE1002" s="24" t="n"/>
      <c r="CF1002" s="24" t="n"/>
      <c r="CG1002" s="24" t="n"/>
      <c r="CH1002" s="24" t="n"/>
      <c r="CI1002" s="24" t="n"/>
      <c r="CJ1002" s="24" t="n"/>
      <c r="CK1002" s="24" t="n"/>
      <c r="CL1002" s="24" t="n"/>
      <c r="CM1002" s="24" t="n"/>
      <c r="CN1002" s="24" t="n"/>
      <c r="CO1002" s="24" t="n"/>
      <c r="CP1002" s="24" t="n"/>
      <c r="CQ1002" s="24" t="n"/>
      <c r="CR1002" s="24" t="n"/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n"/>
      <c r="CZ1002" s="24" t="n"/>
      <c r="DA1002" s="24" t="n"/>
      <c r="DB1002" s="24" t="n"/>
      <c r="DC1002" s="24" t="n"/>
      <c r="DD1002" s="24" t="inlineStr">
        <is>
          <t>67ccee917b2cb398827d099517ab77619e67921017fa9417c2e5344d6a602904</t>
        </is>
      </c>
      <c r="DE1002" s="24" t="inlineStr">
        <is>
          <t>/Users/vincentc9002/model-prediction/data/odds/tennis/2026-09-08/polymarket_snapshots.jsonl</t>
        </is>
      </c>
      <c r="DF1002" s="24" t="inlineStr">
        <is>
          <t>707246:2026-09-08T04:33:39.537795Z</t>
        </is>
      </c>
      <c r="DG1002" s="24" t="n"/>
      <c r="DH1002" s="24" t="n"/>
      <c r="DI1002" s="24" t="n"/>
      <c r="DJ1002" s="24" t="inlineStr">
        <is>
          <t>0.719888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0ba37ae82f4642e3</t>
        </is>
      </c>
      <c r="B1003" s="24" t="inlineStr">
        <is>
          <t>2026-09-08T04:34:52.149310Z</t>
        </is>
      </c>
      <c r="C1003" s="24" t="inlineStr">
        <is>
          <t>2026-09-08T07:30Z</t>
        </is>
      </c>
      <c r="D1003" s="24" t="inlineStr">
        <is>
          <t>1076-2026:183534</t>
        </is>
      </c>
      <c r="E1003" s="24" t="inlineStr">
        <is>
          <t>TENNIS</t>
        </is>
      </c>
      <c r="F1003" s="24" t="inlineStr">
        <is>
          <t>Gina Feistel</t>
        </is>
      </c>
      <c r="G1003" s="24" t="inlineStr">
        <is>
          <t>Maria Lourdes Carle</t>
        </is>
      </c>
      <c r="H1003" s="24" t="inlineStr">
        <is>
          <t>moneyline</t>
        </is>
      </c>
      <c r="I1003" s="24" t="inlineStr">
        <is>
          <t>away</t>
        </is>
      </c>
      <c r="J1003" s="25" t="n"/>
      <c r="K1003" s="24" t="inlineStr">
        <is>
          <t>polymarket_us</t>
        </is>
      </c>
      <c r="L1003" s="26" t="n">
        <v>150</v>
      </c>
      <c r="M1003" s="27" t="n">
        <v>2.5</v>
      </c>
      <c r="N1003" s="28" t="n">
        <v>0.4</v>
      </c>
      <c r="O1003" s="28" t="n">
        <v>0.5138</v>
      </c>
      <c r="P1003" s="28" t="n">
        <v>0.05</v>
      </c>
      <c r="Q1003" s="28" t="n">
        <v>0.1138</v>
      </c>
      <c r="R1003" s="26" t="n">
        <v>77</v>
      </c>
      <c r="S1003" s="29" t="n">
        <v>1.5</v>
      </c>
      <c r="T1003" s="24" t="inlineStr">
        <is>
          <t>tennis-surface-elo-v1</t>
        </is>
      </c>
      <c r="U1003" s="24" t="inlineStr">
        <is>
          <t>settled</t>
        </is>
      </c>
      <c r="V1003" s="24" t="inlineStr">
        <is>
          <t>loss</t>
        </is>
      </c>
      <c r="W1003" s="26" t="n">
        <v>0</v>
      </c>
      <c r="X1003" s="26" t="n">
        <v>1</v>
      </c>
      <c r="Y1003" s="25" t="n"/>
      <c r="Z1003" s="26" t="n">
        <v>150</v>
      </c>
      <c r="AA1003" s="28" t="n">
        <v>0.4</v>
      </c>
      <c r="AB1003" s="28" t="n">
        <v>0</v>
      </c>
      <c r="AC1003" s="30" t="n">
        <v>-1.5</v>
      </c>
      <c r="AD1003" s="24" t="inlineStr">
        <is>
          <t>2026-09-08T16:00:53.791428Z</t>
        </is>
      </c>
      <c r="AE1003" s="31" t="inlineStr">
        <is>
          <t>Surface-blended Elo on Hard: Gina Feistel p=0.514 vs Maria Lourdes Carle. Executable ask 0.4000 (aec-wta-marcar-ginfei-2026-09-07).</t>
        </is>
      </c>
      <c r="AF1003" s="31" t="inlineStr">
        <is>
          <t>Surface-blended Elo model; singles only, WTA+ATP market coverage, not yet locked-holdout qualified -- promoted by explicit operator directive, not genuine walk-forward validation.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PAPER_CALL_LOW_EDGE</t>
        </is>
      </c>
      <c r="AP1003" s="24" t="inlineStr">
        <is>
          <t>Gina Feistel</t>
        </is>
      </c>
      <c r="AQ1003" s="24" t="inlineStr">
        <is>
          <t>Gina Feistel</t>
        </is>
      </c>
      <c r="AR1003" s="24" t="inlineStr">
        <is>
          <t>Gina Feistel</t>
        </is>
      </c>
      <c r="AS1003" s="24" t="inlineStr">
        <is>
          <t>Maria Lourdes Carle</t>
        </is>
      </c>
      <c r="AT1003" s="24" t="inlineStr">
        <is>
          <t>Maria Lourdes Carle</t>
        </is>
      </c>
      <c r="AU1003" s="24" t="inlineStr">
        <is>
          <t>Maria Lourdes Carle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0ce66f49b381187fe6255a40ca2fdbfc155d5e36125ccf6d30fe81a72962eafa</t>
        </is>
      </c>
      <c r="BB1003" s="24" t="inlineStr">
        <is>
          <t>surface_blended_elo</t>
        </is>
      </c>
      <c r="BC1003" s="24" t="inlineStr">
        <is>
          <t>tennis-surface-elo-v1</t>
        </is>
      </c>
      <c r="BD1003" s="24" t="inlineStr">
        <is>
          <t>0ce66f49b381187fe6255a40ca2fdbfc155d5e36125ccf6d30fe81a72962eafa</t>
        </is>
      </c>
      <c r="BE1003" s="24" t="inlineStr">
        <is>
          <t>tennis-surface-elo-v1</t>
        </is>
      </c>
      <c r="BF1003" s="24" t="inlineStr">
        <is>
          <t>1</t>
        </is>
      </c>
      <c r="BG1003" s="24" t="inlineStr">
        <is>
          <t>0ce66f49b381187fe6255a40ca2fdbfc155d5e36125ccf6d30fe81a72962eafa</t>
        </is>
      </c>
      <c r="BH1003" s="24" t="inlineStr">
        <is>
          <t>2026-09-08T04:33:39.548776Z</t>
        </is>
      </c>
      <c r="BI1003" s="24" t="inlineStr">
        <is>
          <t>["same_event","same_team_same_day","same_league_same_day"]</t>
        </is>
      </c>
      <c r="BJ1003" s="25" t="n"/>
      <c r="BK1003" s="26" t="n">
        <v>150</v>
      </c>
      <c r="BL1003" s="27" t="n">
        <v>2.5</v>
      </c>
      <c r="BM1003" s="28" t="n">
        <v>0.4</v>
      </c>
      <c r="BN1003" s="28" t="n"/>
      <c r="BO1003" s="28" t="n"/>
      <c r="BP1003" s="25" t="n"/>
      <c r="BQ1003" s="27" t="n">
        <v>2.5</v>
      </c>
      <c r="BR1003" s="28" t="n">
        <v>0.4</v>
      </c>
      <c r="BS1003" s="28" t="n"/>
      <c r="BT1003" s="28" t="n"/>
      <c r="BU1003" s="25" t="n"/>
      <c r="BV1003" s="29" t="n"/>
      <c r="BW1003" s="24" t="n"/>
      <c r="BX1003" s="30" t="n"/>
      <c r="BY1003" s="27" t="n"/>
      <c r="BZ1003" s="24" t="n"/>
      <c r="CA1003" s="31" t="n"/>
      <c r="CB1003" s="24" t="n"/>
      <c r="CC1003" s="24" t="n"/>
      <c r="CD1003" s="24" t="n"/>
      <c r="CE1003" s="24" t="n"/>
      <c r="CF1003" s="24" t="n"/>
      <c r="CG1003" s="24" t="n"/>
      <c r="CH1003" s="24" t="n"/>
      <c r="CI1003" s="24" t="n"/>
      <c r="CJ1003" s="24" t="n"/>
      <c r="CK1003" s="24" t="n"/>
      <c r="CL1003" s="24" t="n"/>
      <c r="CM1003" s="24" t="n"/>
      <c r="CN1003" s="24" t="n"/>
      <c r="CO1003" s="24" t="n"/>
      <c r="CP1003" s="24" t="n"/>
      <c r="CQ1003" s="24" t="n"/>
      <c r="CR1003" s="24" t="n"/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n"/>
      <c r="CZ1003" s="24" t="n"/>
      <c r="DA1003" s="24" t="n"/>
      <c r="DB1003" s="24" t="n"/>
      <c r="DC1003" s="24" t="n"/>
      <c r="DD1003" s="24" t="inlineStr">
        <is>
          <t>af353772225318948aab277e4ad1c57f1f050588ccc2c4019b7d2f5ad02be42f</t>
        </is>
      </c>
      <c r="DE1003" s="24" t="inlineStr">
        <is>
          <t>/Users/vincentc9002/model-prediction/data/odds/tennis/2026-09-08/polymarket_snapshots.jsonl</t>
        </is>
      </c>
      <c r="DF1003" s="24" t="inlineStr">
        <is>
          <t>707237:2026-09-08T04:33:39.548776Z</t>
        </is>
      </c>
      <c r="DG1003" s="24" t="n"/>
      <c r="DH1003" s="24" t="n"/>
      <c r="DI1003" s="24" t="n"/>
      <c r="DJ1003" s="24" t="inlineStr">
        <is>
          <t>0.4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233a18d3074543c4</t>
        </is>
      </c>
      <c r="B1004" s="24" t="inlineStr">
        <is>
          <t>2026-09-08T04:34:52.149310Z</t>
        </is>
      </c>
      <c r="C1004" s="24" t="inlineStr">
        <is>
          <t>2026-09-08T07:30Z</t>
        </is>
      </c>
      <c r="D1004" s="24" t="inlineStr">
        <is>
          <t>1076-2026:183548</t>
        </is>
      </c>
      <c r="E1004" s="24" t="inlineStr">
        <is>
          <t>TENNIS</t>
        </is>
      </c>
      <c r="F1004" s="24" t="inlineStr">
        <is>
          <t>Alevtina Ibragimova</t>
        </is>
      </c>
      <c r="G1004" s="24" t="inlineStr">
        <is>
          <t>Julie Struplova</t>
        </is>
      </c>
      <c r="H1004" s="24" t="inlineStr">
        <is>
          <t>moneyline</t>
        </is>
      </c>
      <c r="I1004" s="24" t="inlineStr">
        <is>
          <t>away</t>
        </is>
      </c>
      <c r="J1004" s="25" t="n"/>
      <c r="K1004" s="24" t="inlineStr">
        <is>
          <t>polymarket_us</t>
        </is>
      </c>
      <c r="L1004" s="26" t="n">
        <v>-170</v>
      </c>
      <c r="M1004" s="27" t="n">
        <v>1.588235</v>
      </c>
      <c r="N1004" s="28" t="n">
        <v>0.62963</v>
      </c>
      <c r="O1004" s="28" t="n">
        <v>0.6211</v>
      </c>
      <c r="P1004" s="28" t="n">
        <v>0.05</v>
      </c>
      <c r="Q1004" s="28" t="n">
        <v>-0.008529999999999999</v>
      </c>
      <c r="R1004" s="26" t="n">
        <v>16</v>
      </c>
      <c r="S1004" s="29" t="n">
        <v>1</v>
      </c>
      <c r="T1004" s="24" t="inlineStr">
        <is>
          <t>tennis-surface-elo-v1</t>
        </is>
      </c>
      <c r="U1004" s="24" t="inlineStr">
        <is>
          <t>settled</t>
        </is>
      </c>
      <c r="V1004" s="24" t="inlineStr">
        <is>
          <t>win</t>
        </is>
      </c>
      <c r="W1004" s="26" t="n">
        <v>1</v>
      </c>
      <c r="X1004" s="26" t="n">
        <v>0</v>
      </c>
      <c r="Y1004" s="25" t="n"/>
      <c r="Z1004" s="26" t="n">
        <v>-170</v>
      </c>
      <c r="AA1004" s="28" t="n">
        <v>0.63</v>
      </c>
      <c r="AB1004" s="28" t="n">
        <v>0.00037</v>
      </c>
      <c r="AC1004" s="30" t="n">
        <v>0.5881999999999999</v>
      </c>
      <c r="AD1004" s="24" t="inlineStr">
        <is>
          <t>2026-09-08T10:00:22.822201Z</t>
        </is>
      </c>
      <c r="AE1004" s="31" t="inlineStr">
        <is>
          <t>Surface-blended Elo on Hard: Alevtina Ibragimova p=0.621 vs Julie Struplova. Executable ask 0.6300 (aec-wta-julstr-aleibr-2026-09-07).</t>
        </is>
      </c>
      <c r="AF1004" s="31" t="inlineStr">
        <is>
          <t>Surface-blended Elo model; singles only, WTA+ATP market coverage, not yet locked-holdout qualified -- promoted by explicit operator directive, not genuine walk-forward validation.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PAPER_CALL_MODEL_UNVALIDATED</t>
        </is>
      </c>
      <c r="AP1004" s="24" t="inlineStr">
        <is>
          <t>Alevtina Ibragimova</t>
        </is>
      </c>
      <c r="AQ1004" s="24" t="inlineStr">
        <is>
          <t>Alevtina Ibragimova</t>
        </is>
      </c>
      <c r="AR1004" s="24" t="inlineStr">
        <is>
          <t>Alevtina Ibragimova</t>
        </is>
      </c>
      <c r="AS1004" s="24" t="inlineStr">
        <is>
          <t>Julie Struplova</t>
        </is>
      </c>
      <c r="AT1004" s="24" t="inlineStr">
        <is>
          <t>Julie Struplova</t>
        </is>
      </c>
      <c r="AU1004" s="24" t="inlineStr">
        <is>
          <t>Julie Struplova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0ce66f49b381187fe6255a40ca2fdbfc155d5e36125ccf6d30fe81a72962eafa</t>
        </is>
      </c>
      <c r="BB1004" s="24" t="inlineStr">
        <is>
          <t>surface_blended_elo</t>
        </is>
      </c>
      <c r="BC1004" s="24" t="inlineStr">
        <is>
          <t>tennis-surface-elo-v1</t>
        </is>
      </c>
      <c r="BD1004" s="24" t="inlineStr">
        <is>
          <t>0ce66f49b381187fe6255a40ca2fdbfc155d5e36125ccf6d30fe81a72962eafa</t>
        </is>
      </c>
      <c r="BE1004" s="24" t="inlineStr">
        <is>
          <t>tennis-surface-elo-v1</t>
        </is>
      </c>
      <c r="BF1004" s="24" t="inlineStr">
        <is>
          <t>1</t>
        </is>
      </c>
      <c r="BG1004" s="24" t="inlineStr">
        <is>
          <t>0ce66f49b381187fe6255a40ca2fdbfc155d5e36125ccf6d30fe81a72962eafa</t>
        </is>
      </c>
      <c r="BH1004" s="24" t="inlineStr">
        <is>
          <t>2026-09-08T04:33:39.531749Z</t>
        </is>
      </c>
      <c r="BI1004" s="24" t="inlineStr">
        <is>
          <t>["same_event","same_team_same_day","same_league_same_day"]</t>
        </is>
      </c>
      <c r="BJ1004" s="25" t="n"/>
      <c r="BK1004" s="26" t="n">
        <v>-170</v>
      </c>
      <c r="BL1004" s="27" t="n">
        <v>1.588235</v>
      </c>
      <c r="BM1004" s="28" t="n">
        <v>0.62963</v>
      </c>
      <c r="BN1004" s="28" t="n"/>
      <c r="BO1004" s="28" t="n"/>
      <c r="BP1004" s="25" t="n"/>
      <c r="BQ1004" s="27" t="n">
        <v>1.588235</v>
      </c>
      <c r="BR1004" s="28" t="n">
        <v>0.63</v>
      </c>
      <c r="BS1004" s="28" t="n"/>
      <c r="BT1004" s="28" t="n"/>
      <c r="BU1004" s="25" t="n"/>
      <c r="BV1004" s="29" t="n"/>
      <c r="BW1004" s="24" t="n"/>
      <c r="BX1004" s="30" t="n"/>
      <c r="BY1004" s="27" t="n"/>
      <c r="BZ1004" s="24" t="n"/>
      <c r="CA1004" s="31" t="n"/>
      <c r="CB1004" s="24" t="n"/>
      <c r="CC1004" s="24" t="n"/>
      <c r="CD1004" s="24" t="n"/>
      <c r="CE1004" s="24" t="n"/>
      <c r="CF1004" s="24" t="n"/>
      <c r="CG1004" s="24" t="n"/>
      <c r="CH1004" s="24" t="n"/>
      <c r="CI1004" s="24" t="n"/>
      <c r="CJ1004" s="24" t="n"/>
      <c r="CK1004" s="24" t="n"/>
      <c r="CL1004" s="24" t="n"/>
      <c r="CM1004" s="24" t="n"/>
      <c r="CN1004" s="24" t="n"/>
      <c r="CO1004" s="24" t="n"/>
      <c r="CP1004" s="24" t="n"/>
      <c r="CQ1004" s="24" t="n"/>
      <c r="CR1004" s="24" t="n"/>
      <c r="CS1004" s="24" t="inlineStr">
        <is>
          <t>False</t>
        </is>
      </c>
      <c r="CT1004" s="24" t="n"/>
      <c r="CU1004" s="24" t="n"/>
      <c r="CV1004" s="24" t="n"/>
      <c r="CW1004" s="24" t="n"/>
      <c r="CX1004" s="24" t="n"/>
      <c r="CY1004" s="24" t="n"/>
      <c r="CZ1004" s="24" t="n"/>
      <c r="DA1004" s="24" t="n"/>
      <c r="DB1004" s="24" t="n"/>
      <c r="DC1004" s="24" t="n"/>
      <c r="DD1004" s="24" t="inlineStr">
        <is>
          <t>0a237ca6e67eb8351b05f4bf2c85aa63ae30a9f0d067dd49d11cf506b7b8fd88</t>
        </is>
      </c>
      <c r="DE1004" s="24" t="inlineStr">
        <is>
          <t>/Users/vincentc9002/model-prediction/data/odds/tennis/2026-09-08/polymarket_snapshots.jsonl</t>
        </is>
      </c>
      <c r="DF1004" s="24" t="inlineStr">
        <is>
          <t>707710:2026-09-08T04:33:39.531749Z</t>
        </is>
      </c>
      <c r="DG1004" s="24" t="n"/>
      <c r="DH1004" s="24" t="n"/>
      <c r="DI1004" s="24" t="n"/>
      <c r="DJ1004" s="24" t="inlineStr">
        <is>
          <t>0.62963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2e2a60011b1143e4</t>
        </is>
      </c>
      <c r="B1005" s="24" t="inlineStr">
        <is>
          <t>2026-09-08T04:34:52.149310Z</t>
        </is>
      </c>
      <c r="C1005" s="24" t="inlineStr">
        <is>
          <t>2026-09-08T09:00Z</t>
        </is>
      </c>
      <c r="D1005" s="24" t="inlineStr">
        <is>
          <t>1076-2026:183532</t>
        </is>
      </c>
      <c r="E1005" s="24" t="inlineStr">
        <is>
          <t>TENNIS</t>
        </is>
      </c>
      <c r="F1005" s="24" t="inlineStr">
        <is>
          <t>Eva Vedder</t>
        </is>
      </c>
      <c r="G1005" s="24" t="inlineStr">
        <is>
          <t>Samira De Stefano</t>
        </is>
      </c>
      <c r="H1005" s="24" t="inlineStr">
        <is>
          <t>moneyline</t>
        </is>
      </c>
      <c r="I1005" s="24" t="inlineStr">
        <is>
          <t>home</t>
        </is>
      </c>
      <c r="J1005" s="25" t="n"/>
      <c r="K1005" s="24" t="inlineStr">
        <is>
          <t>polymarket_us</t>
        </is>
      </c>
      <c r="L1005" s="26" t="n">
        <v>-186</v>
      </c>
      <c r="M1005" s="27" t="n">
        <v>1.537634</v>
      </c>
      <c r="N1005" s="28" t="n">
        <v>0.65035</v>
      </c>
      <c r="O1005" s="28" t="n">
        <v>0.5819</v>
      </c>
      <c r="P1005" s="28" t="n">
        <v>0.05</v>
      </c>
      <c r="Q1005" s="28" t="n">
        <v>-0.06845</v>
      </c>
      <c r="R1005" s="26" t="n">
        <v>0</v>
      </c>
      <c r="S1005" s="29" t="n">
        <v>1</v>
      </c>
      <c r="T1005" s="24" t="inlineStr">
        <is>
          <t>tennis-surface-elo-v1</t>
        </is>
      </c>
      <c r="U1005" s="24" t="inlineStr">
        <is>
          <t>settled</t>
        </is>
      </c>
      <c r="V1005" s="24" t="inlineStr">
        <is>
          <t>loss</t>
        </is>
      </c>
      <c r="W1005" s="26" t="n">
        <v>1</v>
      </c>
      <c r="X1005" s="26" t="n">
        <v>0</v>
      </c>
      <c r="Y1005" s="25" t="n"/>
      <c r="Z1005" s="26" t="n">
        <v>-186</v>
      </c>
      <c r="AA1005" s="28" t="n">
        <v>0.65</v>
      </c>
      <c r="AB1005" s="28" t="n">
        <v>-0.00035</v>
      </c>
      <c r="AC1005" s="30" t="n">
        <v>-1</v>
      </c>
      <c r="AD1005" s="24" t="inlineStr">
        <is>
          <t>2026-09-08T16:00:54.645124Z</t>
        </is>
      </c>
      <c r="AE1005" s="31" t="inlineStr">
        <is>
          <t>Surface-blended Elo on Hard: Eva Vedder p=0.418 vs Samira De Stefano. Executable ask 0.6500 (aec-wta-samste-evaved-2026-09-08).</t>
        </is>
      </c>
      <c r="AF1005" s="31" t="inlineStr">
        <is>
          <t>Surface-blended Elo model; singles only, WTA+ATP market coverage, not yet locked-holdout qualified -- promoted by explicit operator directive, not genuine walk-forward validation.</t>
        </is>
      </c>
      <c r="AG1005" s="24" t="inlineStr">
        <is>
          <t>review_required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PAPER_CALL_MODEL_UNVALIDATED</t>
        </is>
      </c>
      <c r="AP1005" s="24" t="inlineStr">
        <is>
          <t>Eva Vedder</t>
        </is>
      </c>
      <c r="AQ1005" s="24" t="inlineStr">
        <is>
          <t>Eva Vedder</t>
        </is>
      </c>
      <c r="AR1005" s="24" t="inlineStr">
        <is>
          <t>Eva Vedder</t>
        </is>
      </c>
      <c r="AS1005" s="24" t="inlineStr">
        <is>
          <t>Samira De Stefano</t>
        </is>
      </c>
      <c r="AT1005" s="24" t="inlineStr">
        <is>
          <t>Samira De Stefano</t>
        </is>
      </c>
      <c r="AU1005" s="24" t="inlineStr">
        <is>
          <t>Samira De Stefano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0ce66f49b381187fe6255a40ca2fdbfc155d5e36125ccf6d30fe81a72962eafa</t>
        </is>
      </c>
      <c r="BB1005" s="24" t="inlineStr">
        <is>
          <t>surface_blended_elo</t>
        </is>
      </c>
      <c r="BC1005" s="24" t="inlineStr">
        <is>
          <t>tennis-surface-elo-v1</t>
        </is>
      </c>
      <c r="BD1005" s="24" t="inlineStr">
        <is>
          <t>0ce66f49b381187fe6255a40ca2fdbfc155d5e36125ccf6d30fe81a72962eafa</t>
        </is>
      </c>
      <c r="BE1005" s="24" t="inlineStr">
        <is>
          <t>tennis-surface-elo-v1</t>
        </is>
      </c>
      <c r="BF1005" s="24" t="inlineStr">
        <is>
          <t>1</t>
        </is>
      </c>
      <c r="BG1005" s="24" t="inlineStr">
        <is>
          <t>0ce66f49b381187fe6255a40ca2fdbfc155d5e36125ccf6d30fe81a72962eafa</t>
        </is>
      </c>
      <c r="BH1005" s="24" t="inlineStr">
        <is>
          <t>2026-09-08T04:33:39.546358Z</t>
        </is>
      </c>
      <c r="BI1005" s="24" t="inlineStr">
        <is>
          <t>["same_event","same_team_same_day","same_league_same_day"]</t>
        </is>
      </c>
      <c r="BJ1005" s="25" t="n"/>
      <c r="BK1005" s="26" t="n">
        <v>-186</v>
      </c>
      <c r="BL1005" s="27" t="n">
        <v>1.537634</v>
      </c>
      <c r="BM1005" s="28" t="n">
        <v>0.65035</v>
      </c>
      <c r="BN1005" s="28" t="n"/>
      <c r="BO1005" s="28" t="n"/>
      <c r="BP1005" s="25" t="n"/>
      <c r="BQ1005" s="27" t="n">
        <v>1.537634</v>
      </c>
      <c r="BR1005" s="28" t="n">
        <v>0.65</v>
      </c>
      <c r="BS1005" s="28" t="n"/>
      <c r="BT1005" s="28" t="n"/>
      <c r="BU1005" s="25" t="n"/>
      <c r="BV1005" s="29" t="n"/>
      <c r="BW1005" s="24" t="n"/>
      <c r="BX1005" s="30" t="n"/>
      <c r="BY1005" s="27" t="n"/>
      <c r="BZ1005" s="24" t="n"/>
      <c r="CA1005" s="31" t="n"/>
      <c r="CB1005" s="24" t="n"/>
      <c r="CC1005" s="24" t="n"/>
      <c r="CD1005" s="24" t="n"/>
      <c r="CE1005" s="24" t="n"/>
      <c r="CF1005" s="24" t="n"/>
      <c r="CG1005" s="24" t="n"/>
      <c r="CH1005" s="24" t="n"/>
      <c r="CI1005" s="24" t="n"/>
      <c r="CJ1005" s="24" t="n"/>
      <c r="CK1005" s="24" t="n"/>
      <c r="CL1005" s="24" t="n"/>
      <c r="CM1005" s="24" t="n"/>
      <c r="CN1005" s="24" t="n"/>
      <c r="CO1005" s="24" t="n"/>
      <c r="CP1005" s="24" t="n"/>
      <c r="CQ1005" s="24" t="n"/>
      <c r="CR1005" s="24" t="n"/>
      <c r="CS1005" s="24" t="inlineStr">
        <is>
          <t>False</t>
        </is>
      </c>
      <c r="CT1005" s="24" t="n"/>
      <c r="CU1005" s="24" t="n"/>
      <c r="CV1005" s="24" t="n"/>
      <c r="CW1005" s="24" t="n"/>
      <c r="CX1005" s="24" t="n"/>
      <c r="CY1005" s="24" t="n"/>
      <c r="CZ1005" s="24" t="n"/>
      <c r="DA1005" s="24" t="n"/>
      <c r="DB1005" s="24" t="n"/>
      <c r="DC1005" s="24" t="n"/>
      <c r="DD1005" s="24" t="inlineStr">
        <is>
          <t>116e67c5607d428e173acf8e938476f3f46fb75e4a3579057840a3993efcb8cf</t>
        </is>
      </c>
      <c r="DE1005" s="24" t="inlineStr">
        <is>
          <t>/Users/vincentc9002/model-prediction/data/odds/tennis/2026-09-08/polymarket_snapshots.jsonl</t>
        </is>
      </c>
      <c r="DF1005" s="24" t="inlineStr">
        <is>
          <t>718751:2026-09-08T04:33:39.546358Z</t>
        </is>
      </c>
      <c r="DG1005" s="24" t="n"/>
      <c r="DH1005" s="24" t="n"/>
      <c r="DI1005" s="24" t="n"/>
      <c r="DJ1005" s="24" t="inlineStr">
        <is>
          <t>0.65035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12c1b735a53346a8</t>
        </is>
      </c>
      <c r="B1006" s="24" t="inlineStr">
        <is>
          <t>2026-09-08T04:34:52.149310Z</t>
        </is>
      </c>
      <c r="C1006" s="24" t="inlineStr">
        <is>
          <t>2026-09-08T09:00Z</t>
        </is>
      </c>
      <c r="D1006" s="24" t="inlineStr">
        <is>
          <t>1076-2026:183542</t>
        </is>
      </c>
      <c r="E1006" s="24" t="inlineStr">
        <is>
          <t>TENNIS</t>
        </is>
      </c>
      <c r="F1006" s="24" t="inlineStr">
        <is>
          <t>Miriam Bulgaru</t>
        </is>
      </c>
      <c r="G1006" s="24" t="inlineStr">
        <is>
          <t>Federica Urgesi</t>
        </is>
      </c>
      <c r="H1006" s="24" t="inlineStr">
        <is>
          <t>moneyline</t>
        </is>
      </c>
      <c r="I1006" s="24" t="inlineStr">
        <is>
          <t>home</t>
        </is>
      </c>
      <c r="J1006" s="25" t="n"/>
      <c r="K1006" s="24" t="inlineStr">
        <is>
          <t>polymarket_us</t>
        </is>
      </c>
      <c r="L1006" s="26" t="n">
        <v>-270</v>
      </c>
      <c r="M1006" s="27" t="n">
        <v>1.37037</v>
      </c>
      <c r="N1006" s="28" t="n">
        <v>0.72973</v>
      </c>
      <c r="O1006" s="28" t="n">
        <v>0.6247</v>
      </c>
      <c r="P1006" s="28" t="n">
        <v>0.05</v>
      </c>
      <c r="Q1006" s="28" t="n">
        <v>-0.10503</v>
      </c>
      <c r="R1006" s="26" t="n">
        <v>0</v>
      </c>
      <c r="S1006" s="29" t="n">
        <v>1</v>
      </c>
      <c r="T1006" s="24" t="inlineStr">
        <is>
          <t>tennis-surface-elo-v1</t>
        </is>
      </c>
      <c r="U1006" s="24" t="inlineStr">
        <is>
          <t>settled</t>
        </is>
      </c>
      <c r="V1006" s="24" t="inlineStr">
        <is>
          <t>loss</t>
        </is>
      </c>
      <c r="W1006" s="26" t="n">
        <v>1</v>
      </c>
      <c r="X1006" s="26" t="n">
        <v>0</v>
      </c>
      <c r="Y1006" s="25" t="n"/>
      <c r="Z1006" s="26" t="n">
        <v>-270</v>
      </c>
      <c r="AA1006" s="28" t="n">
        <v>0.73</v>
      </c>
      <c r="AB1006" s="28" t="n">
        <v>0.00027</v>
      </c>
      <c r="AC1006" s="30" t="n">
        <v>-1</v>
      </c>
      <c r="AD1006" s="24" t="inlineStr">
        <is>
          <t>2026-09-08T16:00:55.488756Z</t>
        </is>
      </c>
      <c r="AE1006" s="31" t="inlineStr">
        <is>
          <t>Surface-blended Elo on Hard: Miriam Bulgaru p=0.375 vs Federica Urgesi. Executable ask 0.7300 (aec-wta-fedurg-mirbul-2026-09-07).</t>
        </is>
      </c>
      <c r="AF1006" s="31" t="inlineStr">
        <is>
          <t>Surface-blended Elo model; singles only, WTA+ATP market coverage, not yet locked-holdout qualified -- promoted by explicit operator directive, not genuine walk-forward validation.</t>
        </is>
      </c>
      <c r="AG1006" s="24" t="inlineStr">
        <is>
          <t>review_required</t>
        </is>
      </c>
      <c r="AH1006" s="24" t="n"/>
      <c r="AI1006" s="31" t="n"/>
      <c r="AJ1006" s="31" t="n"/>
      <c r="AK1006" s="24" t="inlineStr">
        <is>
          <t>paper_call</t>
        </is>
      </c>
      <c r="AL1006" s="26" t="n">
        <v>4</v>
      </c>
      <c r="AM1006" s="24" t="inlineStr">
        <is>
          <t>RESEARCH_OBSERVATION</t>
        </is>
      </c>
      <c r="AN1006" s="24" t="inlineStr">
        <is>
          <t>CALL</t>
        </is>
      </c>
      <c r="AO1006" s="24" t="inlineStr">
        <is>
          <t>PAPER_CALL_LOW_EDGE</t>
        </is>
      </c>
      <c r="AP1006" s="24" t="inlineStr">
        <is>
          <t>Miriam Bulgaru</t>
        </is>
      </c>
      <c r="AQ1006" s="24" t="inlineStr">
        <is>
          <t>Miriam Bulgaru</t>
        </is>
      </c>
      <c r="AR1006" s="24" t="inlineStr">
        <is>
          <t>Miriam Bulgaru</t>
        </is>
      </c>
      <c r="AS1006" s="24" t="inlineStr">
        <is>
          <t>Federica Urgesi</t>
        </is>
      </c>
      <c r="AT1006" s="24" t="inlineStr">
        <is>
          <t>Federica Urgesi</t>
        </is>
      </c>
      <c r="AU1006" s="24" t="inlineStr">
        <is>
          <t>Federica Urgesi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0ce66f49b381187fe6255a40ca2fdbfc155d5e36125ccf6d30fe81a72962eafa</t>
        </is>
      </c>
      <c r="BB1006" s="24" t="inlineStr">
        <is>
          <t>surface_blended_elo</t>
        </is>
      </c>
      <c r="BC1006" s="24" t="inlineStr">
        <is>
          <t>tennis-surface-elo-v1</t>
        </is>
      </c>
      <c r="BD1006" s="24" t="inlineStr">
        <is>
          <t>0ce66f49b381187fe6255a40ca2fdbfc155d5e36125ccf6d30fe81a72962eafa</t>
        </is>
      </c>
      <c r="BE1006" s="24" t="inlineStr">
        <is>
          <t>tennis-surface-elo-v1</t>
        </is>
      </c>
      <c r="BF1006" s="24" t="inlineStr">
        <is>
          <t>1</t>
        </is>
      </c>
      <c r="BG1006" s="24" t="inlineStr">
        <is>
          <t>0ce66f49b381187fe6255a40ca2fdbfc155d5e36125ccf6d30fe81a72962eafa</t>
        </is>
      </c>
      <c r="BH1006" s="24" t="inlineStr">
        <is>
          <t>2026-09-08T04:33:39.560328Z</t>
        </is>
      </c>
      <c r="BI1006" s="24" t="inlineStr">
        <is>
          <t>["same_event","same_team_same_day","same_league_same_day"]</t>
        </is>
      </c>
      <c r="BJ1006" s="25" t="n"/>
      <c r="BK1006" s="26" t="n">
        <v>-270</v>
      </c>
      <c r="BL1006" s="27" t="n">
        <v>1.37037</v>
      </c>
      <c r="BM1006" s="28" t="n">
        <v>0.72973</v>
      </c>
      <c r="BN1006" s="28" t="n"/>
      <c r="BO1006" s="28" t="n"/>
      <c r="BP1006" s="25" t="n"/>
      <c r="BQ1006" s="27" t="n">
        <v>1.37037</v>
      </c>
      <c r="BR1006" s="28" t="n">
        <v>0.73</v>
      </c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False</t>
        </is>
      </c>
      <c r="CT1006" s="24" t="n"/>
      <c r="CU1006" s="24" t="n"/>
      <c r="CV1006" s="24" t="n"/>
      <c r="CW1006" s="24" t="n"/>
      <c r="CX1006" s="24" t="n"/>
      <c r="CY1006" s="24" t="n"/>
      <c r="CZ1006" s="24" t="n"/>
      <c r="DA1006" s="24" t="n"/>
      <c r="DB1006" s="24" t="n"/>
      <c r="DC1006" s="24" t="n"/>
      <c r="DD1006" s="24" t="inlineStr">
        <is>
          <t>6b6c59c37a540bb0d30cd23867ea9a1227e546f7329e7cd41731143c92e59796</t>
        </is>
      </c>
      <c r="DE1006" s="24" t="inlineStr">
        <is>
          <t>/Users/vincentc9002/model-prediction/data/odds/tennis/2026-09-08/polymarket_snapshots.jsonl</t>
        </is>
      </c>
      <c r="DF1006" s="24" t="inlineStr">
        <is>
          <t>707239:2026-09-08T04:33:39.560328Z</t>
        </is>
      </c>
      <c r="DG1006" s="24" t="n"/>
      <c r="DH1006" s="24" t="n"/>
      <c r="DI1006" s="24" t="n"/>
      <c r="DJ1006" s="24" t="inlineStr">
        <is>
          <t>0.72973</t>
        </is>
      </c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1b1b12f7e6a04db1</t>
        </is>
      </c>
      <c r="B1007" s="24" t="inlineStr">
        <is>
          <t>2026-09-08T04:34:52.149310Z</t>
        </is>
      </c>
      <c r="C1007" s="24" t="inlineStr">
        <is>
          <t>2026-09-08T09:00Z</t>
        </is>
      </c>
      <c r="D1007" s="24" t="inlineStr">
        <is>
          <t>1076-2026:183553</t>
        </is>
      </c>
      <c r="E1007" s="24" t="inlineStr">
        <is>
          <t>TENNIS</t>
        </is>
      </c>
      <c r="F1007" s="24" t="inlineStr">
        <is>
          <t>Raluka Serban</t>
        </is>
      </c>
      <c r="G1007" s="24" t="inlineStr">
        <is>
          <t>Francesca Jones</t>
        </is>
      </c>
      <c r="H1007" s="24" t="inlineStr">
        <is>
          <t>moneyline</t>
        </is>
      </c>
      <c r="I1007" s="24" t="inlineStr">
        <is>
          <t>home</t>
        </is>
      </c>
      <c r="J1007" s="25" t="n"/>
      <c r="K1007" s="24" t="inlineStr">
        <is>
          <t>polymarket_us</t>
        </is>
      </c>
      <c r="L1007" s="26" t="n">
        <v>-1329</v>
      </c>
      <c r="M1007" s="27" t="n">
        <v>1.075245</v>
      </c>
      <c r="N1007" s="28" t="n">
        <v>0.930021</v>
      </c>
      <c r="O1007" s="28" t="n">
        <v>0.8431999999999999</v>
      </c>
      <c r="P1007" s="28" t="n">
        <v>0.05</v>
      </c>
      <c r="Q1007" s="28" t="n">
        <v>-0.086821</v>
      </c>
      <c r="R1007" s="26" t="n">
        <v>0</v>
      </c>
      <c r="S1007" s="29" t="n">
        <v>1</v>
      </c>
      <c r="T1007" s="24" t="inlineStr">
        <is>
          <t>tennis-surface-elo-v1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/>
      <c r="Z1007" s="26" t="n">
        <v>-1329</v>
      </c>
      <c r="AA1007" s="28" t="n">
        <v>0.93</v>
      </c>
      <c r="AB1007" s="28" t="n">
        <v>-2.1e-05</v>
      </c>
      <c r="AC1007" s="30" t="n">
        <v>0.0752</v>
      </c>
      <c r="AD1007" s="24" t="inlineStr">
        <is>
          <t>2026-09-08T16:00:56.334848Z</t>
        </is>
      </c>
      <c r="AE1007" s="31" t="inlineStr">
        <is>
          <t>Surface-blended Elo on Hard: Raluka Serban p=0.157 vs Francesca Jones. Executable ask 0.9300 (aec-wta-frajon-ralser-2026-09-07).</t>
        </is>
      </c>
      <c r="AF1007" s="31" t="inlineStr">
        <is>
          <t>Surface-blended Elo model; singles only, WTA+ATP market coverage, not yet locked-holdout qualified -- promoted by explicit operator directive, not genuine walk-forward validation.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paper_call</t>
        </is>
      </c>
      <c r="AL1007" s="26" t="n">
        <v>4</v>
      </c>
      <c r="AM1007" s="24" t="inlineStr">
        <is>
          <t>RESEARCH_OBSERVATION</t>
        </is>
      </c>
      <c r="AN1007" s="24" t="inlineStr">
        <is>
          <t>CALL</t>
        </is>
      </c>
      <c r="AO1007" s="24" t="inlineStr">
        <is>
          <t>PAPER_CALL_LOW_EDGE</t>
        </is>
      </c>
      <c r="AP1007" s="24" t="inlineStr">
        <is>
          <t>Raluka Serban</t>
        </is>
      </c>
      <c r="AQ1007" s="24" t="inlineStr">
        <is>
          <t>Raluka Serban</t>
        </is>
      </c>
      <c r="AR1007" s="24" t="inlineStr">
        <is>
          <t>Raluka Serban</t>
        </is>
      </c>
      <c r="AS1007" s="24" t="inlineStr">
        <is>
          <t>Francesca Jones</t>
        </is>
      </c>
      <c r="AT1007" s="24" t="inlineStr">
        <is>
          <t>Francesca Jones</t>
        </is>
      </c>
      <c r="AU1007" s="24" t="inlineStr">
        <is>
          <t>Francesca Jones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shadow_qualified</t>
        </is>
      </c>
      <c r="BA1007" s="24" t="inlineStr">
        <is>
          <t>0ce66f49b381187fe6255a40ca2fdbfc155d5e36125ccf6d30fe81a72962eafa</t>
        </is>
      </c>
      <c r="BB1007" s="24" t="inlineStr">
        <is>
          <t>surface_blended_elo</t>
        </is>
      </c>
      <c r="BC1007" s="24" t="inlineStr">
        <is>
          <t>tennis-surface-elo-v1</t>
        </is>
      </c>
      <c r="BD1007" s="24" t="inlineStr">
        <is>
          <t>0ce66f49b381187fe6255a40ca2fdbfc155d5e36125ccf6d30fe81a72962eafa</t>
        </is>
      </c>
      <c r="BE1007" s="24" t="inlineStr">
        <is>
          <t>tennis-surface-elo-v1</t>
        </is>
      </c>
      <c r="BF1007" s="24" t="inlineStr">
        <is>
          <t>1</t>
        </is>
      </c>
      <c r="BG1007" s="24" t="inlineStr">
        <is>
          <t>0ce66f49b381187fe6255a40ca2fdbfc155d5e36125ccf6d30fe81a72962eafa</t>
        </is>
      </c>
      <c r="BH1007" s="24" t="inlineStr">
        <is>
          <t>2026-09-08T04:33:39.566296Z</t>
        </is>
      </c>
      <c r="BI1007" s="24" t="inlineStr">
        <is>
          <t>["same_event","same_team_same_day","same_league_same_day"]</t>
        </is>
      </c>
      <c r="BJ1007" s="25" t="n"/>
      <c r="BK1007" s="26" t="n">
        <v>-1329</v>
      </c>
      <c r="BL1007" s="27" t="n">
        <v>1.075245</v>
      </c>
      <c r="BM1007" s="28" t="n">
        <v>0.930021</v>
      </c>
      <c r="BN1007" s="28" t="n"/>
      <c r="BO1007" s="28" t="n"/>
      <c r="BP1007" s="25" t="n"/>
      <c r="BQ1007" s="27" t="n">
        <v>1.075245</v>
      </c>
      <c r="BR1007" s="28" t="n">
        <v>0.93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False</t>
        </is>
      </c>
      <c r="CT1007" s="24" t="n"/>
      <c r="CU1007" s="24" t="n"/>
      <c r="CV1007" s="24" t="n"/>
      <c r="CW1007" s="24" t="n"/>
      <c r="CX1007" s="24" t="n"/>
      <c r="CY1007" s="24" t="n"/>
      <c r="CZ1007" s="24" t="n"/>
      <c r="DA1007" s="24" t="n"/>
      <c r="DB1007" s="24" t="n"/>
      <c r="DC1007" s="24" t="n"/>
      <c r="DD1007" s="24" t="inlineStr">
        <is>
          <t>7d6d8e71ba6b600ce4ea3e5a85fc53bf2b3a811db2c4a0cb113cc0f7d6cd281f</t>
        </is>
      </c>
      <c r="DE1007" s="24" t="inlineStr">
        <is>
          <t>/Users/vincentc9002/model-prediction/data/odds/tennis/2026-09-08/polymarket_snapshots.jsonl</t>
        </is>
      </c>
      <c r="DF1007" s="24" t="inlineStr">
        <is>
          <t>707708:2026-09-08T04:33:39.566296Z</t>
        </is>
      </c>
      <c r="DG1007" s="24" t="n"/>
      <c r="DH1007" s="24" t="n"/>
      <c r="DI1007" s="24" t="n"/>
      <c r="DJ1007" s="24" t="inlineStr">
        <is>
          <t>0.930021</t>
        </is>
      </c>
      <c r="DK1007" s="24" t="n"/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5c063d2ec348486c</t>
        </is>
      </c>
      <c r="B1008" s="24" t="inlineStr">
        <is>
          <t>2026-09-08T10:03:42.233393Z</t>
        </is>
      </c>
      <c r="C1008" s="24" t="inlineStr">
        <is>
          <t>2026-09-08T15:30Z</t>
        </is>
      </c>
      <c r="D1008" s="24" t="inlineStr">
        <is>
          <t>189-2026:182533</t>
        </is>
      </c>
      <c r="E1008" s="24" t="inlineStr">
        <is>
          <t>TENNIS</t>
        </is>
      </c>
      <c r="F1008" s="24" t="inlineStr">
        <is>
          <t>Linda Noskova</t>
        </is>
      </c>
      <c r="G1008" s="24" t="inlineStr">
        <is>
          <t>Aryna Sabalenka</t>
        </is>
      </c>
      <c r="H1008" s="24" t="inlineStr">
        <is>
          <t>moneyline</t>
        </is>
      </c>
      <c r="I1008" s="24" t="inlineStr">
        <is>
          <t>home</t>
        </is>
      </c>
      <c r="J1008" s="25" t="n"/>
      <c r="K1008" s="24" t="inlineStr">
        <is>
          <t>polymarket_us</t>
        </is>
      </c>
      <c r="L1008" s="26" t="n">
        <v>-233</v>
      </c>
      <c r="M1008" s="27" t="n">
        <v>1.429185</v>
      </c>
      <c r="N1008" s="28" t="n">
        <v>0.6997</v>
      </c>
      <c r="O1008" s="28" t="n">
        <v>0.7645</v>
      </c>
      <c r="P1008" s="28" t="n">
        <v>0.05</v>
      </c>
      <c r="Q1008" s="28" t="n">
        <v>0.0648</v>
      </c>
      <c r="R1008" s="26" t="n">
        <v>52</v>
      </c>
      <c r="S1008" s="29" t="n">
        <v>1</v>
      </c>
      <c r="T1008" s="24" t="inlineStr">
        <is>
          <t>tennis-surface-elo-v1</t>
        </is>
      </c>
      <c r="U1008" s="24" t="inlineStr">
        <is>
          <t>settled</t>
        </is>
      </c>
      <c r="V1008" s="24" t="inlineStr">
        <is>
          <t>win</t>
        </is>
      </c>
      <c r="W1008" s="26" t="n">
        <v>0</v>
      </c>
      <c r="X1008" s="26" t="n">
        <v>1</v>
      </c>
      <c r="Y1008" s="25" t="n"/>
      <c r="Z1008" s="26" t="n">
        <v>-233</v>
      </c>
      <c r="AA1008" s="28" t="n">
        <v>0.7</v>
      </c>
      <c r="AB1008" s="28" t="n">
        <v>0.0003</v>
      </c>
      <c r="AC1008" s="30" t="n">
        <v>0.4292</v>
      </c>
      <c r="AD1008" s="24" t="inlineStr">
        <is>
          <t>2026-09-08T22:15:16.415605Z</t>
        </is>
      </c>
      <c r="AE1008" s="31" t="inlineStr">
        <is>
          <t>Surface-blended Elo on Hard: Linda Noskova p=0.235 vs Aryna Sabalenka. Executable ask 0.7000 (aec-wta-arysab-linnos-2026-09-07).</t>
        </is>
      </c>
      <c r="AF1008" s="31" t="inlineStr">
        <is>
          <t>Surface-blended Elo model; singles only, WTA+ATP market coverage, not yet locked-holdout qualified -- promoted by explicit operator directive, not genuine walk-forward validation.</t>
        </is>
      </c>
      <c r="AG1008" s="24" t="inlineStr">
        <is>
          <t>not_applicable</t>
        </is>
      </c>
      <c r="AH1008" s="24" t="n"/>
      <c r="AI1008" s="31" t="n"/>
      <c r="AJ1008" s="31" t="n"/>
      <c r="AK1008" s="24" t="inlineStr">
        <is>
          <t>model_qualified</t>
        </is>
      </c>
      <c r="AL1008" s="26" t="n">
        <v>4</v>
      </c>
      <c r="AM1008" s="24" t="inlineStr">
        <is>
          <t>QUALIFIED_SHADOW_CALL</t>
        </is>
      </c>
      <c r="AN1008" s="24" t="inlineStr">
        <is>
          <t>CALL</t>
        </is>
      </c>
      <c r="AO1008" s="24" t="inlineStr">
        <is>
          <t>QUALIFIED</t>
        </is>
      </c>
      <c r="AP1008" s="24" t="inlineStr">
        <is>
          <t>Linda Noskova</t>
        </is>
      </c>
      <c r="AQ1008" s="24" t="inlineStr">
        <is>
          <t>Linda Noskova</t>
        </is>
      </c>
      <c r="AR1008" s="24" t="inlineStr">
        <is>
          <t>Linda Noskova</t>
        </is>
      </c>
      <c r="AS1008" s="24" t="inlineStr">
        <is>
          <t>Aryna Sabalenka</t>
        </is>
      </c>
      <c r="AT1008" s="24" t="inlineStr">
        <is>
          <t>Aryna Sabalenka</t>
        </is>
      </c>
      <c r="AU1008" s="24" t="inlineStr">
        <is>
          <t>Aryna Sabalenka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shadow_qualified</t>
        </is>
      </c>
      <c r="BA1008" s="24" t="inlineStr">
        <is>
          <t>0ce66f49b381187fe6255a40ca2fdbfc155d5e36125ccf6d30fe81a72962eafa</t>
        </is>
      </c>
      <c r="BB1008" s="24" t="inlineStr">
        <is>
          <t>surface_blended_elo</t>
        </is>
      </c>
      <c r="BC1008" s="24" t="inlineStr">
        <is>
          <t>tennis-surface-elo-v1</t>
        </is>
      </c>
      <c r="BD1008" s="24" t="inlineStr">
        <is>
          <t>0ce66f49b381187fe6255a40ca2fdbfc155d5e36125ccf6d30fe81a72962eafa</t>
        </is>
      </c>
      <c r="BE1008" s="24" t="inlineStr">
        <is>
          <t>tennis-surface-elo-v1</t>
        </is>
      </c>
      <c r="BF1008" s="24" t="inlineStr">
        <is>
          <t>1</t>
        </is>
      </c>
      <c r="BG1008" s="24" t="inlineStr">
        <is>
          <t>0ce66f49b381187fe6255a40ca2fdbfc155d5e36125ccf6d30fe81a72962eafa</t>
        </is>
      </c>
      <c r="BH1008" s="24" t="inlineStr">
        <is>
          <t>2026-09-08T10:03:02.513389Z</t>
        </is>
      </c>
      <c r="BI1008" s="24" t="inlineStr">
        <is>
          <t>["same_event","same_team_same_day","same_league_same_day"]</t>
        </is>
      </c>
      <c r="BJ1008" s="25" t="n"/>
      <c r="BK1008" s="26" t="n">
        <v>-233</v>
      </c>
      <c r="BL1008" s="27" t="n">
        <v>1.429185</v>
      </c>
      <c r="BM1008" s="28" t="n">
        <v>0.6997</v>
      </c>
      <c r="BN1008" s="28" t="n"/>
      <c r="BO1008" s="28" t="n"/>
      <c r="BP1008" s="25" t="n"/>
      <c r="BQ1008" s="27" t="n">
        <v>1.429185</v>
      </c>
      <c r="BR1008" s="28" t="n">
        <v>0.7</v>
      </c>
      <c r="BS1008" s="28" t="n"/>
      <c r="BT1008" s="28" t="n"/>
      <c r="BU1008" s="25" t="n"/>
      <c r="BV1008" s="29" t="n"/>
      <c r="BW1008" s="24" t="n"/>
      <c r="BX1008" s="30" t="n"/>
      <c r="BY1008" s="27" t="n"/>
      <c r="BZ1008" s="24" t="n"/>
      <c r="CA1008" s="31" t="n"/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True</t>
        </is>
      </c>
      <c r="CT1008" s="24" t="n"/>
      <c r="CU1008" s="24" t="n"/>
      <c r="CV1008" s="24" t="n"/>
      <c r="CW1008" s="24" t="n"/>
      <c r="CX1008" s="24" t="n"/>
      <c r="CY1008" s="24" t="n"/>
      <c r="CZ1008" s="24" t="n"/>
      <c r="DA1008" s="24" t="n"/>
      <c r="DB1008" s="24" t="n"/>
      <c r="DC1008" s="24" t="n"/>
      <c r="DD1008" s="24" t="inlineStr">
        <is>
          <t>ced542393a81adbc1c1eba201916fea70bc586a17e53f1a32405b82b2943801c</t>
        </is>
      </c>
      <c r="DE1008" s="24" t="inlineStr">
        <is>
          <t>/Users/vincentc9002/model-prediction/data/odds/tennis/2026-09-08/polymarket_snapshots.jsonl</t>
        </is>
      </c>
      <c r="DF1008" s="24" t="inlineStr">
        <is>
          <t>712570:2026-09-08T10:03:02.513389Z</t>
        </is>
      </c>
      <c r="DG1008" s="24" t="n"/>
      <c r="DH1008" s="24" t="n"/>
      <c r="DI1008" s="24" t="n"/>
      <c r="DJ1008" s="24" t="inlineStr">
        <is>
          <t>0.6997</t>
        </is>
      </c>
      <c r="DK1008" s="24" t="n"/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e522717a6ceb44a8</t>
        </is>
      </c>
      <c r="B1009" s="24" t="inlineStr">
        <is>
          <t>2026-09-08T10:03:42.233393Z</t>
        </is>
      </c>
      <c r="C1009" s="24" t="inlineStr">
        <is>
          <t>2026-09-08T10:30Z</t>
        </is>
      </c>
      <c r="D1009" s="24" t="inlineStr">
        <is>
          <t>998-2026:183576</t>
        </is>
      </c>
      <c r="E1009" s="24" t="inlineStr">
        <is>
          <t>TENNIS</t>
        </is>
      </c>
      <c r="F1009" s="24" t="inlineStr">
        <is>
          <t>Dalma Galfi</t>
        </is>
      </c>
      <c r="G1009" s="24" t="inlineStr">
        <is>
          <t>Valentina Ryser</t>
        </is>
      </c>
      <c r="H1009" s="24" t="inlineStr">
        <is>
          <t>moneyline</t>
        </is>
      </c>
      <c r="I1009" s="24" t="inlineStr">
        <is>
          <t>away</t>
        </is>
      </c>
      <c r="J1009" s="25" t="n"/>
      <c r="K1009" s="24" t="inlineStr">
        <is>
          <t>polymarket_us</t>
        </is>
      </c>
      <c r="L1009" s="26" t="n">
        <v>-245</v>
      </c>
      <c r="M1009" s="27" t="n">
        <v>1.408163</v>
      </c>
      <c r="N1009" s="28" t="n">
        <v>0.710145</v>
      </c>
      <c r="O1009" s="28" t="n">
        <v>0.5207000000000001</v>
      </c>
      <c r="P1009" s="28" t="n">
        <v>0.05</v>
      </c>
      <c r="Q1009" s="28" t="n">
        <v>-0.189445</v>
      </c>
      <c r="R1009" s="26" t="n">
        <v>0</v>
      </c>
      <c r="S1009" s="29" t="n">
        <v>1</v>
      </c>
      <c r="T1009" s="24" t="inlineStr">
        <is>
          <t>tennis-surface-elo-v1</t>
        </is>
      </c>
      <c r="U1009" s="24" t="inlineStr">
        <is>
          <t>settled</t>
        </is>
      </c>
      <c r="V1009" s="24" t="inlineStr">
        <is>
          <t>win</t>
        </is>
      </c>
      <c r="W1009" s="26" t="n">
        <v>1</v>
      </c>
      <c r="X1009" s="26" t="n">
        <v>0</v>
      </c>
      <c r="Y1009" s="25" t="n"/>
      <c r="Z1009" s="26" t="n">
        <v>-245</v>
      </c>
      <c r="AA1009" s="28" t="n">
        <v>0.71</v>
      </c>
      <c r="AB1009" s="28" t="n">
        <v>-0.000145</v>
      </c>
      <c r="AC1009" s="30" t="n">
        <v>0.4082</v>
      </c>
      <c r="AD1009" s="24" t="inlineStr">
        <is>
          <t>2026-09-08T16:00:57.204440Z</t>
        </is>
      </c>
      <c r="AE1009" s="31" t="inlineStr">
        <is>
          <t>Surface-blended Elo on Hard: Dalma Galfi p=0.521 vs Valentina Ryser. Executable ask 0.7100 (aec-wta-valrys-dalgal-2026-09-07).</t>
        </is>
      </c>
      <c r="AF1009" s="31" t="inlineStr">
        <is>
          <t>Surface-blended Elo model; singles only, WTA+ATP market coverage, not yet locked-holdout qualified -- promoted by explicit operator directive, not genuine walk-forward validation.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paper_call</t>
        </is>
      </c>
      <c r="AL1009" s="26" t="n">
        <v>4</v>
      </c>
      <c r="AM1009" s="24" t="inlineStr">
        <is>
          <t>RESEARCH_OBSERVATION</t>
        </is>
      </c>
      <c r="AN1009" s="24" t="inlineStr">
        <is>
          <t>CALL</t>
        </is>
      </c>
      <c r="AO1009" s="24" t="inlineStr">
        <is>
          <t>PAPER_CALL_LOW_EDGE</t>
        </is>
      </c>
      <c r="AP1009" s="24" t="inlineStr">
        <is>
          <t>Dalma Galfi</t>
        </is>
      </c>
      <c r="AQ1009" s="24" t="inlineStr">
        <is>
          <t>Dalma Galfi</t>
        </is>
      </c>
      <c r="AR1009" s="24" t="inlineStr">
        <is>
          <t>Dalma Galfi</t>
        </is>
      </c>
      <c r="AS1009" s="24" t="inlineStr">
        <is>
          <t>Valentina Ryser</t>
        </is>
      </c>
      <c r="AT1009" s="24" t="inlineStr">
        <is>
          <t>Valentina Ryser</t>
        </is>
      </c>
      <c r="AU1009" s="24" t="inlineStr">
        <is>
          <t>Valentina Ryser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shadow_qualified</t>
        </is>
      </c>
      <c r="BA1009" s="24" t="inlineStr">
        <is>
          <t>0ce66f49b381187fe6255a40ca2fdbfc155d5e36125ccf6d30fe81a72962eafa</t>
        </is>
      </c>
      <c r="BB1009" s="24" t="inlineStr">
        <is>
          <t>surface_blended_elo</t>
        </is>
      </c>
      <c r="BC1009" s="24" t="inlineStr">
        <is>
          <t>tennis-surface-elo-v1</t>
        </is>
      </c>
      <c r="BD1009" s="24" t="inlineStr">
        <is>
          <t>0ce66f49b381187fe6255a40ca2fdbfc155d5e36125ccf6d30fe81a72962eafa</t>
        </is>
      </c>
      <c r="BE1009" s="24" t="inlineStr">
        <is>
          <t>tennis-surface-elo-v1</t>
        </is>
      </c>
      <c r="BF1009" s="24" t="inlineStr">
        <is>
          <t>1</t>
        </is>
      </c>
      <c r="BG1009" s="24" t="inlineStr">
        <is>
          <t>0ce66f49b381187fe6255a40ca2fdbfc155d5e36125ccf6d30fe81a72962eafa</t>
        </is>
      </c>
      <c r="BH1009" s="24" t="inlineStr">
        <is>
          <t>2026-09-08T04:33:39.581643Z</t>
        </is>
      </c>
      <c r="BI1009" s="24" t="inlineStr">
        <is>
          <t>["same_event","same_team_same_day","same_league_same_day"]</t>
        </is>
      </c>
      <c r="BJ1009" s="25" t="n"/>
      <c r="BK1009" s="26" t="n">
        <v>-245</v>
      </c>
      <c r="BL1009" s="27" t="n">
        <v>1.408163</v>
      </c>
      <c r="BM1009" s="28" t="n">
        <v>0.710145</v>
      </c>
      <c r="BN1009" s="28" t="n"/>
      <c r="BO1009" s="28" t="n"/>
      <c r="BP1009" s="25" t="n"/>
      <c r="BQ1009" s="27" t="n">
        <v>1.408163</v>
      </c>
      <c r="BR1009" s="28" t="n">
        <v>0.71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n"/>
      <c r="CU1009" s="24" t="n"/>
      <c r="CV1009" s="24" t="n"/>
      <c r="CW1009" s="24" t="n"/>
      <c r="CX1009" s="24" t="n"/>
      <c r="CY1009" s="24" t="n"/>
      <c r="CZ1009" s="24" t="n"/>
      <c r="DA1009" s="24" t="n"/>
      <c r="DB1009" s="24" t="n"/>
      <c r="DC1009" s="24" t="n"/>
      <c r="DD1009" s="24" t="inlineStr">
        <is>
          <t>d34327c9e8f429047e4ab98de1898d8a1a29f0c2040f2e7dd690bb5a450934a5</t>
        </is>
      </c>
      <c r="DE1009" s="24" t="inlineStr">
        <is>
          <t>/Users/vincentc9002/model-prediction/data/odds/tennis/2026-09-08/polymarket_snapshots.jsonl</t>
        </is>
      </c>
      <c r="DF1009" s="24" t="inlineStr">
        <is>
          <t>691084:2026-09-08T04:33:39.581643Z</t>
        </is>
      </c>
      <c r="DG1009" s="24" t="n"/>
      <c r="DH1009" s="24" t="n"/>
      <c r="DI1009" s="24" t="n"/>
      <c r="DJ1009" s="24" t="inlineStr">
        <is>
          <t>0.710145</t>
        </is>
      </c>
      <c r="DK1009" s="24" t="n"/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83a658683abd4fef</t>
        </is>
      </c>
      <c r="B1010" s="24" t="inlineStr">
        <is>
          <t>2026-09-08T10:03:42.233393Z</t>
        </is>
      </c>
      <c r="C1010" s="24" t="inlineStr">
        <is>
          <t>2026-09-08T10:30Z</t>
        </is>
      </c>
      <c r="D1010" s="24" t="inlineStr">
        <is>
          <t>998-2026:183594</t>
        </is>
      </c>
      <c r="E1010" s="24" t="inlineStr">
        <is>
          <t>TENNIS</t>
        </is>
      </c>
      <c r="F1010" s="24" t="inlineStr">
        <is>
          <t>Lola Radivojevic</t>
        </is>
      </c>
      <c r="G1010" s="24" t="inlineStr">
        <is>
          <t>Lucie Havlickova</t>
        </is>
      </c>
      <c r="H1010" s="24" t="inlineStr">
        <is>
          <t>moneyline</t>
        </is>
      </c>
      <c r="I1010" s="24" t="inlineStr">
        <is>
          <t>home</t>
        </is>
      </c>
      <c r="J1010" s="25" t="n"/>
      <c r="K1010" s="24" t="inlineStr">
        <is>
          <t>polymarket_us</t>
        </is>
      </c>
      <c r="L1010" s="26" t="n">
        <v>-108</v>
      </c>
      <c r="M1010" s="27" t="n">
        <v>1.925926</v>
      </c>
      <c r="N1010" s="28" t="n">
        <v>0.519231</v>
      </c>
      <c r="O1010" s="28" t="n">
        <v>0.5946</v>
      </c>
      <c r="P1010" s="28" t="n">
        <v>0.05</v>
      </c>
      <c r="Q1010" s="28" t="n">
        <v>0.07536900000000001</v>
      </c>
      <c r="R1010" s="26" t="n">
        <v>58</v>
      </c>
      <c r="S1010" s="29" t="n">
        <v>1.25</v>
      </c>
      <c r="T1010" s="24" t="inlineStr">
        <is>
          <t>tennis-surface-elo-v1</t>
        </is>
      </c>
      <c r="U1010" s="24" t="inlineStr">
        <is>
          <t>settled</t>
        </is>
      </c>
      <c r="V1010" s="24" t="inlineStr">
        <is>
          <t>win</t>
        </is>
      </c>
      <c r="W1010" s="26" t="n">
        <v>0</v>
      </c>
      <c r="X1010" s="26" t="n">
        <v>1</v>
      </c>
      <c r="Y1010" s="25" t="n"/>
      <c r="Z1010" s="26" t="n">
        <v>-108</v>
      </c>
      <c r="AA1010" s="28" t="n">
        <v>0.52</v>
      </c>
      <c r="AB1010" s="28" t="n">
        <v>0.000769</v>
      </c>
      <c r="AC1010" s="30" t="n">
        <v>1.1574</v>
      </c>
      <c r="AD1010" s="24" t="inlineStr">
        <is>
          <t>2026-09-08T16:00:58.057229Z</t>
        </is>
      </c>
      <c r="AE1010" s="31" t="inlineStr">
        <is>
          <t>Surface-blended Elo on Hard: Lola Radivojevic p=0.405 vs Lucie Havlickova. Executable ask 0.5200 (aec-wta-luchav-lolrad-2026-09-07).</t>
        </is>
      </c>
      <c r="AF1010" s="31" t="inlineStr">
        <is>
          <t>Surface-blended Elo model; singles only, WTA+ATP market coverage, not yet locked-holdout qualified -- promoted by explicit operator directive, not genuine walk-forward validation.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Lola Radivojevic</t>
        </is>
      </c>
      <c r="AQ1010" s="24" t="inlineStr">
        <is>
          <t>Lola Radivojevic</t>
        </is>
      </c>
      <c r="AR1010" s="24" t="inlineStr">
        <is>
          <t>Lola Radivojevic</t>
        </is>
      </c>
      <c r="AS1010" s="24" t="inlineStr">
        <is>
          <t>Lucie Havlickova</t>
        </is>
      </c>
      <c r="AT1010" s="24" t="inlineStr">
        <is>
          <t>Lucie Havlickova</t>
        </is>
      </c>
      <c r="AU1010" s="24" t="inlineStr">
        <is>
          <t>Lucie Havlickova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shadow_qualified</t>
        </is>
      </c>
      <c r="BA1010" s="24" t="inlineStr">
        <is>
          <t>0ce66f49b381187fe6255a40ca2fdbfc155d5e36125ccf6d30fe81a72962eafa</t>
        </is>
      </c>
      <c r="BB1010" s="24" t="inlineStr">
        <is>
          <t>surface_blended_elo</t>
        </is>
      </c>
      <c r="BC1010" s="24" t="inlineStr">
        <is>
          <t>tennis-surface-elo-v1</t>
        </is>
      </c>
      <c r="BD1010" s="24" t="inlineStr">
        <is>
          <t>0ce66f49b381187fe6255a40ca2fdbfc155d5e36125ccf6d30fe81a72962eafa</t>
        </is>
      </c>
      <c r="BE1010" s="24" t="inlineStr">
        <is>
          <t>tennis-surface-elo-v1</t>
        </is>
      </c>
      <c r="BF1010" s="24" t="inlineStr">
        <is>
          <t>1</t>
        </is>
      </c>
      <c r="BG1010" s="24" t="inlineStr">
        <is>
          <t>0ce66f49b381187fe6255a40ca2fdbfc155d5e36125ccf6d30fe81a72962eafa</t>
        </is>
      </c>
      <c r="BH1010" s="24" t="inlineStr">
        <is>
          <t>2026-09-08T04:33:39.587352Z</t>
        </is>
      </c>
      <c r="BI1010" s="24" t="inlineStr">
        <is>
          <t>["same_event","same_team_same_day","same_league_same_day"]</t>
        </is>
      </c>
      <c r="BJ1010" s="25" t="n"/>
      <c r="BK1010" s="26" t="n">
        <v>-108</v>
      </c>
      <c r="BL1010" s="27" t="n">
        <v>1.925926</v>
      </c>
      <c r="BM1010" s="28" t="n">
        <v>0.519231</v>
      </c>
      <c r="BN1010" s="28" t="n"/>
      <c r="BO1010" s="28" t="n"/>
      <c r="BP1010" s="25" t="n"/>
      <c r="BQ1010" s="27" t="n">
        <v>1.925926</v>
      </c>
      <c r="BR1010" s="28" t="n">
        <v>0.52</v>
      </c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n"/>
      <c r="CU1010" s="24" t="n"/>
      <c r="CV1010" s="24" t="n"/>
      <c r="CW1010" s="24" t="n"/>
      <c r="CX1010" s="24" t="n"/>
      <c r="CY1010" s="24" t="n"/>
      <c r="CZ1010" s="24" t="n"/>
      <c r="DA1010" s="24" t="n"/>
      <c r="DB1010" s="24" t="n"/>
      <c r="DC1010" s="24" t="n"/>
      <c r="DD1010" s="24" t="inlineStr">
        <is>
          <t>c462d1b528e3c658711460d7f6f9771eb9fd9f6befae22d356144cc8f89b334a</t>
        </is>
      </c>
      <c r="DE1010" s="24" t="inlineStr">
        <is>
          <t>/Users/vincentc9002/model-prediction/data/odds/tennis/2026-09-08/polymarket_snapshots.jsonl</t>
        </is>
      </c>
      <c r="DF1010" s="24" t="inlineStr">
        <is>
          <t>691067:2026-09-08T04:33:39.587352Z</t>
        </is>
      </c>
      <c r="DG1010" s="24" t="n"/>
      <c r="DH1010" s="24" t="n"/>
      <c r="DI1010" s="24" t="n"/>
      <c r="DJ1010" s="24" t="inlineStr">
        <is>
          <t>0.519231</t>
        </is>
      </c>
      <c r="DK1010" s="24" t="n"/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ab7c012af89846fb</t>
        </is>
      </c>
      <c r="B1011" s="24" t="inlineStr">
        <is>
          <t>2026-09-08T10:03:42.233393Z</t>
        </is>
      </c>
      <c r="C1011" s="24" t="inlineStr">
        <is>
          <t>2026-09-08T10:30Z</t>
        </is>
      </c>
      <c r="D1011" s="24" t="inlineStr">
        <is>
          <t>998-2026:183579</t>
        </is>
      </c>
      <c r="E1011" s="24" t="inlineStr">
        <is>
          <t>TENNIS</t>
        </is>
      </c>
      <c r="F1011" s="24" t="inlineStr">
        <is>
          <t>Clara Burel</t>
        </is>
      </c>
      <c r="G1011" s="24" t="inlineStr">
        <is>
          <t>Katerina Tsygourova</t>
        </is>
      </c>
      <c r="H1011" s="24" t="inlineStr">
        <is>
          <t>moneyline</t>
        </is>
      </c>
      <c r="I1011" s="24" t="inlineStr">
        <is>
          <t>away</t>
        </is>
      </c>
      <c r="J1011" s="25" t="n"/>
      <c r="K1011" s="24" t="inlineStr">
        <is>
          <t>polymarket_us</t>
        </is>
      </c>
      <c r="L1011" s="26" t="n">
        <v>-1011</v>
      </c>
      <c r="M1011" s="27" t="n">
        <v>1.098912</v>
      </c>
      <c r="N1011" s="28" t="n">
        <v>0.909991</v>
      </c>
      <c r="O1011" s="28" t="n">
        <v>0.5288</v>
      </c>
      <c r="P1011" s="28" t="n">
        <v>0.05</v>
      </c>
      <c r="Q1011" s="28" t="n">
        <v>-0.381191</v>
      </c>
      <c r="R1011" s="26" t="n">
        <v>0</v>
      </c>
      <c r="S1011" s="29" t="n">
        <v>1</v>
      </c>
      <c r="T1011" s="24" t="inlineStr">
        <is>
          <t>tennis-surface-elo-v1</t>
        </is>
      </c>
      <c r="U1011" s="24" t="inlineStr">
        <is>
          <t>settled</t>
        </is>
      </c>
      <c r="V1011" s="24" t="inlineStr">
        <is>
          <t>win</t>
        </is>
      </c>
      <c r="W1011" s="26" t="n">
        <v>1</v>
      </c>
      <c r="X1011" s="26" t="n">
        <v>0</v>
      </c>
      <c r="Y1011" s="25" t="n"/>
      <c r="Z1011" s="26" t="n">
        <v>-1011</v>
      </c>
      <c r="AA1011" s="28" t="n">
        <v>0.91</v>
      </c>
      <c r="AB1011" s="28" t="n">
        <v>9e-06</v>
      </c>
      <c r="AC1011" s="30" t="n">
        <v>0.0989</v>
      </c>
      <c r="AD1011" s="24" t="inlineStr">
        <is>
          <t>2026-09-08T16:01:05.843963Z</t>
        </is>
      </c>
      <c r="AE1011" s="31" t="inlineStr">
        <is>
          <t>Surface-blended Elo on Hard: Clara Burel p=0.529 vs Katerina Tsygourova. Executable ask 0.9100 (aec-wta-kattsy-clabur-2026-09-08).</t>
        </is>
      </c>
      <c r="AF1011" s="31" t="inlineStr">
        <is>
          <t>Surface-blended Elo model; singles only, WTA+ATP market coverage, not yet locked-holdout qualified -- promoted by explicit operator directive, not genuine walk-forward validation.</t>
        </is>
      </c>
      <c r="AG1011" s="24" t="inlineStr">
        <is>
          <t>not_applicable</t>
        </is>
      </c>
      <c r="AH1011" s="24" t="n"/>
      <c r="AI1011" s="31" t="n"/>
      <c r="AJ1011" s="31" t="n"/>
      <c r="AK1011" s="24" t="inlineStr">
        <is>
          <t>paper_call</t>
        </is>
      </c>
      <c r="AL1011" s="26" t="n">
        <v>4</v>
      </c>
      <c r="AM1011" s="24" t="inlineStr">
        <is>
          <t>RESEARCH_OBSERVATION</t>
        </is>
      </c>
      <c r="AN1011" s="24" t="inlineStr">
        <is>
          <t>CALL</t>
        </is>
      </c>
      <c r="AO1011" s="24" t="inlineStr">
        <is>
          <t>PAPER_CALL_MODEL_UNVALIDATED</t>
        </is>
      </c>
      <c r="AP1011" s="24" t="inlineStr">
        <is>
          <t>Clara Burel</t>
        </is>
      </c>
      <c r="AQ1011" s="24" t="inlineStr">
        <is>
          <t>Clara Burel</t>
        </is>
      </c>
      <c r="AR1011" s="24" t="inlineStr">
        <is>
          <t>Clara Burel</t>
        </is>
      </c>
      <c r="AS1011" s="24" t="inlineStr">
        <is>
          <t>Katerina Tsygourova</t>
        </is>
      </c>
      <c r="AT1011" s="24" t="inlineStr">
        <is>
          <t>Katerina Tsygourova</t>
        </is>
      </c>
      <c r="AU1011" s="24" t="inlineStr">
        <is>
          <t>Katerina Tsygourova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shadow_qualified</t>
        </is>
      </c>
      <c r="BA1011" s="24" t="inlineStr">
        <is>
          <t>0ce66f49b381187fe6255a40ca2fdbfc155d5e36125ccf6d30fe81a72962eafa</t>
        </is>
      </c>
      <c r="BB1011" s="24" t="inlineStr">
        <is>
          <t>surface_blended_elo</t>
        </is>
      </c>
      <c r="BC1011" s="24" t="inlineStr">
        <is>
          <t>tennis-surface-elo-v1</t>
        </is>
      </c>
      <c r="BD1011" s="24" t="inlineStr">
        <is>
          <t>0ce66f49b381187fe6255a40ca2fdbfc155d5e36125ccf6d30fe81a72962eafa</t>
        </is>
      </c>
      <c r="BE1011" s="24" t="inlineStr">
        <is>
          <t>tennis-surface-elo-v1</t>
        </is>
      </c>
      <c r="BF1011" s="24" t="inlineStr">
        <is>
          <t>1</t>
        </is>
      </c>
      <c r="BG1011" s="24" t="inlineStr">
        <is>
          <t>0ce66f49b381187fe6255a40ca2fdbfc155d5e36125ccf6d30fe81a72962eafa</t>
        </is>
      </c>
      <c r="BH1011" s="24" t="inlineStr">
        <is>
          <t>2026-09-08T04:33:39.588738Z</t>
        </is>
      </c>
      <c r="BI1011" s="24" t="inlineStr">
        <is>
          <t>["same_event","same_team_same_day","same_league_same_day"]</t>
        </is>
      </c>
      <c r="BJ1011" s="25" t="n"/>
      <c r="BK1011" s="26" t="n">
        <v>-1011</v>
      </c>
      <c r="BL1011" s="27" t="n">
        <v>1.098912</v>
      </c>
      <c r="BM1011" s="28" t="n">
        <v>0.909991</v>
      </c>
      <c r="BN1011" s="28" t="n"/>
      <c r="BO1011" s="28" t="n"/>
      <c r="BP1011" s="25" t="n"/>
      <c r="BQ1011" s="27" t="n">
        <v>1.098912</v>
      </c>
      <c r="BR1011" s="28" t="n">
        <v>0.91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False</t>
        </is>
      </c>
      <c r="CT1011" s="24" t="n"/>
      <c r="CU1011" s="24" t="n"/>
      <c r="CV1011" s="24" t="n"/>
      <c r="CW1011" s="24" t="n"/>
      <c r="CX1011" s="24" t="n"/>
      <c r="CY1011" s="24" t="n"/>
      <c r="CZ1011" s="24" t="n"/>
      <c r="DA1011" s="24" t="n"/>
      <c r="DB1011" s="24" t="n"/>
      <c r="DC1011" s="24" t="n"/>
      <c r="DD1011" s="24" t="inlineStr">
        <is>
          <t>74c4baeeacbcb8bea967e62f318a2b0360548876ecb2b85831e8c3e0afcf9259</t>
        </is>
      </c>
      <c r="DE1011" s="24" t="inlineStr">
        <is>
          <t>/Users/vincentc9002/model-prediction/data/odds/tennis/2026-09-08/polymarket_snapshots.jsonl</t>
        </is>
      </c>
      <c r="DF1011" s="24" t="inlineStr">
        <is>
          <t>719075:2026-09-08T04:33:39.588738Z</t>
        </is>
      </c>
      <c r="DG1011" s="24" t="n"/>
      <c r="DH1011" s="24" t="n"/>
      <c r="DI1011" s="24" t="n"/>
      <c r="DJ1011" s="24" t="inlineStr">
        <is>
          <t>0.909991</t>
        </is>
      </c>
      <c r="DK1011" s="24" t="n"/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b0aafef3338745d9</t>
        </is>
      </c>
      <c r="B1012" s="24" t="inlineStr">
        <is>
          <t>2026-09-08T10:03:42.233393Z</t>
        </is>
      </c>
      <c r="C1012" s="24" t="inlineStr">
        <is>
          <t>2026-09-08T12:00Z</t>
        </is>
      </c>
      <c r="D1012" s="24" t="inlineStr">
        <is>
          <t>998-2026:183591</t>
        </is>
      </c>
      <c r="E1012" s="24" t="inlineStr">
        <is>
          <t>TENNIS</t>
        </is>
      </c>
      <c r="F1012" s="24" t="inlineStr">
        <is>
          <t>Mona Barthel</t>
        </is>
      </c>
      <c r="G1012" s="24" t="inlineStr">
        <is>
          <t>Fiona Ferro</t>
        </is>
      </c>
      <c r="H1012" s="24" t="inlineStr">
        <is>
          <t>moneyline</t>
        </is>
      </c>
      <c r="I1012" s="24" t="inlineStr">
        <is>
          <t>home</t>
        </is>
      </c>
      <c r="J1012" s="25" t="n"/>
      <c r="K1012" s="24" t="inlineStr">
        <is>
          <t>polymarket_us</t>
        </is>
      </c>
      <c r="L1012" s="26" t="n">
        <v>-335</v>
      </c>
      <c r="M1012" s="27" t="n">
        <v>1.298507</v>
      </c>
      <c r="N1012" s="28" t="n">
        <v>0.770115</v>
      </c>
      <c r="O1012" s="28" t="n">
        <v>0.6136</v>
      </c>
      <c r="P1012" s="28" t="n">
        <v>0.05</v>
      </c>
      <c r="Q1012" s="28" t="n">
        <v>-0.156515</v>
      </c>
      <c r="R1012" s="26" t="n">
        <v>0</v>
      </c>
      <c r="S1012" s="29" t="n">
        <v>1</v>
      </c>
      <c r="T1012" s="24" t="inlineStr">
        <is>
          <t>tennis-surface-elo-v1</t>
        </is>
      </c>
      <c r="U1012" s="24" t="inlineStr">
        <is>
          <t>settled</t>
        </is>
      </c>
      <c r="V1012" s="24" t="inlineStr">
        <is>
          <t>win</t>
        </is>
      </c>
      <c r="W1012" s="26" t="n">
        <v>0</v>
      </c>
      <c r="X1012" s="26" t="n">
        <v>1</v>
      </c>
      <c r="Y1012" s="25" t="n"/>
      <c r="Z1012" s="26" t="n">
        <v>-335</v>
      </c>
      <c r="AA1012" s="28" t="n">
        <v>0.77</v>
      </c>
      <c r="AB1012" s="28" t="n">
        <v>-0.000115</v>
      </c>
      <c r="AC1012" s="30" t="n">
        <v>0.2985</v>
      </c>
      <c r="AD1012" s="24" t="inlineStr">
        <is>
          <t>2026-09-08T16:01:06.785230Z</t>
        </is>
      </c>
      <c r="AE1012" s="31" t="inlineStr">
        <is>
          <t>Surface-blended Elo on Hard: Mona Barthel p=0.386 vs Fiona Ferro. Executable ask 0.7700 (aec-wta-fiofer-monbar-2026-09-07).</t>
        </is>
      </c>
      <c r="AF1012" s="31" t="inlineStr">
        <is>
          <t>Surface-blended Elo model; singles only, WTA+ATP market coverage, not yet locked-holdout qualified -- promoted by explicit operator directive, not genuine walk-forward validation.</t>
        </is>
      </c>
      <c r="AG1012" s="24" t="inlineStr">
        <is>
          <t>not_applicable</t>
        </is>
      </c>
      <c r="AH1012" s="24" t="n"/>
      <c r="AI1012" s="31" t="n"/>
      <c r="AJ1012" s="31" t="n"/>
      <c r="AK1012" s="24" t="inlineStr">
        <is>
          <t>paper_call</t>
        </is>
      </c>
      <c r="AL1012" s="26" t="n">
        <v>4</v>
      </c>
      <c r="AM1012" s="24" t="inlineStr">
        <is>
          <t>RESEARCH_OBSERVATION</t>
        </is>
      </c>
      <c r="AN1012" s="24" t="inlineStr">
        <is>
          <t>CALL</t>
        </is>
      </c>
      <c r="AO1012" s="24" t="inlineStr">
        <is>
          <t>PAPER_CALL_LOW_EDGE</t>
        </is>
      </c>
      <c r="AP1012" s="24" t="inlineStr">
        <is>
          <t>Mona Barthel</t>
        </is>
      </c>
      <c r="AQ1012" s="24" t="inlineStr">
        <is>
          <t>Mona Barthel</t>
        </is>
      </c>
      <c r="AR1012" s="24" t="inlineStr">
        <is>
          <t>Mona Barthel</t>
        </is>
      </c>
      <c r="AS1012" s="24" t="inlineStr">
        <is>
          <t>Fiona Ferro</t>
        </is>
      </c>
      <c r="AT1012" s="24" t="inlineStr">
        <is>
          <t>Fiona Ferro</t>
        </is>
      </c>
      <c r="AU1012" s="24" t="inlineStr">
        <is>
          <t>Fiona Ferro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shadow_qualified</t>
        </is>
      </c>
      <c r="BA1012" s="24" t="inlineStr">
        <is>
          <t>0ce66f49b381187fe6255a40ca2fdbfc155d5e36125ccf6d30fe81a72962eafa</t>
        </is>
      </c>
      <c r="BB1012" s="24" t="inlineStr">
        <is>
          <t>surface_blended_elo</t>
        </is>
      </c>
      <c r="BC1012" s="24" t="inlineStr">
        <is>
          <t>tennis-surface-elo-v1</t>
        </is>
      </c>
      <c r="BD1012" s="24" t="inlineStr">
        <is>
          <t>0ce66f49b381187fe6255a40ca2fdbfc155d5e36125ccf6d30fe81a72962eafa</t>
        </is>
      </c>
      <c r="BE1012" s="24" t="inlineStr">
        <is>
          <t>tennis-surface-elo-v1</t>
        </is>
      </c>
      <c r="BF1012" s="24" t="inlineStr">
        <is>
          <t>1</t>
        </is>
      </c>
      <c r="BG1012" s="24" t="inlineStr">
        <is>
          <t>0ce66f49b381187fe6255a40ca2fdbfc155d5e36125ccf6d30fe81a72962eafa</t>
        </is>
      </c>
      <c r="BH1012" s="24" t="inlineStr">
        <is>
          <t>2026-09-08T04:33:39.595425Z</t>
        </is>
      </c>
      <c r="BI1012" s="24" t="inlineStr">
        <is>
          <t>["same_event","same_team_same_day","same_league_same_day"]</t>
        </is>
      </c>
      <c r="BJ1012" s="25" t="n"/>
      <c r="BK1012" s="26" t="n">
        <v>-335</v>
      </c>
      <c r="BL1012" s="27" t="n">
        <v>1.298507</v>
      </c>
      <c r="BM1012" s="28" t="n">
        <v>0.770115</v>
      </c>
      <c r="BN1012" s="28" t="n"/>
      <c r="BO1012" s="28" t="n"/>
      <c r="BP1012" s="25" t="n"/>
      <c r="BQ1012" s="27" t="n">
        <v>1.298507</v>
      </c>
      <c r="BR1012" s="28" t="n">
        <v>0.77</v>
      </c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False</t>
        </is>
      </c>
      <c r="CT1012" s="24" t="n"/>
      <c r="CU1012" s="24" t="n"/>
      <c r="CV1012" s="24" t="n"/>
      <c r="CW1012" s="24" t="n"/>
      <c r="CX1012" s="24" t="n"/>
      <c r="CY1012" s="24" t="n"/>
      <c r="CZ1012" s="24" t="n"/>
      <c r="DA1012" s="24" t="n"/>
      <c r="DB1012" s="24" t="n"/>
      <c r="DC1012" s="24" t="n"/>
      <c r="DD1012" s="24" t="inlineStr">
        <is>
          <t>0f423741e8c0472ed68af5e4eea7d4744f99aee2ff41e18dbf1adfa1407d356e</t>
        </is>
      </c>
      <c r="DE1012" s="24" t="inlineStr">
        <is>
          <t>/Users/vincentc9002/model-prediction/data/odds/tennis/2026-09-08/polymarket_snapshots.jsonl</t>
        </is>
      </c>
      <c r="DF1012" s="24" t="inlineStr">
        <is>
          <t>691071:2026-09-08T04:33:39.595425Z</t>
        </is>
      </c>
      <c r="DG1012" s="24" t="n"/>
      <c r="DH1012" s="24" t="n"/>
      <c r="DI1012" s="24" t="n"/>
      <c r="DJ1012" s="24" t="inlineStr">
        <is>
          <t>0.770115</t>
        </is>
      </c>
      <c r="DK1012" s="24" t="n"/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54b73fc363394a27</t>
        </is>
      </c>
      <c r="B1013" s="24" t="inlineStr">
        <is>
          <t>2026-09-08T10:03:42.233393Z</t>
        </is>
      </c>
      <c r="C1013" s="24" t="inlineStr">
        <is>
          <t>2026-09-08T12:00Z</t>
        </is>
      </c>
      <c r="D1013" s="24" t="inlineStr">
        <is>
          <t>998-2026:183589</t>
        </is>
      </c>
      <c r="E1013" s="24" t="inlineStr">
        <is>
          <t>TENNIS</t>
        </is>
      </c>
      <c r="F1013" s="24" t="inlineStr">
        <is>
          <t>Barbora Palicova</t>
        </is>
      </c>
      <c r="G1013" s="24" t="inlineStr">
        <is>
          <t>Alice Tubello</t>
        </is>
      </c>
      <c r="H1013" s="24" t="inlineStr">
        <is>
          <t>moneyline</t>
        </is>
      </c>
      <c r="I1013" s="24" t="inlineStr">
        <is>
          <t>home</t>
        </is>
      </c>
      <c r="J1013" s="25" t="n"/>
      <c r="K1013" s="24" t="inlineStr">
        <is>
          <t>polymarket_us</t>
        </is>
      </c>
      <c r="L1013" s="26" t="n">
        <v>150</v>
      </c>
      <c r="M1013" s="27" t="n">
        <v>2.5</v>
      </c>
      <c r="N1013" s="28" t="n">
        <v>0.4</v>
      </c>
      <c r="O1013" s="28" t="n">
        <v>0.5879</v>
      </c>
      <c r="P1013" s="28" t="n">
        <v>0.05</v>
      </c>
      <c r="Q1013" s="28" t="n">
        <v>0.1879</v>
      </c>
      <c r="R1013" s="26" t="n">
        <v>100</v>
      </c>
      <c r="S1013" s="29" t="n">
        <v>2</v>
      </c>
      <c r="T1013" s="24" t="inlineStr">
        <is>
          <t>tennis-surface-elo-v1</t>
        </is>
      </c>
      <c r="U1013" s="24" t="inlineStr">
        <is>
          <t>settled</t>
        </is>
      </c>
      <c r="V1013" s="24" t="inlineStr">
        <is>
          <t>loss</t>
        </is>
      </c>
      <c r="W1013" s="26" t="n">
        <v>1</v>
      </c>
      <c r="X1013" s="26" t="n">
        <v>0</v>
      </c>
      <c r="Y1013" s="25" t="n"/>
      <c r="Z1013" s="26" t="n">
        <v>150</v>
      </c>
      <c r="AA1013" s="28" t="n">
        <v>0.4</v>
      </c>
      <c r="AB1013" s="28" t="n">
        <v>0</v>
      </c>
      <c r="AC1013" s="30" t="n">
        <v>-2</v>
      </c>
      <c r="AD1013" s="24" t="inlineStr">
        <is>
          <t>2026-09-08T16:01:07.624657Z</t>
        </is>
      </c>
      <c r="AE1013" s="31" t="inlineStr">
        <is>
          <t>Surface-blended Elo on Hard: Barbora Palicova p=0.412 vs Alice Tubello. Executable ask 0.4000 (aec-wta-alitub-barpal-2026-09-07).</t>
        </is>
      </c>
      <c r="AF1013" s="31" t="inlineStr">
        <is>
          <t>Surface-blended Elo model; singles only, WTA+ATP market coverage, not yet locked-holdout qualified -- promoted by explicit operator directive, not genuine walk-forward validation.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Barbora Palicova</t>
        </is>
      </c>
      <c r="AQ1013" s="24" t="inlineStr">
        <is>
          <t>Barbora Palicova</t>
        </is>
      </c>
      <c r="AR1013" s="24" t="inlineStr">
        <is>
          <t>Barbora Palicova</t>
        </is>
      </c>
      <c r="AS1013" s="24" t="inlineStr">
        <is>
          <t>Alice Tubello</t>
        </is>
      </c>
      <c r="AT1013" s="24" t="inlineStr">
        <is>
          <t>Alice Tubello</t>
        </is>
      </c>
      <c r="AU1013" s="24" t="inlineStr">
        <is>
          <t>Alice Tubello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shadow_qualified</t>
        </is>
      </c>
      <c r="BA1013" s="24" t="inlineStr">
        <is>
          <t>0ce66f49b381187fe6255a40ca2fdbfc155d5e36125ccf6d30fe81a72962eafa</t>
        </is>
      </c>
      <c r="BB1013" s="24" t="inlineStr">
        <is>
          <t>surface_blended_elo</t>
        </is>
      </c>
      <c r="BC1013" s="24" t="inlineStr">
        <is>
          <t>tennis-surface-elo-v1</t>
        </is>
      </c>
      <c r="BD1013" s="24" t="inlineStr">
        <is>
          <t>0ce66f49b381187fe6255a40ca2fdbfc155d5e36125ccf6d30fe81a72962eafa</t>
        </is>
      </c>
      <c r="BE1013" s="24" t="inlineStr">
        <is>
          <t>tennis-surface-elo-v1</t>
        </is>
      </c>
      <c r="BF1013" s="24" t="inlineStr">
        <is>
          <t>1</t>
        </is>
      </c>
      <c r="BG1013" s="24" t="inlineStr">
        <is>
          <t>0ce66f49b381187fe6255a40ca2fdbfc155d5e36125ccf6d30fe81a72962eafa</t>
        </is>
      </c>
      <c r="BH1013" s="24" t="inlineStr">
        <is>
          <t>2026-09-08T04:33:39.589868Z</t>
        </is>
      </c>
      <c r="BI1013" s="24" t="inlineStr">
        <is>
          <t>["same_event","same_team_same_day","same_league_same_day"]</t>
        </is>
      </c>
      <c r="BJ1013" s="25" t="n"/>
      <c r="BK1013" s="26" t="n">
        <v>150</v>
      </c>
      <c r="BL1013" s="27" t="n">
        <v>2.5</v>
      </c>
      <c r="BM1013" s="28" t="n">
        <v>0.4</v>
      </c>
      <c r="BN1013" s="28" t="n"/>
      <c r="BO1013" s="28" t="n"/>
      <c r="BP1013" s="25" t="n"/>
      <c r="BQ1013" s="27" t="n">
        <v>2.5</v>
      </c>
      <c r="BR1013" s="28" t="n">
        <v>0.4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True</t>
        </is>
      </c>
      <c r="CT1013" s="24" t="n"/>
      <c r="CU1013" s="24" t="n"/>
      <c r="CV1013" s="24" t="n"/>
      <c r="CW1013" s="24" t="n"/>
      <c r="CX1013" s="24" t="n"/>
      <c r="CY1013" s="24" t="n"/>
      <c r="CZ1013" s="24" t="n"/>
      <c r="DA1013" s="24" t="n"/>
      <c r="DB1013" s="24" t="n"/>
      <c r="DC1013" s="24" t="n"/>
      <c r="DD1013" s="24" t="inlineStr">
        <is>
          <t>4bdb4ba3a242fbf4191359fbd412f18abcad3951a71db21fb950fe0618a6d626</t>
        </is>
      </c>
      <c r="DE1013" s="24" t="inlineStr">
        <is>
          <t>/Users/vincentc9002/model-prediction/data/odds/tennis/2026-09-08/polymarket_snapshots.jsonl</t>
        </is>
      </c>
      <c r="DF1013" s="24" t="inlineStr">
        <is>
          <t>691070:2026-09-08T04:33:39.589868Z</t>
        </is>
      </c>
      <c r="DG1013" s="24" t="n"/>
      <c r="DH1013" s="24" t="n"/>
      <c r="DI1013" s="24" t="n"/>
      <c r="DJ1013" s="24" t="inlineStr">
        <is>
          <t>0.4</t>
        </is>
      </c>
      <c r="DK1013" s="24" t="n"/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827b1c6630e04377</t>
        </is>
      </c>
      <c r="B1014" s="24" t="inlineStr">
        <is>
          <t>2026-09-08T10:03:42.233393Z</t>
        </is>
      </c>
      <c r="C1014" s="24" t="inlineStr">
        <is>
          <t>2026-09-08T14:00Z</t>
        </is>
      </c>
      <c r="D1014" s="24" t="inlineStr">
        <is>
          <t>998-2026:183577</t>
        </is>
      </c>
      <c r="E1014" s="24" t="inlineStr">
        <is>
          <t>TENNIS</t>
        </is>
      </c>
      <c r="F1014" s="24" t="inlineStr">
        <is>
          <t>Rebeka Masarova</t>
        </is>
      </c>
      <c r="G1014" s="24" t="inlineStr">
        <is>
          <t>Simona Waltert</t>
        </is>
      </c>
      <c r="H1014" s="24" t="inlineStr">
        <is>
          <t>moneyline</t>
        </is>
      </c>
      <c r="I1014" s="24" t="inlineStr">
        <is>
          <t>home</t>
        </is>
      </c>
      <c r="J1014" s="25" t="n"/>
      <c r="K1014" s="24" t="inlineStr">
        <is>
          <t>polymarket_us</t>
        </is>
      </c>
      <c r="L1014" s="26" t="n">
        <v>-133</v>
      </c>
      <c r="M1014" s="27" t="n">
        <v>1.75188</v>
      </c>
      <c r="N1014" s="28" t="n">
        <v>0.570815</v>
      </c>
      <c r="O1014" s="28" t="n">
        <v>0.5727</v>
      </c>
      <c r="P1014" s="28" t="n">
        <v>0.05</v>
      </c>
      <c r="Q1014" s="28" t="n">
        <v>0.001885</v>
      </c>
      <c r="R1014" s="26" t="n">
        <v>21</v>
      </c>
      <c r="S1014" s="29" t="n">
        <v>1</v>
      </c>
      <c r="T1014" s="24" t="inlineStr">
        <is>
          <t>tennis-surface-elo-v1</t>
        </is>
      </c>
      <c r="U1014" s="24" t="inlineStr">
        <is>
          <t>settled</t>
        </is>
      </c>
      <c r="V1014" s="24" t="inlineStr">
        <is>
          <t>win</t>
        </is>
      </c>
      <c r="W1014" s="26" t="n">
        <v>0</v>
      </c>
      <c r="X1014" s="26" t="n">
        <v>1</v>
      </c>
      <c r="Y1014" s="25" t="n"/>
      <c r="Z1014" s="26" t="n">
        <v>-133</v>
      </c>
      <c r="AA1014" s="28" t="n">
        <v>0.57</v>
      </c>
      <c r="AB1014" s="28" t="n">
        <v>-0.000815</v>
      </c>
      <c r="AC1014" s="30" t="n">
        <v>0.7519</v>
      </c>
      <c r="AD1014" s="24" t="inlineStr">
        <is>
          <t>2026-09-08T22:15:17.417076Z</t>
        </is>
      </c>
      <c r="AE1014" s="31" t="inlineStr">
        <is>
          <t>Surface-blended Elo on Hard: Rebeka Masarova p=0.427 vs Simona Waltert. Executable ask 0.5700 (aec-wta-simwal-rebmas-2026-09-07).</t>
        </is>
      </c>
      <c r="AF1014" s="31" t="inlineStr">
        <is>
          <t>Surface-blended Elo model; singles only, WTA+ATP market coverage, not yet locked-holdout qualified -- promoted by explicit operator directive, not genuine walk-forward validation.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PAPER_CALL_LOW_EDGE</t>
        </is>
      </c>
      <c r="AP1014" s="24" t="inlineStr">
        <is>
          <t>Rebeka Masarova</t>
        </is>
      </c>
      <c r="AQ1014" s="24" t="inlineStr">
        <is>
          <t>Rebeka Masarova</t>
        </is>
      </c>
      <c r="AR1014" s="24" t="inlineStr">
        <is>
          <t>Rebeka Masarova</t>
        </is>
      </c>
      <c r="AS1014" s="24" t="inlineStr">
        <is>
          <t>Simona Waltert</t>
        </is>
      </c>
      <c r="AT1014" s="24" t="inlineStr">
        <is>
          <t>Simona Waltert</t>
        </is>
      </c>
      <c r="AU1014" s="24" t="inlineStr">
        <is>
          <t>Simona Waltert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shadow_qualified</t>
        </is>
      </c>
      <c r="BA1014" s="24" t="inlineStr">
        <is>
          <t>0ce66f49b381187fe6255a40ca2fdbfc155d5e36125ccf6d30fe81a72962eafa</t>
        </is>
      </c>
      <c r="BB1014" s="24" t="inlineStr">
        <is>
          <t>surface_blended_elo</t>
        </is>
      </c>
      <c r="BC1014" s="24" t="inlineStr">
        <is>
          <t>tennis-surface-elo-v1</t>
        </is>
      </c>
      <c r="BD1014" s="24" t="inlineStr">
        <is>
          <t>0ce66f49b381187fe6255a40ca2fdbfc155d5e36125ccf6d30fe81a72962eafa</t>
        </is>
      </c>
      <c r="BE1014" s="24" t="inlineStr">
        <is>
          <t>tennis-surface-elo-v1</t>
        </is>
      </c>
      <c r="BF1014" s="24" t="inlineStr">
        <is>
          <t>1</t>
        </is>
      </c>
      <c r="BG1014" s="24" t="inlineStr">
        <is>
          <t>0ce66f49b381187fe6255a40ca2fdbfc155d5e36125ccf6d30fe81a72962eafa</t>
        </is>
      </c>
      <c r="BH1014" s="24" t="inlineStr">
        <is>
          <t>2026-09-08T04:33:39.612431Z</t>
        </is>
      </c>
      <c r="BI1014" s="24" t="inlineStr">
        <is>
          <t>["same_event","same_team_same_day","same_league_same_day"]</t>
        </is>
      </c>
      <c r="BJ1014" s="25" t="n"/>
      <c r="BK1014" s="26" t="n">
        <v>-133</v>
      </c>
      <c r="BL1014" s="27" t="n">
        <v>1.75188</v>
      </c>
      <c r="BM1014" s="28" t="n">
        <v>0.570815</v>
      </c>
      <c r="BN1014" s="28" t="n"/>
      <c r="BO1014" s="28" t="n"/>
      <c r="BP1014" s="25" t="n"/>
      <c r="BQ1014" s="27" t="n">
        <v>1.75188</v>
      </c>
      <c r="BR1014" s="28" t="n">
        <v>0.57</v>
      </c>
      <c r="BS1014" s="28" t="n"/>
      <c r="BT1014" s="28" t="n"/>
      <c r="BU1014" s="25" t="n"/>
      <c r="BV1014" s="29" t="n"/>
      <c r="BW1014" s="24" t="n"/>
      <c r="BX1014" s="30" t="n"/>
      <c r="BY1014" s="27" t="n"/>
      <c r="BZ1014" s="24" t="n"/>
      <c r="CA1014" s="31" t="n"/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True</t>
        </is>
      </c>
      <c r="CT1014" s="24" t="n"/>
      <c r="CU1014" s="24" t="n"/>
      <c r="CV1014" s="24" t="n"/>
      <c r="CW1014" s="24" t="n"/>
      <c r="CX1014" s="24" t="n"/>
      <c r="CY1014" s="24" t="n"/>
      <c r="CZ1014" s="24" t="n"/>
      <c r="DA1014" s="24" t="n"/>
      <c r="DB1014" s="24" t="n"/>
      <c r="DC1014" s="24" t="n"/>
      <c r="DD1014" s="24" t="inlineStr">
        <is>
          <t>cb8515b903eb342a8e4cdeaecd9522f28f839454b6c1d83f6914742d83f8ee71</t>
        </is>
      </c>
      <c r="DE1014" s="24" t="inlineStr">
        <is>
          <t>/Users/vincentc9002/model-prediction/data/odds/tennis/2026-09-08/polymarket_snapshots.jsonl</t>
        </is>
      </c>
      <c r="DF1014" s="24" t="inlineStr">
        <is>
          <t>691074:2026-09-08T04:33:39.612431Z</t>
        </is>
      </c>
      <c r="DG1014" s="24" t="n"/>
      <c r="DH1014" s="24" t="n"/>
      <c r="DI1014" s="24" t="n"/>
      <c r="DJ1014" s="24" t="inlineStr">
        <is>
          <t>0.570815</t>
        </is>
      </c>
      <c r="DK1014" s="24" t="n"/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fb88b33020c848ee</t>
        </is>
      </c>
      <c r="B1015" s="24" t="inlineStr">
        <is>
          <t>2026-09-08T10:03:42.233393Z</t>
        </is>
      </c>
      <c r="C1015" s="24" t="inlineStr">
        <is>
          <t>2026-09-08T10:30Z</t>
        </is>
      </c>
      <c r="D1015" s="24" t="inlineStr">
        <is>
          <t>1076-2026:183535</t>
        </is>
      </c>
      <c r="E1015" s="24" t="inlineStr">
        <is>
          <t>TENNIS</t>
        </is>
      </c>
      <c r="F1015" s="24" t="inlineStr">
        <is>
          <t>Rositsa Dencheva</t>
        </is>
      </c>
      <c r="G1015" s="24" t="inlineStr">
        <is>
          <t>Ipek Oz</t>
        </is>
      </c>
      <c r="H1015" s="24" t="inlineStr">
        <is>
          <t>moneyline</t>
        </is>
      </c>
      <c r="I1015" s="24" t="inlineStr">
        <is>
          <t>away</t>
        </is>
      </c>
      <c r="J1015" s="25" t="n"/>
      <c r="K1015" s="24" t="inlineStr">
        <is>
          <t>polymarket_us</t>
        </is>
      </c>
      <c r="L1015" s="26" t="n">
        <v>-257</v>
      </c>
      <c r="M1015" s="27" t="n">
        <v>1.389105</v>
      </c>
      <c r="N1015" s="28" t="n">
        <v>0.719888</v>
      </c>
      <c r="O1015" s="28" t="n">
        <v>0.6264</v>
      </c>
      <c r="P1015" s="28" t="n">
        <v>0.05</v>
      </c>
      <c r="Q1015" s="28" t="n">
        <v>-0.093488</v>
      </c>
      <c r="R1015" s="26" t="n">
        <v>0</v>
      </c>
      <c r="S1015" s="29" t="n">
        <v>1</v>
      </c>
      <c r="T1015" s="24" t="inlineStr">
        <is>
          <t>tennis-surface-elo-v1</t>
        </is>
      </c>
      <c r="U1015" s="24" t="inlineStr">
        <is>
          <t>settled</t>
        </is>
      </c>
      <c r="V1015" s="24" t="inlineStr">
        <is>
          <t>win</t>
        </is>
      </c>
      <c r="W1015" s="26" t="n">
        <v>1</v>
      </c>
      <c r="X1015" s="26" t="n">
        <v>0</v>
      </c>
      <c r="Y1015" s="25" t="n"/>
      <c r="Z1015" s="26" t="n">
        <v>-257</v>
      </c>
      <c r="AA1015" s="28" t="n">
        <v>0.72</v>
      </c>
      <c r="AB1015" s="28" t="n">
        <v>0.000112</v>
      </c>
      <c r="AC1015" s="30" t="n">
        <v>0.3891</v>
      </c>
      <c r="AD1015" s="24" t="inlineStr">
        <is>
          <t>2026-09-08T16:01:08.480213Z</t>
        </is>
      </c>
      <c r="AE1015" s="31" t="inlineStr">
        <is>
          <t>Surface-blended Elo on Hard: Rositsa Dencheva p=0.626 vs Ipek Oz. Executable ask 0.7200 (aec-wta-ipeoz-rosden-2026-09-08).</t>
        </is>
      </c>
      <c r="AF1015" s="31" t="inlineStr">
        <is>
          <t>Surface-blended Elo model; singles only, WTA+ATP market coverage, not yet locked-holdout qualified -- promoted by explicit operator directive, not genuine walk-forward validation.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paper_call</t>
        </is>
      </c>
      <c r="AL1015" s="26" t="n">
        <v>4</v>
      </c>
      <c r="AM1015" s="24" t="inlineStr">
        <is>
          <t>RESEARCH_OBSERVATION</t>
        </is>
      </c>
      <c r="AN1015" s="24" t="inlineStr">
        <is>
          <t>CALL</t>
        </is>
      </c>
      <c r="AO1015" s="24" t="inlineStr">
        <is>
          <t>PAPER_CALL_MODEL_UNVALIDATED</t>
        </is>
      </c>
      <c r="AP1015" s="24" t="inlineStr">
        <is>
          <t>Rositsa Dencheva</t>
        </is>
      </c>
      <c r="AQ1015" s="24" t="inlineStr">
        <is>
          <t>Rositsa Dencheva</t>
        </is>
      </c>
      <c r="AR1015" s="24" t="inlineStr">
        <is>
          <t>Rositsa Dencheva</t>
        </is>
      </c>
      <c r="AS1015" s="24" t="inlineStr">
        <is>
          <t>Ipek Oz</t>
        </is>
      </c>
      <c r="AT1015" s="24" t="inlineStr">
        <is>
          <t>Ipek Oz</t>
        </is>
      </c>
      <c r="AU1015" s="24" t="inlineStr">
        <is>
          <t>Ipek Oz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shadow_qualified</t>
        </is>
      </c>
      <c r="BA1015" s="24" t="inlineStr">
        <is>
          <t>0ce66f49b381187fe6255a40ca2fdbfc155d5e36125ccf6d30fe81a72962eafa</t>
        </is>
      </c>
      <c r="BB1015" s="24" t="inlineStr">
        <is>
          <t>surface_blended_elo</t>
        </is>
      </c>
      <c r="BC1015" s="24" t="inlineStr">
        <is>
          <t>tennis-surface-elo-v1</t>
        </is>
      </c>
      <c r="BD1015" s="24" t="inlineStr">
        <is>
          <t>0ce66f49b381187fe6255a40ca2fdbfc155d5e36125ccf6d30fe81a72962eafa</t>
        </is>
      </c>
      <c r="BE1015" s="24" t="inlineStr">
        <is>
          <t>tennis-surface-elo-v1</t>
        </is>
      </c>
      <c r="BF1015" s="24" t="inlineStr">
        <is>
          <t>1</t>
        </is>
      </c>
      <c r="BG1015" s="24" t="inlineStr">
        <is>
          <t>0ce66f49b381187fe6255a40ca2fdbfc155d5e36125ccf6d30fe81a72962eafa</t>
        </is>
      </c>
      <c r="BH1015" s="24" t="inlineStr">
        <is>
          <t>2026-09-08T04:33:39.581019Z</t>
        </is>
      </c>
      <c r="BI1015" s="24" t="inlineStr">
        <is>
          <t>["same_event","same_team_same_day","same_league_same_day"]</t>
        </is>
      </c>
      <c r="BJ1015" s="25" t="n"/>
      <c r="BK1015" s="26" t="n">
        <v>-257</v>
      </c>
      <c r="BL1015" s="27" t="n">
        <v>1.389105</v>
      </c>
      <c r="BM1015" s="28" t="n">
        <v>0.719888</v>
      </c>
      <c r="BN1015" s="28" t="n"/>
      <c r="BO1015" s="28" t="n"/>
      <c r="BP1015" s="25" t="n"/>
      <c r="BQ1015" s="27" t="n">
        <v>1.389105</v>
      </c>
      <c r="BR1015" s="28" t="n">
        <v>0.72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False</t>
        </is>
      </c>
      <c r="CT1015" s="24" t="n"/>
      <c r="CU1015" s="24" t="n"/>
      <c r="CV1015" s="24" t="n"/>
      <c r="CW1015" s="24" t="n"/>
      <c r="CX1015" s="24" t="n"/>
      <c r="CY1015" s="24" t="n"/>
      <c r="CZ1015" s="24" t="n"/>
      <c r="DA1015" s="24" t="n"/>
      <c r="DB1015" s="24" t="n"/>
      <c r="DC1015" s="24" t="n"/>
      <c r="DD1015" s="24" t="inlineStr">
        <is>
          <t>3443374d102d09a4d23448bc88f7d2c1b19168842abab48cc7ef8c34e49465c9</t>
        </is>
      </c>
      <c r="DE1015" s="24" t="inlineStr">
        <is>
          <t>/Users/vincentc9002/model-prediction/data/odds/tennis/2026-09-08/polymarket_snapshots.jsonl</t>
        </is>
      </c>
      <c r="DF1015" s="24" t="inlineStr">
        <is>
          <t>719077:2026-09-08T04:33:39.581019Z</t>
        </is>
      </c>
      <c r="DG1015" s="24" t="n"/>
      <c r="DH1015" s="24" t="n"/>
      <c r="DI1015" s="24" t="n"/>
      <c r="DJ1015" s="24" t="inlineStr">
        <is>
          <t>0.719888</t>
        </is>
      </c>
      <c r="DK1015" s="24" t="n"/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346d3de5552a458f</t>
        </is>
      </c>
      <c r="B1016" s="24" t="inlineStr">
        <is>
          <t>2026-09-08T10:03:42.233393Z</t>
        </is>
      </c>
      <c r="C1016" s="24" t="inlineStr">
        <is>
          <t>2026-09-08T11:30Z</t>
        </is>
      </c>
      <c r="D1016" s="24" t="inlineStr">
        <is>
          <t>1076-2026:183552</t>
        </is>
      </c>
      <c r="E1016" s="24" t="inlineStr">
        <is>
          <t>TENNIS</t>
        </is>
      </c>
      <c r="F1016" s="24" t="inlineStr">
        <is>
          <t>Alicia Herrero Linana</t>
        </is>
      </c>
      <c r="G1016" s="24" t="inlineStr">
        <is>
          <t>Nastasja Schunk</t>
        </is>
      </c>
      <c r="H1016" s="24" t="inlineStr">
        <is>
          <t>moneyline</t>
        </is>
      </c>
      <c r="I1016" s="24" t="inlineStr">
        <is>
          <t>away</t>
        </is>
      </c>
      <c r="J1016" s="25" t="n"/>
      <c r="K1016" s="24" t="inlineStr">
        <is>
          <t>polymarket_us</t>
        </is>
      </c>
      <c r="L1016" s="26" t="n">
        <v>245</v>
      </c>
      <c r="M1016" s="27" t="n">
        <v>3.45</v>
      </c>
      <c r="N1016" s="28" t="n">
        <v>0.289855</v>
      </c>
      <c r="O1016" s="28" t="n">
        <v>0.6059</v>
      </c>
      <c r="P1016" s="28" t="n">
        <v>0.05</v>
      </c>
      <c r="Q1016" s="28" t="n">
        <v>0.316045</v>
      </c>
      <c r="R1016" s="26" t="n">
        <v>100</v>
      </c>
      <c r="S1016" s="29" t="n">
        <v>2</v>
      </c>
      <c r="T1016" s="24" t="inlineStr">
        <is>
          <t>tennis-surface-elo-v1</t>
        </is>
      </c>
      <c r="U1016" s="24" t="inlineStr">
        <is>
          <t>settled</t>
        </is>
      </c>
      <c r="V1016" s="24" t="inlineStr">
        <is>
          <t>win</t>
        </is>
      </c>
      <c r="W1016" s="26" t="n">
        <v>1</v>
      </c>
      <c r="X1016" s="26" t="n">
        <v>0</v>
      </c>
      <c r="Y1016" s="25" t="n"/>
      <c r="Z1016" s="26" t="n">
        <v>245</v>
      </c>
      <c r="AA1016" s="28" t="n">
        <v>0.29</v>
      </c>
      <c r="AB1016" s="28" t="n">
        <v>0.000145</v>
      </c>
      <c r="AC1016" s="30" t="n">
        <v>4.9</v>
      </c>
      <c r="AD1016" s="24" t="inlineStr">
        <is>
          <t>2026-09-08T22:15:18.308711Z</t>
        </is>
      </c>
      <c r="AE1016" s="31" t="inlineStr">
        <is>
          <t>Surface-blended Elo on Hard: Alicia Herrero Linana p=0.606 vs Nastasja Schunk. Executable ask 0.2900 (aec-wta-nassch-alilin-2026-09-08).</t>
        </is>
      </c>
      <c r="AF1016" s="31" t="inlineStr">
        <is>
          <t>Surface-blended Elo model; singles only, WTA+ATP market coverage, not yet locked-holdout qualified -- promoted by explicit operator directive, not genuine walk-forward validation.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model_qualified</t>
        </is>
      </c>
      <c r="AL1016" s="26" t="n">
        <v>4</v>
      </c>
      <c r="AM1016" s="24" t="inlineStr">
        <is>
          <t>QUALIFIED_SHADOW_CALL</t>
        </is>
      </c>
      <c r="AN1016" s="24" t="inlineStr">
        <is>
          <t>CALL</t>
        </is>
      </c>
      <c r="AO1016" s="24" t="inlineStr">
        <is>
          <t>QUALIFIED</t>
        </is>
      </c>
      <c r="AP1016" s="24" t="inlineStr">
        <is>
          <t>Alicia Herrero Linana</t>
        </is>
      </c>
      <c r="AQ1016" s="24" t="inlineStr">
        <is>
          <t>Alicia Herrero Linana</t>
        </is>
      </c>
      <c r="AR1016" s="24" t="inlineStr">
        <is>
          <t>Alicia Herrero Linana</t>
        </is>
      </c>
      <c r="AS1016" s="24" t="inlineStr">
        <is>
          <t>Nastasja Schunk</t>
        </is>
      </c>
      <c r="AT1016" s="24" t="inlineStr">
        <is>
          <t>Nastasja Schunk</t>
        </is>
      </c>
      <c r="AU1016" s="24" t="inlineStr">
        <is>
          <t>Nastasja Schunk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shadow_qualified</t>
        </is>
      </c>
      <c r="BA1016" s="24" t="inlineStr">
        <is>
          <t>0ce66f49b381187fe6255a40ca2fdbfc155d5e36125ccf6d30fe81a72962eafa</t>
        </is>
      </c>
      <c r="BB1016" s="24" t="inlineStr">
        <is>
          <t>surface_blended_elo</t>
        </is>
      </c>
      <c r="BC1016" s="24" t="inlineStr">
        <is>
          <t>tennis-surface-elo-v1</t>
        </is>
      </c>
      <c r="BD1016" s="24" t="inlineStr">
        <is>
          <t>0ce66f49b381187fe6255a40ca2fdbfc155d5e36125ccf6d30fe81a72962eafa</t>
        </is>
      </c>
      <c r="BE1016" s="24" t="inlineStr">
        <is>
          <t>tennis-surface-elo-v1</t>
        </is>
      </c>
      <c r="BF1016" s="24" t="inlineStr">
        <is>
          <t>1</t>
        </is>
      </c>
      <c r="BG1016" s="24" t="inlineStr">
        <is>
          <t>0ce66f49b381187fe6255a40ca2fdbfc155d5e36125ccf6d30fe81a72962eafa</t>
        </is>
      </c>
      <c r="BH1016" s="24" t="inlineStr">
        <is>
          <t>2026-09-08T04:33:39.590802Z</t>
        </is>
      </c>
      <c r="BI1016" s="24" t="inlineStr">
        <is>
          <t>["same_event","same_team_same_day","same_league_same_day"]</t>
        </is>
      </c>
      <c r="BJ1016" s="25" t="n"/>
      <c r="BK1016" s="26" t="n">
        <v>245</v>
      </c>
      <c r="BL1016" s="27" t="n">
        <v>3.45</v>
      </c>
      <c r="BM1016" s="28" t="n">
        <v>0.289855</v>
      </c>
      <c r="BN1016" s="28" t="n"/>
      <c r="BO1016" s="28" t="n"/>
      <c r="BP1016" s="25" t="n"/>
      <c r="BQ1016" s="27" t="n">
        <v>3.45</v>
      </c>
      <c r="BR1016" s="28" t="n">
        <v>0.29</v>
      </c>
      <c r="BS1016" s="28" t="n"/>
      <c r="BT1016" s="28" t="n"/>
      <c r="BU1016" s="25" t="n"/>
      <c r="BV1016" s="29" t="n"/>
      <c r="BW1016" s="24" t="n"/>
      <c r="BX1016" s="30" t="n"/>
      <c r="BY1016" s="27" t="n"/>
      <c r="BZ1016" s="24" t="n"/>
      <c r="CA1016" s="31" t="n"/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n"/>
      <c r="CU1016" s="24" t="n"/>
      <c r="CV1016" s="24" t="n"/>
      <c r="CW1016" s="24" t="n"/>
      <c r="CX1016" s="24" t="n"/>
      <c r="CY1016" s="24" t="n"/>
      <c r="CZ1016" s="24" t="n"/>
      <c r="DA1016" s="24" t="n"/>
      <c r="DB1016" s="24" t="n"/>
      <c r="DC1016" s="24" t="n"/>
      <c r="DD1016" s="24" t="inlineStr">
        <is>
          <t>4bae7bcba2ef531c2b823ccc56473692280bf902b5daf166aa72b9aa210dcc23</t>
        </is>
      </c>
      <c r="DE1016" s="24" t="inlineStr">
        <is>
          <t>/Users/vincentc9002/model-prediction/data/odds/tennis/2026-09-08/polymarket_snapshots.jsonl</t>
        </is>
      </c>
      <c r="DF1016" s="24" t="inlineStr">
        <is>
          <t>718752:2026-09-08T04:33:39.590802Z</t>
        </is>
      </c>
      <c r="DG1016" s="24" t="n"/>
      <c r="DH1016" s="24" t="n"/>
      <c r="DI1016" s="24" t="n"/>
      <c r="DJ1016" s="24" t="inlineStr">
        <is>
          <t>0.289855</t>
        </is>
      </c>
      <c r="DK1016" s="24" t="n"/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7b8651fb921942e5</t>
        </is>
      </c>
      <c r="B1017" s="24" t="inlineStr">
        <is>
          <t>2026-09-08T10:03:42.233393Z</t>
        </is>
      </c>
      <c r="C1017" s="24" t="inlineStr">
        <is>
          <t>2026-09-08T11:30Z</t>
        </is>
      </c>
      <c r="D1017" s="24" t="inlineStr">
        <is>
          <t>1076-2026:183544</t>
        </is>
      </c>
      <c r="E1017" s="24" t="inlineStr">
        <is>
          <t>TENNIS</t>
        </is>
      </c>
      <c r="F1017" s="24" t="inlineStr">
        <is>
          <t>Ane Mintegi Del Olmo</t>
        </is>
      </c>
      <c r="G1017" s="24" t="inlineStr">
        <is>
          <t>Elena Pridankina</t>
        </is>
      </c>
      <c r="H1017" s="24" t="inlineStr">
        <is>
          <t>moneyline</t>
        </is>
      </c>
      <c r="I1017" s="24" t="inlineStr">
        <is>
          <t>home</t>
        </is>
      </c>
      <c r="J1017" s="25" t="n"/>
      <c r="K1017" s="24" t="inlineStr">
        <is>
          <t>polymarket_us</t>
        </is>
      </c>
      <c r="L1017" s="26" t="n">
        <v>-163</v>
      </c>
      <c r="M1017" s="27" t="n">
        <v>1.613497</v>
      </c>
      <c r="N1017" s="28" t="n">
        <v>0.619772</v>
      </c>
      <c r="O1017" s="28" t="n">
        <v>0.6363</v>
      </c>
      <c r="P1017" s="28" t="n">
        <v>0.05</v>
      </c>
      <c r="Q1017" s="28" t="n">
        <v>0.016528</v>
      </c>
      <c r="R1017" s="26" t="n">
        <v>28</v>
      </c>
      <c r="S1017" s="29" t="n">
        <v>1</v>
      </c>
      <c r="T1017" s="24" t="inlineStr">
        <is>
          <t>tennis-surface-elo-v1</t>
        </is>
      </c>
      <c r="U1017" s="24" t="inlineStr">
        <is>
          <t>settled</t>
        </is>
      </c>
      <c r="V1017" s="24" t="inlineStr">
        <is>
          <t>loss</t>
        </is>
      </c>
      <c r="W1017" s="26" t="n">
        <v>1</v>
      </c>
      <c r="X1017" s="26" t="n">
        <v>0</v>
      </c>
      <c r="Y1017" s="25" t="n"/>
      <c r="Z1017" s="26" t="n">
        <v>-163</v>
      </c>
      <c r="AA1017" s="28" t="n">
        <v>0.62</v>
      </c>
      <c r="AB1017" s="28" t="n">
        <v>0.000228</v>
      </c>
      <c r="AC1017" s="30" t="n">
        <v>-1</v>
      </c>
      <c r="AD1017" s="24" t="inlineStr">
        <is>
          <t>2026-09-08T16:01:09.313195Z</t>
        </is>
      </c>
      <c r="AE1017" s="31" t="inlineStr">
        <is>
          <t>Surface-blended Elo on Hard: Ane Mintegi Del Olmo p=0.364 vs Elena Pridankina. Executable ask 0.6200 (aec-wta-elepri-aneolm-2026-09-07).</t>
        </is>
      </c>
      <c r="AF1017" s="31" t="inlineStr">
        <is>
          <t>Surface-blended Elo model; singles only, WTA+ATP market coverage, not yet locked-holdout qualified -- promoted by explicit operator directive, not genuine walk-forward validation.</t>
        </is>
      </c>
      <c r="AG1017" s="24" t="inlineStr">
        <is>
          <t>review_required</t>
        </is>
      </c>
      <c r="AH1017" s="24" t="n"/>
      <c r="AI1017" s="31" t="n"/>
      <c r="AJ1017" s="31" t="n"/>
      <c r="AK1017" s="24" t="inlineStr">
        <is>
          <t>paper_call</t>
        </is>
      </c>
      <c r="AL1017" s="26" t="n">
        <v>4</v>
      </c>
      <c r="AM1017" s="24" t="inlineStr">
        <is>
          <t>RESEARCH_OBSERVATION</t>
        </is>
      </c>
      <c r="AN1017" s="24" t="inlineStr">
        <is>
          <t>CALL</t>
        </is>
      </c>
      <c r="AO1017" s="24" t="inlineStr">
        <is>
          <t>PAPER_CALL_LOW_EDGE</t>
        </is>
      </c>
      <c r="AP1017" s="24" t="inlineStr">
        <is>
          <t>Ane Mintegi Del Olmo</t>
        </is>
      </c>
      <c r="AQ1017" s="24" t="inlineStr">
        <is>
          <t>Ane Mintegi Del Olmo</t>
        </is>
      </c>
      <c r="AR1017" s="24" t="inlineStr">
        <is>
          <t>Ane Mintegi Del Olmo</t>
        </is>
      </c>
      <c r="AS1017" s="24" t="inlineStr">
        <is>
          <t>Elena Pridankina</t>
        </is>
      </c>
      <c r="AT1017" s="24" t="inlineStr">
        <is>
          <t>Elena Pridankina</t>
        </is>
      </c>
      <c r="AU1017" s="24" t="inlineStr">
        <is>
          <t>Elena Pridankina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shadow_qualified</t>
        </is>
      </c>
      <c r="BA1017" s="24" t="inlineStr">
        <is>
          <t>0ce66f49b381187fe6255a40ca2fdbfc155d5e36125ccf6d30fe81a72962eafa</t>
        </is>
      </c>
      <c r="BB1017" s="24" t="inlineStr">
        <is>
          <t>surface_blended_elo</t>
        </is>
      </c>
      <c r="BC1017" s="24" t="inlineStr">
        <is>
          <t>tennis-surface-elo-v1</t>
        </is>
      </c>
      <c r="BD1017" s="24" t="inlineStr">
        <is>
          <t>0ce66f49b381187fe6255a40ca2fdbfc155d5e36125ccf6d30fe81a72962eafa</t>
        </is>
      </c>
      <c r="BE1017" s="24" t="inlineStr">
        <is>
          <t>tennis-surface-elo-v1</t>
        </is>
      </c>
      <c r="BF1017" s="24" t="inlineStr">
        <is>
          <t>1</t>
        </is>
      </c>
      <c r="BG1017" s="24" t="inlineStr">
        <is>
          <t>0ce66f49b381187fe6255a40ca2fdbfc155d5e36125ccf6d30fe81a72962eafa</t>
        </is>
      </c>
      <c r="BH1017" s="24" t="inlineStr">
        <is>
          <t>2026-09-08T04:33:39.579223Z</t>
        </is>
      </c>
      <c r="BI1017" s="24" t="inlineStr">
        <is>
          <t>["same_event","same_team_same_day","same_league_same_day"]</t>
        </is>
      </c>
      <c r="BJ1017" s="25" t="n"/>
      <c r="BK1017" s="26" t="n">
        <v>-163</v>
      </c>
      <c r="BL1017" s="27" t="n">
        <v>1.613497</v>
      </c>
      <c r="BM1017" s="28" t="n">
        <v>0.619772</v>
      </c>
      <c r="BN1017" s="28" t="n"/>
      <c r="BO1017" s="28" t="n"/>
      <c r="BP1017" s="25" t="n"/>
      <c r="BQ1017" s="27" t="n">
        <v>1.613497</v>
      </c>
      <c r="BR1017" s="28" t="n">
        <v>0.62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True</t>
        </is>
      </c>
      <c r="CT1017" s="24" t="n"/>
      <c r="CU1017" s="24" t="n"/>
      <c r="CV1017" s="24" t="n"/>
      <c r="CW1017" s="24" t="n"/>
      <c r="CX1017" s="24" t="n"/>
      <c r="CY1017" s="24" t="n"/>
      <c r="CZ1017" s="24" t="n"/>
      <c r="DA1017" s="24" t="n"/>
      <c r="DB1017" s="24" t="n"/>
      <c r="DC1017" s="24" t="n"/>
      <c r="DD1017" s="24" t="inlineStr">
        <is>
          <t>4bb3c285189ee0e234c060eaead85eb76bfa2527cee3e9524c3c9f475eee28f6</t>
        </is>
      </c>
      <c r="DE1017" s="24" t="inlineStr">
        <is>
          <t>/Users/vincentc9002/model-prediction/data/odds/tennis/2026-09-08/polymarket_snapshots.jsonl</t>
        </is>
      </c>
      <c r="DF1017" s="24" t="inlineStr">
        <is>
          <t>707244:2026-09-08T04:33:39.579223Z</t>
        </is>
      </c>
      <c r="DG1017" s="24" t="n"/>
      <c r="DH1017" s="24" t="n"/>
      <c r="DI1017" s="24" t="n"/>
      <c r="DJ1017" s="24" t="inlineStr">
        <is>
          <t>0.619772</t>
        </is>
      </c>
      <c r="DK1017" s="24" t="n"/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bc70f571f7f94f7b</t>
        </is>
      </c>
      <c r="B1018" s="24" t="inlineStr">
        <is>
          <t>2026-09-08T10:03:42.233393Z</t>
        </is>
      </c>
      <c r="C1018" s="24" t="inlineStr">
        <is>
          <t>2026-09-08T13:00Z</t>
        </is>
      </c>
      <c r="D1018" s="24" t="inlineStr">
        <is>
          <t>1076-2026:183533</t>
        </is>
      </c>
      <c r="E1018" s="24" t="inlineStr">
        <is>
          <t>TENNIS</t>
        </is>
      </c>
      <c r="F1018" s="24" t="inlineStr">
        <is>
          <t>Cagla Buyukakcay</t>
        </is>
      </c>
      <c r="G1018" s="24" t="inlineStr">
        <is>
          <t>Yasmine Kabbaj</t>
        </is>
      </c>
      <c r="H1018" s="24" t="inlineStr">
        <is>
          <t>moneyline</t>
        </is>
      </c>
      <c r="I1018" s="24" t="inlineStr">
        <is>
          <t>home</t>
        </is>
      </c>
      <c r="J1018" s="25" t="n"/>
      <c r="K1018" s="24" t="inlineStr">
        <is>
          <t>polymarket_us</t>
        </is>
      </c>
      <c r="L1018" s="26" t="n">
        <v>-317</v>
      </c>
      <c r="M1018" s="27" t="n">
        <v>1.315457</v>
      </c>
      <c r="N1018" s="28" t="n">
        <v>0.760192</v>
      </c>
      <c r="O1018" s="28" t="n">
        <v>0.6731</v>
      </c>
      <c r="P1018" s="28" t="n">
        <v>0.05</v>
      </c>
      <c r="Q1018" s="28" t="n">
        <v>-0.087092</v>
      </c>
      <c r="R1018" s="26" t="n">
        <v>0</v>
      </c>
      <c r="S1018" s="29" t="n">
        <v>1</v>
      </c>
      <c r="T1018" s="24" t="inlineStr">
        <is>
          <t>tennis-surface-elo-v1</t>
        </is>
      </c>
      <c r="U1018" s="24" t="inlineStr">
        <is>
          <t>settled</t>
        </is>
      </c>
      <c r="V1018" s="24" t="inlineStr">
        <is>
          <t>loss</t>
        </is>
      </c>
      <c r="W1018" s="26" t="n">
        <v>1</v>
      </c>
      <c r="X1018" s="26" t="n">
        <v>0</v>
      </c>
      <c r="Y1018" s="25" t="n"/>
      <c r="Z1018" s="26" t="n">
        <v>-317</v>
      </c>
      <c r="AA1018" s="28" t="n">
        <v>0.76</v>
      </c>
      <c r="AB1018" s="28" t="n">
        <v>-0.000192</v>
      </c>
      <c r="AC1018" s="30" t="n">
        <v>-1</v>
      </c>
      <c r="AD1018" s="24" t="inlineStr">
        <is>
          <t>2026-09-08T22:15:19.183738Z</t>
        </is>
      </c>
      <c r="AE1018" s="31" t="inlineStr">
        <is>
          <t>Surface-blended Elo on Hard: Cagla Buyukakcay p=0.327 vs Yasmine Kabbaj. Executable ask 0.7600 (aec-wta-yaskab-cagbuy-2026-09-07).</t>
        </is>
      </c>
      <c r="AF1018" s="31" t="inlineStr">
        <is>
          <t>Surface-blended Elo model; singles only, WTA+ATP market coverage, not yet locked-holdout qualified -- promoted by explicit operator directive, not genuine walk-forward validation.</t>
        </is>
      </c>
      <c r="AG1018" s="24" t="inlineStr">
        <is>
          <t>review_required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Cagla Buyukakcay</t>
        </is>
      </c>
      <c r="AQ1018" s="24" t="inlineStr">
        <is>
          <t>Cagla Buyukakcay</t>
        </is>
      </c>
      <c r="AR1018" s="24" t="inlineStr">
        <is>
          <t>Cagla Buyukakcay</t>
        </is>
      </c>
      <c r="AS1018" s="24" t="inlineStr">
        <is>
          <t>Yasmine Kabbaj</t>
        </is>
      </c>
      <c r="AT1018" s="24" t="inlineStr">
        <is>
          <t>Yasmine Kabbaj</t>
        </is>
      </c>
      <c r="AU1018" s="24" t="inlineStr">
        <is>
          <t>Yasmine Kabbaj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shadow_qualified</t>
        </is>
      </c>
      <c r="BA1018" s="24" t="inlineStr">
        <is>
          <t>0ce66f49b381187fe6255a40ca2fdbfc155d5e36125ccf6d30fe81a72962eafa</t>
        </is>
      </c>
      <c r="BB1018" s="24" t="inlineStr">
        <is>
          <t>surface_blended_elo</t>
        </is>
      </c>
      <c r="BC1018" s="24" t="inlineStr">
        <is>
          <t>tennis-surface-elo-v1</t>
        </is>
      </c>
      <c r="BD1018" s="24" t="inlineStr">
        <is>
          <t>0ce66f49b381187fe6255a40ca2fdbfc155d5e36125ccf6d30fe81a72962eafa</t>
        </is>
      </c>
      <c r="BE1018" s="24" t="inlineStr">
        <is>
          <t>tennis-surface-elo-v1</t>
        </is>
      </c>
      <c r="BF1018" s="24" t="inlineStr">
        <is>
          <t>1</t>
        </is>
      </c>
      <c r="BG1018" s="24" t="inlineStr">
        <is>
          <t>0ce66f49b381187fe6255a40ca2fdbfc155d5e36125ccf6d30fe81a72962eafa</t>
        </is>
      </c>
      <c r="BH1018" s="24" t="inlineStr">
        <is>
          <t>2026-09-08T04:33:39.611595Z</t>
        </is>
      </c>
      <c r="BI1018" s="24" t="inlineStr">
        <is>
          <t>["same_event","same_team_same_day","same_league_same_day"]</t>
        </is>
      </c>
      <c r="BJ1018" s="25" t="n"/>
      <c r="BK1018" s="26" t="n">
        <v>-317</v>
      </c>
      <c r="BL1018" s="27" t="n">
        <v>1.315457</v>
      </c>
      <c r="BM1018" s="28" t="n">
        <v>0.760192</v>
      </c>
      <c r="BN1018" s="28" t="n"/>
      <c r="BO1018" s="28" t="n"/>
      <c r="BP1018" s="25" t="n"/>
      <c r="BQ1018" s="27" t="n">
        <v>1.315457</v>
      </c>
      <c r="BR1018" s="28" t="n">
        <v>0.76</v>
      </c>
      <c r="BS1018" s="28" t="n"/>
      <c r="BT1018" s="28" t="n"/>
      <c r="BU1018" s="25" t="n"/>
      <c r="BV1018" s="29" t="n"/>
      <c r="BW1018" s="24" t="n"/>
      <c r="BX1018" s="30" t="n"/>
      <c r="BY1018" s="27" t="n"/>
      <c r="BZ1018" s="24" t="n"/>
      <c r="CA1018" s="31" t="n"/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False</t>
        </is>
      </c>
      <c r="CT1018" s="24" t="n"/>
      <c r="CU1018" s="24" t="n"/>
      <c r="CV1018" s="24" t="n"/>
      <c r="CW1018" s="24" t="n"/>
      <c r="CX1018" s="24" t="n"/>
      <c r="CY1018" s="24" t="n"/>
      <c r="CZ1018" s="24" t="n"/>
      <c r="DA1018" s="24" t="n"/>
      <c r="DB1018" s="24" t="n"/>
      <c r="DC1018" s="24" t="n"/>
      <c r="DD1018" s="24" t="inlineStr">
        <is>
          <t>98f3a8c2fa76c4509669df39f898a32588d16e6ae7e9cf170e2224ca4f4936a7</t>
        </is>
      </c>
      <c r="DE1018" s="24" t="inlineStr">
        <is>
          <t>/Users/vincentc9002/model-prediction/data/odds/tennis/2026-09-08/polymarket_snapshots.jsonl</t>
        </is>
      </c>
      <c r="DF1018" s="24" t="inlineStr">
        <is>
          <t>707245:2026-09-08T04:33:39.611595Z</t>
        </is>
      </c>
      <c r="DG1018" s="24" t="n"/>
      <c r="DH1018" s="24" t="n"/>
      <c r="DI1018" s="24" t="n"/>
      <c r="DJ1018" s="24" t="inlineStr">
        <is>
          <t>0.760192</t>
        </is>
      </c>
      <c r="DK1018" s="24" t="n"/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46384b04bf874c03</t>
        </is>
      </c>
      <c r="B1019" s="24" t="inlineStr">
        <is>
          <t>2026-09-08T16:16:04.467060Z</t>
        </is>
      </c>
      <c r="C1019" s="24" t="inlineStr">
        <is>
          <t>2026-09-08T23:00Z</t>
        </is>
      </c>
      <c r="D1019" s="24" t="inlineStr">
        <is>
          <t>189-2026:182535</t>
        </is>
      </c>
      <c r="E1019" s="24" t="inlineStr">
        <is>
          <t>TENNIS</t>
        </is>
      </c>
      <c r="F1019" s="24" t="inlineStr">
        <is>
          <t>Emma Navarro</t>
        </is>
      </c>
      <c r="G1019" s="24" t="inlineStr">
        <is>
          <t>Jessica Pegula</t>
        </is>
      </c>
      <c r="H1019" s="24" t="inlineStr">
        <is>
          <t>moneyline</t>
        </is>
      </c>
      <c r="I1019" s="24" t="inlineStr">
        <is>
          <t>home</t>
        </is>
      </c>
      <c r="J1019" s="25" t="n"/>
      <c r="K1019" s="24" t="inlineStr">
        <is>
          <t>polymarket_us</t>
        </is>
      </c>
      <c r="L1019" s="26" t="n">
        <v>-355</v>
      </c>
      <c r="M1019" s="27" t="n">
        <v>1.28169</v>
      </c>
      <c r="N1019" s="28" t="n">
        <v>0.78022</v>
      </c>
      <c r="O1019" s="28" t="n">
        <v>0.8196</v>
      </c>
      <c r="P1019" s="28" t="n">
        <v>0.05</v>
      </c>
      <c r="Q1019" s="28" t="n">
        <v>0.03938</v>
      </c>
      <c r="R1019" s="26" t="n">
        <v>40</v>
      </c>
      <c r="S1019" s="29" t="n">
        <v>1</v>
      </c>
      <c r="T1019" s="24" t="inlineStr">
        <is>
          <t>tennis-surface-elo-v1</t>
        </is>
      </c>
      <c r="U1019" s="24" t="inlineStr">
        <is>
          <t>settled</t>
        </is>
      </c>
      <c r="V1019" s="24" t="inlineStr">
        <is>
          <t>win</t>
        </is>
      </c>
      <c r="W1019" s="26" t="n">
        <v>0</v>
      </c>
      <c r="X1019" s="26" t="n">
        <v>1</v>
      </c>
      <c r="Y1019" s="25" t="n"/>
      <c r="Z1019" s="26" t="n">
        <v>-355</v>
      </c>
      <c r="AA1019" s="28" t="n">
        <v>0.78</v>
      </c>
      <c r="AB1019" s="28" t="n">
        <v>-0.00022</v>
      </c>
      <c r="AC1019" s="30" t="n">
        <v>0.2817</v>
      </c>
      <c r="AD1019" s="24" t="inlineStr">
        <is>
          <t>2026-09-09T04:31:21.691410Z</t>
        </is>
      </c>
      <c r="AE1019" s="31" t="inlineStr">
        <is>
          <t>Surface-blended Elo on Hard: Emma Navarro p=0.180 vs Jessica Pegula. Executable ask 0.7800 (aec-wta-jespeg-emmnav-2026-09-08).</t>
        </is>
      </c>
      <c r="AF1019" s="31" t="inlineStr">
        <is>
          <t>Surface-blended Elo model; singles only, WTA+ATP market coverage, not yet locked-holdout qualified -- promoted by explicit operator directive, not genuine walk-forward validation.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paper_call</t>
        </is>
      </c>
      <c r="AL1019" s="26" t="n">
        <v>4</v>
      </c>
      <c r="AM1019" s="24" t="inlineStr">
        <is>
          <t>RESEARCH_OBSERVATION</t>
        </is>
      </c>
      <c r="AN1019" s="24" t="inlineStr">
        <is>
          <t>CALL</t>
        </is>
      </c>
      <c r="AO1019" s="24" t="inlineStr">
        <is>
          <t>PAPER_CALL_LOW_EDGE</t>
        </is>
      </c>
      <c r="AP1019" s="24" t="inlineStr">
        <is>
          <t>Emma Navarro</t>
        </is>
      </c>
      <c r="AQ1019" s="24" t="inlineStr">
        <is>
          <t>Emma Navarro</t>
        </is>
      </c>
      <c r="AR1019" s="24" t="inlineStr">
        <is>
          <t>Emma Navarro</t>
        </is>
      </c>
      <c r="AS1019" s="24" t="inlineStr">
        <is>
          <t>Jessica Pegula</t>
        </is>
      </c>
      <c r="AT1019" s="24" t="inlineStr">
        <is>
          <t>Jessica Pegula</t>
        </is>
      </c>
      <c r="AU1019" s="24" t="inlineStr">
        <is>
          <t>Jessica Pegula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shadow_qualified</t>
        </is>
      </c>
      <c r="BA1019" s="24" t="inlineStr">
        <is>
          <t>0ce66f49b381187fe6255a40ca2fdbfc155d5e36125ccf6d30fe81a72962eafa</t>
        </is>
      </c>
      <c r="BB1019" s="24" t="inlineStr">
        <is>
          <t>surface_blended_elo</t>
        </is>
      </c>
      <c r="BC1019" s="24" t="inlineStr">
        <is>
          <t>tennis-surface-elo-v1</t>
        </is>
      </c>
      <c r="BD1019" s="24" t="inlineStr">
        <is>
          <t>0ce66f49b381187fe6255a40ca2fdbfc155d5e36125ccf6d30fe81a72962eafa</t>
        </is>
      </c>
      <c r="BE1019" s="24" t="inlineStr">
        <is>
          <t>tennis-surface-elo-v1</t>
        </is>
      </c>
      <c r="BF1019" s="24" t="inlineStr">
        <is>
          <t>1</t>
        </is>
      </c>
      <c r="BG1019" s="24" t="inlineStr">
        <is>
          <t>0ce66f49b381187fe6255a40ca2fdbfc155d5e36125ccf6d30fe81a72962eafa</t>
        </is>
      </c>
      <c r="BH1019" s="24" t="inlineStr">
        <is>
          <t>2026-09-08T16:07:48.984438Z</t>
        </is>
      </c>
      <c r="BI1019" s="24" t="inlineStr">
        <is>
          <t>["same_event","same_team_same_day","same_league_same_day"]</t>
        </is>
      </c>
      <c r="BJ1019" s="25" t="n"/>
      <c r="BK1019" s="26" t="n">
        <v>-355</v>
      </c>
      <c r="BL1019" s="27" t="n">
        <v>1.28169</v>
      </c>
      <c r="BM1019" s="28" t="n">
        <v>0.78022</v>
      </c>
      <c r="BN1019" s="28" t="n"/>
      <c r="BO1019" s="28" t="n"/>
      <c r="BP1019" s="25" t="n"/>
      <c r="BQ1019" s="27" t="n">
        <v>1.28169</v>
      </c>
      <c r="BR1019" s="28" t="n">
        <v>0.78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True</t>
        </is>
      </c>
      <c r="CT1019" s="24" t="n"/>
      <c r="CU1019" s="24" t="n"/>
      <c r="CV1019" s="24" t="n"/>
      <c r="CW1019" s="24" t="n"/>
      <c r="CX1019" s="24" t="n"/>
      <c r="CY1019" s="24" t="n"/>
      <c r="CZ1019" s="24" t="n"/>
      <c r="DA1019" s="24" t="n"/>
      <c r="DB1019" s="24" t="n"/>
      <c r="DC1019" s="24" t="n"/>
      <c r="DD1019" s="24" t="inlineStr">
        <is>
          <t>f135c2d17ba6c04b67fc473998809873146533a10cb85cc37f434f3907e736cd</t>
        </is>
      </c>
      <c r="DE1019" s="24" t="inlineStr">
        <is>
          <t>/Users/vincentc9002/model-prediction/data/odds/tennis/2026-09-08/polymarket_snapshots.jsonl</t>
        </is>
      </c>
      <c r="DF1019" s="24" t="inlineStr">
        <is>
          <t>714073:2026-09-08T16:07:48.984438Z</t>
        </is>
      </c>
      <c r="DG1019" s="24" t="n"/>
      <c r="DH1019" s="24" t="n"/>
      <c r="DI1019" s="24" t="n"/>
      <c r="DJ1019" s="24" t="inlineStr">
        <is>
          <t>0.78022</t>
        </is>
      </c>
      <c r="DK1019" s="24" t="n"/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25086025bed14df8</t>
        </is>
      </c>
      <c r="B1020" s="24" t="inlineStr">
        <is>
          <t>2026-09-08T16:16:04.467060Z</t>
        </is>
      </c>
      <c r="C1020" s="24" t="inlineStr">
        <is>
          <t>2026-09-08T16:30Z</t>
        </is>
      </c>
      <c r="D1020" s="24" t="inlineStr">
        <is>
          <t>998-2026:183593</t>
        </is>
      </c>
      <c r="E1020" s="24" t="inlineStr">
        <is>
          <t>TENNIS</t>
        </is>
      </c>
      <c r="F1020" s="24" t="inlineStr">
        <is>
          <t>Jennifer Ruggeri</t>
        </is>
      </c>
      <c r="G1020" s="24" t="inlineStr">
        <is>
          <t>Martina Trevisan</t>
        </is>
      </c>
      <c r="H1020" s="24" t="inlineStr">
        <is>
          <t>moneyline</t>
        </is>
      </c>
      <c r="I1020" s="24" t="inlineStr">
        <is>
          <t>home</t>
        </is>
      </c>
      <c r="J1020" s="25" t="n"/>
      <c r="K1020" s="24" t="inlineStr">
        <is>
          <t>polymarket_us</t>
        </is>
      </c>
      <c r="L1020" s="26" t="n">
        <v>-233</v>
      </c>
      <c r="M1020" s="27" t="n">
        <v>1.429185</v>
      </c>
      <c r="N1020" s="28" t="n">
        <v>0.6997</v>
      </c>
      <c r="O1020" s="28" t="n">
        <v>0.5239</v>
      </c>
      <c r="P1020" s="28" t="n">
        <v>0.05</v>
      </c>
      <c r="Q1020" s="28" t="n">
        <v>-0.1758</v>
      </c>
      <c r="R1020" s="26" t="n">
        <v>0</v>
      </c>
      <c r="S1020" s="29" t="n">
        <v>1</v>
      </c>
      <c r="T1020" s="24" t="inlineStr">
        <is>
          <t>tennis-surface-elo-v1</t>
        </is>
      </c>
      <c r="U1020" s="24" t="inlineStr">
        <is>
          <t>settled</t>
        </is>
      </c>
      <c r="V1020" s="24" t="inlineStr">
        <is>
          <t>win</t>
        </is>
      </c>
      <c r="W1020" s="26" t="n">
        <v>0</v>
      </c>
      <c r="X1020" s="26" t="n">
        <v>1</v>
      </c>
      <c r="Y1020" s="25" t="n"/>
      <c r="Z1020" s="26" t="n">
        <v>-233</v>
      </c>
      <c r="AA1020" s="28" t="n">
        <v>0.7</v>
      </c>
      <c r="AB1020" s="28" t="n">
        <v>0.0003</v>
      </c>
      <c r="AC1020" s="30" t="n">
        <v>0.4292</v>
      </c>
      <c r="AD1020" s="24" t="inlineStr">
        <is>
          <t>2026-09-08T22:15:30.510445Z</t>
        </is>
      </c>
      <c r="AE1020" s="31" t="inlineStr">
        <is>
          <t>Surface-blended Elo on Hard: Jennifer Ruggeri p=0.476 vs Martina Trevisan. Executable ask 0.7000 (aec-wta-martre-jenrug-2026-09-08).</t>
        </is>
      </c>
      <c r="AF1020" s="31" t="inlineStr">
        <is>
          <t>Surface-blended Elo model; singles only, WTA+ATP market coverage, not yet locked-holdout qualified -- promoted by explicit operator directive, not genuine walk-forward validation.</t>
        </is>
      </c>
      <c r="AG1020" s="24" t="inlineStr">
        <is>
          <t>not_applicable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PAPER_CALL_LOW_EDGE</t>
        </is>
      </c>
      <c r="AP1020" s="24" t="inlineStr">
        <is>
          <t>Jennifer Ruggeri</t>
        </is>
      </c>
      <c r="AQ1020" s="24" t="inlineStr">
        <is>
          <t>Jennifer Ruggeri</t>
        </is>
      </c>
      <c r="AR1020" s="24" t="inlineStr">
        <is>
          <t>Jennifer Ruggeri</t>
        </is>
      </c>
      <c r="AS1020" s="24" t="inlineStr">
        <is>
          <t>Martina Trevisan</t>
        </is>
      </c>
      <c r="AT1020" s="24" t="inlineStr">
        <is>
          <t>Martina Trevisan</t>
        </is>
      </c>
      <c r="AU1020" s="24" t="inlineStr">
        <is>
          <t>Martina Trevisan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shadow_qualified</t>
        </is>
      </c>
      <c r="BA1020" s="24" t="inlineStr">
        <is>
          <t>0ce66f49b381187fe6255a40ca2fdbfc155d5e36125ccf6d30fe81a72962eafa</t>
        </is>
      </c>
      <c r="BB1020" s="24" t="inlineStr">
        <is>
          <t>surface_blended_elo</t>
        </is>
      </c>
      <c r="BC1020" s="24" t="inlineStr">
        <is>
          <t>tennis-surface-elo-v1</t>
        </is>
      </c>
      <c r="BD1020" s="24" t="inlineStr">
        <is>
          <t>0ce66f49b381187fe6255a40ca2fdbfc155d5e36125ccf6d30fe81a72962eafa</t>
        </is>
      </c>
      <c r="BE1020" s="24" t="inlineStr">
        <is>
          <t>tennis-surface-elo-v1</t>
        </is>
      </c>
      <c r="BF1020" s="24" t="inlineStr">
        <is>
          <t>1</t>
        </is>
      </c>
      <c r="BG1020" s="24" t="inlineStr">
        <is>
          <t>0ce66f49b381187fe6255a40ca2fdbfc155d5e36125ccf6d30fe81a72962eafa</t>
        </is>
      </c>
      <c r="BH1020" s="24" t="inlineStr">
        <is>
          <t>2026-09-08T16:07:48.926829Z</t>
        </is>
      </c>
      <c r="BI1020" s="24" t="inlineStr">
        <is>
          <t>["same_event","same_team_same_day","same_league_same_day"]</t>
        </is>
      </c>
      <c r="BJ1020" s="25" t="n"/>
      <c r="BK1020" s="26" t="n">
        <v>-233</v>
      </c>
      <c r="BL1020" s="27" t="n">
        <v>1.429185</v>
      </c>
      <c r="BM1020" s="28" t="n">
        <v>0.6997</v>
      </c>
      <c r="BN1020" s="28" t="n"/>
      <c r="BO1020" s="28" t="n"/>
      <c r="BP1020" s="25" t="n"/>
      <c r="BQ1020" s="27" t="n">
        <v>1.429185</v>
      </c>
      <c r="BR1020" s="28" t="n">
        <v>0.7</v>
      </c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False</t>
        </is>
      </c>
      <c r="CT1020" s="24" t="n"/>
      <c r="CU1020" s="24" t="n"/>
      <c r="CV1020" s="24" t="n"/>
      <c r="CW1020" s="24" t="n"/>
      <c r="CX1020" s="24" t="n"/>
      <c r="CY1020" s="24" t="n"/>
      <c r="CZ1020" s="24" t="n"/>
      <c r="DA1020" s="24" t="n"/>
      <c r="DB1020" s="24" t="n"/>
      <c r="DC1020" s="24" t="n"/>
      <c r="DD1020" s="24" t="inlineStr">
        <is>
          <t>3f0dd6d814c97d23ca7154155904c5fded7d2552e8716c4c1eee0a196937add5</t>
        </is>
      </c>
      <c r="DE1020" s="24" t="inlineStr">
        <is>
          <t>/Users/vincentc9002/model-prediction/data/odds/tennis/2026-09-08/polymarket_snapshots.jsonl</t>
        </is>
      </c>
      <c r="DF1020" s="24" t="inlineStr">
        <is>
          <t>718521:2026-09-08T16:07:48.926829Z</t>
        </is>
      </c>
      <c r="DG1020" s="24" t="n"/>
      <c r="DH1020" s="24" t="n"/>
      <c r="DI1020" s="24" t="n"/>
      <c r="DJ1020" s="24" t="inlineStr">
        <is>
          <t>0.6997</t>
        </is>
      </c>
      <c r="DK1020" s="24" t="n"/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6c2797ae44914a96</t>
        </is>
      </c>
      <c r="B1021" s="24" t="inlineStr">
        <is>
          <t>2026-09-08T16:16:04.467060Z</t>
        </is>
      </c>
      <c r="C1021" s="24" t="inlineStr">
        <is>
          <t>2026-09-08T18:30Z</t>
        </is>
      </c>
      <c r="D1021" s="24" t="inlineStr">
        <is>
          <t>964-2026:183615</t>
        </is>
      </c>
      <c r="E1021" s="24" t="inlineStr">
        <is>
          <t>TENNIS</t>
        </is>
      </c>
      <c r="F1021" s="24" t="inlineStr">
        <is>
          <t>Anna Rogers</t>
        </is>
      </c>
      <c r="G1021" s="24" t="inlineStr">
        <is>
          <t>Kaitlin Quevedo</t>
        </is>
      </c>
      <c r="H1021" s="24" t="inlineStr">
        <is>
          <t>moneyline</t>
        </is>
      </c>
      <c r="I1021" s="24" t="inlineStr">
        <is>
          <t>home</t>
        </is>
      </c>
      <c r="J1021" s="25" t="n"/>
      <c r="K1021" s="24" t="inlineStr">
        <is>
          <t>polymarket_us</t>
        </is>
      </c>
      <c r="L1021" s="26" t="n">
        <v>-614</v>
      </c>
      <c r="M1021" s="27" t="n">
        <v>1.162866</v>
      </c>
      <c r="N1021" s="28" t="n">
        <v>0.859944</v>
      </c>
      <c r="O1021" s="28" t="n">
        <v>0.6534</v>
      </c>
      <c r="P1021" s="28" t="n">
        <v>0.05</v>
      </c>
      <c r="Q1021" s="28" t="n">
        <v>-0.206544</v>
      </c>
      <c r="R1021" s="26" t="n">
        <v>0</v>
      </c>
      <c r="S1021" s="29" t="n">
        <v>1</v>
      </c>
      <c r="T1021" s="24" t="inlineStr">
        <is>
          <t>tennis-surface-elo-v1</t>
        </is>
      </c>
      <c r="U1021" s="24" t="inlineStr">
        <is>
          <t>settled</t>
        </is>
      </c>
      <c r="V1021" s="24" t="inlineStr">
        <is>
          <t>win</t>
        </is>
      </c>
      <c r="W1021" s="26" t="n">
        <v>0</v>
      </c>
      <c r="X1021" s="26" t="n">
        <v>1</v>
      </c>
      <c r="Y1021" s="25" t="n"/>
      <c r="Z1021" s="26" t="n">
        <v>-614</v>
      </c>
      <c r="AA1021" s="28" t="n">
        <v>0.86</v>
      </c>
      <c r="AB1021" s="28" t="n">
        <v>5.6e-05</v>
      </c>
      <c r="AC1021" s="30" t="n">
        <v>0.1629</v>
      </c>
      <c r="AD1021" s="24" t="inlineStr">
        <is>
          <t>2026-09-08T22:15:31.386142Z</t>
        </is>
      </c>
      <c r="AE1021" s="31" t="inlineStr">
        <is>
          <t>Surface-blended Elo on Hard: Anna Rogers p=0.347 vs Kaitlin Quevedo. Executable ask 0.8600 (aec-wta-kaique-annrog-2026-09-08).</t>
        </is>
      </c>
      <c r="AF1021" s="31" t="inlineStr">
        <is>
          <t>Surface-blended Elo model; singles only, WTA+ATP market coverage, not yet locked-holdout qualified -- promoted by explicit operator directive, not genuine walk-forward validation.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paper_call</t>
        </is>
      </c>
      <c r="AL1021" s="26" t="n">
        <v>4</v>
      </c>
      <c r="AM1021" s="24" t="inlineStr">
        <is>
          <t>RESEARCH_OBSERVATION</t>
        </is>
      </c>
      <c r="AN1021" s="24" t="inlineStr">
        <is>
          <t>CALL</t>
        </is>
      </c>
      <c r="AO1021" s="24" t="inlineStr">
        <is>
          <t>PAPER_CALL_LOW_EDGE</t>
        </is>
      </c>
      <c r="AP1021" s="24" t="inlineStr">
        <is>
          <t>Anna Rogers</t>
        </is>
      </c>
      <c r="AQ1021" s="24" t="inlineStr">
        <is>
          <t>Anna Rogers</t>
        </is>
      </c>
      <c r="AR1021" s="24" t="inlineStr">
        <is>
          <t>Anna Rogers</t>
        </is>
      </c>
      <c r="AS1021" s="24" t="inlineStr">
        <is>
          <t>Kaitlin Quevedo</t>
        </is>
      </c>
      <c r="AT1021" s="24" t="inlineStr">
        <is>
          <t>Kaitlin Quevedo</t>
        </is>
      </c>
      <c r="AU1021" s="24" t="inlineStr">
        <is>
          <t>Kaitlin Quevedo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shadow_qualified</t>
        </is>
      </c>
      <c r="BA1021" s="24" t="inlineStr">
        <is>
          <t>0ce66f49b381187fe6255a40ca2fdbfc155d5e36125ccf6d30fe81a72962eafa</t>
        </is>
      </c>
      <c r="BB1021" s="24" t="inlineStr">
        <is>
          <t>surface_blended_elo</t>
        </is>
      </c>
      <c r="BC1021" s="24" t="inlineStr">
        <is>
          <t>tennis-surface-elo-v1</t>
        </is>
      </c>
      <c r="BD1021" s="24" t="inlineStr">
        <is>
          <t>0ce66f49b381187fe6255a40ca2fdbfc155d5e36125ccf6d30fe81a72962eafa</t>
        </is>
      </c>
      <c r="BE1021" s="24" t="inlineStr">
        <is>
          <t>tennis-surface-elo-v1</t>
        </is>
      </c>
      <c r="BF1021" s="24" t="inlineStr">
        <is>
          <t>1</t>
        </is>
      </c>
      <c r="BG1021" s="24" t="inlineStr">
        <is>
          <t>0ce66f49b381187fe6255a40ca2fdbfc155d5e36125ccf6d30fe81a72962eafa</t>
        </is>
      </c>
      <c r="BH1021" s="24" t="inlineStr">
        <is>
          <t>2026-09-08T16:07:48.923102Z</t>
        </is>
      </c>
      <c r="BI1021" s="24" t="inlineStr">
        <is>
          <t>["same_event","same_team_same_day","same_league_same_day"]</t>
        </is>
      </c>
      <c r="BJ1021" s="25" t="n"/>
      <c r="BK1021" s="26" t="n">
        <v>-614</v>
      </c>
      <c r="BL1021" s="27" t="n">
        <v>1.162866</v>
      </c>
      <c r="BM1021" s="28" t="n">
        <v>0.859944</v>
      </c>
      <c r="BN1021" s="28" t="n"/>
      <c r="BO1021" s="28" t="n"/>
      <c r="BP1021" s="25" t="n"/>
      <c r="BQ1021" s="27" t="n">
        <v>1.162866</v>
      </c>
      <c r="BR1021" s="28" t="n">
        <v>0.86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False</t>
        </is>
      </c>
      <c r="CT1021" s="24" t="n"/>
      <c r="CU1021" s="24" t="n"/>
      <c r="CV1021" s="24" t="n"/>
      <c r="CW1021" s="24" t="n"/>
      <c r="CX1021" s="24" t="n"/>
      <c r="CY1021" s="24" t="n"/>
      <c r="CZ1021" s="24" t="n"/>
      <c r="DA1021" s="24" t="n"/>
      <c r="DB1021" s="24" t="n"/>
      <c r="DC1021" s="24" t="n"/>
      <c r="DD1021" s="24" t="inlineStr">
        <is>
          <t>c1b94011302c114b9526bf41b230e32ae92866e6486af3dc7caa16d32140dec3</t>
        </is>
      </c>
      <c r="DE1021" s="24" t="inlineStr">
        <is>
          <t>/Users/vincentc9002/model-prediction/data/odds/tennis/2026-09-08/polymarket_snapshots.jsonl</t>
        </is>
      </c>
      <c r="DF1021" s="24" t="inlineStr">
        <is>
          <t>721137:2026-09-08T16:07:48.923102Z</t>
        </is>
      </c>
      <c r="DG1021" s="24" t="n"/>
      <c r="DH1021" s="24" t="n"/>
      <c r="DI1021" s="24" t="n"/>
      <c r="DJ1021" s="24" t="inlineStr">
        <is>
          <t>0.859944</t>
        </is>
      </c>
      <c r="DK1021" s="24" t="n"/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9334781c164c4854</t>
        </is>
      </c>
      <c r="B1022" s="24" t="inlineStr">
        <is>
          <t>2026-09-08T16:16:04.467060Z</t>
        </is>
      </c>
      <c r="C1022" s="24" t="inlineStr">
        <is>
          <t>2026-09-08T18:30Z</t>
        </is>
      </c>
      <c r="D1022" s="24" t="inlineStr">
        <is>
          <t>964-2026:183614</t>
        </is>
      </c>
      <c r="E1022" s="24" t="inlineStr">
        <is>
          <t>TENNIS</t>
        </is>
      </c>
      <c r="F1022" s="24" t="inlineStr">
        <is>
          <t>Claire Liu</t>
        </is>
      </c>
      <c r="G1022" s="24" t="inlineStr">
        <is>
          <t>You Xiaodi</t>
        </is>
      </c>
      <c r="H1022" s="24" t="inlineStr">
        <is>
          <t>moneyline</t>
        </is>
      </c>
      <c r="I1022" s="24" t="inlineStr">
        <is>
          <t>away</t>
        </is>
      </c>
      <c r="J1022" s="25" t="n"/>
      <c r="K1022" s="24" t="inlineStr">
        <is>
          <t>polymarket_us</t>
        </is>
      </c>
      <c r="L1022" s="26" t="n">
        <v>-355</v>
      </c>
      <c r="M1022" s="27" t="n">
        <v>1.28169</v>
      </c>
      <c r="N1022" s="28" t="n">
        <v>0.78022</v>
      </c>
      <c r="O1022" s="28" t="n">
        <v>0.6833</v>
      </c>
      <c r="P1022" s="28" t="n">
        <v>0.05</v>
      </c>
      <c r="Q1022" s="28" t="n">
        <v>-0.09692000000000001</v>
      </c>
      <c r="R1022" s="26" t="n">
        <v>0</v>
      </c>
      <c r="S1022" s="29" t="n">
        <v>1</v>
      </c>
      <c r="T1022" s="24" t="inlineStr">
        <is>
          <t>tennis-surface-elo-v1</t>
        </is>
      </c>
      <c r="U1022" s="24" t="inlineStr">
        <is>
          <t>settled</t>
        </is>
      </c>
      <c r="V1022" s="24" t="inlineStr">
        <is>
          <t>win</t>
        </is>
      </c>
      <c r="W1022" s="26" t="n">
        <v>1</v>
      </c>
      <c r="X1022" s="26" t="n">
        <v>0</v>
      </c>
      <c r="Y1022" s="25" t="n"/>
      <c r="Z1022" s="26" t="n">
        <v>-355</v>
      </c>
      <c r="AA1022" s="28" t="n">
        <v>0.78</v>
      </c>
      <c r="AB1022" s="28" t="n">
        <v>-0.00022</v>
      </c>
      <c r="AC1022" s="30" t="n">
        <v>0.2817</v>
      </c>
      <c r="AD1022" s="24" t="inlineStr">
        <is>
          <t>2026-09-08T22:15:32.253489Z</t>
        </is>
      </c>
      <c r="AE1022" s="31" t="inlineStr">
        <is>
          <t>Surface-blended Elo on Hard: Claire Liu p=0.683 vs You Xiaodi. Executable ask 0.7800 (aec-wta-xiayou-claliu-2026-09-08).</t>
        </is>
      </c>
      <c r="AF1022" s="31" t="inlineStr">
        <is>
          <t>Surface-blended Elo model; singles only, WTA+ATP market coverage, not yet locked-holdout qualified -- promoted by explicit operator directive, not genuine walk-forward validation.</t>
        </is>
      </c>
      <c r="AG1022" s="24" t="inlineStr">
        <is>
          <t>not_applicable</t>
        </is>
      </c>
      <c r="AH1022" s="24" t="n"/>
      <c r="AI1022" s="31" t="n"/>
      <c r="AJ1022" s="31" t="n"/>
      <c r="AK1022" s="24" t="inlineStr">
        <is>
          <t>paper_call</t>
        </is>
      </c>
      <c r="AL1022" s="26" t="n">
        <v>4</v>
      </c>
      <c r="AM1022" s="24" t="inlineStr">
        <is>
          <t>RESEARCH_OBSERVATION</t>
        </is>
      </c>
      <c r="AN1022" s="24" t="inlineStr">
        <is>
          <t>CALL</t>
        </is>
      </c>
      <c r="AO1022" s="24" t="inlineStr">
        <is>
          <t>PAPER_CALL_LOW_EDGE</t>
        </is>
      </c>
      <c r="AP1022" s="24" t="inlineStr">
        <is>
          <t>Claire Liu</t>
        </is>
      </c>
      <c r="AQ1022" s="24" t="inlineStr">
        <is>
          <t>Claire Liu</t>
        </is>
      </c>
      <c r="AR1022" s="24" t="inlineStr">
        <is>
          <t>Claire Liu</t>
        </is>
      </c>
      <c r="AS1022" s="24" t="inlineStr">
        <is>
          <t>You Xiaodi</t>
        </is>
      </c>
      <c r="AT1022" s="24" t="inlineStr">
        <is>
          <t>You Xiaodi</t>
        </is>
      </c>
      <c r="AU1022" s="24" t="inlineStr">
        <is>
          <t>You Xiaodi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shadow_qualified</t>
        </is>
      </c>
      <c r="BA1022" s="24" t="inlineStr">
        <is>
          <t>0ce66f49b381187fe6255a40ca2fdbfc155d5e36125ccf6d30fe81a72962eafa</t>
        </is>
      </c>
      <c r="BB1022" s="24" t="inlineStr">
        <is>
          <t>surface_blended_elo</t>
        </is>
      </c>
      <c r="BC1022" s="24" t="inlineStr">
        <is>
          <t>tennis-surface-elo-v1</t>
        </is>
      </c>
      <c r="BD1022" s="24" t="inlineStr">
        <is>
          <t>0ce66f49b381187fe6255a40ca2fdbfc155d5e36125ccf6d30fe81a72962eafa</t>
        </is>
      </c>
      <c r="BE1022" s="24" t="inlineStr">
        <is>
          <t>tennis-surface-elo-v1</t>
        </is>
      </c>
      <c r="BF1022" s="24" t="inlineStr">
        <is>
          <t>1</t>
        </is>
      </c>
      <c r="BG1022" s="24" t="inlineStr">
        <is>
          <t>0ce66f49b381187fe6255a40ca2fdbfc155d5e36125ccf6d30fe81a72962eafa</t>
        </is>
      </c>
      <c r="BH1022" s="24" t="inlineStr">
        <is>
          <t>2026-09-08T16:07:48.924570Z</t>
        </is>
      </c>
      <c r="BI1022" s="24" t="inlineStr">
        <is>
          <t>["same_event","same_team_same_day","same_league_same_day"]</t>
        </is>
      </c>
      <c r="BJ1022" s="25" t="n"/>
      <c r="BK1022" s="26" t="n">
        <v>-355</v>
      </c>
      <c r="BL1022" s="27" t="n">
        <v>1.28169</v>
      </c>
      <c r="BM1022" s="28" t="n">
        <v>0.78022</v>
      </c>
      <c r="BN1022" s="28" t="n"/>
      <c r="BO1022" s="28" t="n"/>
      <c r="BP1022" s="25" t="n"/>
      <c r="BQ1022" s="27" t="n">
        <v>1.28169</v>
      </c>
      <c r="BR1022" s="28" t="n">
        <v>0.78</v>
      </c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False</t>
        </is>
      </c>
      <c r="CT1022" s="24" t="n"/>
      <c r="CU1022" s="24" t="n"/>
      <c r="CV1022" s="24" t="n"/>
      <c r="CW1022" s="24" t="n"/>
      <c r="CX1022" s="24" t="n"/>
      <c r="CY1022" s="24" t="n"/>
      <c r="CZ1022" s="24" t="n"/>
      <c r="DA1022" s="24" t="n"/>
      <c r="DB1022" s="24" t="n"/>
      <c r="DC1022" s="24" t="n"/>
      <c r="DD1022" s="24" t="inlineStr">
        <is>
          <t>6599a2d21adcb33c9ff5909cc1ba234de67b10bc0099dab42eb1ade5c270938e</t>
        </is>
      </c>
      <c r="DE1022" s="24" t="inlineStr">
        <is>
          <t>/Users/vincentc9002/model-prediction/data/odds/tennis/2026-09-08/polymarket_snapshots.jsonl</t>
        </is>
      </c>
      <c r="DF1022" s="24" t="inlineStr">
        <is>
          <t>713635:2026-09-08T16:07:48.924570Z</t>
        </is>
      </c>
      <c r="DG1022" s="24" t="n"/>
      <c r="DH1022" s="24" t="n"/>
      <c r="DI1022" s="24" t="n"/>
      <c r="DJ1022" s="24" t="inlineStr">
        <is>
          <t>0.78022</t>
        </is>
      </c>
      <c r="DK1022" s="24" t="n"/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44b489ae55f14f50</t>
        </is>
      </c>
      <c r="B1023" s="24" t="inlineStr">
        <is>
          <t>2026-09-08T16:16:04.467060Z</t>
        </is>
      </c>
      <c r="C1023" s="24" t="inlineStr">
        <is>
          <t>2026-09-08T18:30Z</t>
        </is>
      </c>
      <c r="D1023" s="24" t="inlineStr">
        <is>
          <t>964-2026:183618</t>
        </is>
      </c>
      <c r="E1023" s="24" t="inlineStr">
        <is>
          <t>TENNIS</t>
        </is>
      </c>
      <c r="F1023" s="24" t="inlineStr">
        <is>
          <t>Carolina Alves</t>
        </is>
      </c>
      <c r="G1023" s="24" t="inlineStr">
        <is>
          <t>Leolia Jeanjean</t>
        </is>
      </c>
      <c r="H1023" s="24" t="inlineStr">
        <is>
          <t>moneyline</t>
        </is>
      </c>
      <c r="I1023" s="24" t="inlineStr">
        <is>
          <t>home</t>
        </is>
      </c>
      <c r="J1023" s="25" t="n"/>
      <c r="K1023" s="24" t="inlineStr">
        <is>
          <t>polymarket_us</t>
        </is>
      </c>
      <c r="L1023" s="26" t="n">
        <v>-733</v>
      </c>
      <c r="M1023" s="27" t="n">
        <v>1.136426</v>
      </c>
      <c r="N1023" s="28" t="n">
        <v>0.879952</v>
      </c>
      <c r="O1023" s="28" t="n">
        <v>0.6995</v>
      </c>
      <c r="P1023" s="28" t="n">
        <v>0.05</v>
      </c>
      <c r="Q1023" s="28" t="n">
        <v>-0.180452</v>
      </c>
      <c r="R1023" s="26" t="n">
        <v>0</v>
      </c>
      <c r="S1023" s="29" t="n">
        <v>1</v>
      </c>
      <c r="T1023" s="24" t="inlineStr">
        <is>
          <t>tennis-surface-elo-v1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1</v>
      </c>
      <c r="Y1023" s="25" t="n"/>
      <c r="Z1023" s="26" t="n">
        <v>-733</v>
      </c>
      <c r="AA1023" s="28" t="n">
        <v>0.88</v>
      </c>
      <c r="AB1023" s="28" t="n">
        <v>4.8e-05</v>
      </c>
      <c r="AC1023" s="30" t="n">
        <v>0.1364</v>
      </c>
      <c r="AD1023" s="24" t="inlineStr">
        <is>
          <t>2026-09-08T22:15:33.128148Z</t>
        </is>
      </c>
      <c r="AE1023" s="31" t="inlineStr">
        <is>
          <t>Surface-blended Elo on Hard: Carolina Alves p=0.301 vs Leolia Jeanjean. Executable ask 0.8800 (aec-wta-leojea-caralv-2026-09-08).</t>
        </is>
      </c>
      <c r="AF1023" s="31" t="inlineStr">
        <is>
          <t>Surface-blended Elo model; singles only, WTA+ATP market coverage, not yet locked-holdout qualified -- promoted by explicit operator directive, not genuine walk-forward validation.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PAPER_CALL_LOW_EDGE</t>
        </is>
      </c>
      <c r="AP1023" s="24" t="inlineStr">
        <is>
          <t>Carolina Alves</t>
        </is>
      </c>
      <c r="AQ1023" s="24" t="inlineStr">
        <is>
          <t>Carolina Alves</t>
        </is>
      </c>
      <c r="AR1023" s="24" t="inlineStr">
        <is>
          <t>Carolina Alves</t>
        </is>
      </c>
      <c r="AS1023" s="24" t="inlineStr">
        <is>
          <t>Leolia Jeanjean</t>
        </is>
      </c>
      <c r="AT1023" s="24" t="inlineStr">
        <is>
          <t>Leolia Jeanjean</t>
        </is>
      </c>
      <c r="AU1023" s="24" t="inlineStr">
        <is>
          <t>Leolia Jeanjean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inlineStr">
        <is>
          <t>0ce66f49b381187fe6255a40ca2fdbfc155d5e36125ccf6d30fe81a72962eafa</t>
        </is>
      </c>
      <c r="BB1023" s="24" t="inlineStr">
        <is>
          <t>surface_blended_elo</t>
        </is>
      </c>
      <c r="BC1023" s="24" t="inlineStr">
        <is>
          <t>tennis-surface-elo-v1</t>
        </is>
      </c>
      <c r="BD1023" s="24" t="inlineStr">
        <is>
          <t>0ce66f49b381187fe6255a40ca2fdbfc155d5e36125ccf6d30fe81a72962eafa</t>
        </is>
      </c>
      <c r="BE1023" s="24" t="inlineStr">
        <is>
          <t>tennis-surface-elo-v1</t>
        </is>
      </c>
      <c r="BF1023" s="24" t="inlineStr">
        <is>
          <t>1</t>
        </is>
      </c>
      <c r="BG1023" s="24" t="inlineStr">
        <is>
          <t>0ce66f49b381187fe6255a40ca2fdbfc155d5e36125ccf6d30fe81a72962eafa</t>
        </is>
      </c>
      <c r="BH1023" s="24" t="inlineStr">
        <is>
          <t>2026-09-08T16:07:48.927589Z</t>
        </is>
      </c>
      <c r="BI1023" s="24" t="inlineStr">
        <is>
          <t>["same_event","same_team_same_day","same_league_same_day"]</t>
        </is>
      </c>
      <c r="BJ1023" s="25" t="n"/>
      <c r="BK1023" s="26" t="n">
        <v>-733</v>
      </c>
      <c r="BL1023" s="27" t="n">
        <v>1.136426</v>
      </c>
      <c r="BM1023" s="28" t="n">
        <v>0.879952</v>
      </c>
      <c r="BN1023" s="28" t="n"/>
      <c r="BO1023" s="28" t="n"/>
      <c r="BP1023" s="25" t="n"/>
      <c r="BQ1023" s="27" t="n">
        <v>1.136426</v>
      </c>
      <c r="BR1023" s="28" t="n">
        <v>0.88</v>
      </c>
      <c r="BS1023" s="28" t="n"/>
      <c r="BT1023" s="28" t="n"/>
      <c r="BU1023" s="25" t="n"/>
      <c r="BV1023" s="29" t="n"/>
      <c r="BW1023" s="24" t="n"/>
      <c r="BX1023" s="30" t="n"/>
      <c r="BY1023" s="27" t="n"/>
      <c r="BZ1023" s="24" t="n"/>
      <c r="CA1023" s="31" t="n"/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False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inlineStr">
        <is>
          <t>610dc94aa990f6619c45241a082705b0619783d659cac15fc51aceaeb0079f23</t>
        </is>
      </c>
      <c r="DE1023" s="24" t="inlineStr">
        <is>
          <t>/Users/vincentc9002/model-prediction/data/odds/tennis/2026-09-08/polymarket_snapshots.jsonl</t>
        </is>
      </c>
      <c r="DF1023" s="24" t="inlineStr">
        <is>
          <t>721136:2026-09-08T16:07:48.927589Z</t>
        </is>
      </c>
      <c r="DG1023" s="24" t="n"/>
      <c r="DH1023" s="24" t="n"/>
      <c r="DI1023" s="24" t="n"/>
      <c r="DJ1023" s="24" t="inlineStr">
        <is>
          <t>0.879952</t>
        </is>
      </c>
      <c r="DK1023" s="24" t="n"/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7dffa1293b294792</t>
        </is>
      </c>
      <c r="B1024" s="24" t="inlineStr">
        <is>
          <t>2026-09-08T16:16:04.467060Z</t>
        </is>
      </c>
      <c r="C1024" s="24" t="inlineStr">
        <is>
          <t>2026-09-08T20:00Z</t>
        </is>
      </c>
      <c r="D1024" s="24" t="inlineStr">
        <is>
          <t>964-2026:183625</t>
        </is>
      </c>
      <c r="E1024" s="24" t="inlineStr">
        <is>
          <t>TENNIS</t>
        </is>
      </c>
      <c r="F1024" s="24" t="inlineStr">
        <is>
          <t>Sara Sorribes Tormo</t>
        </is>
      </c>
      <c r="G1024" s="24" t="inlineStr">
        <is>
          <t>Cadence Brace</t>
        </is>
      </c>
      <c r="H1024" s="24" t="inlineStr">
        <is>
          <t>moneyline</t>
        </is>
      </c>
      <c r="I1024" s="24" t="inlineStr">
        <is>
          <t>away</t>
        </is>
      </c>
      <c r="J1024" s="25" t="n"/>
      <c r="K1024" s="24" t="inlineStr">
        <is>
          <t>polymarket_us</t>
        </is>
      </c>
      <c r="L1024" s="26" t="n">
        <v>-223</v>
      </c>
      <c r="M1024" s="27" t="n">
        <v>1.44843</v>
      </c>
      <c r="N1024" s="28" t="n">
        <v>0.690402</v>
      </c>
      <c r="O1024" s="28" t="n">
        <v>0.6647</v>
      </c>
      <c r="P1024" s="28" t="n">
        <v>0.05</v>
      </c>
      <c r="Q1024" s="28" t="n">
        <v>-0.025702</v>
      </c>
      <c r="R1024" s="26" t="n">
        <v>7</v>
      </c>
      <c r="S1024" s="29" t="n">
        <v>1</v>
      </c>
      <c r="T1024" s="24" t="inlineStr">
        <is>
          <t>tennis-surface-elo-v1</t>
        </is>
      </c>
      <c r="U1024" s="24" t="inlineStr">
        <is>
          <t>settled</t>
        </is>
      </c>
      <c r="V1024" s="24" t="inlineStr">
        <is>
          <t>win</t>
        </is>
      </c>
      <c r="W1024" s="26" t="n">
        <v>1</v>
      </c>
      <c r="X1024" s="26" t="n">
        <v>0</v>
      </c>
      <c r="Y1024" s="25" t="n"/>
      <c r="Z1024" s="26" t="n">
        <v>-223</v>
      </c>
      <c r="AA1024" s="28" t="n">
        <v>0.6899999999999999</v>
      </c>
      <c r="AB1024" s="28" t="n">
        <v>-0.000402</v>
      </c>
      <c r="AC1024" s="30" t="n">
        <v>0.4484</v>
      </c>
      <c r="AD1024" s="24" t="inlineStr">
        <is>
          <t>2026-09-09T04:31:22.135253Z</t>
        </is>
      </c>
      <c r="AE1024" s="31" t="inlineStr">
        <is>
          <t>Surface-blended Elo on Hard: Sara Sorribes Tormo p=0.665 vs Cadence Brace. Executable ask 0.6900 (aec-wta-cadbra-sartor-2026-09-08).</t>
        </is>
      </c>
      <c r="AF1024" s="31" t="inlineStr">
        <is>
          <t>Surface-blended Elo model; singles only, WTA+ATP market coverage, not yet locked-holdout qualified -- promoted by explicit operator directive, not genuine walk-forward validation.</t>
        </is>
      </c>
      <c r="AG1024" s="24" t="inlineStr">
        <is>
          <t>not_applicable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PAPER_CALL_LOW_EDGE</t>
        </is>
      </c>
      <c r="AP1024" s="24" t="inlineStr">
        <is>
          <t>Sara Sorribes Tormo</t>
        </is>
      </c>
      <c r="AQ1024" s="24" t="inlineStr">
        <is>
          <t>Sara Sorribes Tormo</t>
        </is>
      </c>
      <c r="AR1024" s="24" t="inlineStr">
        <is>
          <t>Sara Sorribes Tormo</t>
        </is>
      </c>
      <c r="AS1024" s="24" t="inlineStr">
        <is>
          <t>Cadence Brace</t>
        </is>
      </c>
      <c r="AT1024" s="24" t="inlineStr">
        <is>
          <t>Cadence Brace</t>
        </is>
      </c>
      <c r="AU1024" s="24" t="inlineStr">
        <is>
          <t>Cadence Brace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inlineStr">
        <is>
          <t>0ce66f49b381187fe6255a40ca2fdbfc155d5e36125ccf6d30fe81a72962eafa</t>
        </is>
      </c>
      <c r="BB1024" s="24" t="inlineStr">
        <is>
          <t>surface_blended_elo</t>
        </is>
      </c>
      <c r="BC1024" s="24" t="inlineStr">
        <is>
          <t>tennis-surface-elo-v1</t>
        </is>
      </c>
      <c r="BD1024" s="24" t="inlineStr">
        <is>
          <t>0ce66f49b381187fe6255a40ca2fdbfc155d5e36125ccf6d30fe81a72962eafa</t>
        </is>
      </c>
      <c r="BE1024" s="24" t="inlineStr">
        <is>
          <t>tennis-surface-elo-v1</t>
        </is>
      </c>
      <c r="BF1024" s="24" t="inlineStr">
        <is>
          <t>1</t>
        </is>
      </c>
      <c r="BG1024" s="24" t="inlineStr">
        <is>
          <t>0ce66f49b381187fe6255a40ca2fdbfc155d5e36125ccf6d30fe81a72962eafa</t>
        </is>
      </c>
      <c r="BH1024" s="24" t="inlineStr">
        <is>
          <t>2026-09-08T16:07:48.922363Z</t>
        </is>
      </c>
      <c r="BI1024" s="24" t="inlineStr">
        <is>
          <t>["same_event","same_team_same_day","same_league_same_day"]</t>
        </is>
      </c>
      <c r="BJ1024" s="25" t="n"/>
      <c r="BK1024" s="26" t="n">
        <v>-223</v>
      </c>
      <c r="BL1024" s="27" t="n">
        <v>1.44843</v>
      </c>
      <c r="BM1024" s="28" t="n">
        <v>0.690402</v>
      </c>
      <c r="BN1024" s="28" t="n"/>
      <c r="BO1024" s="28" t="n"/>
      <c r="BP1024" s="25" t="n"/>
      <c r="BQ1024" s="27" t="n">
        <v>1.44843</v>
      </c>
      <c r="BR1024" s="28" t="n">
        <v>0.6899999999999999</v>
      </c>
      <c r="BS1024" s="28" t="n"/>
      <c r="BT1024" s="28" t="n"/>
      <c r="BU1024" s="25" t="n"/>
      <c r="BV1024" s="29" t="n"/>
      <c r="BW1024" s="24" t="n"/>
      <c r="BX1024" s="30" t="n"/>
      <c r="BY1024" s="27" t="n"/>
      <c r="BZ1024" s="24" t="n"/>
      <c r="CA1024" s="31" t="n"/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False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inlineStr">
        <is>
          <t>bb84cefbe20d84f11029101592a5fbd60f2fd686ef8dddbbbc604daadcd99ead</t>
        </is>
      </c>
      <c r="DE1024" s="24" t="inlineStr">
        <is>
          <t>/Users/vincentc9002/model-prediction/data/odds/tennis/2026-09-08/polymarket_snapshots.jsonl</t>
        </is>
      </c>
      <c r="DF1024" s="24" t="inlineStr">
        <is>
          <t>713634:2026-09-08T16:07:48.922363Z</t>
        </is>
      </c>
      <c r="DG1024" s="24" t="n"/>
      <c r="DH1024" s="24" t="n"/>
      <c r="DI1024" s="24" t="n"/>
      <c r="DJ1024" s="24" t="inlineStr">
        <is>
          <t>0.690402</t>
        </is>
      </c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e7a6b604be9f44f3</t>
        </is>
      </c>
      <c r="B1025" s="24" t="inlineStr">
        <is>
          <t>2026-09-08T16:16:04.467060Z</t>
        </is>
      </c>
      <c r="C1025" s="24" t="inlineStr">
        <is>
          <t>2026-09-08T20:00Z</t>
        </is>
      </c>
      <c r="D1025" s="24" t="inlineStr">
        <is>
          <t>964-2026:183631</t>
        </is>
      </c>
      <c r="E1025" s="24" t="inlineStr">
        <is>
          <t>TENNIS</t>
        </is>
      </c>
      <c r="F1025" s="24" t="inlineStr">
        <is>
          <t>Nadia Podoroska</t>
        </is>
      </c>
      <c r="G1025" s="24" t="inlineStr">
        <is>
          <t>Ena Koike</t>
        </is>
      </c>
      <c r="H1025" s="24" t="inlineStr">
        <is>
          <t>moneyline</t>
        </is>
      </c>
      <c r="I1025" s="24" t="inlineStr">
        <is>
          <t>away</t>
        </is>
      </c>
      <c r="J1025" s="25" t="n"/>
      <c r="K1025" s="24" t="inlineStr">
        <is>
          <t>polymarket_us</t>
        </is>
      </c>
      <c r="L1025" s="26" t="n">
        <v>-233</v>
      </c>
      <c r="M1025" s="27" t="n">
        <v>1.429185</v>
      </c>
      <c r="N1025" s="28" t="n">
        <v>0.6997</v>
      </c>
      <c r="O1025" s="28" t="n">
        <v>0.6022999999999999</v>
      </c>
      <c r="P1025" s="28" t="n">
        <v>0.05</v>
      </c>
      <c r="Q1025" s="28" t="n">
        <v>-0.0974</v>
      </c>
      <c r="R1025" s="26" t="n">
        <v>0</v>
      </c>
      <c r="S1025" s="29" t="n">
        <v>1</v>
      </c>
      <c r="T1025" s="24" t="inlineStr">
        <is>
          <t>tennis-surface-elo-v1</t>
        </is>
      </c>
      <c r="U1025" s="24" t="inlineStr">
        <is>
          <t>settled</t>
        </is>
      </c>
      <c r="V1025" s="24" t="inlineStr">
        <is>
          <t>win</t>
        </is>
      </c>
      <c r="W1025" s="26" t="n">
        <v>1</v>
      </c>
      <c r="X1025" s="26" t="n">
        <v>0</v>
      </c>
      <c r="Y1025" s="25" t="n"/>
      <c r="Z1025" s="26" t="n">
        <v>-233</v>
      </c>
      <c r="AA1025" s="28" t="n">
        <v>0.7</v>
      </c>
      <c r="AB1025" s="28" t="n">
        <v>0.0003</v>
      </c>
      <c r="AC1025" s="30" t="n">
        <v>0.4292</v>
      </c>
      <c r="AD1025" s="24" t="inlineStr">
        <is>
          <t>2026-09-09T04:31:22.575748Z</t>
        </is>
      </c>
      <c r="AE1025" s="31" t="inlineStr">
        <is>
          <t>Surface-blended Elo on Hard: Nadia Podoroska p=0.602 vs Ena Koike. Executable ask 0.7000 (aec-wta-enakoi-nadpod-2026-09-08).</t>
        </is>
      </c>
      <c r="AF1025" s="31" t="inlineStr">
        <is>
          <t>Surface-blended Elo model; singles only, WTA+ATP market coverage, not yet locked-holdout qualified -- promoted by explicit operator directive, not genuine walk-forward validation.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PAPER_CALL_MODEL_UNVALIDATED</t>
        </is>
      </c>
      <c r="AP1025" s="24" t="inlineStr">
        <is>
          <t>Nadia Podoroska</t>
        </is>
      </c>
      <c r="AQ1025" s="24" t="inlineStr">
        <is>
          <t>Nadia Podoroska</t>
        </is>
      </c>
      <c r="AR1025" s="24" t="inlineStr">
        <is>
          <t>Nadia Podoroska</t>
        </is>
      </c>
      <c r="AS1025" s="24" t="inlineStr">
        <is>
          <t>Ena Koike</t>
        </is>
      </c>
      <c r="AT1025" s="24" t="inlineStr">
        <is>
          <t>Ena Koike</t>
        </is>
      </c>
      <c r="AU1025" s="24" t="inlineStr">
        <is>
          <t>Ena Koike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inlineStr">
        <is>
          <t>0ce66f49b381187fe6255a40ca2fdbfc155d5e36125ccf6d30fe81a72962eafa</t>
        </is>
      </c>
      <c r="BB1025" s="24" t="inlineStr">
        <is>
          <t>surface_blended_elo</t>
        </is>
      </c>
      <c r="BC1025" s="24" t="inlineStr">
        <is>
          <t>tennis-surface-elo-v1</t>
        </is>
      </c>
      <c r="BD1025" s="24" t="inlineStr">
        <is>
          <t>0ce66f49b381187fe6255a40ca2fdbfc155d5e36125ccf6d30fe81a72962eafa</t>
        </is>
      </c>
      <c r="BE1025" s="24" t="inlineStr">
        <is>
          <t>tennis-surface-elo-v1</t>
        </is>
      </c>
      <c r="BF1025" s="24" t="inlineStr">
        <is>
          <t>1</t>
        </is>
      </c>
      <c r="BG1025" s="24" t="inlineStr">
        <is>
          <t>0ce66f49b381187fe6255a40ca2fdbfc155d5e36125ccf6d30fe81a72962eafa</t>
        </is>
      </c>
      <c r="BH1025" s="24" t="inlineStr">
        <is>
          <t>2026-09-08T16:07:48.956022Z</t>
        </is>
      </c>
      <c r="BI1025" s="24" t="inlineStr">
        <is>
          <t>["same_event","same_team_same_day","same_league_same_day"]</t>
        </is>
      </c>
      <c r="BJ1025" s="25" t="n"/>
      <c r="BK1025" s="26" t="n">
        <v>-233</v>
      </c>
      <c r="BL1025" s="27" t="n">
        <v>1.429185</v>
      </c>
      <c r="BM1025" s="28" t="n">
        <v>0.6997</v>
      </c>
      <c r="BN1025" s="28" t="n"/>
      <c r="BO1025" s="28" t="n"/>
      <c r="BP1025" s="25" t="n"/>
      <c r="BQ1025" s="27" t="n">
        <v>1.429185</v>
      </c>
      <c r="BR1025" s="28" t="n">
        <v>0.7</v>
      </c>
      <c r="BS1025" s="28" t="n"/>
      <c r="BT1025" s="28" t="n"/>
      <c r="BU1025" s="25" t="n"/>
      <c r="BV1025" s="29" t="n"/>
      <c r="BW1025" s="24" t="n"/>
      <c r="BX1025" s="30" t="n"/>
      <c r="BY1025" s="27" t="n"/>
      <c r="BZ1025" s="24" t="n"/>
      <c r="CA1025" s="31" t="n"/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inlineStr">
        <is>
          <t>cd56e4f5603aba5d10bcd48ee64a640f993cbbce6d5fea359dc69b03d070e526</t>
        </is>
      </c>
      <c r="DE1025" s="24" t="inlineStr">
        <is>
          <t>/Users/vincentc9002/model-prediction/data/odds/tennis/2026-09-08/polymarket_snapshots.jsonl</t>
        </is>
      </c>
      <c r="DF1025" s="24" t="inlineStr">
        <is>
          <t>721140:2026-09-08T16:07:48.956022Z</t>
        </is>
      </c>
      <c r="DG1025" s="24" t="n"/>
      <c r="DH1025" s="24" t="n"/>
      <c r="DI1025" s="24" t="n"/>
      <c r="DJ1025" s="24" t="inlineStr">
        <is>
          <t>0.6997</t>
        </is>
      </c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7472646388e14548</t>
        </is>
      </c>
      <c r="B1026" s="24" t="inlineStr">
        <is>
          <t>2026-09-08T16:16:04.467060Z</t>
        </is>
      </c>
      <c r="C1026" s="24" t="inlineStr">
        <is>
          <t>2026-09-08T20:00Z</t>
        </is>
      </c>
      <c r="D1026" s="24" t="inlineStr">
        <is>
          <t>964-2026:183634</t>
        </is>
      </c>
      <c r="E1026" s="24" t="inlineStr">
        <is>
          <t>TENNIS</t>
        </is>
      </c>
      <c r="F1026" s="24" t="inlineStr">
        <is>
          <t>Elsa Jacquemot</t>
        </is>
      </c>
      <c r="G1026" s="24" t="inlineStr">
        <is>
          <t>Emanuela Lares</t>
        </is>
      </c>
      <c r="H1026" s="24" t="inlineStr">
        <is>
          <t>moneyline</t>
        </is>
      </c>
      <c r="I1026" s="24" t="inlineStr">
        <is>
          <t>away</t>
        </is>
      </c>
      <c r="J1026" s="25" t="n"/>
      <c r="K1026" s="24" t="inlineStr">
        <is>
          <t>polymarket_us</t>
        </is>
      </c>
      <c r="L1026" s="26" t="n">
        <v>-3233</v>
      </c>
      <c r="M1026" s="27" t="n">
        <v>1.030931</v>
      </c>
      <c r="N1026" s="28" t="n">
        <v>0.969997</v>
      </c>
      <c r="O1026" s="28" t="n">
        <v>0.5248</v>
      </c>
      <c r="P1026" s="28" t="n">
        <v>0.05</v>
      </c>
      <c r="Q1026" s="28" t="n">
        <v>-0.445197</v>
      </c>
      <c r="R1026" s="26" t="n">
        <v>0</v>
      </c>
      <c r="S1026" s="29" t="n">
        <v>1</v>
      </c>
      <c r="T1026" s="24" t="inlineStr">
        <is>
          <t>tennis-surface-elo-v1</t>
        </is>
      </c>
      <c r="U1026" s="24" t="inlineStr">
        <is>
          <t>settled</t>
        </is>
      </c>
      <c r="V1026" s="24" t="inlineStr">
        <is>
          <t>win</t>
        </is>
      </c>
      <c r="W1026" s="26" t="n">
        <v>1</v>
      </c>
      <c r="X1026" s="26" t="n">
        <v>0</v>
      </c>
      <c r="Y1026" s="25" t="n"/>
      <c r="Z1026" s="26" t="n">
        <v>-3233</v>
      </c>
      <c r="AA1026" s="28" t="n">
        <v>0.97</v>
      </c>
      <c r="AB1026" s="28" t="n">
        <v>3e-06</v>
      </c>
      <c r="AC1026" s="30" t="n">
        <v>0.0309</v>
      </c>
      <c r="AD1026" s="24" t="inlineStr">
        <is>
          <t>2026-09-08T22:15:34.013351Z</t>
        </is>
      </c>
      <c r="AE1026" s="31" t="inlineStr">
        <is>
          <t>Surface-blended Elo on Hard: Elsa Jacquemot p=0.525 vs Emanuela Lares. Executable ask 0.9700 (aec-wta-emalar-elsjac-2026-09-08).</t>
        </is>
      </c>
      <c r="AF1026" s="31" t="inlineStr">
        <is>
          <t>Surface-blended Elo model; singles only, WTA+ATP market coverage, not yet locked-holdout qualified -- promoted by explicit operator directive, not genuine walk-forward validation.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PAPER_CALL_MODEL_UNVALIDATED</t>
        </is>
      </c>
      <c r="AP1026" s="24" t="inlineStr">
        <is>
          <t>Elsa Jacquemot</t>
        </is>
      </c>
      <c r="AQ1026" s="24" t="inlineStr">
        <is>
          <t>Elsa Jacquemot</t>
        </is>
      </c>
      <c r="AR1026" s="24" t="inlineStr">
        <is>
          <t>Elsa Jacquemot</t>
        </is>
      </c>
      <c r="AS1026" s="24" t="inlineStr">
        <is>
          <t>Emanuela Lares</t>
        </is>
      </c>
      <c r="AT1026" s="24" t="inlineStr">
        <is>
          <t>Emanuela Lares</t>
        </is>
      </c>
      <c r="AU1026" s="24" t="inlineStr">
        <is>
          <t>Emanuela Lares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inlineStr">
        <is>
          <t>0ce66f49b381187fe6255a40ca2fdbfc155d5e36125ccf6d30fe81a72962eafa</t>
        </is>
      </c>
      <c r="BB1026" s="24" t="inlineStr">
        <is>
          <t>surface_blended_elo</t>
        </is>
      </c>
      <c r="BC1026" s="24" t="inlineStr">
        <is>
          <t>tennis-surface-elo-v1</t>
        </is>
      </c>
      <c r="BD1026" s="24" t="inlineStr">
        <is>
          <t>0ce66f49b381187fe6255a40ca2fdbfc155d5e36125ccf6d30fe81a72962eafa</t>
        </is>
      </c>
      <c r="BE1026" s="24" t="inlineStr">
        <is>
          <t>tennis-surface-elo-v1</t>
        </is>
      </c>
      <c r="BF1026" s="24" t="inlineStr">
        <is>
          <t>1</t>
        </is>
      </c>
      <c r="BG1026" s="24" t="inlineStr">
        <is>
          <t>0ce66f49b381187fe6255a40ca2fdbfc155d5e36125ccf6d30fe81a72962eafa</t>
        </is>
      </c>
      <c r="BH1026" s="24" t="inlineStr">
        <is>
          <t>2026-09-08T16:07:48.943794Z</t>
        </is>
      </c>
      <c r="BI1026" s="24" t="inlineStr">
        <is>
          <t>["same_event","same_team_same_day","same_league_same_day"]</t>
        </is>
      </c>
      <c r="BJ1026" s="25" t="n"/>
      <c r="BK1026" s="26" t="n">
        <v>-3233</v>
      </c>
      <c r="BL1026" s="27" t="n">
        <v>1.030931</v>
      </c>
      <c r="BM1026" s="28" t="n">
        <v>0.969997</v>
      </c>
      <c r="BN1026" s="28" t="n"/>
      <c r="BO1026" s="28" t="n"/>
      <c r="BP1026" s="25" t="n"/>
      <c r="BQ1026" s="27" t="n">
        <v>1.030931</v>
      </c>
      <c r="BR1026" s="28" t="n">
        <v>0.97</v>
      </c>
      <c r="BS1026" s="28" t="n"/>
      <c r="BT1026" s="28" t="n"/>
      <c r="BU1026" s="25" t="n"/>
      <c r="BV1026" s="29" t="n"/>
      <c r="BW1026" s="24" t="n"/>
      <c r="BX1026" s="30" t="n"/>
      <c r="BY1026" s="27" t="n"/>
      <c r="BZ1026" s="24" t="n"/>
      <c r="CA1026" s="31" t="n"/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False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inlineStr">
        <is>
          <t>cd32ffe65110557d25f22740e7ae17eeb6edf9bca4ccaa3d72b19fc4b896f869</t>
        </is>
      </c>
      <c r="DE1026" s="24" t="inlineStr">
        <is>
          <t>/Users/vincentc9002/model-prediction/data/odds/tennis/2026-09-08/polymarket_snapshots.jsonl</t>
        </is>
      </c>
      <c r="DF1026" s="24" t="inlineStr">
        <is>
          <t>721139:2026-09-08T16:07:48.943794Z</t>
        </is>
      </c>
      <c r="DG1026" s="24" t="n"/>
      <c r="DH1026" s="24" t="n"/>
      <c r="DI1026" s="24" t="n"/>
      <c r="DJ1026" s="24" t="inlineStr">
        <is>
          <t>0.969997</t>
        </is>
      </c>
      <c r="DK1026" s="24" t="n"/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2338e1525283454c</t>
        </is>
      </c>
      <c r="B1027" s="24" t="inlineStr">
        <is>
          <t>2026-09-08T16:16:04.467060Z</t>
        </is>
      </c>
      <c r="C1027" s="24" t="inlineStr">
        <is>
          <t>2026-09-08T21:30Z</t>
        </is>
      </c>
      <c r="D1027" s="24" t="inlineStr">
        <is>
          <t>964-2026:183627</t>
        </is>
      </c>
      <c r="E1027" s="24" t="inlineStr">
        <is>
          <t>TENNIS</t>
        </is>
      </c>
      <c r="F1027" s="24" t="inlineStr">
        <is>
          <t>Julia Riera</t>
        </is>
      </c>
      <c r="G1027" s="24" t="inlineStr">
        <is>
          <t>Dominika Salkova</t>
        </is>
      </c>
      <c r="H1027" s="24" t="inlineStr">
        <is>
          <t>moneyline</t>
        </is>
      </c>
      <c r="I1027" s="24" t="inlineStr">
        <is>
          <t>home</t>
        </is>
      </c>
      <c r="J1027" s="25" t="n"/>
      <c r="K1027" s="24" t="inlineStr">
        <is>
          <t>polymarket_us</t>
        </is>
      </c>
      <c r="L1027" s="26" t="n">
        <v>-144</v>
      </c>
      <c r="M1027" s="27" t="n">
        <v>1.694444</v>
      </c>
      <c r="N1027" s="28" t="n">
        <v>0.590164</v>
      </c>
      <c r="O1027" s="28" t="n">
        <v>0.5564</v>
      </c>
      <c r="P1027" s="28" t="n">
        <v>0.05</v>
      </c>
      <c r="Q1027" s="28" t="n">
        <v>-0.033764</v>
      </c>
      <c r="R1027" s="26" t="n">
        <v>3</v>
      </c>
      <c r="S1027" s="29" t="n">
        <v>1</v>
      </c>
      <c r="T1027" s="24" t="inlineStr">
        <is>
          <t>tennis-surface-elo-v1</t>
        </is>
      </c>
      <c r="U1027" s="24" t="inlineStr">
        <is>
          <t>settled</t>
        </is>
      </c>
      <c r="V1027" s="24" t="inlineStr">
        <is>
          <t>loss</t>
        </is>
      </c>
      <c r="W1027" s="26" t="n">
        <v>1</v>
      </c>
      <c r="X1027" s="26" t="n">
        <v>0</v>
      </c>
      <c r="Y1027" s="25" t="n"/>
      <c r="Z1027" s="26" t="n">
        <v>-144</v>
      </c>
      <c r="AA1027" s="28" t="n">
        <v>0.59</v>
      </c>
      <c r="AB1027" s="28" t="n">
        <v>-0.000164</v>
      </c>
      <c r="AC1027" s="30" t="n">
        <v>-1</v>
      </c>
      <c r="AD1027" s="24" t="inlineStr">
        <is>
          <t>2026-09-09T04:31:22.998610Z</t>
        </is>
      </c>
      <c r="AE1027" s="31" t="inlineStr">
        <is>
          <t>Surface-blended Elo on Hard: Julia Riera p=0.444 vs Dominika Salkova. Executable ask 0.5900 (aec-wta-domsal-julrie-2026-09-08).</t>
        </is>
      </c>
      <c r="AF1027" s="31" t="inlineStr">
        <is>
          <t>Surface-blended Elo model; singles only, WTA+ATP market coverage, not yet locked-holdout qualified -- promoted by explicit operator directive, not genuine walk-forward validation.</t>
        </is>
      </c>
      <c r="AG1027" s="24" t="inlineStr">
        <is>
          <t>review_required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PAPER_CALL_LOW_EDGE</t>
        </is>
      </c>
      <c r="AP1027" s="24" t="inlineStr">
        <is>
          <t>Julia Riera</t>
        </is>
      </c>
      <c r="AQ1027" s="24" t="inlineStr">
        <is>
          <t>Julia Riera</t>
        </is>
      </c>
      <c r="AR1027" s="24" t="inlineStr">
        <is>
          <t>Julia Riera</t>
        </is>
      </c>
      <c r="AS1027" s="24" t="inlineStr">
        <is>
          <t>Dominika Salkova</t>
        </is>
      </c>
      <c r="AT1027" s="24" t="inlineStr">
        <is>
          <t>Dominika Salkova</t>
        </is>
      </c>
      <c r="AU1027" s="24" t="inlineStr">
        <is>
          <t>Dominika Salkova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inlineStr">
        <is>
          <t>0ce66f49b381187fe6255a40ca2fdbfc155d5e36125ccf6d30fe81a72962eafa</t>
        </is>
      </c>
      <c r="BB1027" s="24" t="inlineStr">
        <is>
          <t>surface_blended_elo</t>
        </is>
      </c>
      <c r="BC1027" s="24" t="inlineStr">
        <is>
          <t>tennis-surface-elo-v1</t>
        </is>
      </c>
      <c r="BD1027" s="24" t="inlineStr">
        <is>
          <t>0ce66f49b381187fe6255a40ca2fdbfc155d5e36125ccf6d30fe81a72962eafa</t>
        </is>
      </c>
      <c r="BE1027" s="24" t="inlineStr">
        <is>
          <t>tennis-surface-elo-v1</t>
        </is>
      </c>
      <c r="BF1027" s="24" t="inlineStr">
        <is>
          <t>1</t>
        </is>
      </c>
      <c r="BG1027" s="24" t="inlineStr">
        <is>
          <t>0ce66f49b381187fe6255a40ca2fdbfc155d5e36125ccf6d30fe81a72962eafa</t>
        </is>
      </c>
      <c r="BH1027" s="24" t="inlineStr">
        <is>
          <t>2026-09-08T16:07:48.968419Z</t>
        </is>
      </c>
      <c r="BI1027" s="24" t="inlineStr">
        <is>
          <t>["same_event","same_team_same_day","same_league_same_day"]</t>
        </is>
      </c>
      <c r="BJ1027" s="25" t="n"/>
      <c r="BK1027" s="26" t="n">
        <v>-144</v>
      </c>
      <c r="BL1027" s="27" t="n">
        <v>1.694444</v>
      </c>
      <c r="BM1027" s="28" t="n">
        <v>0.590164</v>
      </c>
      <c r="BN1027" s="28" t="n"/>
      <c r="BO1027" s="28" t="n"/>
      <c r="BP1027" s="25" t="n"/>
      <c r="BQ1027" s="27" t="n">
        <v>1.694444</v>
      </c>
      <c r="BR1027" s="28" t="n">
        <v>0.59</v>
      </c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False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inlineStr">
        <is>
          <t>e9c2095d9b991e7936607b0c75938c98a30030237e58eb8b5438096045ad0072</t>
        </is>
      </c>
      <c r="DE1027" s="24" t="inlineStr">
        <is>
          <t>/Users/vincentc9002/model-prediction/data/odds/tennis/2026-09-08/polymarket_snapshots.jsonl</t>
        </is>
      </c>
      <c r="DF1027" s="24" t="inlineStr">
        <is>
          <t>713636:2026-09-08T16:07:48.968419Z</t>
        </is>
      </c>
      <c r="DG1027" s="24" t="n"/>
      <c r="DH1027" s="24" t="n"/>
      <c r="DI1027" s="24" t="n"/>
      <c r="DJ1027" s="24" t="inlineStr">
        <is>
          <t>0.590164</t>
        </is>
      </c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a808f89ef09b4ba2</t>
        </is>
      </c>
      <c r="B1028" s="24" t="inlineStr">
        <is>
          <t>2026-09-08T16:16:04.467060Z</t>
        </is>
      </c>
      <c r="C1028" s="24" t="inlineStr">
        <is>
          <t>2026-09-08T23:00Z</t>
        </is>
      </c>
      <c r="D1028" s="24" t="inlineStr">
        <is>
          <t>964-2026:183636</t>
        </is>
      </c>
      <c r="E1028" s="24" t="inlineStr">
        <is>
          <t>TENNIS</t>
        </is>
      </c>
      <c r="F1028" s="24" t="inlineStr">
        <is>
          <t>Mary Stoiana</t>
        </is>
      </c>
      <c r="G1028" s="24" t="inlineStr">
        <is>
          <t>Jazmin Ortenzi</t>
        </is>
      </c>
      <c r="H1028" s="24" t="inlineStr">
        <is>
          <t>moneyline</t>
        </is>
      </c>
      <c r="I1028" s="24" t="inlineStr">
        <is>
          <t>away</t>
        </is>
      </c>
      <c r="J1028" s="25" t="n"/>
      <c r="K1028" s="24" t="inlineStr">
        <is>
          <t>polymarket_us</t>
        </is>
      </c>
      <c r="L1028" s="26" t="n">
        <v>-1329</v>
      </c>
      <c r="M1028" s="27" t="n">
        <v>1.075245</v>
      </c>
      <c r="N1028" s="28" t="n">
        <v>0.930021</v>
      </c>
      <c r="O1028" s="28" t="n">
        <v>0.6245000000000001</v>
      </c>
      <c r="P1028" s="28" t="n">
        <v>0.05</v>
      </c>
      <c r="Q1028" s="28" t="n">
        <v>-0.305521</v>
      </c>
      <c r="R1028" s="26" t="n">
        <v>0</v>
      </c>
      <c r="S1028" s="29" t="n">
        <v>1</v>
      </c>
      <c r="T1028" s="24" t="inlineStr">
        <is>
          <t>tennis-surface-elo-v1</t>
        </is>
      </c>
      <c r="U1028" s="24" t="inlineStr">
        <is>
          <t>settled</t>
        </is>
      </c>
      <c r="V1028" s="24" t="inlineStr">
        <is>
          <t>win</t>
        </is>
      </c>
      <c r="W1028" s="26" t="n">
        <v>1</v>
      </c>
      <c r="X1028" s="26" t="n">
        <v>0</v>
      </c>
      <c r="Y1028" s="25" t="n"/>
      <c r="Z1028" s="26" t="n">
        <v>-1329</v>
      </c>
      <c r="AA1028" s="28" t="n">
        <v>0.93</v>
      </c>
      <c r="AB1028" s="28" t="n">
        <v>-2.1e-05</v>
      </c>
      <c r="AC1028" s="30" t="n">
        <v>0.0752</v>
      </c>
      <c r="AD1028" s="24" t="inlineStr">
        <is>
          <t>2026-09-09T04:31:23.424844Z</t>
        </is>
      </c>
      <c r="AE1028" s="31" t="inlineStr">
        <is>
          <t>Surface-blended Elo on Hard: Mary Stoiana p=0.624 vs Jazmin Ortenzi. Executable ask 0.9300 (aec-wta-jazort-marsto-2026-09-08).</t>
        </is>
      </c>
      <c r="AF1028" s="31" t="inlineStr">
        <is>
          <t>Surface-blended Elo model; singles only, WTA+ATP market coverage, not yet locked-holdout qualified -- promoted by explicit operator directive, not genuine walk-forward validation.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PAPER_CALL_LOW_EDGE</t>
        </is>
      </c>
      <c r="AP1028" s="24" t="inlineStr">
        <is>
          <t>Mary Stoiana</t>
        </is>
      </c>
      <c r="AQ1028" s="24" t="inlineStr">
        <is>
          <t>Mary Stoiana</t>
        </is>
      </c>
      <c r="AR1028" s="24" t="inlineStr">
        <is>
          <t>Mary Stoiana</t>
        </is>
      </c>
      <c r="AS1028" s="24" t="inlineStr">
        <is>
          <t>Jazmin Ortenzi</t>
        </is>
      </c>
      <c r="AT1028" s="24" t="inlineStr">
        <is>
          <t>Jazmin Ortenzi</t>
        </is>
      </c>
      <c r="AU1028" s="24" t="inlineStr">
        <is>
          <t>Jazmin Ortenzi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inlineStr">
        <is>
          <t>0ce66f49b381187fe6255a40ca2fdbfc155d5e36125ccf6d30fe81a72962eafa</t>
        </is>
      </c>
      <c r="BB1028" s="24" t="inlineStr">
        <is>
          <t>surface_blended_elo</t>
        </is>
      </c>
      <c r="BC1028" s="24" t="inlineStr">
        <is>
          <t>tennis-surface-elo-v1</t>
        </is>
      </c>
      <c r="BD1028" s="24" t="inlineStr">
        <is>
          <t>0ce66f49b381187fe6255a40ca2fdbfc155d5e36125ccf6d30fe81a72962eafa</t>
        </is>
      </c>
      <c r="BE1028" s="24" t="inlineStr">
        <is>
          <t>tennis-surface-elo-v1</t>
        </is>
      </c>
      <c r="BF1028" s="24" t="inlineStr">
        <is>
          <t>1</t>
        </is>
      </c>
      <c r="BG1028" s="24" t="inlineStr">
        <is>
          <t>0ce66f49b381187fe6255a40ca2fdbfc155d5e36125ccf6d30fe81a72962eafa</t>
        </is>
      </c>
      <c r="BH1028" s="24" t="inlineStr">
        <is>
          <t>2026-09-08T16:07:48.960385Z</t>
        </is>
      </c>
      <c r="BI1028" s="24" t="inlineStr">
        <is>
          <t>["same_event","same_team_same_day","same_league_same_day"]</t>
        </is>
      </c>
      <c r="BJ1028" s="25" t="n"/>
      <c r="BK1028" s="26" t="n">
        <v>-1329</v>
      </c>
      <c r="BL1028" s="27" t="n">
        <v>1.075245</v>
      </c>
      <c r="BM1028" s="28" t="n">
        <v>0.930021</v>
      </c>
      <c r="BN1028" s="28" t="n"/>
      <c r="BO1028" s="28" t="n"/>
      <c r="BP1028" s="25" t="n"/>
      <c r="BQ1028" s="27" t="n">
        <v>1.075245</v>
      </c>
      <c r="BR1028" s="28" t="n">
        <v>0.93</v>
      </c>
      <c r="BS1028" s="28" t="n"/>
      <c r="BT1028" s="28" t="n"/>
      <c r="BU1028" s="25" t="n"/>
      <c r="BV1028" s="29" t="n"/>
      <c r="BW1028" s="24" t="n"/>
      <c r="BX1028" s="30" t="n"/>
      <c r="BY1028" s="27" t="n"/>
      <c r="BZ1028" s="24" t="n"/>
      <c r="CA1028" s="31" t="n"/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False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inlineStr">
        <is>
          <t>e609948006ff27440bfe7f5d22e84189a3832c14f127befbf16678c2f4eeb186</t>
        </is>
      </c>
      <c r="DE1028" s="24" t="inlineStr">
        <is>
          <t>/Users/vincentc9002/model-prediction/data/odds/tennis/2026-09-08/polymarket_snapshots.jsonl</t>
        </is>
      </c>
      <c r="DF1028" s="24" t="inlineStr">
        <is>
          <t>713637:2026-09-08T16:07:48.960385Z</t>
        </is>
      </c>
      <c r="DG1028" s="24" t="n"/>
      <c r="DH1028" s="24" t="n"/>
      <c r="DI1028" s="24" t="n"/>
      <c r="DJ1028" s="24" t="inlineStr">
        <is>
          <t>0.930021</t>
        </is>
      </c>
      <c r="DK1028" s="24" t="n"/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d0b8157609e24ad0</t>
        </is>
      </c>
      <c r="B1029" s="24" t="inlineStr">
        <is>
          <t>2026-09-08T16:16:04.467060Z</t>
        </is>
      </c>
      <c r="C1029" s="24" t="inlineStr">
        <is>
          <t>2026-09-08T17:00Z</t>
        </is>
      </c>
      <c r="D1029" s="24" t="inlineStr">
        <is>
          <t>189-2026:182777</t>
        </is>
      </c>
      <c r="E1029" s="24" t="inlineStr">
        <is>
          <t>TENNIS</t>
        </is>
      </c>
      <c r="F1029" s="24" t="inlineStr">
        <is>
          <t>Alex Michelsen</t>
        </is>
      </c>
      <c r="G1029" s="24" t="inlineStr">
        <is>
          <t>Frances Tiafoe</t>
        </is>
      </c>
      <c r="H1029" s="24" t="inlineStr">
        <is>
          <t>moneyline</t>
        </is>
      </c>
      <c r="I1029" s="24" t="inlineStr">
        <is>
          <t>home</t>
        </is>
      </c>
      <c r="J1029" s="25" t="n"/>
      <c r="K1029" s="24" t="inlineStr">
        <is>
          <t>polymarket_us</t>
        </is>
      </c>
      <c r="L1029" s="26" t="n">
        <v>-147</v>
      </c>
      <c r="M1029" s="27" t="n">
        <v>1.680272</v>
      </c>
      <c r="N1029" s="28" t="n">
        <v>0.5951419999999999</v>
      </c>
      <c r="O1029" s="28" t="n">
        <v>0.6598000000000001</v>
      </c>
      <c r="P1029" s="28" t="n">
        <v>0.05</v>
      </c>
      <c r="Q1029" s="28" t="n">
        <v>0.06465799999999999</v>
      </c>
      <c r="R1029" s="26" t="n">
        <v>52</v>
      </c>
      <c r="S1029" s="29" t="n">
        <v>1</v>
      </c>
      <c r="T1029" s="24" t="inlineStr">
        <is>
          <t>tennis-surface-elo-v1</t>
        </is>
      </c>
      <c r="U1029" s="24" t="inlineStr">
        <is>
          <t>settled</t>
        </is>
      </c>
      <c r="V1029" s="24" t="inlineStr">
        <is>
          <t>win</t>
        </is>
      </c>
      <c r="W1029" s="26" t="n">
        <v>0</v>
      </c>
      <c r="X1029" s="26" t="n">
        <v>1</v>
      </c>
      <c r="Y1029" s="25" t="n"/>
      <c r="Z1029" s="26" t="n">
        <v>-147</v>
      </c>
      <c r="AA1029" s="28" t="n">
        <v>0.595</v>
      </c>
      <c r="AB1029" s="28" t="n">
        <v>-0.000142</v>
      </c>
      <c r="AC1029" s="30" t="n">
        <v>0.6803</v>
      </c>
      <c r="AD1029" s="24" t="inlineStr">
        <is>
          <t>2026-09-09T04:31:23.853261Z</t>
        </is>
      </c>
      <c r="AE1029" s="31" t="inlineStr">
        <is>
          <t>Surface-blended Elo on Hard: Alex Michelsen p=0.340 vs Frances Tiafoe. Executable ask 0.5950 (aec-atp-fratia-alemic-2026-09-07).</t>
        </is>
      </c>
      <c r="AF1029" s="31" t="inlineStr">
        <is>
          <t>Surface-blended Elo model; singles only, WTA+ATP market coverage, not yet locked-holdout qualified -- promoted by explicit operator directive, not genuine walk-forward validation.</t>
        </is>
      </c>
      <c r="AG1029" s="24" t="inlineStr">
        <is>
          <t>not_applicable</t>
        </is>
      </c>
      <c r="AH1029" s="24" t="n"/>
      <c r="AI1029" s="31" t="n"/>
      <c r="AJ1029" s="31" t="n"/>
      <c r="AK1029" s="24" t="inlineStr">
        <is>
          <t>model_qualified</t>
        </is>
      </c>
      <c r="AL1029" s="26" t="n">
        <v>4</v>
      </c>
      <c r="AM1029" s="24" t="inlineStr">
        <is>
          <t>QUALIFIED_SHADOW_CALL</t>
        </is>
      </c>
      <c r="AN1029" s="24" t="inlineStr">
        <is>
          <t>CALL</t>
        </is>
      </c>
      <c r="AO1029" s="24" t="inlineStr">
        <is>
          <t>QUALIFIED</t>
        </is>
      </c>
      <c r="AP1029" s="24" t="inlineStr">
        <is>
          <t>Alex Michelsen</t>
        </is>
      </c>
      <c r="AQ1029" s="24" t="inlineStr">
        <is>
          <t>Alex Michelsen</t>
        </is>
      </c>
      <c r="AR1029" s="24" t="inlineStr">
        <is>
          <t>Alex Michelsen</t>
        </is>
      </c>
      <c r="AS1029" s="24" t="inlineStr">
        <is>
          <t>Frances Tiafoe</t>
        </is>
      </c>
      <c r="AT1029" s="24" t="inlineStr">
        <is>
          <t>Frances Tiafoe</t>
        </is>
      </c>
      <c r="AU1029" s="24" t="inlineStr">
        <is>
          <t>Frances Tiafoe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inlineStr">
        <is>
          <t>0ce66f49b381187fe6255a40ca2fdbfc155d5e36125ccf6d30fe81a72962eafa</t>
        </is>
      </c>
      <c r="BB1029" s="24" t="inlineStr">
        <is>
          <t>surface_blended_elo</t>
        </is>
      </c>
      <c r="BC1029" s="24" t="inlineStr">
        <is>
          <t>tennis-surface-elo-v1</t>
        </is>
      </c>
      <c r="BD1029" s="24" t="inlineStr">
        <is>
          <t>0ce66f49b381187fe6255a40ca2fdbfc155d5e36125ccf6d30fe81a72962eafa</t>
        </is>
      </c>
      <c r="BE1029" s="24" t="inlineStr">
        <is>
          <t>tennis-surface-elo-v1</t>
        </is>
      </c>
      <c r="BF1029" s="24" t="inlineStr">
        <is>
          <t>1</t>
        </is>
      </c>
      <c r="BG1029" s="24" t="inlineStr">
        <is>
          <t>0ce66f49b381187fe6255a40ca2fdbfc155d5e36125ccf6d30fe81a72962eafa</t>
        </is>
      </c>
      <c r="BH1029" s="24" t="inlineStr">
        <is>
          <t>2026-09-08T16:07:49.125739Z</t>
        </is>
      </c>
      <c r="BI1029" s="24" t="inlineStr">
        <is>
          <t>["same_event","same_team_same_day","same_league_same_day"]</t>
        </is>
      </c>
      <c r="BJ1029" s="25" t="n"/>
      <c r="BK1029" s="26" t="n">
        <v>-147</v>
      </c>
      <c r="BL1029" s="27" t="n">
        <v>1.680272</v>
      </c>
      <c r="BM1029" s="28" t="n">
        <v>0.5951419999999999</v>
      </c>
      <c r="BN1029" s="28" t="n"/>
      <c r="BO1029" s="28" t="n"/>
      <c r="BP1029" s="25" t="n"/>
      <c r="BQ1029" s="27" t="n">
        <v>1.680272</v>
      </c>
      <c r="BR1029" s="28" t="n">
        <v>0.595</v>
      </c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True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inlineStr">
        <is>
          <t>50f18cb75e75a51e2274d2575dcd2e3ad674b9eb053aa34738d95c1b0db32d03</t>
        </is>
      </c>
      <c r="DE1029" s="24" t="inlineStr">
        <is>
          <t>/Users/vincentc9002/model-prediction/data/odds/tennis/2026-09-08/polymarket_snapshots.jsonl</t>
        </is>
      </c>
      <c r="DF1029" s="24" t="inlineStr">
        <is>
          <t>713564:2026-09-08T16:07:49.125739Z</t>
        </is>
      </c>
      <c r="DG1029" s="24" t="n"/>
      <c r="DH1029" s="24" t="n"/>
      <c r="DI1029" s="24" t="n"/>
      <c r="DJ1029" s="24" t="inlineStr">
        <is>
          <t>0.595142</t>
        </is>
      </c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ab9efdd0bf06432d</t>
        </is>
      </c>
      <c r="B1030" s="24" t="inlineStr">
        <is>
          <t>2026-09-08T23:35:19.759321Z</t>
        </is>
      </c>
      <c r="C1030" s="24" t="inlineStr">
        <is>
          <t>2026-09-09T01:00Z</t>
        </is>
      </c>
      <c r="D1030" s="24" t="inlineStr">
        <is>
          <t>189-2026:182780</t>
        </is>
      </c>
      <c r="E1030" s="24" t="inlineStr">
        <is>
          <t>TENNIS</t>
        </is>
      </c>
      <c r="F1030" s="24" t="inlineStr">
        <is>
          <t>Carlos Alcaraz</t>
        </is>
      </c>
      <c r="G1030" s="24" t="inlineStr">
        <is>
          <t>Ben Shelton</t>
        </is>
      </c>
      <c r="H1030" s="24" t="inlineStr">
        <is>
          <t>moneyline</t>
        </is>
      </c>
      <c r="I1030" s="24" t="inlineStr">
        <is>
          <t>away</t>
        </is>
      </c>
      <c r="J1030" s="25" t="n"/>
      <c r="K1030" s="24" t="inlineStr">
        <is>
          <t>polymarket_us</t>
        </is>
      </c>
      <c r="L1030" s="26" t="n">
        <v>-335</v>
      </c>
      <c r="M1030" s="27" t="n">
        <v>1.298507</v>
      </c>
      <c r="N1030" s="28" t="n">
        <v>0.770115</v>
      </c>
      <c r="O1030" s="28" t="n">
        <v>0.7026</v>
      </c>
      <c r="P1030" s="28" t="n">
        <v>0.05</v>
      </c>
      <c r="Q1030" s="28" t="n">
        <v>-0.06751500000000001</v>
      </c>
      <c r="R1030" s="26" t="n">
        <v>0</v>
      </c>
      <c r="S1030" s="29" t="n">
        <v>1</v>
      </c>
      <c r="T1030" s="24" t="inlineStr">
        <is>
          <t>tennis-surface-elo-v1</t>
        </is>
      </c>
      <c r="U1030" s="24" t="inlineStr">
        <is>
          <t>settled</t>
        </is>
      </c>
      <c r="V1030" s="24" t="inlineStr">
        <is>
          <t>loss</t>
        </is>
      </c>
      <c r="W1030" s="26" t="n">
        <v>0</v>
      </c>
      <c r="X1030" s="26" t="n">
        <v>1</v>
      </c>
      <c r="Y1030" s="25" t="n"/>
      <c r="Z1030" s="26" t="n">
        <v>-335</v>
      </c>
      <c r="AA1030" s="28" t="n">
        <v>0.77</v>
      </c>
      <c r="AB1030" s="28" t="n">
        <v>-0.000115</v>
      </c>
      <c r="AC1030" s="30" t="n">
        <v>-1</v>
      </c>
      <c r="AD1030" s="24" t="inlineStr">
        <is>
          <t>2026-09-09T10:00:26.266148Z</t>
        </is>
      </c>
      <c r="AE1030" s="31" t="inlineStr">
        <is>
          <t>Surface-blended Elo on Hard: Carlos Alcaraz p=0.703 vs Ben Shelton. Executable ask 0.7700 (aec-atp-benshe-caralc-2026-09-08).</t>
        </is>
      </c>
      <c r="AF1030" s="31" t="inlineStr">
        <is>
          <t>Surface-blended Elo model; singles only, WTA+ATP market coverage, not yet locked-holdout qualified -- promoted by explicit operator directive, not genuine walk-forward validation.</t>
        </is>
      </c>
      <c r="AG1030" s="24" t="inlineStr">
        <is>
          <t>review_required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PAPER_CALL_LOW_EDGE</t>
        </is>
      </c>
      <c r="AP1030" s="24" t="inlineStr">
        <is>
          <t>Carlos Alcaraz</t>
        </is>
      </c>
      <c r="AQ1030" s="24" t="inlineStr">
        <is>
          <t>Carlos Alcaraz</t>
        </is>
      </c>
      <c r="AR1030" s="24" t="inlineStr">
        <is>
          <t>Carlos Alcaraz</t>
        </is>
      </c>
      <c r="AS1030" s="24" t="inlineStr">
        <is>
          <t>Ben Shelton</t>
        </is>
      </c>
      <c r="AT1030" s="24" t="inlineStr">
        <is>
          <t>Ben Shelton</t>
        </is>
      </c>
      <c r="AU1030" s="24" t="inlineStr">
        <is>
          <t>Ben Shelton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inlineStr">
        <is>
          <t>b6a128fd8ef6dd41016b77e2e2fb0ca36bdb1ca1895b972980670c1571f8e21c</t>
        </is>
      </c>
      <c r="BB1030" s="24" t="inlineStr">
        <is>
          <t>surface_blended_elo</t>
        </is>
      </c>
      <c r="BC1030" s="24" t="inlineStr">
        <is>
          <t>tennis-surface-elo-v1</t>
        </is>
      </c>
      <c r="BD1030" s="24" t="inlineStr">
        <is>
          <t>b6a128fd8ef6dd41016b77e2e2fb0ca36bdb1ca1895b972980670c1571f8e21c</t>
        </is>
      </c>
      <c r="BE1030" s="24" t="inlineStr">
        <is>
          <t>tennis-surface-elo-v1</t>
        </is>
      </c>
      <c r="BF1030" s="24" t="inlineStr">
        <is>
          <t>1</t>
        </is>
      </c>
      <c r="BG1030" s="24" t="inlineStr">
        <is>
          <t>b6a128fd8ef6dd41016b77e2e2fb0ca36bdb1ca1895b972980670c1571f8e21c</t>
        </is>
      </c>
      <c r="BH1030" s="24" t="inlineStr">
        <is>
          <t>2026-09-08T23:18:51.247097Z</t>
        </is>
      </c>
      <c r="BI1030" s="24" t="inlineStr">
        <is>
          <t>["same_event","same_team_same_day","same_league_same_day"]</t>
        </is>
      </c>
      <c r="BJ1030" s="25" t="n"/>
      <c r="BK1030" s="26" t="n">
        <v>-335</v>
      </c>
      <c r="BL1030" s="27" t="n">
        <v>1.298507</v>
      </c>
      <c r="BM1030" s="28" t="n">
        <v>0.770115</v>
      </c>
      <c r="BN1030" s="28" t="n"/>
      <c r="BO1030" s="28" t="n"/>
      <c r="BP1030" s="25" t="n"/>
      <c r="BQ1030" s="27" t="n">
        <v>1.298507</v>
      </c>
      <c r="BR1030" s="28" t="n">
        <v>0.77</v>
      </c>
      <c r="BS1030" s="28" t="n"/>
      <c r="BT1030" s="28" t="n"/>
      <c r="BU1030" s="25" t="n"/>
      <c r="BV1030" s="29" t="n"/>
      <c r="BW1030" s="24" t="n"/>
      <c r="BX1030" s="30" t="n"/>
      <c r="BY1030" s="27" t="n"/>
      <c r="BZ1030" s="24" t="n"/>
      <c r="CA1030" s="31" t="n"/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False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inlineStr">
        <is>
          <t>0335ac95f5f1b07d895286fd78b1c3c827f68db3f92f16861f19310aa84a7f61</t>
        </is>
      </c>
      <c r="DE1030" s="24" t="inlineStr">
        <is>
          <t>/Users/vincentc9002/model-prediction/data/odds/tennis/2026-09-08/polymarket_snapshots.jsonl</t>
        </is>
      </c>
      <c r="DF1030" s="24" t="inlineStr">
        <is>
          <t>713903:2026-09-08T23:18:51.247097Z</t>
        </is>
      </c>
      <c r="DG1030" s="24" t="n"/>
      <c r="DH1030" s="24" t="n"/>
      <c r="DI1030" s="24" t="n"/>
      <c r="DJ1030" s="24" t="inlineStr">
        <is>
          <t>0.770115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f2e002e5066349a2</t>
        </is>
      </c>
      <c r="B1031" s="24" t="inlineStr">
        <is>
          <t>2026-09-09T04:34:23.608818Z</t>
        </is>
      </c>
      <c r="C1031" s="24" t="inlineStr">
        <is>
          <t>2026-09-09T08:30Z</t>
        </is>
      </c>
      <c r="D1031" s="24" t="inlineStr">
        <is>
          <t>1076-2026:183551</t>
        </is>
      </c>
      <c r="E1031" s="24" t="inlineStr">
        <is>
          <t>TENNIS</t>
        </is>
      </c>
      <c r="F1031" s="24" t="inlineStr">
        <is>
          <t>Aurora Zantedeschi</t>
        </is>
      </c>
      <c r="G1031" s="24" t="inlineStr">
        <is>
          <t>Lina Gjorcheska</t>
        </is>
      </c>
      <c r="H1031" s="24" t="inlineStr">
        <is>
          <t>moneyline</t>
        </is>
      </c>
      <c r="I1031" s="24" t="inlineStr">
        <is>
          <t>away</t>
        </is>
      </c>
      <c r="J1031" s="25" t="n"/>
      <c r="K1031" s="24" t="inlineStr">
        <is>
          <t>polymarket_us</t>
        </is>
      </c>
      <c r="L1031" s="26" t="n">
        <v>-127</v>
      </c>
      <c r="M1031" s="27" t="n">
        <v>1.787402</v>
      </c>
      <c r="N1031" s="28" t="n">
        <v>0.5594710000000001</v>
      </c>
      <c r="O1031" s="28" t="n">
        <v>0.5437</v>
      </c>
      <c r="P1031" s="28" t="n">
        <v>0.05</v>
      </c>
      <c r="Q1031" s="28" t="n">
        <v>-0.015771</v>
      </c>
      <c r="R1031" s="26" t="n">
        <v>12</v>
      </c>
      <c r="S1031" s="29" t="n">
        <v>1</v>
      </c>
      <c r="T1031" s="24" t="inlineStr">
        <is>
          <t>tennis-surface-elo-v1</t>
        </is>
      </c>
      <c r="U1031" s="24" t="inlineStr">
        <is>
          <t>settled</t>
        </is>
      </c>
      <c r="V1031" s="24" t="inlineStr">
        <is>
          <t>win</t>
        </is>
      </c>
      <c r="W1031" s="26" t="n">
        <v>1</v>
      </c>
      <c r="X1031" s="26" t="n">
        <v>0</v>
      </c>
      <c r="Y1031" s="25" t="n"/>
      <c r="Z1031" s="26" t="n">
        <v>-127</v>
      </c>
      <c r="AA1031" s="28" t="n">
        <v>0.5600000000000001</v>
      </c>
      <c r="AB1031" s="28" t="n">
        <v>0.000529</v>
      </c>
      <c r="AC1031" s="30" t="n">
        <v>0.7874</v>
      </c>
      <c r="AD1031" s="24" t="inlineStr">
        <is>
          <t>2026-09-09T16:00:21.596268Z</t>
        </is>
      </c>
      <c r="AE1031" s="31" t="inlineStr">
        <is>
          <t>Surface-blended Elo on Hard: Aurora Zantedeschi p=0.544 vs Lina Gjorcheska. Executable ask 0.5600 (aec-wta-lingjo-aurzan-2026-09-09).</t>
        </is>
      </c>
      <c r="AF1031" s="31" t="inlineStr">
        <is>
          <t>Surface-blended Elo model; singles only, WTA+ATP market coverage, not yet locked-holdout qualified -- promoted by explicit operator directive, not genuine walk-forward validation.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PAPER_CALL_LOW_EDGE</t>
        </is>
      </c>
      <c r="AP1031" s="24" t="inlineStr">
        <is>
          <t>Aurora Zantedeschi</t>
        </is>
      </c>
      <c r="AQ1031" s="24" t="inlineStr">
        <is>
          <t>Aurora Zantedeschi</t>
        </is>
      </c>
      <c r="AR1031" s="24" t="inlineStr">
        <is>
          <t>Aurora Zantedeschi</t>
        </is>
      </c>
      <c r="AS1031" s="24" t="inlineStr">
        <is>
          <t>Lina Gjorcheska</t>
        </is>
      </c>
      <c r="AT1031" s="24" t="inlineStr">
        <is>
          <t>Lina Gjorcheska</t>
        </is>
      </c>
      <c r="AU1031" s="24" t="inlineStr">
        <is>
          <t>Lina Gjorcheska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b6a128fd8ef6dd41016b77e2e2fb0ca36bdb1ca1895b972980670c1571f8e21c</t>
        </is>
      </c>
      <c r="BB1031" s="24" t="inlineStr">
        <is>
          <t>surface_blended_elo</t>
        </is>
      </c>
      <c r="BC1031" s="24" t="inlineStr">
        <is>
          <t>tennis-surface-elo-v1</t>
        </is>
      </c>
      <c r="BD1031" s="24" t="inlineStr">
        <is>
          <t>b6a128fd8ef6dd41016b77e2e2fb0ca36bdb1ca1895b972980670c1571f8e21c</t>
        </is>
      </c>
      <c r="BE1031" s="24" t="inlineStr">
        <is>
          <t>tennis-surface-elo-v1</t>
        </is>
      </c>
      <c r="BF1031" s="24" t="inlineStr">
        <is>
          <t>1</t>
        </is>
      </c>
      <c r="BG1031" s="24" t="inlineStr">
        <is>
          <t>b6a128fd8ef6dd41016b77e2e2fb0ca36bdb1ca1895b972980670c1571f8e21c</t>
        </is>
      </c>
      <c r="BH1031" s="24" t="inlineStr">
        <is>
          <t>2026-09-09T04:33:41.049126Z</t>
        </is>
      </c>
      <c r="BI1031" s="24" t="inlineStr">
        <is>
          <t>["same_event","same_team_same_day","same_league_same_day"]</t>
        </is>
      </c>
      <c r="BJ1031" s="25" t="n"/>
      <c r="BK1031" s="26" t="n">
        <v>-127</v>
      </c>
      <c r="BL1031" s="27" t="n">
        <v>1.787402</v>
      </c>
      <c r="BM1031" s="28" t="n">
        <v>0.5594710000000001</v>
      </c>
      <c r="BN1031" s="28" t="n"/>
      <c r="BO1031" s="28" t="n"/>
      <c r="BP1031" s="25" t="n"/>
      <c r="BQ1031" s="27" t="n">
        <v>1.787402</v>
      </c>
      <c r="BR1031" s="28" t="n">
        <v>0.5600000000000001</v>
      </c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inlineStr">
        <is>
          <t>98fe2ebe817470e9123d8c6f91028471fceed89ea6043efebef09dfa080035e0</t>
        </is>
      </c>
      <c r="DE1031" s="24" t="inlineStr">
        <is>
          <t>/Users/vincentc9002/model-prediction/data/odds/tennis/2026-09-09/polymarket_snapshots.jsonl</t>
        </is>
      </c>
      <c r="DF1031" s="24" t="inlineStr">
        <is>
          <t>717292:2026-09-09T04:33:41.049126Z</t>
        </is>
      </c>
      <c r="DG1031" s="24" t="n"/>
      <c r="DH1031" s="24" t="n"/>
      <c r="DI1031" s="24" t="n"/>
      <c r="DJ1031" s="24" t="inlineStr">
        <is>
          <t>0.559471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5f661fdf13714cbd</t>
        </is>
      </c>
      <c r="B1032" s="24" t="inlineStr">
        <is>
          <t>2026-09-09T04:34:23.608818Z</t>
        </is>
      </c>
      <c r="C1032" s="24" t="inlineStr">
        <is>
          <t>2026-09-09T09:00Z</t>
        </is>
      </c>
      <c r="D1032" s="24" t="inlineStr">
        <is>
          <t>1076-2026:183537</t>
        </is>
      </c>
      <c r="E1032" s="24" t="inlineStr">
        <is>
          <t>TENNIS</t>
        </is>
      </c>
      <c r="F1032" s="24" t="inlineStr">
        <is>
          <t>Elizara Yaneva</t>
        </is>
      </c>
      <c r="G1032" s="24" t="inlineStr">
        <is>
          <t>Zhibek Kulambayeva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257</v>
      </c>
      <c r="M1032" s="27" t="n">
        <v>3.57</v>
      </c>
      <c r="N1032" s="28" t="n">
        <v>0.280112</v>
      </c>
      <c r="O1032" s="28" t="n">
        <v>0.5465</v>
      </c>
      <c r="P1032" s="28" t="n">
        <v>0.05</v>
      </c>
      <c r="Q1032" s="28" t="n">
        <v>0.266388</v>
      </c>
      <c r="R1032" s="26" t="n">
        <v>100</v>
      </c>
      <c r="S1032" s="29" t="n">
        <v>2</v>
      </c>
      <c r="T1032" s="24" t="inlineStr">
        <is>
          <t>tennis-surface-elo-v1</t>
        </is>
      </c>
      <c r="U1032" s="24" t="inlineStr">
        <is>
          <t>settled</t>
        </is>
      </c>
      <c r="V1032" s="24" t="inlineStr">
        <is>
          <t>loss</t>
        </is>
      </c>
      <c r="W1032" s="26" t="n">
        <v>1</v>
      </c>
      <c r="X1032" s="26" t="n">
        <v>0</v>
      </c>
      <c r="Y1032" s="25" t="n"/>
      <c r="Z1032" s="26" t="n">
        <v>257</v>
      </c>
      <c r="AA1032" s="28" t="n">
        <v>0.28</v>
      </c>
      <c r="AB1032" s="28" t="n">
        <v>-0.000112</v>
      </c>
      <c r="AC1032" s="30" t="n">
        <v>-2</v>
      </c>
      <c r="AD1032" s="24" t="inlineStr">
        <is>
          <t>2026-09-09T16:00:22.031568Z</t>
        </is>
      </c>
      <c r="AE1032" s="31" t="inlineStr">
        <is>
          <t>Surface-blended Elo on Hard: Elizara Yaneva p=0.453 vs Zhibek Kulambayeva. Executable ask 0.2800 (aec-wta-zhikul-eliyan-2026-09-08).</t>
        </is>
      </c>
      <c r="AF1032" s="31" t="inlineStr">
        <is>
          <t>Surface-blended Elo model; singles only, WTA+ATP market coverage, not yet locked-holdout qualified -- promoted by explicit operator directive, not genuine walk-forward validation.</t>
        </is>
      </c>
      <c r="AG1032" s="24" t="inlineStr">
        <is>
          <t>review_required</t>
        </is>
      </c>
      <c r="AH1032" s="24" t="n"/>
      <c r="AI1032" s="31" t="n"/>
      <c r="AJ1032" s="31" t="n"/>
      <c r="AK1032" s="24" t="inlineStr">
        <is>
          <t>model_qualified</t>
        </is>
      </c>
      <c r="AL1032" s="26" t="n">
        <v>4</v>
      </c>
      <c r="AM1032" s="24" t="inlineStr">
        <is>
          <t>QUALIFIED_SHADOW_CALL</t>
        </is>
      </c>
      <c r="AN1032" s="24" t="inlineStr">
        <is>
          <t>CALL</t>
        </is>
      </c>
      <c r="AO1032" s="24" t="inlineStr">
        <is>
          <t>QUALIFIED</t>
        </is>
      </c>
      <c r="AP1032" s="24" t="inlineStr">
        <is>
          <t>Elizara Yaneva</t>
        </is>
      </c>
      <c r="AQ1032" s="24" t="inlineStr">
        <is>
          <t>Elizara Yaneva</t>
        </is>
      </c>
      <c r="AR1032" s="24" t="inlineStr">
        <is>
          <t>Elizara Yaneva</t>
        </is>
      </c>
      <c r="AS1032" s="24" t="inlineStr">
        <is>
          <t>Zhibek Kulambayeva</t>
        </is>
      </c>
      <c r="AT1032" s="24" t="inlineStr">
        <is>
          <t>Zhibek Kulambayeva</t>
        </is>
      </c>
      <c r="AU1032" s="24" t="inlineStr">
        <is>
          <t>Zhibek Kulambayeva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b6a128fd8ef6dd41016b77e2e2fb0ca36bdb1ca1895b972980670c1571f8e21c</t>
        </is>
      </c>
      <c r="BB1032" s="24" t="inlineStr">
        <is>
          <t>surface_blended_elo</t>
        </is>
      </c>
      <c r="BC1032" s="24" t="inlineStr">
        <is>
          <t>tennis-surface-elo-v1</t>
        </is>
      </c>
      <c r="BD1032" s="24" t="inlineStr">
        <is>
          <t>b6a128fd8ef6dd41016b77e2e2fb0ca36bdb1ca1895b972980670c1571f8e21c</t>
        </is>
      </c>
      <c r="BE1032" s="24" t="inlineStr">
        <is>
          <t>tennis-surface-elo-v1</t>
        </is>
      </c>
      <c r="BF1032" s="24" t="inlineStr">
        <is>
          <t>1</t>
        </is>
      </c>
      <c r="BG1032" s="24" t="inlineStr">
        <is>
          <t>b6a128fd8ef6dd41016b77e2e2fb0ca36bdb1ca1895b972980670c1571f8e21c</t>
        </is>
      </c>
      <c r="BH1032" s="24" t="inlineStr">
        <is>
          <t>2026-09-09T04:33:41.087455Z</t>
        </is>
      </c>
      <c r="BI1032" s="24" t="inlineStr">
        <is>
          <t>["same_event","same_team_same_day","same_league_same_day"]</t>
        </is>
      </c>
      <c r="BJ1032" s="25" t="n"/>
      <c r="BK1032" s="26" t="n">
        <v>257</v>
      </c>
      <c r="BL1032" s="27" t="n">
        <v>3.57</v>
      </c>
      <c r="BM1032" s="28" t="n">
        <v>0.280112</v>
      </c>
      <c r="BN1032" s="28" t="n"/>
      <c r="BO1032" s="28" t="n"/>
      <c r="BP1032" s="25" t="n"/>
      <c r="BQ1032" s="27" t="n">
        <v>3.57</v>
      </c>
      <c r="BR1032" s="28" t="n">
        <v>0.28</v>
      </c>
      <c r="BS1032" s="28" t="n"/>
      <c r="BT1032" s="28" t="n"/>
      <c r="BU1032" s="25" t="n"/>
      <c r="BV1032" s="29" t="n"/>
      <c r="BW1032" s="24" t="n"/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True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inlineStr">
        <is>
          <t>610bb9f70de6b1c6aa2e3467647b1f898f0f4a68dad09bf19ad1a825a7116a58</t>
        </is>
      </c>
      <c r="DE1032" s="24" t="inlineStr">
        <is>
          <t>/Users/vincentc9002/model-prediction/data/odds/tennis/2026-09-09/polymarket_snapshots.jsonl</t>
        </is>
      </c>
      <c r="DF1032" s="24" t="inlineStr">
        <is>
          <t>719215:2026-09-09T04:33:41.087455Z</t>
        </is>
      </c>
      <c r="DG1032" s="24" t="n"/>
      <c r="DH1032" s="24" t="n"/>
      <c r="DI1032" s="24" t="n"/>
      <c r="DJ1032" s="24" t="inlineStr">
        <is>
          <t>0.280112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218d8140e7d0403e</t>
        </is>
      </c>
      <c r="B1033" s="24" t="inlineStr">
        <is>
          <t>2026-09-09T10:03:43.110101Z</t>
        </is>
      </c>
      <c r="C1033" s="24" t="inlineStr">
        <is>
          <t>2026-09-09T15:30Z</t>
        </is>
      </c>
      <c r="D1033" s="24" t="inlineStr">
        <is>
          <t>189-2026:182576</t>
        </is>
      </c>
      <c r="E1033" s="24" t="inlineStr">
        <is>
          <t>TENNIS</t>
        </is>
      </c>
      <c r="F1033" s="24" t="inlineStr">
        <is>
          <t>Elena Rybakina</t>
        </is>
      </c>
      <c r="G1033" s="24" t="inlineStr">
        <is>
          <t>Zheng Qinwen</t>
        </is>
      </c>
      <c r="H1033" s="24" t="inlineStr">
        <is>
          <t>moneyline</t>
        </is>
      </c>
      <c r="I1033" s="24" t="inlineStr">
        <is>
          <t>away</t>
        </is>
      </c>
      <c r="J1033" s="25" t="n"/>
      <c r="K1033" s="24" t="inlineStr">
        <is>
          <t>polymarket_us</t>
        </is>
      </c>
      <c r="L1033" s="26" t="n">
        <v>-277</v>
      </c>
      <c r="M1033" s="27" t="n">
        <v>1.361011</v>
      </c>
      <c r="N1033" s="28" t="n">
        <v>0.734748</v>
      </c>
      <c r="O1033" s="28" t="n">
        <v>0.7925</v>
      </c>
      <c r="P1033" s="28" t="n">
        <v>0.05</v>
      </c>
      <c r="Q1033" s="28" t="n">
        <v>0.057752</v>
      </c>
      <c r="R1033" s="26" t="n">
        <v>49</v>
      </c>
      <c r="S1033" s="29" t="n">
        <v>1</v>
      </c>
      <c r="T1033" s="24" t="inlineStr">
        <is>
          <t>tennis-surface-elo-v1</t>
        </is>
      </c>
      <c r="U1033" s="24" t="inlineStr">
        <is>
          <t>settled</t>
        </is>
      </c>
      <c r="V1033" s="24" t="inlineStr">
        <is>
          <t>win</t>
        </is>
      </c>
      <c r="W1033" s="26" t="n">
        <v>1</v>
      </c>
      <c r="X1033" s="26" t="n">
        <v>0</v>
      </c>
      <c r="Y1033" s="25" t="n"/>
      <c r="Z1033" s="26" t="n">
        <v>-277</v>
      </c>
      <c r="AA1033" s="28" t="n">
        <v>0.735</v>
      </c>
      <c r="AB1033" s="28" t="n">
        <v>0.000252</v>
      </c>
      <c r="AC1033" s="30" t="n">
        <v>0.361</v>
      </c>
      <c r="AD1033" s="24" t="inlineStr">
        <is>
          <t>2026-09-09T22:01:12.334881Z</t>
        </is>
      </c>
      <c r="AE1033" s="31" t="inlineStr">
        <is>
          <t>Surface-blended Elo on Hard: Elena Rybakina p=0.792 vs Zheng Qinwen. Executable ask 0.7350 (aec-wta-qinzhe-eleryb-2026-09-08).</t>
        </is>
      </c>
      <c r="AF1033" s="31" t="inlineStr">
        <is>
          <t>Surface-blended Elo model; singles only, WTA+ATP market coverage, not yet locked-holdout qualified -- promoted by explicit operator directive, not genuine walk-forward validation.</t>
        </is>
      </c>
      <c r="AG1033" s="24" t="inlineStr">
        <is>
          <t>not_applicable</t>
        </is>
      </c>
      <c r="AH1033" s="24" t="n"/>
      <c r="AI1033" s="31" t="n"/>
      <c r="AJ1033" s="31" t="n"/>
      <c r="AK1033" s="24" t="inlineStr">
        <is>
          <t>model_qualified</t>
        </is>
      </c>
      <c r="AL1033" s="26" t="n">
        <v>4</v>
      </c>
      <c r="AM1033" s="24" t="inlineStr">
        <is>
          <t>QUALIFIED_SHADOW_CALL</t>
        </is>
      </c>
      <c r="AN1033" s="24" t="inlineStr">
        <is>
          <t>CALL</t>
        </is>
      </c>
      <c r="AO1033" s="24" t="inlineStr">
        <is>
          <t>QUALIFIED</t>
        </is>
      </c>
      <c r="AP1033" s="24" t="inlineStr">
        <is>
          <t>Elena Rybakina</t>
        </is>
      </c>
      <c r="AQ1033" s="24" t="inlineStr">
        <is>
          <t>Elena Rybakina</t>
        </is>
      </c>
      <c r="AR1033" s="24" t="inlineStr">
        <is>
          <t>Elena Rybakina</t>
        </is>
      </c>
      <c r="AS1033" s="24" t="inlineStr">
        <is>
          <t>Zheng Qinwen</t>
        </is>
      </c>
      <c r="AT1033" s="24" t="inlineStr">
        <is>
          <t>Zheng Qinwen</t>
        </is>
      </c>
      <c r="AU1033" s="24" t="inlineStr">
        <is>
          <t>Zheng Qinwen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b6a128fd8ef6dd41016b77e2e2fb0ca36bdb1ca1895b972980670c1571f8e21c</t>
        </is>
      </c>
      <c r="BB1033" s="24" t="inlineStr">
        <is>
          <t>surface_blended_elo</t>
        </is>
      </c>
      <c r="BC1033" s="24" t="inlineStr">
        <is>
          <t>tennis-surface-elo-v1</t>
        </is>
      </c>
      <c r="BD1033" s="24" t="inlineStr">
        <is>
          <t>b6a128fd8ef6dd41016b77e2e2fb0ca36bdb1ca1895b972980670c1571f8e21c</t>
        </is>
      </c>
      <c r="BE1033" s="24" t="inlineStr">
        <is>
          <t>tennis-surface-elo-v1</t>
        </is>
      </c>
      <c r="BF1033" s="24" t="inlineStr">
        <is>
          <t>1</t>
        </is>
      </c>
      <c r="BG1033" s="24" t="inlineStr">
        <is>
          <t>b6a128fd8ef6dd41016b77e2e2fb0ca36bdb1ca1895b972980670c1571f8e21c</t>
        </is>
      </c>
      <c r="BH1033" s="24" t="inlineStr">
        <is>
          <t>2026-09-09T10:02:56.799564Z</t>
        </is>
      </c>
      <c r="BI1033" s="24" t="inlineStr">
        <is>
          <t>["same_event","same_team_same_day","same_league_same_day"]</t>
        </is>
      </c>
      <c r="BJ1033" s="25" t="n"/>
      <c r="BK1033" s="26" t="n">
        <v>-277</v>
      </c>
      <c r="BL1033" s="27" t="n">
        <v>1.361011</v>
      </c>
      <c r="BM1033" s="28" t="n">
        <v>0.734748</v>
      </c>
      <c r="BN1033" s="28" t="n"/>
      <c r="BO1033" s="28" t="n"/>
      <c r="BP1033" s="25" t="n"/>
      <c r="BQ1033" s="27" t="n">
        <v>1.361011</v>
      </c>
      <c r="BR1033" s="28" t="n">
        <v>0.735</v>
      </c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True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inlineStr">
        <is>
          <t>d1bb796b1c4d643fd46d44f1eb6606acb4e754e71b4cecd702f3018be71f357a</t>
        </is>
      </c>
      <c r="DE1033" s="24" t="inlineStr">
        <is>
          <t>/Users/vincentc9002/model-prediction/data/odds/tennis/2026-09-09/polymarket_snapshots.jsonl</t>
        </is>
      </c>
      <c r="DF1033" s="24" t="inlineStr">
        <is>
          <t>721141:2026-09-09T10:02:56.799564Z</t>
        </is>
      </c>
      <c r="DG1033" s="24" t="n"/>
      <c r="DH1033" s="24" t="n"/>
      <c r="DI1033" s="24" t="n"/>
      <c r="DJ1033" s="24" t="inlineStr">
        <is>
          <t>0.734748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5b6b01dbdafd4400</t>
        </is>
      </c>
      <c r="B1034" s="24" t="inlineStr">
        <is>
          <t>2026-09-09T10:03:43.110101Z</t>
        </is>
      </c>
      <c r="C1034" s="24" t="inlineStr">
        <is>
          <t>2026-09-09T12:00Z</t>
        </is>
      </c>
      <c r="D1034" s="24" t="inlineStr">
        <is>
          <t>998-2026:183584</t>
        </is>
      </c>
      <c r="E1034" s="24" t="inlineStr">
        <is>
          <t>TENNIS</t>
        </is>
      </c>
      <c r="F1034" s="24" t="inlineStr">
        <is>
          <t>Clara Burel</t>
        </is>
      </c>
      <c r="G1034" s="24" t="inlineStr">
        <is>
          <t>Tessa Johanna Brockmann</t>
        </is>
      </c>
      <c r="H1034" s="24" t="inlineStr">
        <is>
          <t>moneyline</t>
        </is>
      </c>
      <c r="I1034" s="24" t="inlineStr">
        <is>
          <t>away</t>
        </is>
      </c>
      <c r="J1034" s="25" t="n"/>
      <c r="K1034" s="24" t="inlineStr">
        <is>
          <t>polymarket_us</t>
        </is>
      </c>
      <c r="L1034" s="26" t="n">
        <v>-669</v>
      </c>
      <c r="M1034" s="27" t="n">
        <v>1.149477</v>
      </c>
      <c r="N1034" s="28" t="n">
        <v>0.869961</v>
      </c>
      <c r="O1034" s="28" t="n">
        <v>0.5906</v>
      </c>
      <c r="P1034" s="28" t="n">
        <v>0.05</v>
      </c>
      <c r="Q1034" s="28" t="n">
        <v>-0.279361</v>
      </c>
      <c r="R1034" s="26" t="n">
        <v>0</v>
      </c>
      <c r="S1034" s="29" t="n">
        <v>1</v>
      </c>
      <c r="T1034" s="24" t="inlineStr">
        <is>
          <t>tennis-surface-elo-v1</t>
        </is>
      </c>
      <c r="U1034" s="24" t="inlineStr">
        <is>
          <t>settled</t>
        </is>
      </c>
      <c r="V1034" s="24" t="inlineStr">
        <is>
          <t>win</t>
        </is>
      </c>
      <c r="W1034" s="26" t="n">
        <v>1</v>
      </c>
      <c r="X1034" s="26" t="n">
        <v>0</v>
      </c>
      <c r="Y1034" s="25" t="n"/>
      <c r="Z1034" s="26" t="n">
        <v>-669</v>
      </c>
      <c r="AA1034" s="28" t="n">
        <v>0.87</v>
      </c>
      <c r="AB1034" s="28" t="n">
        <v>3.9e-05</v>
      </c>
      <c r="AC1034" s="30" t="n">
        <v>0.1495</v>
      </c>
      <c r="AD1034" s="24" t="inlineStr">
        <is>
          <t>2026-09-09T16:00:22.454920Z</t>
        </is>
      </c>
      <c r="AE1034" s="31" t="inlineStr">
        <is>
          <t>Surface-blended Elo on Hard: Clara Burel p=0.591 vs Tessa Johanna Brockmann. Executable ask 0.8700 (aec-wta-tesbro-clabur-2026-09-09).</t>
        </is>
      </c>
      <c r="AF1034" s="31" t="inlineStr">
        <is>
          <t>Surface-blended Elo model; singles only, WTA+ATP market coverage, not yet locked-holdout qualified -- promoted by explicit operator directive, not genuine walk-forward validation.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paper_call</t>
        </is>
      </c>
      <c r="AL1034" s="26" t="n">
        <v>4</v>
      </c>
      <c r="AM1034" s="24" t="inlineStr">
        <is>
          <t>RESEARCH_OBSERVATION</t>
        </is>
      </c>
      <c r="AN1034" s="24" t="inlineStr">
        <is>
          <t>CALL</t>
        </is>
      </c>
      <c r="AO1034" s="24" t="inlineStr">
        <is>
          <t>PAPER_CALL_LOW_EDGE</t>
        </is>
      </c>
      <c r="AP1034" s="24" t="inlineStr">
        <is>
          <t>Clara Burel</t>
        </is>
      </c>
      <c r="AQ1034" s="24" t="inlineStr">
        <is>
          <t>Clara Burel</t>
        </is>
      </c>
      <c r="AR1034" s="24" t="inlineStr">
        <is>
          <t>Clara Burel</t>
        </is>
      </c>
      <c r="AS1034" s="24" t="inlineStr">
        <is>
          <t>Tessa Johanna Brockmann</t>
        </is>
      </c>
      <c r="AT1034" s="24" t="inlineStr">
        <is>
          <t>Tessa Johanna Brockmann</t>
        </is>
      </c>
      <c r="AU1034" s="24" t="inlineStr">
        <is>
          <t>Tessa Johanna Brockmann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inlineStr">
        <is>
          <t>b6a128fd8ef6dd41016b77e2e2fb0ca36bdb1ca1895b972980670c1571f8e21c</t>
        </is>
      </c>
      <c r="BB1034" s="24" t="inlineStr">
        <is>
          <t>surface_blended_elo</t>
        </is>
      </c>
      <c r="BC1034" s="24" t="inlineStr">
        <is>
          <t>tennis-surface-elo-v1</t>
        </is>
      </c>
      <c r="BD1034" s="24" t="inlineStr">
        <is>
          <t>b6a128fd8ef6dd41016b77e2e2fb0ca36bdb1ca1895b972980670c1571f8e21c</t>
        </is>
      </c>
      <c r="BE1034" s="24" t="inlineStr">
        <is>
          <t>tennis-surface-elo-v1</t>
        </is>
      </c>
      <c r="BF1034" s="24" t="inlineStr">
        <is>
          <t>1</t>
        </is>
      </c>
      <c r="BG1034" s="24" t="inlineStr">
        <is>
          <t>b6a128fd8ef6dd41016b77e2e2fb0ca36bdb1ca1895b972980670c1571f8e21c</t>
        </is>
      </c>
      <c r="BH1034" s="24" t="inlineStr">
        <is>
          <t>2026-09-09T04:33:41.089101Z</t>
        </is>
      </c>
      <c r="BI1034" s="24" t="inlineStr">
        <is>
          <t>["same_event","same_team_same_day","same_league_same_day"]</t>
        </is>
      </c>
      <c r="BJ1034" s="25" t="n"/>
      <c r="BK1034" s="26" t="n">
        <v>-669</v>
      </c>
      <c r="BL1034" s="27" t="n">
        <v>1.149477</v>
      </c>
      <c r="BM1034" s="28" t="n">
        <v>0.869961</v>
      </c>
      <c r="BN1034" s="28" t="n"/>
      <c r="BO1034" s="28" t="n"/>
      <c r="BP1034" s="25" t="n"/>
      <c r="BQ1034" s="27" t="n">
        <v>1.149477</v>
      </c>
      <c r="BR1034" s="28" t="n">
        <v>0.87</v>
      </c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inlineStr">
        <is>
          <t>0fafe0ec7d9ff8ec3c05a0d25bdee1d59ff8d9ed3f6ec1b48acc31113520299f</t>
        </is>
      </c>
      <c r="DE1034" s="24" t="inlineStr">
        <is>
          <t>/Users/vincentc9002/model-prediction/data/odds/tennis/2026-09-09/polymarket_snapshots.jsonl</t>
        </is>
      </c>
      <c r="DF1034" s="24" t="inlineStr">
        <is>
          <t>736883:2026-09-09T04:33:41.089101Z</t>
        </is>
      </c>
      <c r="DG1034" s="24" t="n"/>
      <c r="DH1034" s="24" t="n"/>
      <c r="DI1034" s="24" t="n"/>
      <c r="DJ1034" s="24" t="inlineStr">
        <is>
          <t>0.869961</t>
        </is>
      </c>
      <c r="DK1034" s="24" t="n"/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62d52ffc71ca4ed6</t>
        </is>
      </c>
      <c r="B1035" s="24" t="inlineStr">
        <is>
          <t>2026-09-09T10:03:43.110101Z</t>
        </is>
      </c>
      <c r="C1035" s="24" t="inlineStr">
        <is>
          <t>2026-09-09T12:00Z</t>
        </is>
      </c>
      <c r="D1035" s="24" t="inlineStr">
        <is>
          <t>998-2026:183596</t>
        </is>
      </c>
      <c r="E1035" s="24" t="inlineStr">
        <is>
          <t>TENNIS</t>
        </is>
      </c>
      <c r="F1035" s="24" t="inlineStr">
        <is>
          <t>Anastasiia Sobolieva</t>
        </is>
      </c>
      <c r="G1035" s="24" t="inlineStr">
        <is>
          <t>Andrea Lazaro Garcia</t>
        </is>
      </c>
      <c r="H1035" s="24" t="inlineStr">
        <is>
          <t>moneyline</t>
        </is>
      </c>
      <c r="I1035" s="24" t="inlineStr">
        <is>
          <t>home</t>
        </is>
      </c>
      <c r="J1035" s="25" t="n"/>
      <c r="K1035" s="24" t="inlineStr">
        <is>
          <t>polymarket_us</t>
        </is>
      </c>
      <c r="L1035" s="26" t="n">
        <v>-108</v>
      </c>
      <c r="M1035" s="27" t="n">
        <v>1.925926</v>
      </c>
      <c r="N1035" s="28" t="n">
        <v>0.519231</v>
      </c>
      <c r="O1035" s="28" t="n">
        <v>0.6807</v>
      </c>
      <c r="P1035" s="28" t="n">
        <v>0.05</v>
      </c>
      <c r="Q1035" s="28" t="n">
        <v>0.161469</v>
      </c>
      <c r="R1035" s="26" t="n">
        <v>100</v>
      </c>
      <c r="S1035" s="29" t="n">
        <v>1.75</v>
      </c>
      <c r="T1035" s="24" t="inlineStr">
        <is>
          <t>tennis-surface-elo-v1</t>
        </is>
      </c>
      <c r="U1035" s="24" t="inlineStr">
        <is>
          <t>settled</t>
        </is>
      </c>
      <c r="V1035" s="24" t="inlineStr">
        <is>
          <t>loss</t>
        </is>
      </c>
      <c r="W1035" s="26" t="n">
        <v>1</v>
      </c>
      <c r="X1035" s="26" t="n">
        <v>0</v>
      </c>
      <c r="Y1035" s="25" t="n"/>
      <c r="Z1035" s="26" t="n">
        <v>-108</v>
      </c>
      <c r="AA1035" s="28" t="n">
        <v>0.52</v>
      </c>
      <c r="AB1035" s="28" t="n">
        <v>0.000769</v>
      </c>
      <c r="AC1035" s="30" t="n">
        <v>-1.75</v>
      </c>
      <c r="AD1035" s="24" t="inlineStr">
        <is>
          <t>2026-09-09T16:00:22.878661Z</t>
        </is>
      </c>
      <c r="AE1035" s="31" t="inlineStr">
        <is>
          <t>Surface-blended Elo on Hard: Anastasiia Sobolieva p=0.319 vs Andrea Lazaro Garcia. Executable ask 0.5200 (aec-wta-andgar-anasob-2026-09-09).</t>
        </is>
      </c>
      <c r="AF1035" s="31" t="inlineStr">
        <is>
          <t>Surface-blended Elo model; singles only, WTA+ATP market coverage, not yet locked-holdout qualified -- promoted by explicit operator directive, not genuine walk-forward validation.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model_qualified</t>
        </is>
      </c>
      <c r="AL1035" s="26" t="n">
        <v>4</v>
      </c>
      <c r="AM1035" s="24" t="inlineStr">
        <is>
          <t>QUALIFIED_SHADOW_CALL</t>
        </is>
      </c>
      <c r="AN1035" s="24" t="inlineStr">
        <is>
          <t>CALL</t>
        </is>
      </c>
      <c r="AO1035" s="24" t="inlineStr">
        <is>
          <t>QUALIFIED</t>
        </is>
      </c>
      <c r="AP1035" s="24" t="inlineStr">
        <is>
          <t>Anastasiia Sobolieva</t>
        </is>
      </c>
      <c r="AQ1035" s="24" t="inlineStr">
        <is>
          <t>Anastasiia Sobolieva</t>
        </is>
      </c>
      <c r="AR1035" s="24" t="inlineStr">
        <is>
          <t>Anastasiia Sobolieva</t>
        </is>
      </c>
      <c r="AS1035" s="24" t="inlineStr">
        <is>
          <t>Andrea Lazaro Garcia</t>
        </is>
      </c>
      <c r="AT1035" s="24" t="inlineStr">
        <is>
          <t>Andrea Lazaro Garcia</t>
        </is>
      </c>
      <c r="AU1035" s="24" t="inlineStr">
        <is>
          <t>Andrea Lazaro Garcia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inlineStr">
        <is>
          <t>b6a128fd8ef6dd41016b77e2e2fb0ca36bdb1ca1895b972980670c1571f8e21c</t>
        </is>
      </c>
      <c r="BB1035" s="24" t="inlineStr">
        <is>
          <t>surface_blended_elo</t>
        </is>
      </c>
      <c r="BC1035" s="24" t="inlineStr">
        <is>
          <t>tennis-surface-elo-v1</t>
        </is>
      </c>
      <c r="BD1035" s="24" t="inlineStr">
        <is>
          <t>b6a128fd8ef6dd41016b77e2e2fb0ca36bdb1ca1895b972980670c1571f8e21c</t>
        </is>
      </c>
      <c r="BE1035" s="24" t="inlineStr">
        <is>
          <t>tennis-surface-elo-v1</t>
        </is>
      </c>
      <c r="BF1035" s="24" t="inlineStr">
        <is>
          <t>1</t>
        </is>
      </c>
      <c r="BG1035" s="24" t="inlineStr">
        <is>
          <t>b6a128fd8ef6dd41016b77e2e2fb0ca36bdb1ca1895b972980670c1571f8e21c</t>
        </is>
      </c>
      <c r="BH1035" s="24" t="inlineStr">
        <is>
          <t>2026-09-09T04:33:41.082472Z</t>
        </is>
      </c>
      <c r="BI1035" s="24" t="inlineStr">
        <is>
          <t>["same_event","same_team_same_day","same_league_same_day"]</t>
        </is>
      </c>
      <c r="BJ1035" s="25" t="n"/>
      <c r="BK1035" s="26" t="n">
        <v>-108</v>
      </c>
      <c r="BL1035" s="27" t="n">
        <v>1.925926</v>
      </c>
      <c r="BM1035" s="28" t="n">
        <v>0.519231</v>
      </c>
      <c r="BN1035" s="28" t="n"/>
      <c r="BO1035" s="28" t="n"/>
      <c r="BP1035" s="25" t="n"/>
      <c r="BQ1035" s="27" t="n">
        <v>1.925926</v>
      </c>
      <c r="BR1035" s="28" t="n">
        <v>0.52</v>
      </c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inlineStr">
        <is>
          <t>e109e891e76c696d23b14459fdc8877a5ea7ba6be4624bfe0f3badcdafa956a2</t>
        </is>
      </c>
      <c r="DE1035" s="24" t="inlineStr">
        <is>
          <t>/Users/vincentc9002/model-prediction/data/odds/tennis/2026-09-09/polymarket_snapshots.jsonl</t>
        </is>
      </c>
      <c r="DF1035" s="24" t="inlineStr">
        <is>
          <t>736705:2026-09-09T04:33:41.082472Z</t>
        </is>
      </c>
      <c r="DG1035" s="24" t="n"/>
      <c r="DH1035" s="24" t="n"/>
      <c r="DI1035" s="24" t="n"/>
      <c r="DJ1035" s="24" t="inlineStr">
        <is>
          <t>0.519231</t>
        </is>
      </c>
      <c r="DK1035" s="24" t="n"/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cc08a1fba51e4a62</t>
        </is>
      </c>
      <c r="B1036" s="24" t="inlineStr">
        <is>
          <t>2026-09-09T10:03:43.110101Z</t>
        </is>
      </c>
      <c r="C1036" s="24" t="inlineStr">
        <is>
          <t>2026-09-09T13:30Z</t>
        </is>
      </c>
      <c r="D1036" s="24" t="inlineStr">
        <is>
          <t>998-2026:183588</t>
        </is>
      </c>
      <c r="E1036" s="24" t="inlineStr">
        <is>
          <t>TENNIS</t>
        </is>
      </c>
      <c r="F1036" s="24" t="inlineStr">
        <is>
          <t>Dalma Galfi</t>
        </is>
      </c>
      <c r="G1036" s="24" t="inlineStr">
        <is>
          <t>Nuria Brancaccio</t>
        </is>
      </c>
      <c r="H1036" s="24" t="inlineStr">
        <is>
          <t>moneyline</t>
        </is>
      </c>
      <c r="I1036" s="24" t="inlineStr">
        <is>
          <t>home</t>
        </is>
      </c>
      <c r="J1036" s="25" t="n"/>
      <c r="K1036" s="24" t="inlineStr">
        <is>
          <t>polymarket_us</t>
        </is>
      </c>
      <c r="L1036" s="26" t="n">
        <v>-104</v>
      </c>
      <c r="M1036" s="27" t="n">
        <v>1.961538</v>
      </c>
      <c r="N1036" s="28" t="n">
        <v>0.509804</v>
      </c>
      <c r="O1036" s="28" t="n">
        <v>0.5106000000000001</v>
      </c>
      <c r="P1036" s="28" t="n">
        <v>0.05</v>
      </c>
      <c r="Q1036" s="28" t="n">
        <v>0.000796</v>
      </c>
      <c r="R1036" s="26" t="n">
        <v>20</v>
      </c>
      <c r="S1036" s="29" t="n">
        <v>1</v>
      </c>
      <c r="T1036" s="24" t="inlineStr">
        <is>
          <t>tennis-surface-elo-v1</t>
        </is>
      </c>
      <c r="U1036" s="24" t="inlineStr">
        <is>
          <t>settled</t>
        </is>
      </c>
      <c r="V1036" s="24" t="inlineStr">
        <is>
          <t>loss</t>
        </is>
      </c>
      <c r="W1036" s="26" t="n">
        <v>1</v>
      </c>
      <c r="X1036" s="26" t="n">
        <v>0</v>
      </c>
      <c r="Y1036" s="25" t="n"/>
      <c r="Z1036" s="26" t="n">
        <v>-104</v>
      </c>
      <c r="AA1036" s="28" t="n">
        <v>0.51</v>
      </c>
      <c r="AB1036" s="28" t="n">
        <v>0.000196</v>
      </c>
      <c r="AC1036" s="30" t="n">
        <v>-1</v>
      </c>
      <c r="AD1036" s="24" t="inlineStr">
        <is>
          <t>2026-09-09T22:01:13.238426Z</t>
        </is>
      </c>
      <c r="AE1036" s="31" t="inlineStr">
        <is>
          <t>Surface-blended Elo on Hard: Dalma Galfi p=0.489 vs Nuria Brancaccio. Executable ask 0.5100 (aec-wta-nurbra-dalgal-2026-09-09).</t>
        </is>
      </c>
      <c r="AF1036" s="31" t="inlineStr">
        <is>
          <t>Surface-blended Elo model; singles only, WTA+ATP market coverage, not yet locked-holdout qualified -- promoted by explicit operator directive, not genuine walk-forward validation.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PAPER_CALL_LOW_EDGE</t>
        </is>
      </c>
      <c r="AP1036" s="24" t="inlineStr">
        <is>
          <t>Dalma Galfi</t>
        </is>
      </c>
      <c r="AQ1036" s="24" t="inlineStr">
        <is>
          <t>Dalma Galfi</t>
        </is>
      </c>
      <c r="AR1036" s="24" t="inlineStr">
        <is>
          <t>Dalma Galfi</t>
        </is>
      </c>
      <c r="AS1036" s="24" t="inlineStr">
        <is>
          <t>Nuria Brancaccio</t>
        </is>
      </c>
      <c r="AT1036" s="24" t="inlineStr">
        <is>
          <t>Nuria Brancaccio</t>
        </is>
      </c>
      <c r="AU1036" s="24" t="inlineStr">
        <is>
          <t>Nuria Brancaccio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inlineStr">
        <is>
          <t>b6a128fd8ef6dd41016b77e2e2fb0ca36bdb1ca1895b972980670c1571f8e21c</t>
        </is>
      </c>
      <c r="BB1036" s="24" t="inlineStr">
        <is>
          <t>surface_blended_elo</t>
        </is>
      </c>
      <c r="BC1036" s="24" t="inlineStr">
        <is>
          <t>tennis-surface-elo-v1</t>
        </is>
      </c>
      <c r="BD1036" s="24" t="inlineStr">
        <is>
          <t>b6a128fd8ef6dd41016b77e2e2fb0ca36bdb1ca1895b972980670c1571f8e21c</t>
        </is>
      </c>
      <c r="BE1036" s="24" t="inlineStr">
        <is>
          <t>tennis-surface-elo-v1</t>
        </is>
      </c>
      <c r="BF1036" s="24" t="inlineStr">
        <is>
          <t>1</t>
        </is>
      </c>
      <c r="BG1036" s="24" t="inlineStr">
        <is>
          <t>b6a128fd8ef6dd41016b77e2e2fb0ca36bdb1ca1895b972980670c1571f8e21c</t>
        </is>
      </c>
      <c r="BH1036" s="24" t="inlineStr">
        <is>
          <t>2026-09-09T04:33:39.147937Z</t>
        </is>
      </c>
      <c r="BI1036" s="24" t="inlineStr">
        <is>
          <t>["same_event","same_team_same_day","same_league_same_day"]</t>
        </is>
      </c>
      <c r="BJ1036" s="25" t="n"/>
      <c r="BK1036" s="26" t="n">
        <v>-104</v>
      </c>
      <c r="BL1036" s="27" t="n">
        <v>1.961538</v>
      </c>
      <c r="BM1036" s="28" t="n">
        <v>0.509804</v>
      </c>
      <c r="BN1036" s="28" t="n"/>
      <c r="BO1036" s="28" t="n"/>
      <c r="BP1036" s="25" t="n"/>
      <c r="BQ1036" s="27" t="n">
        <v>1.961538</v>
      </c>
      <c r="BR1036" s="28" t="n">
        <v>0.51</v>
      </c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inlineStr">
        <is>
          <t>fd1919da5cc20f3be6fcc03eadde3632abedbbcabab44f398feaff57b8a4855a</t>
        </is>
      </c>
      <c r="DE1036" s="24" t="inlineStr">
        <is>
          <t>/Users/vincentc9002/model-prediction/data/odds/tennis/2026-09-09/polymarket_snapshots.jsonl</t>
        </is>
      </c>
      <c r="DF1036" s="24" t="inlineStr">
        <is>
          <t>737200:2026-09-09T04:33:39.147937Z</t>
        </is>
      </c>
      <c r="DG1036" s="24" t="n"/>
      <c r="DH1036" s="24" t="n"/>
      <c r="DI1036" s="24" t="n"/>
      <c r="DJ1036" s="24" t="inlineStr">
        <is>
          <t>0.509804</t>
        </is>
      </c>
      <c r="DK1036" s="24" t="n"/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93dbd915d1c543d9</t>
        </is>
      </c>
      <c r="B1037" s="24" t="inlineStr">
        <is>
          <t>2026-09-09T10:03:43.110101Z</t>
        </is>
      </c>
      <c r="C1037" s="24" t="inlineStr">
        <is>
          <t>2026-09-09T10:30Z</t>
        </is>
      </c>
      <c r="D1037" s="24" t="inlineStr">
        <is>
          <t>1076-2026:183549</t>
        </is>
      </c>
      <c r="E1037" s="24" t="inlineStr">
        <is>
          <t>TENNIS</t>
        </is>
      </c>
      <c r="F1037" s="24" t="inlineStr">
        <is>
          <t>Leyre Romero Gormaz</t>
        </is>
      </c>
      <c r="G1037" s="24" t="inlineStr">
        <is>
          <t>Alevtina Ibragimova</t>
        </is>
      </c>
      <c r="H1037" s="24" t="inlineStr">
        <is>
          <t>moneyline</t>
        </is>
      </c>
      <c r="I1037" s="24" t="inlineStr">
        <is>
          <t>away</t>
        </is>
      </c>
      <c r="J1037" s="25" t="n"/>
      <c r="K1037" s="24" t="inlineStr">
        <is>
          <t>polymarket_us</t>
        </is>
      </c>
      <c r="L1037" s="26" t="n">
        <v>-127</v>
      </c>
      <c r="M1037" s="27" t="n">
        <v>1.787402</v>
      </c>
      <c r="N1037" s="28" t="n">
        <v>0.5594710000000001</v>
      </c>
      <c r="O1037" s="28" t="n">
        <v>0.5417999999999999</v>
      </c>
      <c r="P1037" s="28" t="n">
        <v>0.05</v>
      </c>
      <c r="Q1037" s="28" t="n">
        <v>-0.017671</v>
      </c>
      <c r="R1037" s="26" t="n">
        <v>11</v>
      </c>
      <c r="S1037" s="29" t="n">
        <v>1</v>
      </c>
      <c r="T1037" s="24" t="inlineStr">
        <is>
          <t>tennis-surface-elo-v1</t>
        </is>
      </c>
      <c r="U1037" s="24" t="inlineStr">
        <is>
          <t>settled</t>
        </is>
      </c>
      <c r="V1037" s="24" t="inlineStr">
        <is>
          <t>loss</t>
        </is>
      </c>
      <c r="W1037" s="26" t="n">
        <v>0</v>
      </c>
      <c r="X1037" s="26" t="n">
        <v>1</v>
      </c>
      <c r="Y1037" s="25" t="n"/>
      <c r="Z1037" s="26" t="n">
        <v>-127</v>
      </c>
      <c r="AA1037" s="28" t="n">
        <v>0.5600000000000001</v>
      </c>
      <c r="AB1037" s="28" t="n">
        <v>0.000529</v>
      </c>
      <c r="AC1037" s="30" t="n">
        <v>-1</v>
      </c>
      <c r="AD1037" s="24" t="inlineStr">
        <is>
          <t>2026-09-09T16:00:23.309775Z</t>
        </is>
      </c>
      <c r="AE1037" s="31" t="inlineStr">
        <is>
          <t>Surface-blended Elo on Hard: Leyre Romero Gormaz p=0.542 vs Alevtina Ibragimova. Executable ask 0.5600 (aec-wta-aleibr-leygor-2026-09-09).</t>
        </is>
      </c>
      <c r="AF1037" s="31" t="inlineStr">
        <is>
          <t>Surface-blended Elo model; singles only, WTA+ATP market coverage, not yet locked-holdout qualified -- promoted by explicit operator directive, not genuine walk-forward validation.</t>
        </is>
      </c>
      <c r="AG1037" s="24" t="inlineStr">
        <is>
          <t>review_required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PAPER_CALL_LOW_EDGE</t>
        </is>
      </c>
      <c r="AP1037" s="24" t="inlineStr">
        <is>
          <t>Leyre Romero Gormaz</t>
        </is>
      </c>
      <c r="AQ1037" s="24" t="inlineStr">
        <is>
          <t>Leyre Romero Gormaz</t>
        </is>
      </c>
      <c r="AR1037" s="24" t="inlineStr">
        <is>
          <t>Leyre Romero Gormaz</t>
        </is>
      </c>
      <c r="AS1037" s="24" t="inlineStr">
        <is>
          <t>Alevtina Ibragimova</t>
        </is>
      </c>
      <c r="AT1037" s="24" t="inlineStr">
        <is>
          <t>Alevtina Ibragimova</t>
        </is>
      </c>
      <c r="AU1037" s="24" t="inlineStr">
        <is>
          <t>Alevtina Ibragimova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inlineStr">
        <is>
          <t>b6a128fd8ef6dd41016b77e2e2fb0ca36bdb1ca1895b972980670c1571f8e21c</t>
        </is>
      </c>
      <c r="BB1037" s="24" t="inlineStr">
        <is>
          <t>surface_blended_elo</t>
        </is>
      </c>
      <c r="BC1037" s="24" t="inlineStr">
        <is>
          <t>tennis-surface-elo-v1</t>
        </is>
      </c>
      <c r="BD1037" s="24" t="inlineStr">
        <is>
          <t>b6a128fd8ef6dd41016b77e2e2fb0ca36bdb1ca1895b972980670c1571f8e21c</t>
        </is>
      </c>
      <c r="BE1037" s="24" t="inlineStr">
        <is>
          <t>tennis-surface-elo-v1</t>
        </is>
      </c>
      <c r="BF1037" s="24" t="inlineStr">
        <is>
          <t>1</t>
        </is>
      </c>
      <c r="BG1037" s="24" t="inlineStr">
        <is>
          <t>b6a128fd8ef6dd41016b77e2e2fb0ca36bdb1ca1895b972980670c1571f8e21c</t>
        </is>
      </c>
      <c r="BH1037" s="24" t="inlineStr">
        <is>
          <t>2026-09-09T04:33:41.054371Z</t>
        </is>
      </c>
      <c r="BI1037" s="24" t="inlineStr">
        <is>
          <t>["same_event","same_team_same_day","same_league_same_day"]</t>
        </is>
      </c>
      <c r="BJ1037" s="25" t="n"/>
      <c r="BK1037" s="26" t="n">
        <v>-127</v>
      </c>
      <c r="BL1037" s="27" t="n">
        <v>1.787402</v>
      </c>
      <c r="BM1037" s="28" t="n">
        <v>0.5594710000000001</v>
      </c>
      <c r="BN1037" s="28" t="n"/>
      <c r="BO1037" s="28" t="n"/>
      <c r="BP1037" s="25" t="n"/>
      <c r="BQ1037" s="27" t="n">
        <v>1.787402</v>
      </c>
      <c r="BR1037" s="28" t="n">
        <v>0.5600000000000001</v>
      </c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inlineStr">
        <is>
          <t>46202807c37e4abcbe37349a2c7905ea67d2df49bddc71cca4165786906a8108</t>
        </is>
      </c>
      <c r="DE1037" s="24" t="inlineStr">
        <is>
          <t>/Users/vincentc9002/model-prediction/data/odds/tennis/2026-09-09/polymarket_snapshots.jsonl</t>
        </is>
      </c>
      <c r="DF1037" s="24" t="inlineStr">
        <is>
          <t>735080:2026-09-09T04:33:41.054371Z</t>
        </is>
      </c>
      <c r="DG1037" s="24" t="n"/>
      <c r="DH1037" s="24" t="n"/>
      <c r="DI1037" s="24" t="n"/>
      <c r="DJ1037" s="24" t="inlineStr">
        <is>
          <t>0.559471</t>
        </is>
      </c>
      <c r="DK1037" s="24" t="n"/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02367c7517e84450</t>
        </is>
      </c>
      <c r="B1038" s="24" t="inlineStr">
        <is>
          <t>2026-09-09T10:03:43.110101Z</t>
        </is>
      </c>
      <c r="C1038" s="24" t="inlineStr">
        <is>
          <t>2026-09-09T11:00Z</t>
        </is>
      </c>
      <c r="D1038" s="24" t="inlineStr">
        <is>
          <t>1076-2026:183539</t>
        </is>
      </c>
      <c r="E1038" s="24" t="inlineStr">
        <is>
          <t>TENNIS</t>
        </is>
      </c>
      <c r="F1038" s="24" t="inlineStr">
        <is>
          <t>Miriam Bulgaru</t>
        </is>
      </c>
      <c r="G1038" s="24" t="inlineStr">
        <is>
          <t>Irene Burillo</t>
        </is>
      </c>
      <c r="H1038" s="24" t="inlineStr">
        <is>
          <t>moneyline</t>
        </is>
      </c>
      <c r="I1038" s="24" t="inlineStr">
        <is>
          <t>home</t>
        </is>
      </c>
      <c r="J1038" s="25" t="n"/>
      <c r="K1038" s="24" t="inlineStr">
        <is>
          <t>polymarket_us</t>
        </is>
      </c>
      <c r="L1038" s="26" t="n">
        <v>-127</v>
      </c>
      <c r="M1038" s="27" t="n">
        <v>1.787402</v>
      </c>
      <c r="N1038" s="28" t="n">
        <v>0.5594710000000001</v>
      </c>
      <c r="O1038" s="28" t="n">
        <v>0.5203</v>
      </c>
      <c r="P1038" s="28" t="n">
        <v>0.05</v>
      </c>
      <c r="Q1038" s="28" t="n">
        <v>-0.039171</v>
      </c>
      <c r="R1038" s="26" t="n">
        <v>0</v>
      </c>
      <c r="S1038" s="29" t="n">
        <v>1</v>
      </c>
      <c r="T1038" s="24" t="inlineStr">
        <is>
          <t>tennis-surface-elo-v1</t>
        </is>
      </c>
      <c r="U1038" s="24" t="inlineStr">
        <is>
          <t>settled</t>
        </is>
      </c>
      <c r="V1038" s="24" t="inlineStr">
        <is>
          <t>win</t>
        </is>
      </c>
      <c r="W1038" s="26" t="n">
        <v>0</v>
      </c>
      <c r="X1038" s="26" t="n">
        <v>1</v>
      </c>
      <c r="Y1038" s="25" t="n"/>
      <c r="Z1038" s="26" t="n">
        <v>-127</v>
      </c>
      <c r="AA1038" s="28" t="n">
        <v>0.5600000000000001</v>
      </c>
      <c r="AB1038" s="28" t="n">
        <v>0.000529</v>
      </c>
      <c r="AC1038" s="30" t="n">
        <v>0.7874</v>
      </c>
      <c r="AD1038" s="24" t="inlineStr">
        <is>
          <t>2026-09-09T16:00:23.735776Z</t>
        </is>
      </c>
      <c r="AE1038" s="31" t="inlineStr">
        <is>
          <t>Surface-blended Elo on Hard: Miriam Bulgaru p=0.480 vs Irene Burillo. Executable ask 0.5600 (aec-wta-ireesc-mirbul-2026-09-09).</t>
        </is>
      </c>
      <c r="AF1038" s="31" t="inlineStr">
        <is>
          <t>Surface-blended Elo model; singles only, WTA+ATP market coverage, not yet locked-holdout qualified -- promoted by explicit operator directive, not genuine walk-forward validation.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paper_call</t>
        </is>
      </c>
      <c r="AL1038" s="26" t="n">
        <v>4</v>
      </c>
      <c r="AM1038" s="24" t="inlineStr">
        <is>
          <t>RESEARCH_OBSERVATION</t>
        </is>
      </c>
      <c r="AN1038" s="24" t="inlineStr">
        <is>
          <t>CALL</t>
        </is>
      </c>
      <c r="AO1038" s="24" t="inlineStr">
        <is>
          <t>PAPER_CALL_LOW_EDGE</t>
        </is>
      </c>
      <c r="AP1038" s="24" t="inlineStr">
        <is>
          <t>Miriam Bulgaru</t>
        </is>
      </c>
      <c r="AQ1038" s="24" t="inlineStr">
        <is>
          <t>Miriam Bulgaru</t>
        </is>
      </c>
      <c r="AR1038" s="24" t="inlineStr">
        <is>
          <t>Miriam Bulgaru</t>
        </is>
      </c>
      <c r="AS1038" s="24" t="inlineStr">
        <is>
          <t>Irene Burillo</t>
        </is>
      </c>
      <c r="AT1038" s="24" t="inlineStr">
        <is>
          <t>Irene Burillo</t>
        </is>
      </c>
      <c r="AU1038" s="24" t="inlineStr">
        <is>
          <t>Irene Burillo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inlineStr">
        <is>
          <t>b6a128fd8ef6dd41016b77e2e2fb0ca36bdb1ca1895b972980670c1571f8e21c</t>
        </is>
      </c>
      <c r="BB1038" s="24" t="inlineStr">
        <is>
          <t>surface_blended_elo</t>
        </is>
      </c>
      <c r="BC1038" s="24" t="inlineStr">
        <is>
          <t>tennis-surface-elo-v1</t>
        </is>
      </c>
      <c r="BD1038" s="24" t="inlineStr">
        <is>
          <t>b6a128fd8ef6dd41016b77e2e2fb0ca36bdb1ca1895b972980670c1571f8e21c</t>
        </is>
      </c>
      <c r="BE1038" s="24" t="inlineStr">
        <is>
          <t>tennis-surface-elo-v1</t>
        </is>
      </c>
      <c r="BF1038" s="24" t="inlineStr">
        <is>
          <t>1</t>
        </is>
      </c>
      <c r="BG1038" s="24" t="inlineStr">
        <is>
          <t>b6a128fd8ef6dd41016b77e2e2fb0ca36bdb1ca1895b972980670c1571f8e21c</t>
        </is>
      </c>
      <c r="BH1038" s="24" t="inlineStr">
        <is>
          <t>2026-09-09T04:33:40.997807Z</t>
        </is>
      </c>
      <c r="BI1038" s="24" t="inlineStr">
        <is>
          <t>["same_event","same_team_same_day","same_league_same_day"]</t>
        </is>
      </c>
      <c r="BJ1038" s="25" t="n"/>
      <c r="BK1038" s="26" t="n">
        <v>-127</v>
      </c>
      <c r="BL1038" s="27" t="n">
        <v>1.787402</v>
      </c>
      <c r="BM1038" s="28" t="n">
        <v>0.5594710000000001</v>
      </c>
      <c r="BN1038" s="28" t="n"/>
      <c r="BO1038" s="28" t="n"/>
      <c r="BP1038" s="25" t="n"/>
      <c r="BQ1038" s="27" t="n">
        <v>1.787402</v>
      </c>
      <c r="BR1038" s="28" t="n">
        <v>0.5600000000000001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False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inlineStr">
        <is>
          <t>3cceb51c6c8d8f4fee4cc01e35b189516e445163a5c6f3f27dd36ac7e9e8e468</t>
        </is>
      </c>
      <c r="DE1038" s="24" t="inlineStr">
        <is>
          <t>/Users/vincentc9002/model-prediction/data/odds/tennis/2026-09-09/polymarket_snapshots.jsonl</t>
        </is>
      </c>
      <c r="DF1038" s="24" t="inlineStr">
        <is>
          <t>737710:2026-09-09T04:33:40.997807Z</t>
        </is>
      </c>
      <c r="DG1038" s="24" t="n"/>
      <c r="DH1038" s="24" t="n"/>
      <c r="DI1038" s="24" t="n"/>
      <c r="DJ1038" s="24" t="inlineStr">
        <is>
          <t>0.559471</t>
        </is>
      </c>
      <c r="DK1038" s="24" t="n"/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c4cf7d9fe3ab4cfa</t>
        </is>
      </c>
      <c r="B1039" s="24" t="inlineStr">
        <is>
          <t>2026-09-09T16:03:57.379970Z</t>
        </is>
      </c>
      <c r="C1039" s="24" t="inlineStr">
        <is>
          <t>2026-09-09T16:30Z</t>
        </is>
      </c>
      <c r="D1039" s="24" t="inlineStr">
        <is>
          <t>189-2026:182573</t>
        </is>
      </c>
      <c r="E1039" s="24" t="inlineStr">
        <is>
          <t>TENNIS</t>
        </is>
      </c>
      <c r="F1039" s="24" t="inlineStr">
        <is>
          <t>Coco Gauff</t>
        </is>
      </c>
      <c r="G1039" s="24" t="inlineStr">
        <is>
          <t>Mirra Andreeva</t>
        </is>
      </c>
      <c r="H1039" s="24" t="inlineStr">
        <is>
          <t>moneyline</t>
        </is>
      </c>
      <c r="I1039" s="24" t="inlineStr">
        <is>
          <t>away</t>
        </is>
      </c>
      <c r="J1039" s="25" t="n"/>
      <c r="K1039" s="24" t="inlineStr">
        <is>
          <t>polymarket_us</t>
        </is>
      </c>
      <c r="L1039" s="26" t="n">
        <v>-199</v>
      </c>
      <c r="M1039" s="27" t="n">
        <v>1.502513</v>
      </c>
      <c r="N1039" s="28" t="n">
        <v>0.665552</v>
      </c>
      <c r="O1039" s="28" t="n">
        <v>0.6487000000000001</v>
      </c>
      <c r="P1039" s="28" t="n">
        <v>0.05</v>
      </c>
      <c r="Q1039" s="28" t="n">
        <v>-0.016852</v>
      </c>
      <c r="R1039" s="26" t="n">
        <v>12</v>
      </c>
      <c r="S1039" s="29" t="n">
        <v>1</v>
      </c>
      <c r="T1039" s="24" t="inlineStr">
        <is>
          <t>tennis-surface-elo-v1</t>
        </is>
      </c>
      <c r="U1039" s="24" t="inlineStr">
        <is>
          <t>settled</t>
        </is>
      </c>
      <c r="V1039" s="24" t="inlineStr">
        <is>
          <t>win</t>
        </is>
      </c>
      <c r="W1039" s="26" t="n">
        <v>1</v>
      </c>
      <c r="X1039" s="26" t="n">
        <v>0</v>
      </c>
      <c r="Y1039" s="25" t="n"/>
      <c r="Z1039" s="26" t="n">
        <v>-199</v>
      </c>
      <c r="AA1039" s="28" t="n">
        <v>0.665</v>
      </c>
      <c r="AB1039" s="28" t="n">
        <v>-0.000552</v>
      </c>
      <c r="AC1039" s="30" t="n">
        <v>0.5024999999999999</v>
      </c>
      <c r="AD1039" s="24" t="inlineStr">
        <is>
          <t>2026-09-09T22:01:34.690521Z</t>
        </is>
      </c>
      <c r="AE1039" s="31" t="inlineStr">
        <is>
          <t>Surface-blended Elo on Hard: Coco Gauff p=0.649 vs Mirra Andreeva. Executable ask 0.6650 (aec-wta-mirand-cocgau-2026-09-08).</t>
        </is>
      </c>
      <c r="AF1039" s="31" t="inlineStr">
        <is>
          <t>Surface-blended Elo model; singles only, WTA+ATP market coverage, not yet locked-holdout qualified -- promoted by explicit operator directive, not genuine walk-forward validation.</t>
        </is>
      </c>
      <c r="AG1039" s="24" t="inlineStr">
        <is>
          <t>not_applicable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PAPER_CALL_LOW_EDGE</t>
        </is>
      </c>
      <c r="AP1039" s="24" t="inlineStr">
        <is>
          <t>Coco Gauff</t>
        </is>
      </c>
      <c r="AQ1039" s="24" t="inlineStr">
        <is>
          <t>Coco Gauff</t>
        </is>
      </c>
      <c r="AR1039" s="24" t="inlineStr">
        <is>
          <t>Coco Gauff</t>
        </is>
      </c>
      <c r="AS1039" s="24" t="inlineStr">
        <is>
          <t>Mirra Andreeva</t>
        </is>
      </c>
      <c r="AT1039" s="24" t="inlineStr">
        <is>
          <t>Mirra Andreeva</t>
        </is>
      </c>
      <c r="AU1039" s="24" t="inlineStr">
        <is>
          <t>Mirra Andreeva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inlineStr">
        <is>
          <t>b6a128fd8ef6dd41016b77e2e2fb0ca36bdb1ca1895b972980670c1571f8e21c</t>
        </is>
      </c>
      <c r="BB1039" s="24" t="inlineStr">
        <is>
          <t>surface_blended_elo</t>
        </is>
      </c>
      <c r="BC1039" s="24" t="inlineStr">
        <is>
          <t>tennis-surface-elo-v1</t>
        </is>
      </c>
      <c r="BD1039" s="24" t="inlineStr">
        <is>
          <t>b6a128fd8ef6dd41016b77e2e2fb0ca36bdb1ca1895b972980670c1571f8e21c</t>
        </is>
      </c>
      <c r="BE1039" s="24" t="inlineStr">
        <is>
          <t>tennis-surface-elo-v1</t>
        </is>
      </c>
      <c r="BF1039" s="24" t="inlineStr">
        <is>
          <t>1</t>
        </is>
      </c>
      <c r="BG1039" s="24" t="inlineStr">
        <is>
          <t>b6a128fd8ef6dd41016b77e2e2fb0ca36bdb1ca1895b972980670c1571f8e21c</t>
        </is>
      </c>
      <c r="BH1039" s="24" t="inlineStr">
        <is>
          <t>2026-09-09T16:03:12.229496Z</t>
        </is>
      </c>
      <c r="BI1039" s="24" t="inlineStr">
        <is>
          <t>["same_event","same_team_same_day","same_league_same_day"]</t>
        </is>
      </c>
      <c r="BJ1039" s="25" t="n"/>
      <c r="BK1039" s="26" t="n">
        <v>-199</v>
      </c>
      <c r="BL1039" s="27" t="n">
        <v>1.502513</v>
      </c>
      <c r="BM1039" s="28" t="n">
        <v>0.665552</v>
      </c>
      <c r="BN1039" s="28" t="n"/>
      <c r="BO1039" s="28" t="n"/>
      <c r="BP1039" s="25" t="n"/>
      <c r="BQ1039" s="27" t="n">
        <v>1.502513</v>
      </c>
      <c r="BR1039" s="28" t="n">
        <v>0.665</v>
      </c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inlineStr">
        <is>
          <t>749c7c20fdccc72f76b66666a3a48b234860f7049ed35627857e31e31a875a0a</t>
        </is>
      </c>
      <c r="DE1039" s="24" t="inlineStr">
        <is>
          <t>/Users/vincentc9002/model-prediction/data/odds/tennis/2026-09-09/polymarket_snapshots.jsonl</t>
        </is>
      </c>
      <c r="DF1039" s="24" t="inlineStr">
        <is>
          <t>722978:2026-09-09T16:03:12.229496Z</t>
        </is>
      </c>
      <c r="DG1039" s="24" t="n"/>
      <c r="DH1039" s="24" t="n"/>
      <c r="DI1039" s="24" t="n"/>
      <c r="DJ1039" s="24" t="inlineStr">
        <is>
          <t>0.665552</t>
        </is>
      </c>
      <c r="DK1039" s="24" t="n"/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267b13be5ead457f</t>
        </is>
      </c>
      <c r="B1040" s="24" t="inlineStr">
        <is>
          <t>2026-09-09T16:03:57.379970Z</t>
        </is>
      </c>
      <c r="C1040" s="24" t="inlineStr">
        <is>
          <t>2026-09-09T16:30Z</t>
        </is>
      </c>
      <c r="D1040" s="24" t="inlineStr">
        <is>
          <t>998-2026:183586</t>
        </is>
      </c>
      <c r="E1040" s="24" t="inlineStr">
        <is>
          <t>TENNIS</t>
        </is>
      </c>
      <c r="F1040" s="24" t="inlineStr">
        <is>
          <t>Noma Noha Akugue</t>
        </is>
      </c>
      <c r="G1040" s="24" t="inlineStr">
        <is>
          <t>Alina Granwehr</t>
        </is>
      </c>
      <c r="H1040" s="24" t="inlineStr">
        <is>
          <t>moneyline</t>
        </is>
      </c>
      <c r="I1040" s="24" t="inlineStr">
        <is>
          <t>home</t>
        </is>
      </c>
      <c r="J1040" s="25" t="n"/>
      <c r="K1040" s="24" t="inlineStr">
        <is>
          <t>polymarket_us</t>
        </is>
      </c>
      <c r="L1040" s="26" t="n">
        <v>212</v>
      </c>
      <c r="M1040" s="27" t="n">
        <v>3.12</v>
      </c>
      <c r="N1040" s="28" t="n">
        <v>0.320513</v>
      </c>
      <c r="O1040" s="28" t="n">
        <v>0.5504</v>
      </c>
      <c r="P1040" s="28" t="n">
        <v>0.05</v>
      </c>
      <c r="Q1040" s="28" t="n">
        <v>0.229887</v>
      </c>
      <c r="R1040" s="26" t="n">
        <v>100</v>
      </c>
      <c r="S1040" s="29" t="n">
        <v>2</v>
      </c>
      <c r="T1040" s="24" t="inlineStr">
        <is>
          <t>tennis-surface-elo-v1</t>
        </is>
      </c>
      <c r="U1040" s="24" t="inlineStr">
        <is>
          <t>settled</t>
        </is>
      </c>
      <c r="V1040" s="24" t="inlineStr">
        <is>
          <t>loss</t>
        </is>
      </c>
      <c r="W1040" s="26" t="n">
        <v>1</v>
      </c>
      <c r="X1040" s="26" t="n">
        <v>0</v>
      </c>
      <c r="Y1040" s="25" t="n"/>
      <c r="Z1040" s="26" t="n">
        <v>212</v>
      </c>
      <c r="AA1040" s="28" t="n">
        <v>0.32</v>
      </c>
      <c r="AB1040" s="28" t="n">
        <v>-0.000513</v>
      </c>
      <c r="AC1040" s="30" t="n">
        <v>-2</v>
      </c>
      <c r="AD1040" s="24" t="inlineStr">
        <is>
          <t>2026-09-09T22:01:35.581445Z</t>
        </is>
      </c>
      <c r="AE1040" s="31" t="inlineStr">
        <is>
          <t>Surface-blended Elo on Hard: Noma Noha Akugue p=0.450 vs Alina Granwehr. Executable ask 0.3200 (aec-wta-aligra-nomaku-2026-09-09).</t>
        </is>
      </c>
      <c r="AF1040" s="31" t="inlineStr">
        <is>
          <t>Surface-blended Elo model; singles only, WTA+ATP market coverage, not yet locked-holdout qualified -- promoted by explicit operator directive, not genuine walk-forward validation.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Noma Noha Akugue</t>
        </is>
      </c>
      <c r="AQ1040" s="24" t="inlineStr">
        <is>
          <t>Noma Noha Akugue</t>
        </is>
      </c>
      <c r="AR1040" s="24" t="inlineStr">
        <is>
          <t>Noma Noha Akugue</t>
        </is>
      </c>
      <c r="AS1040" s="24" t="inlineStr">
        <is>
          <t>Alina Granwehr</t>
        </is>
      </c>
      <c r="AT1040" s="24" t="inlineStr">
        <is>
          <t>Alina Granwehr</t>
        </is>
      </c>
      <c r="AU1040" s="24" t="inlineStr">
        <is>
          <t>Alina Granwehr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inlineStr">
        <is>
          <t>b6a128fd8ef6dd41016b77e2e2fb0ca36bdb1ca1895b972980670c1571f8e21c</t>
        </is>
      </c>
      <c r="BB1040" s="24" t="inlineStr">
        <is>
          <t>surface_blended_elo</t>
        </is>
      </c>
      <c r="BC1040" s="24" t="inlineStr">
        <is>
          <t>tennis-surface-elo-v1</t>
        </is>
      </c>
      <c r="BD1040" s="24" t="inlineStr">
        <is>
          <t>b6a128fd8ef6dd41016b77e2e2fb0ca36bdb1ca1895b972980670c1571f8e21c</t>
        </is>
      </c>
      <c r="BE1040" s="24" t="inlineStr">
        <is>
          <t>tennis-surface-elo-v1</t>
        </is>
      </c>
      <c r="BF1040" s="24" t="inlineStr">
        <is>
          <t>1</t>
        </is>
      </c>
      <c r="BG1040" s="24" t="inlineStr">
        <is>
          <t>b6a128fd8ef6dd41016b77e2e2fb0ca36bdb1ca1895b972980670c1571f8e21c</t>
        </is>
      </c>
      <c r="BH1040" s="24" t="inlineStr">
        <is>
          <t>2026-09-09T16:03:12.209935Z</t>
        </is>
      </c>
      <c r="BI1040" s="24" t="inlineStr">
        <is>
          <t>["same_event","same_team_same_day","same_league_same_day"]</t>
        </is>
      </c>
      <c r="BJ1040" s="25" t="n"/>
      <c r="BK1040" s="26" t="n">
        <v>212</v>
      </c>
      <c r="BL1040" s="27" t="n">
        <v>3.12</v>
      </c>
      <c r="BM1040" s="28" t="n">
        <v>0.320513</v>
      </c>
      <c r="BN1040" s="28" t="n"/>
      <c r="BO1040" s="28" t="n"/>
      <c r="BP1040" s="25" t="n"/>
      <c r="BQ1040" s="27" t="n">
        <v>3.12</v>
      </c>
      <c r="BR1040" s="28" t="n">
        <v>0.32</v>
      </c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inlineStr">
        <is>
          <t>1c5c7d324184f52bb2d2cfd4a07faa5d72af57592e568d4d1cce2b141695e9d4</t>
        </is>
      </c>
      <c r="DE1040" s="24" t="inlineStr">
        <is>
          <t>/Users/vincentc9002/model-prediction/data/odds/tennis/2026-09-09/polymarket_snapshots.jsonl</t>
        </is>
      </c>
      <c r="DF1040" s="24" t="inlineStr">
        <is>
          <t>736613:2026-09-09T16:03:12.209935Z</t>
        </is>
      </c>
      <c r="DG1040" s="24" t="n"/>
      <c r="DH1040" s="24" t="n"/>
      <c r="DI1040" s="24" t="n"/>
      <c r="DJ1040" s="24" t="inlineStr">
        <is>
          <t>0.320513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5e365c5357d744d2</t>
        </is>
      </c>
      <c r="B1041" s="24" t="inlineStr">
        <is>
          <t>2026-09-09T16:03:57.379970Z</t>
        </is>
      </c>
      <c r="C1041" s="24" t="inlineStr">
        <is>
          <t>2026-09-09T18:30Z</t>
        </is>
      </c>
      <c r="D1041" s="24" t="inlineStr">
        <is>
          <t>964-2026:183624</t>
        </is>
      </c>
      <c r="E1041" s="24" t="inlineStr">
        <is>
          <t>TENNIS</t>
        </is>
      </c>
      <c r="F1041" s="24" t="inlineStr">
        <is>
          <t>Julieta Pareja</t>
        </is>
      </c>
      <c r="G1041" s="24" t="inlineStr">
        <is>
          <t>Leolia Jeanjean</t>
        </is>
      </c>
      <c r="H1041" s="24" t="inlineStr">
        <is>
          <t>moneyline</t>
        </is>
      </c>
      <c r="I1041" s="24" t="inlineStr">
        <is>
          <t>away</t>
        </is>
      </c>
      <c r="J1041" s="25" t="n"/>
      <c r="K1041" s="24" t="inlineStr">
        <is>
          <t>polymarket_us</t>
        </is>
      </c>
      <c r="L1041" s="26" t="n">
        <v>-127</v>
      </c>
      <c r="M1041" s="27" t="n">
        <v>1.787402</v>
      </c>
      <c r="N1041" s="28" t="n">
        <v>0.5594710000000001</v>
      </c>
      <c r="O1041" s="28" t="n">
        <v>0.5553</v>
      </c>
      <c r="P1041" s="28" t="n">
        <v>0.05</v>
      </c>
      <c r="Q1041" s="28" t="n">
        <v>-0.004171</v>
      </c>
      <c r="R1041" s="26" t="n">
        <v>18</v>
      </c>
      <c r="S1041" s="29" t="n">
        <v>1</v>
      </c>
      <c r="T1041" s="24" t="inlineStr">
        <is>
          <t>tennis-surface-elo-v1</t>
        </is>
      </c>
      <c r="U1041" s="24" t="inlineStr">
        <is>
          <t>settled</t>
        </is>
      </c>
      <c r="V1041" s="24" t="inlineStr">
        <is>
          <t>loss</t>
        </is>
      </c>
      <c r="W1041" s="26" t="n">
        <v>0</v>
      </c>
      <c r="X1041" s="26" t="n">
        <v>1</v>
      </c>
      <c r="Y1041" s="25" t="n"/>
      <c r="Z1041" s="26" t="n">
        <v>-127</v>
      </c>
      <c r="AA1041" s="28" t="n">
        <v>0.5600000000000001</v>
      </c>
      <c r="AB1041" s="28" t="n">
        <v>0.000529</v>
      </c>
      <c r="AC1041" s="30" t="n">
        <v>-1</v>
      </c>
      <c r="AD1041" s="24" t="inlineStr">
        <is>
          <t>2026-09-10T04:31:51.357821Z</t>
        </is>
      </c>
      <c r="AE1041" s="31" t="inlineStr">
        <is>
          <t>Surface-blended Elo on Hard: Julieta Pareja p=0.555 vs Leolia Jeanjean. Executable ask 0.5600 (aec-wta-leojea-julpar-2026-09-09).</t>
        </is>
      </c>
      <c r="AF1041" s="31" t="inlineStr">
        <is>
          <t>Surface-blended Elo model; singles only, WTA+ATP market coverage, not yet locked-holdout qualified -- promoted by explicit operator directive, not genuine walk-forward validation.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PAPER_CALL_LOW_EDGE</t>
        </is>
      </c>
      <c r="AP1041" s="24" t="inlineStr">
        <is>
          <t>Julieta Pareja</t>
        </is>
      </c>
      <c r="AQ1041" s="24" t="inlineStr">
        <is>
          <t>Julieta Pareja</t>
        </is>
      </c>
      <c r="AR1041" s="24" t="inlineStr">
        <is>
          <t>Julieta Pareja</t>
        </is>
      </c>
      <c r="AS1041" s="24" t="inlineStr">
        <is>
          <t>Leolia Jeanjean</t>
        </is>
      </c>
      <c r="AT1041" s="24" t="inlineStr">
        <is>
          <t>Leolia Jeanjean</t>
        </is>
      </c>
      <c r="AU1041" s="24" t="inlineStr">
        <is>
          <t>Leolia Jeanjean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inlineStr">
        <is>
          <t>b6a128fd8ef6dd41016b77e2e2fb0ca36bdb1ca1895b972980670c1571f8e21c</t>
        </is>
      </c>
      <c r="BB1041" s="24" t="inlineStr">
        <is>
          <t>surface_blended_elo</t>
        </is>
      </c>
      <c r="BC1041" s="24" t="inlineStr">
        <is>
          <t>tennis-surface-elo-v1</t>
        </is>
      </c>
      <c r="BD1041" s="24" t="inlineStr">
        <is>
          <t>b6a128fd8ef6dd41016b77e2e2fb0ca36bdb1ca1895b972980670c1571f8e21c</t>
        </is>
      </c>
      <c r="BE1041" s="24" t="inlineStr">
        <is>
          <t>tennis-surface-elo-v1</t>
        </is>
      </c>
      <c r="BF1041" s="24" t="inlineStr">
        <is>
          <t>1</t>
        </is>
      </c>
      <c r="BG1041" s="24" t="inlineStr">
        <is>
          <t>b6a128fd8ef6dd41016b77e2e2fb0ca36bdb1ca1895b972980670c1571f8e21c</t>
        </is>
      </c>
      <c r="BH1041" s="24" t="inlineStr">
        <is>
          <t>2026-09-09T16:03:12.274090Z</t>
        </is>
      </c>
      <c r="BI1041" s="24" t="inlineStr">
        <is>
          <t>["same_event","same_team_same_day","same_league_same_day"]</t>
        </is>
      </c>
      <c r="BJ1041" s="25" t="n"/>
      <c r="BK1041" s="26" t="n">
        <v>-127</v>
      </c>
      <c r="BL1041" s="27" t="n">
        <v>1.787402</v>
      </c>
      <c r="BM1041" s="28" t="n">
        <v>0.5594710000000001</v>
      </c>
      <c r="BN1041" s="28" t="n"/>
      <c r="BO1041" s="28" t="n"/>
      <c r="BP1041" s="25" t="n"/>
      <c r="BQ1041" s="27" t="n">
        <v>1.787402</v>
      </c>
      <c r="BR1041" s="28" t="n">
        <v>0.5600000000000001</v>
      </c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inlineStr">
        <is>
          <t>c7ff7765ced9ec382913c4ac01b12006c15977135d6b79c31af4582e0c733d17</t>
        </is>
      </c>
      <c r="DE1041" s="24" t="inlineStr">
        <is>
          <t>/Users/vincentc9002/model-prediction/data/odds/tennis/2026-09-09/polymarket_snapshots.jsonl</t>
        </is>
      </c>
      <c r="DF1041" s="24" t="inlineStr">
        <is>
          <t>742896:2026-09-09T16:03:12.274090Z</t>
        </is>
      </c>
      <c r="DG1041" s="24" t="n"/>
      <c r="DH1041" s="24" t="n"/>
      <c r="DI1041" s="24" t="n"/>
      <c r="DJ1041" s="24" t="inlineStr">
        <is>
          <t>0.559471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57b2f4215fa545e5</t>
        </is>
      </c>
      <c r="B1042" s="24" t="inlineStr">
        <is>
          <t>2026-09-09T16:03:57.379970Z</t>
        </is>
      </c>
      <c r="C1042" s="24" t="inlineStr">
        <is>
          <t>2026-09-09T18:30Z</t>
        </is>
      </c>
      <c r="D1042" s="24" t="inlineStr">
        <is>
          <t>964-2026:183633</t>
        </is>
      </c>
      <c r="E1042" s="24" t="inlineStr">
        <is>
          <t>TENNIS</t>
        </is>
      </c>
      <c r="F1042" s="24" t="inlineStr">
        <is>
          <t>Anastasia Tikhonova</t>
        </is>
      </c>
      <c r="G1042" s="24" t="inlineStr">
        <is>
          <t>Nao Hibino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-257</v>
      </c>
      <c r="M1042" s="27" t="n">
        <v>1.389105</v>
      </c>
      <c r="N1042" s="28" t="n">
        <v>0.719888</v>
      </c>
      <c r="O1042" s="28" t="n">
        <v>0.547</v>
      </c>
      <c r="P1042" s="28" t="n">
        <v>0.05</v>
      </c>
      <c r="Q1042" s="28" t="n">
        <v>-0.172888</v>
      </c>
      <c r="R1042" s="26" t="n">
        <v>0</v>
      </c>
      <c r="S1042" s="29" t="n">
        <v>1</v>
      </c>
      <c r="T1042" s="24" t="inlineStr">
        <is>
          <t>tennis-surface-elo-v1</t>
        </is>
      </c>
      <c r="U1042" s="24" t="inlineStr">
        <is>
          <t>settled</t>
        </is>
      </c>
      <c r="V1042" s="24" t="inlineStr">
        <is>
          <t>loss</t>
        </is>
      </c>
      <c r="W1042" s="26" t="n">
        <v>1</v>
      </c>
      <c r="X1042" s="26" t="n">
        <v>0</v>
      </c>
      <c r="Y1042" s="25" t="n"/>
      <c r="Z1042" s="26" t="n">
        <v>-257</v>
      </c>
      <c r="AA1042" s="28" t="n">
        <v>0.72</v>
      </c>
      <c r="AB1042" s="28" t="n">
        <v>0.000112</v>
      </c>
      <c r="AC1042" s="30" t="n">
        <v>-1</v>
      </c>
      <c r="AD1042" s="24" t="inlineStr">
        <is>
          <t>2026-09-09T22:01:36.462236Z</t>
        </is>
      </c>
      <c r="AE1042" s="31" t="inlineStr">
        <is>
          <t>Surface-blended Elo on Hard: Anastasia Tikhonova p=0.453 vs Nao Hibino. Executable ask 0.7200 (aec-wta-naohib-anatik-2026-09-09).</t>
        </is>
      </c>
      <c r="AF1042" s="31" t="inlineStr">
        <is>
          <t>Surface-blended Elo model; singles only, WTA+ATP market coverage, not yet locked-holdout qualified -- promoted by explicit operator directive, not genuine walk-forward validation.</t>
        </is>
      </c>
      <c r="AG1042" s="24" t="inlineStr">
        <is>
          <t>review_required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PAPER_CALL_LOW_EDGE</t>
        </is>
      </c>
      <c r="AP1042" s="24" t="inlineStr">
        <is>
          <t>Anastasia Tikhonova</t>
        </is>
      </c>
      <c r="AQ1042" s="24" t="inlineStr">
        <is>
          <t>Anastasia Tikhonova</t>
        </is>
      </c>
      <c r="AR1042" s="24" t="inlineStr">
        <is>
          <t>Anastasia Tikhonova</t>
        </is>
      </c>
      <c r="AS1042" s="24" t="inlineStr">
        <is>
          <t>Nao Hibino</t>
        </is>
      </c>
      <c r="AT1042" s="24" t="inlineStr">
        <is>
          <t>Nao Hibino</t>
        </is>
      </c>
      <c r="AU1042" s="24" t="inlineStr">
        <is>
          <t>Nao Hibino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b6a128fd8ef6dd41016b77e2e2fb0ca36bdb1ca1895b972980670c1571f8e21c</t>
        </is>
      </c>
      <c r="BB1042" s="24" t="inlineStr">
        <is>
          <t>surface_blended_elo</t>
        </is>
      </c>
      <c r="BC1042" s="24" t="inlineStr">
        <is>
          <t>tennis-surface-elo-v1</t>
        </is>
      </c>
      <c r="BD1042" s="24" t="inlineStr">
        <is>
          <t>b6a128fd8ef6dd41016b77e2e2fb0ca36bdb1ca1895b972980670c1571f8e21c</t>
        </is>
      </c>
      <c r="BE1042" s="24" t="inlineStr">
        <is>
          <t>tennis-surface-elo-v1</t>
        </is>
      </c>
      <c r="BF1042" s="24" t="inlineStr">
        <is>
          <t>1</t>
        </is>
      </c>
      <c r="BG1042" s="24" t="inlineStr">
        <is>
          <t>b6a128fd8ef6dd41016b77e2e2fb0ca36bdb1ca1895b972980670c1571f8e21c</t>
        </is>
      </c>
      <c r="BH1042" s="24" t="inlineStr">
        <is>
          <t>2026-09-09T16:03:12.386306Z</t>
        </is>
      </c>
      <c r="BI1042" s="24" t="inlineStr">
        <is>
          <t>["same_event","same_team_same_day","same_league_same_day"]</t>
        </is>
      </c>
      <c r="BJ1042" s="25" t="n"/>
      <c r="BK1042" s="26" t="n">
        <v>-257</v>
      </c>
      <c r="BL1042" s="27" t="n">
        <v>1.389105</v>
      </c>
      <c r="BM1042" s="28" t="n">
        <v>0.719888</v>
      </c>
      <c r="BN1042" s="28" t="n"/>
      <c r="BO1042" s="28" t="n"/>
      <c r="BP1042" s="25" t="n"/>
      <c r="BQ1042" s="27" t="n">
        <v>1.389105</v>
      </c>
      <c r="BR1042" s="28" t="n">
        <v>0.72</v>
      </c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False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inlineStr">
        <is>
          <t>8a1d717d32147ddc99d15b44d97a599e887a485e46c98bcbf4d3369d50657a85</t>
        </is>
      </c>
      <c r="DE1042" s="24" t="inlineStr">
        <is>
          <t>/Users/vincentc9002/model-prediction/data/odds/tennis/2026-09-09/polymarket_snapshots.jsonl</t>
        </is>
      </c>
      <c r="DF1042" s="24" t="inlineStr">
        <is>
          <t>723713:2026-09-09T16:03:12.386306Z</t>
        </is>
      </c>
      <c r="DG1042" s="24" t="n"/>
      <c r="DH1042" s="24" t="n"/>
      <c r="DI1042" s="24" t="n"/>
      <c r="DJ1042" s="24" t="inlineStr">
        <is>
          <t>0.719888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1bab5dc62d2b4d80</t>
        </is>
      </c>
      <c r="B1043" s="24" t="inlineStr">
        <is>
          <t>2026-09-09T16:03:57.379970Z</t>
        </is>
      </c>
      <c r="C1043" s="24" t="inlineStr">
        <is>
          <t>2026-09-09T18:30Z</t>
        </is>
      </c>
      <c r="D1043" s="24" t="inlineStr">
        <is>
          <t>964-2026:183621</t>
        </is>
      </c>
      <c r="E1043" s="24" t="inlineStr">
        <is>
          <t>TENNIS</t>
        </is>
      </c>
      <c r="F1043" s="24" t="inlineStr">
        <is>
          <t>Claire Liu</t>
        </is>
      </c>
      <c r="G1043" s="24" t="inlineStr">
        <is>
          <t>Varvara Lepchenko</t>
        </is>
      </c>
      <c r="H1043" s="24" t="inlineStr">
        <is>
          <t>moneyline</t>
        </is>
      </c>
      <c r="I1043" s="24" t="inlineStr">
        <is>
          <t>away</t>
        </is>
      </c>
      <c r="J1043" s="25" t="n"/>
      <c r="K1043" s="24" t="inlineStr">
        <is>
          <t>polymarket_us</t>
        </is>
      </c>
      <c r="L1043" s="26" t="n">
        <v>-335</v>
      </c>
      <c r="M1043" s="27" t="n">
        <v>1.298507</v>
      </c>
      <c r="N1043" s="28" t="n">
        <v>0.770115</v>
      </c>
      <c r="O1043" s="28" t="n">
        <v>0.6086</v>
      </c>
      <c r="P1043" s="28" t="n">
        <v>0.05</v>
      </c>
      <c r="Q1043" s="28" t="n">
        <v>-0.161515</v>
      </c>
      <c r="R1043" s="26" t="n">
        <v>0</v>
      </c>
      <c r="S1043" s="29" t="n">
        <v>1</v>
      </c>
      <c r="T1043" s="24" t="inlineStr">
        <is>
          <t>tennis-surface-elo-v1</t>
        </is>
      </c>
      <c r="U1043" s="24" t="inlineStr">
        <is>
          <t>settled</t>
        </is>
      </c>
      <c r="V1043" s="24" t="inlineStr">
        <is>
          <t>win</t>
        </is>
      </c>
      <c r="W1043" s="26" t="n">
        <v>1</v>
      </c>
      <c r="X1043" s="26" t="n">
        <v>0</v>
      </c>
      <c r="Y1043" s="25" t="n"/>
      <c r="Z1043" s="26" t="n">
        <v>-335</v>
      </c>
      <c r="AA1043" s="28" t="n">
        <v>0.77</v>
      </c>
      <c r="AB1043" s="28" t="n">
        <v>-0.000115</v>
      </c>
      <c r="AC1043" s="30" t="n">
        <v>0.2985</v>
      </c>
      <c r="AD1043" s="24" t="inlineStr">
        <is>
          <t>2026-09-09T22:01:37.334755Z</t>
        </is>
      </c>
      <c r="AE1043" s="31" t="inlineStr">
        <is>
          <t>Surface-blended Elo on Hard: Claire Liu p=0.609 vs Varvara Lepchenko. Executable ask 0.7700 (aec-wta-varlep-claliu-2026-09-09).</t>
        </is>
      </c>
      <c r="AF1043" s="31" t="inlineStr">
        <is>
          <t>Surface-blended Elo model; singles only, WTA+ATP market coverage, not yet locked-holdout qualified -- promoted by explicit operator directive, not genuine walk-forward validation.</t>
        </is>
      </c>
      <c r="AG1043" s="24" t="inlineStr">
        <is>
          <t>not_applicable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PAPER_CALL_LOW_EDGE</t>
        </is>
      </c>
      <c r="AP1043" s="24" t="inlineStr">
        <is>
          <t>Claire Liu</t>
        </is>
      </c>
      <c r="AQ1043" s="24" t="inlineStr">
        <is>
          <t>Claire Liu</t>
        </is>
      </c>
      <c r="AR1043" s="24" t="inlineStr">
        <is>
          <t>Claire Liu</t>
        </is>
      </c>
      <c r="AS1043" s="24" t="inlineStr">
        <is>
          <t>Varvara Lepchenko</t>
        </is>
      </c>
      <c r="AT1043" s="24" t="inlineStr">
        <is>
          <t>Varvara Lepchenko</t>
        </is>
      </c>
      <c r="AU1043" s="24" t="inlineStr">
        <is>
          <t>Varvara Lepchenko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b6a128fd8ef6dd41016b77e2e2fb0ca36bdb1ca1895b972980670c1571f8e21c</t>
        </is>
      </c>
      <c r="BB1043" s="24" t="inlineStr">
        <is>
          <t>surface_blended_elo</t>
        </is>
      </c>
      <c r="BC1043" s="24" t="inlineStr">
        <is>
          <t>tennis-surface-elo-v1</t>
        </is>
      </c>
      <c r="BD1043" s="24" t="inlineStr">
        <is>
          <t>b6a128fd8ef6dd41016b77e2e2fb0ca36bdb1ca1895b972980670c1571f8e21c</t>
        </is>
      </c>
      <c r="BE1043" s="24" t="inlineStr">
        <is>
          <t>tennis-surface-elo-v1</t>
        </is>
      </c>
      <c r="BF1043" s="24" t="inlineStr">
        <is>
          <t>1</t>
        </is>
      </c>
      <c r="BG1043" s="24" t="inlineStr">
        <is>
          <t>b6a128fd8ef6dd41016b77e2e2fb0ca36bdb1ca1895b972980670c1571f8e21c</t>
        </is>
      </c>
      <c r="BH1043" s="24" t="inlineStr">
        <is>
          <t>2026-09-09T16:03:12.265997Z</t>
        </is>
      </c>
      <c r="BI1043" s="24" t="inlineStr">
        <is>
          <t>["same_event","same_team_same_day","same_league_same_day"]</t>
        </is>
      </c>
      <c r="BJ1043" s="25" t="n"/>
      <c r="BK1043" s="26" t="n">
        <v>-335</v>
      </c>
      <c r="BL1043" s="27" t="n">
        <v>1.298507</v>
      </c>
      <c r="BM1043" s="28" t="n">
        <v>0.770115</v>
      </c>
      <c r="BN1043" s="28" t="n"/>
      <c r="BO1043" s="28" t="n"/>
      <c r="BP1043" s="25" t="n"/>
      <c r="BQ1043" s="27" t="n">
        <v>1.298507</v>
      </c>
      <c r="BR1043" s="28" t="n">
        <v>0.77</v>
      </c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n"/>
      <c r="CD1043" s="24" t="n"/>
      <c r="CE1043" s="24" t="n"/>
      <c r="CF1043" s="24" t="n"/>
      <c r="CG1043" s="24" t="n"/>
      <c r="CH1043" s="24" t="n"/>
      <c r="CI1043" s="24" t="n"/>
      <c r="CJ1043" s="24" t="n"/>
      <c r="CK1043" s="24" t="n"/>
      <c r="CL1043" s="24" t="n"/>
      <c r="CM1043" s="24" t="n"/>
      <c r="CN1043" s="24" t="n"/>
      <c r="CO1043" s="24" t="n"/>
      <c r="CP1043" s="24" t="n"/>
      <c r="CQ1043" s="24" t="n"/>
      <c r="CR1043" s="24" t="n"/>
      <c r="CS1043" s="24" t="inlineStr">
        <is>
          <t>False</t>
        </is>
      </c>
      <c r="CT1043" s="24" t="n"/>
      <c r="CU1043" s="24" t="n"/>
      <c r="CV1043" s="24" t="n"/>
      <c r="CW1043" s="24" t="n"/>
      <c r="CX1043" s="24" t="n"/>
      <c r="CY1043" s="24" t="n"/>
      <c r="CZ1043" s="24" t="n"/>
      <c r="DA1043" s="24" t="n"/>
      <c r="DB1043" s="24" t="n"/>
      <c r="DC1043" s="24" t="n"/>
      <c r="DD1043" s="24" t="inlineStr">
        <is>
          <t>a1f475c809832699e04360b02bd858d167c6f87c661a19a8b4bef7a095ad3637</t>
        </is>
      </c>
      <c r="DE1043" s="24" t="inlineStr">
        <is>
          <t>/Users/vincentc9002/model-prediction/data/odds/tennis/2026-09-09/polymarket_snapshots.jsonl</t>
        </is>
      </c>
      <c r="DF1043" s="24" t="inlineStr">
        <is>
          <t>742894:2026-09-09T16:03:12.265997Z</t>
        </is>
      </c>
      <c r="DG1043" s="24" t="n"/>
      <c r="DH1043" s="24" t="n"/>
      <c r="DI1043" s="24" t="n"/>
      <c r="DJ1043" s="24" t="inlineStr">
        <is>
          <t>0.770115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37b38ed618024a37</t>
        </is>
      </c>
      <c r="B1044" s="24" t="inlineStr">
        <is>
          <t>2026-09-09T16:03:57.379970Z</t>
        </is>
      </c>
      <c r="C1044" s="24" t="inlineStr">
        <is>
          <t>2026-09-09T20:00Z</t>
        </is>
      </c>
      <c r="D1044" s="24" t="inlineStr">
        <is>
          <t>964-2026:183626</t>
        </is>
      </c>
      <c r="E1044" s="24" t="inlineStr">
        <is>
          <t>TENNIS</t>
        </is>
      </c>
      <c r="F1044" s="24" t="inlineStr">
        <is>
          <t>Carol Young Suh Lee</t>
        </is>
      </c>
      <c r="G1044" s="24" t="inlineStr">
        <is>
          <t>Emiliana Arango</t>
        </is>
      </c>
      <c r="H1044" s="24" t="inlineStr">
        <is>
          <t>moneyline</t>
        </is>
      </c>
      <c r="I1044" s="24" t="inlineStr">
        <is>
          <t>away</t>
        </is>
      </c>
      <c r="J1044" s="25" t="n"/>
      <c r="K1044" s="24" t="inlineStr">
        <is>
          <t>polymarket_us</t>
        </is>
      </c>
      <c r="L1044" s="26" t="n">
        <v>-133</v>
      </c>
      <c r="M1044" s="27" t="n">
        <v>1.75188</v>
      </c>
      <c r="N1044" s="28" t="n">
        <v>0.570815</v>
      </c>
      <c r="O1044" s="28" t="n">
        <v>0.5259</v>
      </c>
      <c r="P1044" s="28" t="n">
        <v>0.05</v>
      </c>
      <c r="Q1044" s="28" t="n">
        <v>-0.044915</v>
      </c>
      <c r="R1044" s="26" t="n">
        <v>0</v>
      </c>
      <c r="S1044" s="29" t="n">
        <v>1</v>
      </c>
      <c r="T1044" s="24" t="inlineStr">
        <is>
          <t>tennis-surface-elo-v1</t>
        </is>
      </c>
      <c r="U1044" s="24" t="inlineStr">
        <is>
          <t>settled</t>
        </is>
      </c>
      <c r="V1044" s="24" t="inlineStr">
        <is>
          <t>win</t>
        </is>
      </c>
      <c r="W1044" s="26" t="n">
        <v>1</v>
      </c>
      <c r="X1044" s="26" t="n">
        <v>0</v>
      </c>
      <c r="Y1044" s="25" t="n"/>
      <c r="Z1044" s="26" t="n">
        <v>-133</v>
      </c>
      <c r="AA1044" s="28" t="n">
        <v>0.57</v>
      </c>
      <c r="AB1044" s="28" t="n">
        <v>-0.000815</v>
      </c>
      <c r="AC1044" s="30" t="n">
        <v>0.7519</v>
      </c>
      <c r="AD1044" s="24" t="inlineStr">
        <is>
          <t>2026-09-10T04:31:51.966328Z</t>
        </is>
      </c>
      <c r="AE1044" s="31" t="inlineStr">
        <is>
          <t>Surface-blended Elo on Hard: Carol Young Suh Lee p=0.526 vs Emiliana Arango. Executable ask 0.5700 (aec-wta-emiara-carlee-2026-09-09).</t>
        </is>
      </c>
      <c r="AF1044" s="31" t="inlineStr">
        <is>
          <t>Surface-blended Elo model; singles only, WTA+ATP market coverage, not yet locked-holdout qualified -- promoted by explicit operator directive, not genuine walk-forward validation.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PAPER_CALL_LOW_EDGE</t>
        </is>
      </c>
      <c r="AP1044" s="24" t="inlineStr">
        <is>
          <t>Carol Young Suh Lee</t>
        </is>
      </c>
      <c r="AQ1044" s="24" t="inlineStr">
        <is>
          <t>Carol Young Suh Lee</t>
        </is>
      </c>
      <c r="AR1044" s="24" t="inlineStr">
        <is>
          <t>Carol Young Suh Lee</t>
        </is>
      </c>
      <c r="AS1044" s="24" t="inlineStr">
        <is>
          <t>Emiliana Arango</t>
        </is>
      </c>
      <c r="AT1044" s="24" t="inlineStr">
        <is>
          <t>Emiliana Arango</t>
        </is>
      </c>
      <c r="AU1044" s="24" t="inlineStr">
        <is>
          <t>Emiliana Arango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b6a128fd8ef6dd41016b77e2e2fb0ca36bdb1ca1895b972980670c1571f8e21c</t>
        </is>
      </c>
      <c r="BB1044" s="24" t="inlineStr">
        <is>
          <t>surface_blended_elo</t>
        </is>
      </c>
      <c r="BC1044" s="24" t="inlineStr">
        <is>
          <t>tennis-surface-elo-v1</t>
        </is>
      </c>
      <c r="BD1044" s="24" t="inlineStr">
        <is>
          <t>b6a128fd8ef6dd41016b77e2e2fb0ca36bdb1ca1895b972980670c1571f8e21c</t>
        </is>
      </c>
      <c r="BE1044" s="24" t="inlineStr">
        <is>
          <t>tennis-surface-elo-v1</t>
        </is>
      </c>
      <c r="BF1044" s="24" t="inlineStr">
        <is>
          <t>1</t>
        </is>
      </c>
      <c r="BG1044" s="24" t="inlineStr">
        <is>
          <t>b6a128fd8ef6dd41016b77e2e2fb0ca36bdb1ca1895b972980670c1571f8e21c</t>
        </is>
      </c>
      <c r="BH1044" s="24" t="inlineStr">
        <is>
          <t>2026-09-09T16:03:12.314911Z</t>
        </is>
      </c>
      <c r="BI1044" s="24" t="inlineStr">
        <is>
          <t>["same_event","same_team_same_day","same_league_same_day"]</t>
        </is>
      </c>
      <c r="BJ1044" s="25" t="n"/>
      <c r="BK1044" s="26" t="n">
        <v>-133</v>
      </c>
      <c r="BL1044" s="27" t="n">
        <v>1.75188</v>
      </c>
      <c r="BM1044" s="28" t="n">
        <v>0.570815</v>
      </c>
      <c r="BN1044" s="28" t="n"/>
      <c r="BO1044" s="28" t="n"/>
      <c r="BP1044" s="25" t="n"/>
      <c r="BQ1044" s="27" t="n">
        <v>1.75188</v>
      </c>
      <c r="BR1044" s="28" t="n">
        <v>0.57</v>
      </c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n"/>
      <c r="CD1044" s="24" t="n"/>
      <c r="CE1044" s="24" t="n"/>
      <c r="CF1044" s="24" t="n"/>
      <c r="CG1044" s="24" t="n"/>
      <c r="CH1044" s="24" t="n"/>
      <c r="CI1044" s="24" t="n"/>
      <c r="CJ1044" s="24" t="n"/>
      <c r="CK1044" s="24" t="n"/>
      <c r="CL1044" s="24" t="n"/>
      <c r="CM1044" s="24" t="n"/>
      <c r="CN1044" s="24" t="n"/>
      <c r="CO1044" s="24" t="n"/>
      <c r="CP1044" s="24" t="n"/>
      <c r="CQ1044" s="24" t="n"/>
      <c r="CR1044" s="24" t="n"/>
      <c r="CS1044" s="24" t="inlineStr">
        <is>
          <t>False</t>
        </is>
      </c>
      <c r="CT1044" s="24" t="n"/>
      <c r="CU1044" s="24" t="n"/>
      <c r="CV1044" s="24" t="n"/>
      <c r="CW1044" s="24" t="n"/>
      <c r="CX1044" s="24" t="n"/>
      <c r="CY1044" s="24" t="n"/>
      <c r="CZ1044" s="24" t="n"/>
      <c r="DA1044" s="24" t="n"/>
      <c r="DB1044" s="24" t="n"/>
      <c r="DC1044" s="24" t="n"/>
      <c r="DD1044" s="24" t="inlineStr">
        <is>
          <t>9f2d147510e540023650dd83fdc8d53265fa418a7ae72ef9bf3813e6e3f3664b</t>
        </is>
      </c>
      <c r="DE1044" s="24" t="inlineStr">
        <is>
          <t>/Users/vincentc9002/model-prediction/data/odds/tennis/2026-09-09/polymarket_snapshots.jsonl</t>
        </is>
      </c>
      <c r="DF1044" s="24" t="inlineStr">
        <is>
          <t>744898:2026-09-09T16:03:12.314911Z</t>
        </is>
      </c>
      <c r="DG1044" s="24" t="n"/>
      <c r="DH1044" s="24" t="n"/>
      <c r="DI1044" s="24" t="n"/>
      <c r="DJ1044" s="24" t="inlineStr">
        <is>
          <t>0.570815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590d534f585442c5</t>
        </is>
      </c>
      <c r="B1045" s="24" t="inlineStr">
        <is>
          <t>2026-09-09T16:03:57.379970Z</t>
        </is>
      </c>
      <c r="C1045" s="24" t="inlineStr">
        <is>
          <t>2026-09-09T20:00Z</t>
        </is>
      </c>
      <c r="D1045" s="24" t="inlineStr">
        <is>
          <t>964-2026:183622</t>
        </is>
      </c>
      <c r="E1045" s="24" t="inlineStr">
        <is>
          <t>TENNIS</t>
        </is>
      </c>
      <c r="F1045" s="24" t="inlineStr">
        <is>
          <t>Sara Sorribes Tormo</t>
        </is>
      </c>
      <c r="G1045" s="24" t="inlineStr">
        <is>
          <t>Kaitlin Quevedo</t>
        </is>
      </c>
      <c r="H1045" s="24" t="inlineStr">
        <is>
          <t>moneyline</t>
        </is>
      </c>
      <c r="I1045" s="24" t="inlineStr">
        <is>
          <t>away</t>
        </is>
      </c>
      <c r="J1045" s="25" t="n"/>
      <c r="K1045" s="24" t="inlineStr">
        <is>
          <t>polymarket_us</t>
        </is>
      </c>
      <c r="L1045" s="26" t="n">
        <v>122</v>
      </c>
      <c r="M1045" s="27" t="n">
        <v>2.22</v>
      </c>
      <c r="N1045" s="28" t="n">
        <v>0.45045</v>
      </c>
      <c r="O1045" s="28" t="n">
        <v>0.5011</v>
      </c>
      <c r="P1045" s="28" t="n">
        <v>0.05</v>
      </c>
      <c r="Q1045" s="28" t="n">
        <v>0.05065</v>
      </c>
      <c r="R1045" s="26" t="n">
        <v>45</v>
      </c>
      <c r="S1045" s="29" t="n">
        <v>1</v>
      </c>
      <c r="T1045" s="24" t="inlineStr">
        <is>
          <t>tennis-surface-elo-v1</t>
        </is>
      </c>
      <c r="U1045" s="24" t="inlineStr">
        <is>
          <t>settled</t>
        </is>
      </c>
      <c r="V1045" s="24" t="inlineStr">
        <is>
          <t>loss</t>
        </is>
      </c>
      <c r="W1045" s="26" t="n">
        <v>0</v>
      </c>
      <c r="X1045" s="26" t="n">
        <v>1</v>
      </c>
      <c r="Y1045" s="25" t="n"/>
      <c r="Z1045" s="26" t="n">
        <v>122</v>
      </c>
      <c r="AA1045" s="28" t="n">
        <v>0.45</v>
      </c>
      <c r="AB1045" s="28" t="n">
        <v>-0.00045</v>
      </c>
      <c r="AC1045" s="30" t="n">
        <v>-1</v>
      </c>
      <c r="AD1045" s="24" t="inlineStr">
        <is>
          <t>2026-09-10T04:31:52.460539Z</t>
        </is>
      </c>
      <c r="AE1045" s="31" t="inlineStr">
        <is>
          <t>Surface-blended Elo on Hard: Sara Sorribes Tormo p=0.501 vs Kaitlin Quevedo. Executable ask 0.4500 (aec-wta-kaique-sartor-2026-09-09).</t>
        </is>
      </c>
      <c r="AF1045" s="31" t="inlineStr">
        <is>
          <t>Surface-blended Elo model; singles only, WTA+ATP market coverage, not yet locked-holdout qualified -- promoted by explicit operator directive, not genuine walk-forward validation.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PAPER_CALL_LOW_EDGE</t>
        </is>
      </c>
      <c r="AP1045" s="24" t="inlineStr">
        <is>
          <t>Sara Sorribes Tormo</t>
        </is>
      </c>
      <c r="AQ1045" s="24" t="inlineStr">
        <is>
          <t>Sara Sorribes Tormo</t>
        </is>
      </c>
      <c r="AR1045" s="24" t="inlineStr">
        <is>
          <t>Sara Sorribes Tormo</t>
        </is>
      </c>
      <c r="AS1045" s="24" t="inlineStr">
        <is>
          <t>Kaitlin Quevedo</t>
        </is>
      </c>
      <c r="AT1045" s="24" t="inlineStr">
        <is>
          <t>Kaitlin Quevedo</t>
        </is>
      </c>
      <c r="AU1045" s="24" t="inlineStr">
        <is>
          <t>Kaitlin Quevedo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b6a128fd8ef6dd41016b77e2e2fb0ca36bdb1ca1895b972980670c1571f8e21c</t>
        </is>
      </c>
      <c r="BB1045" s="24" t="inlineStr">
        <is>
          <t>surface_blended_elo</t>
        </is>
      </c>
      <c r="BC1045" s="24" t="inlineStr">
        <is>
          <t>tennis-surface-elo-v1</t>
        </is>
      </c>
      <c r="BD1045" s="24" t="inlineStr">
        <is>
          <t>b6a128fd8ef6dd41016b77e2e2fb0ca36bdb1ca1895b972980670c1571f8e21c</t>
        </is>
      </c>
      <c r="BE1045" s="24" t="inlineStr">
        <is>
          <t>tennis-surface-elo-v1</t>
        </is>
      </c>
      <c r="BF1045" s="24" t="inlineStr">
        <is>
          <t>1</t>
        </is>
      </c>
      <c r="BG1045" s="24" t="inlineStr">
        <is>
          <t>b6a128fd8ef6dd41016b77e2e2fb0ca36bdb1ca1895b972980670c1571f8e21c</t>
        </is>
      </c>
      <c r="BH1045" s="24" t="inlineStr">
        <is>
          <t>2026-09-09T16:03:12.302915Z</t>
        </is>
      </c>
      <c r="BI1045" s="24" t="inlineStr">
        <is>
          <t>["same_event","same_team_same_day","same_league_same_day"]</t>
        </is>
      </c>
      <c r="BJ1045" s="25" t="n"/>
      <c r="BK1045" s="26" t="n">
        <v>122</v>
      </c>
      <c r="BL1045" s="27" t="n">
        <v>2.22</v>
      </c>
      <c r="BM1045" s="28" t="n">
        <v>0.45045</v>
      </c>
      <c r="BN1045" s="28" t="n"/>
      <c r="BO1045" s="28" t="n"/>
      <c r="BP1045" s="25" t="n"/>
      <c r="BQ1045" s="27" t="n">
        <v>2.22</v>
      </c>
      <c r="BR1045" s="28" t="n">
        <v>0.45</v>
      </c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n"/>
      <c r="CD1045" s="24" t="n"/>
      <c r="CE1045" s="24" t="n"/>
      <c r="CF1045" s="24" t="n"/>
      <c r="CG1045" s="24" t="n"/>
      <c r="CH1045" s="24" t="n"/>
      <c r="CI1045" s="24" t="n"/>
      <c r="CJ1045" s="24" t="n"/>
      <c r="CK1045" s="24" t="n"/>
      <c r="CL1045" s="24" t="n"/>
      <c r="CM1045" s="24" t="n"/>
      <c r="CN1045" s="24" t="n"/>
      <c r="CO1045" s="24" t="n"/>
      <c r="CP1045" s="24" t="n"/>
      <c r="CQ1045" s="24" t="n"/>
      <c r="CR1045" s="24" t="n"/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n"/>
      <c r="CZ1045" s="24" t="n"/>
      <c r="DA1045" s="24" t="n"/>
      <c r="DB1045" s="24" t="n"/>
      <c r="DC1045" s="24" t="n"/>
      <c r="DD1045" s="24" t="inlineStr">
        <is>
          <t>5ac0a854f9cea9df20f8cb088c7a517e2a035c6a72eadc916de09eb73a3fc9f7</t>
        </is>
      </c>
      <c r="DE1045" s="24" t="inlineStr">
        <is>
          <t>/Users/vincentc9002/model-prediction/data/odds/tennis/2026-09-09/polymarket_snapshots.jsonl</t>
        </is>
      </c>
      <c r="DF1045" s="24" t="inlineStr">
        <is>
          <t>743873:2026-09-09T16:03:12.302915Z</t>
        </is>
      </c>
      <c r="DG1045" s="24" t="n"/>
      <c r="DH1045" s="24" t="n"/>
      <c r="DI1045" s="24" t="n"/>
      <c r="DJ1045" s="24" t="inlineStr">
        <is>
          <t>0.45045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a2463b9e09664953</t>
        </is>
      </c>
      <c r="B1046" s="24" t="inlineStr">
        <is>
          <t>2026-09-09T16:03:57.379970Z</t>
        </is>
      </c>
      <c r="C1046" s="24" t="inlineStr">
        <is>
          <t>2026-09-09T20:00Z</t>
        </is>
      </c>
      <c r="D1046" s="24" t="inlineStr">
        <is>
          <t>964-2026:183635</t>
        </is>
      </c>
      <c r="E1046" s="24" t="inlineStr">
        <is>
          <t>TENNIS</t>
        </is>
      </c>
      <c r="F1046" s="24" t="inlineStr">
        <is>
          <t>Elsa Jacquemot</t>
        </is>
      </c>
      <c r="G1046" s="24" t="inlineStr">
        <is>
          <t>Kayla Day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-245</v>
      </c>
      <c r="M1046" s="27" t="n">
        <v>1.408163</v>
      </c>
      <c r="N1046" s="28" t="n">
        <v>0.710145</v>
      </c>
      <c r="O1046" s="28" t="n">
        <v>0.5804</v>
      </c>
      <c r="P1046" s="28" t="n">
        <v>0.05</v>
      </c>
      <c r="Q1046" s="28" t="n">
        <v>-0.129745</v>
      </c>
      <c r="R1046" s="26" t="n">
        <v>0</v>
      </c>
      <c r="S1046" s="29" t="n">
        <v>1</v>
      </c>
      <c r="T1046" s="24" t="inlineStr">
        <is>
          <t>tennis-surface-elo-v1</t>
        </is>
      </c>
      <c r="U1046" s="24" t="inlineStr">
        <is>
          <t>settled</t>
        </is>
      </c>
      <c r="V1046" s="24" t="inlineStr">
        <is>
          <t>loss</t>
        </is>
      </c>
      <c r="W1046" s="26" t="n">
        <v>1</v>
      </c>
      <c r="X1046" s="26" t="n">
        <v>0</v>
      </c>
      <c r="Y1046" s="25" t="n"/>
      <c r="Z1046" s="26" t="n">
        <v>-245</v>
      </c>
      <c r="AA1046" s="28" t="n">
        <v>0.71</v>
      </c>
      <c r="AB1046" s="28" t="n">
        <v>-0.000145</v>
      </c>
      <c r="AC1046" s="30" t="n">
        <v>-1</v>
      </c>
      <c r="AD1046" s="24" t="inlineStr">
        <is>
          <t>2026-09-10T04:31:52.898712Z</t>
        </is>
      </c>
      <c r="AE1046" s="31" t="inlineStr">
        <is>
          <t>Surface-blended Elo on Hard: Elsa Jacquemot p=0.420 vs Kayla Day. Executable ask 0.7100 (aec-wta-kayday-elsjac-2026-09-09).</t>
        </is>
      </c>
      <c r="AF1046" s="31" t="inlineStr">
        <is>
          <t>Surface-blended Elo model; singles only, WTA+ATP market coverage, not yet locked-holdout qualified -- promoted by explicit operator directive, not genuine walk-forward validation.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PAPER_CALL_LOW_EDGE</t>
        </is>
      </c>
      <c r="AP1046" s="24" t="inlineStr">
        <is>
          <t>Elsa Jacquemot</t>
        </is>
      </c>
      <c r="AQ1046" s="24" t="inlineStr">
        <is>
          <t>Elsa Jacquemot</t>
        </is>
      </c>
      <c r="AR1046" s="24" t="inlineStr">
        <is>
          <t>Elsa Jacquemot</t>
        </is>
      </c>
      <c r="AS1046" s="24" t="inlineStr">
        <is>
          <t>Kayla Day</t>
        </is>
      </c>
      <c r="AT1046" s="24" t="inlineStr">
        <is>
          <t>Kayla Day</t>
        </is>
      </c>
      <c r="AU1046" s="24" t="inlineStr">
        <is>
          <t>Kayla Day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b6a128fd8ef6dd41016b77e2e2fb0ca36bdb1ca1895b972980670c1571f8e21c</t>
        </is>
      </c>
      <c r="BB1046" s="24" t="inlineStr">
        <is>
          <t>surface_blended_elo</t>
        </is>
      </c>
      <c r="BC1046" s="24" t="inlineStr">
        <is>
          <t>tennis-surface-elo-v1</t>
        </is>
      </c>
      <c r="BD1046" s="24" t="inlineStr">
        <is>
          <t>b6a128fd8ef6dd41016b77e2e2fb0ca36bdb1ca1895b972980670c1571f8e21c</t>
        </is>
      </c>
      <c r="BE1046" s="24" t="inlineStr">
        <is>
          <t>tennis-surface-elo-v1</t>
        </is>
      </c>
      <c r="BF1046" s="24" t="inlineStr">
        <is>
          <t>1</t>
        </is>
      </c>
      <c r="BG1046" s="24" t="inlineStr">
        <is>
          <t>b6a128fd8ef6dd41016b77e2e2fb0ca36bdb1ca1895b972980670c1571f8e21c</t>
        </is>
      </c>
      <c r="BH1046" s="24" t="inlineStr">
        <is>
          <t>2026-09-09T16:03:12.295121Z</t>
        </is>
      </c>
      <c r="BI1046" s="24" t="inlineStr">
        <is>
          <t>["same_event","same_team_same_day","same_league_same_day"]</t>
        </is>
      </c>
      <c r="BJ1046" s="25" t="n"/>
      <c r="BK1046" s="26" t="n">
        <v>-245</v>
      </c>
      <c r="BL1046" s="27" t="n">
        <v>1.408163</v>
      </c>
      <c r="BM1046" s="28" t="n">
        <v>0.710145</v>
      </c>
      <c r="BN1046" s="28" t="n"/>
      <c r="BO1046" s="28" t="n"/>
      <c r="BP1046" s="25" t="n"/>
      <c r="BQ1046" s="27" t="n">
        <v>1.408163</v>
      </c>
      <c r="BR1046" s="28" t="n">
        <v>0.71</v>
      </c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n"/>
      <c r="CD1046" s="24" t="n"/>
      <c r="CE1046" s="24" t="n"/>
      <c r="CF1046" s="24" t="n"/>
      <c r="CG1046" s="24" t="n"/>
      <c r="CH1046" s="24" t="n"/>
      <c r="CI1046" s="24" t="n"/>
      <c r="CJ1046" s="24" t="n"/>
      <c r="CK1046" s="24" t="n"/>
      <c r="CL1046" s="24" t="n"/>
      <c r="CM1046" s="24" t="n"/>
      <c r="CN1046" s="24" t="n"/>
      <c r="CO1046" s="24" t="n"/>
      <c r="CP1046" s="24" t="n"/>
      <c r="CQ1046" s="24" t="n"/>
      <c r="CR1046" s="24" t="n"/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n"/>
      <c r="CZ1046" s="24" t="n"/>
      <c r="DA1046" s="24" t="n"/>
      <c r="DB1046" s="24" t="n"/>
      <c r="DC1046" s="24" t="n"/>
      <c r="DD1046" s="24" t="inlineStr">
        <is>
          <t>6684e7551c75e7bbe6ef64c6d89fdce3dacfa6993dc1a529f8d0c81228f81739</t>
        </is>
      </c>
      <c r="DE1046" s="24" t="inlineStr">
        <is>
          <t>/Users/vincentc9002/model-prediction/data/odds/tennis/2026-09-09/polymarket_snapshots.jsonl</t>
        </is>
      </c>
      <c r="DF1046" s="24" t="inlineStr">
        <is>
          <t>743200:2026-09-09T16:03:12.295121Z</t>
        </is>
      </c>
      <c r="DG1046" s="24" t="n"/>
      <c r="DH1046" s="24" t="n"/>
      <c r="DI1046" s="24" t="n"/>
      <c r="DJ1046" s="24" t="inlineStr">
        <is>
          <t>0.710145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461a86018ada4a27</t>
        </is>
      </c>
      <c r="B1047" s="24" t="inlineStr">
        <is>
          <t>2026-09-09T16:03:57.379970Z</t>
        </is>
      </c>
      <c r="C1047" s="24" t="inlineStr">
        <is>
          <t>2026-09-09T21:30Z</t>
        </is>
      </c>
      <c r="D1047" s="24" t="inlineStr">
        <is>
          <t>964-2026:183628</t>
        </is>
      </c>
      <c r="E1047" s="24" t="inlineStr">
        <is>
          <t>TENNIS</t>
        </is>
      </c>
      <c r="F1047" s="24" t="inlineStr">
        <is>
          <t>Anna Blinkova</t>
        </is>
      </c>
      <c r="G1047" s="24" t="inlineStr">
        <is>
          <t>Nadia Podoroska</t>
        </is>
      </c>
      <c r="H1047" s="24" t="inlineStr">
        <is>
          <t>moneyline</t>
        </is>
      </c>
      <c r="I1047" s="24" t="inlineStr">
        <is>
          <t>away</t>
        </is>
      </c>
      <c r="J1047" s="25" t="n"/>
      <c r="K1047" s="24" t="inlineStr">
        <is>
          <t>polymarket_us</t>
        </is>
      </c>
      <c r="L1047" s="26" t="n">
        <v>-203</v>
      </c>
      <c r="M1047" s="27" t="n">
        <v>1.492611</v>
      </c>
      <c r="N1047" s="28" t="n">
        <v>0.669967</v>
      </c>
      <c r="O1047" s="28" t="n">
        <v>0.5596</v>
      </c>
      <c r="P1047" s="28" t="n">
        <v>0.05</v>
      </c>
      <c r="Q1047" s="28" t="n">
        <v>-0.110367</v>
      </c>
      <c r="R1047" s="26" t="n">
        <v>0</v>
      </c>
      <c r="S1047" s="29" t="n">
        <v>1</v>
      </c>
      <c r="T1047" s="24" t="inlineStr">
        <is>
          <t>tennis-surface-elo-v1</t>
        </is>
      </c>
      <c r="U1047" s="24" t="inlineStr">
        <is>
          <t>settled</t>
        </is>
      </c>
      <c r="V1047" s="24" t="inlineStr">
        <is>
          <t>win</t>
        </is>
      </c>
      <c r="W1047" s="26" t="n">
        <v>1</v>
      </c>
      <c r="X1047" s="26" t="n">
        <v>0</v>
      </c>
      <c r="Y1047" s="25" t="n"/>
      <c r="Z1047" s="26" t="n">
        <v>-203</v>
      </c>
      <c r="AA1047" s="28" t="n">
        <v>0.67</v>
      </c>
      <c r="AB1047" s="28" t="n">
        <v>3.3e-05</v>
      </c>
      <c r="AC1047" s="30" t="n">
        <v>0.4926</v>
      </c>
      <c r="AD1047" s="24" t="inlineStr">
        <is>
          <t>2026-09-10T04:31:53.417004Z</t>
        </is>
      </c>
      <c r="AE1047" s="31" t="inlineStr">
        <is>
          <t>Surface-blended Elo on Hard: Anna Blinkova p=0.560 vs Nadia Podoroska. Executable ask 0.6700 (aec-wta-nadpod-annbli-2026-09-09).</t>
        </is>
      </c>
      <c r="AF1047" s="31" t="inlineStr">
        <is>
          <t>Surface-blended Elo model; singles only, WTA+ATP market coverage, not yet locked-holdout qualified -- promoted by explicit operator directive, not genuine walk-forward validation.</t>
        </is>
      </c>
      <c r="AG1047" s="24" t="inlineStr">
        <is>
          <t>not_applicable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PAPER_CALL_LOW_EDGE</t>
        </is>
      </c>
      <c r="AP1047" s="24" t="inlineStr">
        <is>
          <t>Anna Blinkova</t>
        </is>
      </c>
      <c r="AQ1047" s="24" t="inlineStr">
        <is>
          <t>Anna Blinkova</t>
        </is>
      </c>
      <c r="AR1047" s="24" t="inlineStr">
        <is>
          <t>Anna Blinkova</t>
        </is>
      </c>
      <c r="AS1047" s="24" t="inlineStr">
        <is>
          <t>Nadia Podoroska</t>
        </is>
      </c>
      <c r="AT1047" s="24" t="inlineStr">
        <is>
          <t>Nadia Podoroska</t>
        </is>
      </c>
      <c r="AU1047" s="24" t="inlineStr">
        <is>
          <t>Nadia Podoroska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b6a128fd8ef6dd41016b77e2e2fb0ca36bdb1ca1895b972980670c1571f8e21c</t>
        </is>
      </c>
      <c r="BB1047" s="24" t="inlineStr">
        <is>
          <t>surface_blended_elo</t>
        </is>
      </c>
      <c r="BC1047" s="24" t="inlineStr">
        <is>
          <t>tennis-surface-elo-v1</t>
        </is>
      </c>
      <c r="BD1047" s="24" t="inlineStr">
        <is>
          <t>b6a128fd8ef6dd41016b77e2e2fb0ca36bdb1ca1895b972980670c1571f8e21c</t>
        </is>
      </c>
      <c r="BE1047" s="24" t="inlineStr">
        <is>
          <t>tennis-surface-elo-v1</t>
        </is>
      </c>
      <c r="BF1047" s="24" t="inlineStr">
        <is>
          <t>1</t>
        </is>
      </c>
      <c r="BG1047" s="24" t="inlineStr">
        <is>
          <t>b6a128fd8ef6dd41016b77e2e2fb0ca36bdb1ca1895b972980670c1571f8e21c</t>
        </is>
      </c>
      <c r="BH1047" s="24" t="inlineStr">
        <is>
          <t>2026-09-09T16:03:12.349735Z</t>
        </is>
      </c>
      <c r="BI1047" s="24" t="inlineStr">
        <is>
          <t>["same_event","same_team_same_day","same_league_same_day"]</t>
        </is>
      </c>
      <c r="BJ1047" s="25" t="n"/>
      <c r="BK1047" s="26" t="n">
        <v>-203</v>
      </c>
      <c r="BL1047" s="27" t="n">
        <v>1.492611</v>
      </c>
      <c r="BM1047" s="28" t="n">
        <v>0.669967</v>
      </c>
      <c r="BN1047" s="28" t="n"/>
      <c r="BO1047" s="28" t="n"/>
      <c r="BP1047" s="25" t="n"/>
      <c r="BQ1047" s="27" t="n">
        <v>1.492611</v>
      </c>
      <c r="BR1047" s="28" t="n">
        <v>0.67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n"/>
      <c r="CD1047" s="24" t="n"/>
      <c r="CE1047" s="24" t="n"/>
      <c r="CF1047" s="24" t="n"/>
      <c r="CG1047" s="24" t="n"/>
      <c r="CH1047" s="24" t="n"/>
      <c r="CI1047" s="24" t="n"/>
      <c r="CJ1047" s="24" t="n"/>
      <c r="CK1047" s="24" t="n"/>
      <c r="CL1047" s="24" t="n"/>
      <c r="CM1047" s="24" t="n"/>
      <c r="CN1047" s="24" t="n"/>
      <c r="CO1047" s="24" t="n"/>
      <c r="CP1047" s="24" t="n"/>
      <c r="CQ1047" s="24" t="n"/>
      <c r="CR1047" s="24" t="n"/>
      <c r="CS1047" s="24" t="inlineStr">
        <is>
          <t>False</t>
        </is>
      </c>
      <c r="CT1047" s="24" t="n"/>
      <c r="CU1047" s="24" t="n"/>
      <c r="CV1047" s="24" t="n"/>
      <c r="CW1047" s="24" t="n"/>
      <c r="CX1047" s="24" t="n"/>
      <c r="CY1047" s="24" t="n"/>
      <c r="CZ1047" s="24" t="n"/>
      <c r="DA1047" s="24" t="n"/>
      <c r="DB1047" s="24" t="n"/>
      <c r="DC1047" s="24" t="n"/>
      <c r="DD1047" s="24" t="inlineStr">
        <is>
          <t>85c2b3a5311df8af60bfe0f64677d6f99b1a81540180cadfcaeee982356232ac</t>
        </is>
      </c>
      <c r="DE1047" s="24" t="inlineStr">
        <is>
          <t>/Users/vincentc9002/model-prediction/data/odds/tennis/2026-09-09/polymarket_snapshots.jsonl</t>
        </is>
      </c>
      <c r="DF1047" s="24" t="inlineStr">
        <is>
          <t>743762:2026-09-09T16:03:12.349735Z</t>
        </is>
      </c>
      <c r="DG1047" s="24" t="n"/>
      <c r="DH1047" s="24" t="n"/>
      <c r="DI1047" s="24" t="n"/>
      <c r="DJ1047" s="24" t="inlineStr">
        <is>
          <t>0.669967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807318ed091c408c</t>
        </is>
      </c>
      <c r="B1048" s="24" t="inlineStr">
        <is>
          <t>2026-09-09T16:03:57.379970Z</t>
        </is>
      </c>
      <c r="C1048" s="24" t="inlineStr">
        <is>
          <t>2026-09-09T21:30Z</t>
        </is>
      </c>
      <c r="D1048" s="24" t="inlineStr">
        <is>
          <t>964-2026:183630</t>
        </is>
      </c>
      <c r="E1048" s="24" t="inlineStr">
        <is>
          <t>TENNIS</t>
        </is>
      </c>
      <c r="F1048" s="24" t="inlineStr">
        <is>
          <t>Mary Stoiana</t>
        </is>
      </c>
      <c r="G1048" s="24" t="inlineStr">
        <is>
          <t>Julia Riera</t>
        </is>
      </c>
      <c r="H1048" s="24" t="inlineStr">
        <is>
          <t>moneyline</t>
        </is>
      </c>
      <c r="I1048" s="24" t="inlineStr">
        <is>
          <t>away</t>
        </is>
      </c>
      <c r="J1048" s="25" t="n"/>
      <c r="K1048" s="24" t="inlineStr">
        <is>
          <t>polymarket_us</t>
        </is>
      </c>
      <c r="L1048" s="26" t="n">
        <v>-223</v>
      </c>
      <c r="M1048" s="27" t="n">
        <v>1.44843</v>
      </c>
      <c r="N1048" s="28" t="n">
        <v>0.690402</v>
      </c>
      <c r="O1048" s="28" t="n">
        <v>0.6531</v>
      </c>
      <c r="P1048" s="28" t="n">
        <v>0.05</v>
      </c>
      <c r="Q1048" s="28" t="n">
        <v>-0.037302</v>
      </c>
      <c r="R1048" s="26" t="n">
        <v>1</v>
      </c>
      <c r="S1048" s="29" t="n">
        <v>1</v>
      </c>
      <c r="T1048" s="24" t="inlineStr">
        <is>
          <t>tennis-surface-elo-v1</t>
        </is>
      </c>
      <c r="U1048" s="24" t="inlineStr">
        <is>
          <t>settled</t>
        </is>
      </c>
      <c r="V1048" s="24" t="inlineStr">
        <is>
          <t>loss</t>
        </is>
      </c>
      <c r="W1048" s="26" t="n">
        <v>0</v>
      </c>
      <c r="X1048" s="26" t="n">
        <v>1</v>
      </c>
      <c r="Y1048" s="25" t="n"/>
      <c r="Z1048" s="26" t="n">
        <v>-223</v>
      </c>
      <c r="AA1048" s="28" t="n">
        <v>0.6899999999999999</v>
      </c>
      <c r="AB1048" s="28" t="n">
        <v>-0.000402</v>
      </c>
      <c r="AC1048" s="30" t="n">
        <v>-1</v>
      </c>
      <c r="AD1048" s="24" t="inlineStr">
        <is>
          <t>2026-09-10T04:31:53.966025Z</t>
        </is>
      </c>
      <c r="AE1048" s="31" t="inlineStr">
        <is>
          <t>Surface-blended Elo on Hard: Mary Stoiana p=0.653 vs Julia Riera. Executable ask 0.6900 (aec-wta-julrie-marsto-2026-09-09).</t>
        </is>
      </c>
      <c r="AF1048" s="31" t="inlineStr">
        <is>
          <t>Surface-blended Elo model; singles only, WTA+ATP market coverage, not yet locked-holdout qualified -- promoted by explicit operator directive, not genuine walk-forward validation.</t>
        </is>
      </c>
      <c r="AG1048" s="24" t="inlineStr">
        <is>
          <t>review_required</t>
        </is>
      </c>
      <c r="AH1048" s="24" t="n"/>
      <c r="AI1048" s="31" t="n"/>
      <c r="AJ1048" s="31" t="n"/>
      <c r="AK1048" s="24" t="inlineStr">
        <is>
          <t>paper_call</t>
        </is>
      </c>
      <c r="AL1048" s="26" t="n">
        <v>4</v>
      </c>
      <c r="AM1048" s="24" t="inlineStr">
        <is>
          <t>RESEARCH_OBSERVATION</t>
        </is>
      </c>
      <c r="AN1048" s="24" t="inlineStr">
        <is>
          <t>CALL</t>
        </is>
      </c>
      <c r="AO1048" s="24" t="inlineStr">
        <is>
          <t>PAPER_CALL_LOW_EDGE</t>
        </is>
      </c>
      <c r="AP1048" s="24" t="inlineStr">
        <is>
          <t>Mary Stoiana</t>
        </is>
      </c>
      <c r="AQ1048" s="24" t="inlineStr">
        <is>
          <t>Mary Stoiana</t>
        </is>
      </c>
      <c r="AR1048" s="24" t="inlineStr">
        <is>
          <t>Mary Stoiana</t>
        </is>
      </c>
      <c r="AS1048" s="24" t="inlineStr">
        <is>
          <t>Julia Riera</t>
        </is>
      </c>
      <c r="AT1048" s="24" t="inlineStr">
        <is>
          <t>Julia Riera</t>
        </is>
      </c>
      <c r="AU1048" s="24" t="inlineStr">
        <is>
          <t>Julia Riera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b6a128fd8ef6dd41016b77e2e2fb0ca36bdb1ca1895b972980670c1571f8e21c</t>
        </is>
      </c>
      <c r="BB1048" s="24" t="inlineStr">
        <is>
          <t>surface_blended_elo</t>
        </is>
      </c>
      <c r="BC1048" s="24" t="inlineStr">
        <is>
          <t>tennis-surface-elo-v1</t>
        </is>
      </c>
      <c r="BD1048" s="24" t="inlineStr">
        <is>
          <t>b6a128fd8ef6dd41016b77e2e2fb0ca36bdb1ca1895b972980670c1571f8e21c</t>
        </is>
      </c>
      <c r="BE1048" s="24" t="inlineStr">
        <is>
          <t>tennis-surface-elo-v1</t>
        </is>
      </c>
      <c r="BF1048" s="24" t="inlineStr">
        <is>
          <t>1</t>
        </is>
      </c>
      <c r="BG1048" s="24" t="inlineStr">
        <is>
          <t>b6a128fd8ef6dd41016b77e2e2fb0ca36bdb1ca1895b972980670c1571f8e21c</t>
        </is>
      </c>
      <c r="BH1048" s="24" t="inlineStr">
        <is>
          <t>2026-09-09T16:03:12.291546Z</t>
        </is>
      </c>
      <c r="BI1048" s="24" t="inlineStr">
        <is>
          <t>["same_event","same_team_same_day","same_league_same_day"]</t>
        </is>
      </c>
      <c r="BJ1048" s="25" t="n"/>
      <c r="BK1048" s="26" t="n">
        <v>-223</v>
      </c>
      <c r="BL1048" s="27" t="n">
        <v>1.44843</v>
      </c>
      <c r="BM1048" s="28" t="n">
        <v>0.690402</v>
      </c>
      <c r="BN1048" s="28" t="n"/>
      <c r="BO1048" s="28" t="n"/>
      <c r="BP1048" s="25" t="n"/>
      <c r="BQ1048" s="27" t="n">
        <v>1.44843</v>
      </c>
      <c r="BR1048" s="28" t="n">
        <v>0.6899999999999999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n"/>
      <c r="CD1048" s="24" t="n"/>
      <c r="CE1048" s="24" t="n"/>
      <c r="CF1048" s="24" t="n"/>
      <c r="CG1048" s="24" t="n"/>
      <c r="CH1048" s="24" t="n"/>
      <c r="CI1048" s="24" t="n"/>
      <c r="CJ1048" s="24" t="n"/>
      <c r="CK1048" s="24" t="n"/>
      <c r="CL1048" s="24" t="n"/>
      <c r="CM1048" s="24" t="n"/>
      <c r="CN1048" s="24" t="n"/>
      <c r="CO1048" s="24" t="n"/>
      <c r="CP1048" s="24" t="n"/>
      <c r="CQ1048" s="24" t="n"/>
      <c r="CR1048" s="24" t="n"/>
      <c r="CS1048" s="24" t="inlineStr">
        <is>
          <t>False</t>
        </is>
      </c>
      <c r="CT1048" s="24" t="n"/>
      <c r="CU1048" s="24" t="n"/>
      <c r="CV1048" s="24" t="n"/>
      <c r="CW1048" s="24" t="n"/>
      <c r="CX1048" s="24" t="n"/>
      <c r="CY1048" s="24" t="n"/>
      <c r="CZ1048" s="24" t="n"/>
      <c r="DA1048" s="24" t="n"/>
      <c r="DB1048" s="24" t="n"/>
      <c r="DC1048" s="24" t="n"/>
      <c r="DD1048" s="24" t="inlineStr">
        <is>
          <t>ad7cdbc5a6efea91f67a80dd6fb92df9f514f415117b3d879fbad64b1f1f057e</t>
        </is>
      </c>
      <c r="DE1048" s="24" t="inlineStr">
        <is>
          <t>/Users/vincentc9002/model-prediction/data/odds/tennis/2026-09-09/polymarket_snapshots.jsonl</t>
        </is>
      </c>
      <c r="DF1048" s="24" t="inlineStr">
        <is>
          <t>745925:2026-09-09T16:03:12.291546Z</t>
        </is>
      </c>
      <c r="DG1048" s="24" t="n"/>
      <c r="DH1048" s="24" t="n"/>
      <c r="DI1048" s="24" t="n"/>
      <c r="DJ1048" s="24" t="inlineStr">
        <is>
          <t>0.690402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bca970ed001945f9</t>
        </is>
      </c>
      <c r="B1049" s="24" t="inlineStr">
        <is>
          <t>2026-09-09T16:03:57.379970Z</t>
        </is>
      </c>
      <c r="C1049" s="24" t="inlineStr">
        <is>
          <t>2026-09-09T18:00Z</t>
        </is>
      </c>
      <c r="D1049" s="24" t="inlineStr">
        <is>
          <t>189-2026:182770</t>
        </is>
      </c>
      <c r="E1049" s="24" t="inlineStr">
        <is>
          <t>TENNIS</t>
        </is>
      </c>
      <c r="F1049" s="24" t="inlineStr">
        <is>
          <t>Alexander Blockx</t>
        </is>
      </c>
      <c r="G1049" s="24" t="inlineStr">
        <is>
          <t>Karen Khachanov</t>
        </is>
      </c>
      <c r="H1049" s="24" t="inlineStr">
        <is>
          <t>moneyline</t>
        </is>
      </c>
      <c r="I1049" s="24" t="inlineStr">
        <is>
          <t>away</t>
        </is>
      </c>
      <c r="J1049" s="25" t="n"/>
      <c r="K1049" s="24" t="inlineStr">
        <is>
          <t>polymarket_us</t>
        </is>
      </c>
      <c r="L1049" s="26" t="n">
        <v>153</v>
      </c>
      <c r="M1049" s="27" t="n">
        <v>2.53</v>
      </c>
      <c r="N1049" s="28" t="n">
        <v>0.395257</v>
      </c>
      <c r="O1049" s="28" t="n">
        <v>0.5326</v>
      </c>
      <c r="P1049" s="28" t="n">
        <v>0.05</v>
      </c>
      <c r="Q1049" s="28" t="n">
        <v>0.137343</v>
      </c>
      <c r="R1049" s="26" t="n">
        <v>89</v>
      </c>
      <c r="S1049" s="29" t="n">
        <v>1.5</v>
      </c>
      <c r="T1049" s="24" t="inlineStr">
        <is>
          <t>tennis-surface-elo-v1</t>
        </is>
      </c>
      <c r="U1049" s="24" t="inlineStr">
        <is>
          <t>settled</t>
        </is>
      </c>
      <c r="V1049" s="24" t="inlineStr">
        <is>
          <t>loss</t>
        </is>
      </c>
      <c r="W1049" s="26" t="n">
        <v>0</v>
      </c>
      <c r="X1049" s="26" t="n">
        <v>1</v>
      </c>
      <c r="Y1049" s="25" t="n"/>
      <c r="Z1049" s="26" t="n">
        <v>153</v>
      </c>
      <c r="AA1049" s="28" t="n">
        <v>0.395</v>
      </c>
      <c r="AB1049" s="28" t="n">
        <v>-0.000257</v>
      </c>
      <c r="AC1049" s="30" t="n">
        <v>-1.5</v>
      </c>
      <c r="AD1049" s="24" t="inlineStr">
        <is>
          <t>2026-09-10T04:31:54.431626Z</t>
        </is>
      </c>
      <c r="AE1049" s="31" t="inlineStr">
        <is>
          <t>Surface-blended Elo on Hard: Alexander Blockx p=0.533 vs Karen Khachanov. Executable ask 0.3950 (aec-atp-karkha-aleblo-2026-09-08).</t>
        </is>
      </c>
      <c r="AF1049" s="31" t="inlineStr">
        <is>
          <t>Surface-blended Elo model; singles only, WTA+ATP market coverage, not yet locked-holdout qualified -- promoted by explicit operator directive, not genuine walk-forward validation.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PAPER_CALL_LOW_EDGE</t>
        </is>
      </c>
      <c r="AP1049" s="24" t="inlineStr">
        <is>
          <t>Alexander Blockx</t>
        </is>
      </c>
      <c r="AQ1049" s="24" t="inlineStr">
        <is>
          <t>Alexander Blockx</t>
        </is>
      </c>
      <c r="AR1049" s="24" t="inlineStr">
        <is>
          <t>Alexander Blockx</t>
        </is>
      </c>
      <c r="AS1049" s="24" t="inlineStr">
        <is>
          <t>Karen Khachanov</t>
        </is>
      </c>
      <c r="AT1049" s="24" t="inlineStr">
        <is>
          <t>Karen Khachanov</t>
        </is>
      </c>
      <c r="AU1049" s="24" t="inlineStr">
        <is>
          <t>Karen Khachanov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b6a128fd8ef6dd41016b77e2e2fb0ca36bdb1ca1895b972980670c1571f8e21c</t>
        </is>
      </c>
      <c r="BB1049" s="24" t="inlineStr">
        <is>
          <t>surface_blended_elo</t>
        </is>
      </c>
      <c r="BC1049" s="24" t="inlineStr">
        <is>
          <t>tennis-surface-elo-v1</t>
        </is>
      </c>
      <c r="BD1049" s="24" t="inlineStr">
        <is>
          <t>b6a128fd8ef6dd41016b77e2e2fb0ca36bdb1ca1895b972980670c1571f8e21c</t>
        </is>
      </c>
      <c r="BE1049" s="24" t="inlineStr">
        <is>
          <t>tennis-surface-elo-v1</t>
        </is>
      </c>
      <c r="BF1049" s="24" t="inlineStr">
        <is>
          <t>1</t>
        </is>
      </c>
      <c r="BG1049" s="24" t="inlineStr">
        <is>
          <t>b6a128fd8ef6dd41016b77e2e2fb0ca36bdb1ca1895b972980670c1571f8e21c</t>
        </is>
      </c>
      <c r="BH1049" s="24" t="inlineStr">
        <is>
          <t>2026-09-09T16:03:12.382805Z</t>
        </is>
      </c>
      <c r="BI1049" s="24" t="inlineStr">
        <is>
          <t>["same_event","same_team_same_day","same_league_same_day"]</t>
        </is>
      </c>
      <c r="BJ1049" s="25" t="n"/>
      <c r="BK1049" s="26" t="n">
        <v>153</v>
      </c>
      <c r="BL1049" s="27" t="n">
        <v>2.53</v>
      </c>
      <c r="BM1049" s="28" t="n">
        <v>0.395257</v>
      </c>
      <c r="BN1049" s="28" t="n"/>
      <c r="BO1049" s="28" t="n"/>
      <c r="BP1049" s="25" t="n"/>
      <c r="BQ1049" s="27" t="n">
        <v>2.53</v>
      </c>
      <c r="BR1049" s="28" t="n">
        <v>0.395</v>
      </c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n"/>
      <c r="CD1049" s="24" t="n"/>
      <c r="CE1049" s="24" t="n"/>
      <c r="CF1049" s="24" t="n"/>
      <c r="CG1049" s="24" t="n"/>
      <c r="CH1049" s="24" t="n"/>
      <c r="CI1049" s="24" t="n"/>
      <c r="CJ1049" s="24" t="n"/>
      <c r="CK1049" s="24" t="n"/>
      <c r="CL1049" s="24" t="n"/>
      <c r="CM1049" s="24" t="n"/>
      <c r="CN1049" s="24" t="n"/>
      <c r="CO1049" s="24" t="n"/>
      <c r="CP1049" s="24" t="n"/>
      <c r="CQ1049" s="24" t="n"/>
      <c r="CR1049" s="24" t="n"/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n"/>
      <c r="CZ1049" s="24" t="n"/>
      <c r="DA1049" s="24" t="n"/>
      <c r="DB1049" s="24" t="n"/>
      <c r="DC1049" s="24" t="n"/>
      <c r="DD1049" s="24" t="inlineStr">
        <is>
          <t>60a1a1a7b5ca892a543f2ade6c62a8bae1b60a7ad045d4a90cc1608158c25a08</t>
        </is>
      </c>
      <c r="DE1049" s="24" t="inlineStr">
        <is>
          <t>/Users/vincentc9002/model-prediction/data/odds/tennis/2026-09-09/polymarket_snapshots.jsonl</t>
        </is>
      </c>
      <c r="DF1049" s="24" t="inlineStr">
        <is>
          <t>724674:2026-09-09T16:03:12.382805Z</t>
        </is>
      </c>
      <c r="DG1049" s="24" t="n"/>
      <c r="DH1049" s="24" t="n"/>
      <c r="DI1049" s="24" t="n"/>
      <c r="DJ1049" s="24" t="inlineStr">
        <is>
          <t>0.395257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fade1f0527af4ff9</t>
        </is>
      </c>
      <c r="B1050" s="24" t="inlineStr">
        <is>
          <t>2026-09-09T22:06:23.318827Z</t>
        </is>
      </c>
      <c r="C1050" s="24" t="inlineStr">
        <is>
          <t>2026-09-09T23:30Z</t>
        </is>
      </c>
      <c r="D1050" s="24" t="inlineStr">
        <is>
          <t>189-2026:182772</t>
        </is>
      </c>
      <c r="E1050" s="24" t="inlineStr">
        <is>
          <t>TENNIS</t>
        </is>
      </c>
      <c r="F1050" s="24" t="inlineStr">
        <is>
          <t>Botic Van De Zandschulp</t>
        </is>
      </c>
      <c r="G1050" s="24" t="inlineStr">
        <is>
          <t>Alexander Zverev</t>
        </is>
      </c>
      <c r="H1050" s="24" t="inlineStr">
        <is>
          <t>moneyline</t>
        </is>
      </c>
      <c r="I1050" s="24" t="inlineStr">
        <is>
          <t>home</t>
        </is>
      </c>
      <c r="J1050" s="25" t="n"/>
      <c r="K1050" s="24" t="inlineStr">
        <is>
          <t>polymarket_us</t>
        </is>
      </c>
      <c r="L1050" s="26" t="n">
        <v>-669</v>
      </c>
      <c r="M1050" s="27" t="n">
        <v>1.149477</v>
      </c>
      <c r="N1050" s="28" t="n">
        <v>0.869961</v>
      </c>
      <c r="O1050" s="28" t="n">
        <v>0.7615</v>
      </c>
      <c r="P1050" s="28" t="n">
        <v>0.05</v>
      </c>
      <c r="Q1050" s="28" t="n">
        <v>-0.108461</v>
      </c>
      <c r="R1050" s="26" t="n">
        <v>0</v>
      </c>
      <c r="S1050" s="29" t="n">
        <v>1</v>
      </c>
      <c r="T1050" s="24" t="inlineStr">
        <is>
          <t>tennis-surface-elo-v1</t>
        </is>
      </c>
      <c r="U1050" s="24" t="inlineStr">
        <is>
          <t>settled</t>
        </is>
      </c>
      <c r="V1050" s="24" t="inlineStr">
        <is>
          <t>win</t>
        </is>
      </c>
      <c r="W1050" s="26" t="n">
        <v>0</v>
      </c>
      <c r="X1050" s="26" t="n">
        <v>1</v>
      </c>
      <c r="Y1050" s="25" t="n"/>
      <c r="Z1050" s="26" t="n">
        <v>-669</v>
      </c>
      <c r="AA1050" s="28" t="n">
        <v>0.87</v>
      </c>
      <c r="AB1050" s="28" t="n">
        <v>3.9e-05</v>
      </c>
      <c r="AC1050" s="30" t="n">
        <v>0.1495</v>
      </c>
      <c r="AD1050" s="24" t="inlineStr">
        <is>
          <t>2026-09-10T04:32:28.246104Z</t>
        </is>
      </c>
      <c r="AE1050" s="31" t="inlineStr">
        <is>
          <t>Surface-blended Elo on Hard: Botic Van De Zandschulp p=0.238 vs Alexander Zverev. Executable ask 0.8700 (aec-atp-alezve-botzan-2026-09-08).</t>
        </is>
      </c>
      <c r="AF1050" s="31" t="inlineStr">
        <is>
          <t>Surface-blended Elo model; singles only, WTA+ATP market coverage, not yet locked-holdout qualified -- promoted by explicit operator directive, not genuine walk-forward validation.</t>
        </is>
      </c>
      <c r="AG1050" s="24" t="inlineStr">
        <is>
          <t>not_applicable</t>
        </is>
      </c>
      <c r="AH1050" s="24" t="n"/>
      <c r="AI1050" s="31" t="n"/>
      <c r="AJ1050" s="31" t="n"/>
      <c r="AK1050" s="24" t="inlineStr">
        <is>
          <t>paper_call</t>
        </is>
      </c>
      <c r="AL1050" s="26" t="n">
        <v>4</v>
      </c>
      <c r="AM1050" s="24" t="inlineStr">
        <is>
          <t>RESEARCH_OBSERVATION</t>
        </is>
      </c>
      <c r="AN1050" s="24" t="inlineStr">
        <is>
          <t>CALL</t>
        </is>
      </c>
      <c r="AO1050" s="24" t="inlineStr">
        <is>
          <t>PAPER_CALL_LOW_EDGE</t>
        </is>
      </c>
      <c r="AP1050" s="24" t="inlineStr">
        <is>
          <t>Botic Van De Zandschulp</t>
        </is>
      </c>
      <c r="AQ1050" s="24" t="inlineStr">
        <is>
          <t>Botic Van De Zandschulp</t>
        </is>
      </c>
      <c r="AR1050" s="24" t="inlineStr">
        <is>
          <t>Botic Van De Zandschulp</t>
        </is>
      </c>
      <c r="AS1050" s="24" t="inlineStr">
        <is>
          <t>Alexander Zverev</t>
        </is>
      </c>
      <c r="AT1050" s="24" t="inlineStr">
        <is>
          <t>Alexander Zverev</t>
        </is>
      </c>
      <c r="AU1050" s="24" t="inlineStr">
        <is>
          <t>Alexander Zverev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b6a128fd8ef6dd41016b77e2e2fb0ca36bdb1ca1895b972980670c1571f8e21c</t>
        </is>
      </c>
      <c r="BB1050" s="24" t="inlineStr">
        <is>
          <t>surface_blended_elo</t>
        </is>
      </c>
      <c r="BC1050" s="24" t="inlineStr">
        <is>
          <t>tennis-surface-elo-v1</t>
        </is>
      </c>
      <c r="BD1050" s="24" t="inlineStr">
        <is>
          <t>b6a128fd8ef6dd41016b77e2e2fb0ca36bdb1ca1895b972980670c1571f8e21c</t>
        </is>
      </c>
      <c r="BE1050" s="24" t="inlineStr">
        <is>
          <t>tennis-surface-elo-v1</t>
        </is>
      </c>
      <c r="BF1050" s="24" t="inlineStr">
        <is>
          <t>1</t>
        </is>
      </c>
      <c r="BG1050" s="24" t="inlineStr">
        <is>
          <t>b6a128fd8ef6dd41016b77e2e2fb0ca36bdb1ca1895b972980670c1571f8e21c</t>
        </is>
      </c>
      <c r="BH1050" s="24" t="inlineStr">
        <is>
          <t>2026-09-09T22:05:11.909825Z</t>
        </is>
      </c>
      <c r="BI1050" s="24" t="inlineStr">
        <is>
          <t>["same_event","same_team_same_day","same_league_same_day"]</t>
        </is>
      </c>
      <c r="BJ1050" s="25" t="n"/>
      <c r="BK1050" s="26" t="n">
        <v>-669</v>
      </c>
      <c r="BL1050" s="27" t="n">
        <v>1.149477</v>
      </c>
      <c r="BM1050" s="28" t="n">
        <v>0.869961</v>
      </c>
      <c r="BN1050" s="28" t="n"/>
      <c r="BO1050" s="28" t="n"/>
      <c r="BP1050" s="25" t="n"/>
      <c r="BQ1050" s="27" t="n">
        <v>1.149477</v>
      </c>
      <c r="BR1050" s="28" t="n">
        <v>0.87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False</t>
        </is>
      </c>
      <c r="CT1050" s="24" t="n"/>
      <c r="CU1050" s="24" t="n"/>
      <c r="CV1050" s="24" t="n"/>
      <c r="CW1050" s="24" t="n"/>
      <c r="CX1050" s="24" t="n"/>
      <c r="CY1050" s="24" t="n"/>
      <c r="CZ1050" s="24" t="n"/>
      <c r="DA1050" s="24" t="n"/>
      <c r="DB1050" s="24" t="n"/>
      <c r="DC1050" s="24" t="n"/>
      <c r="DD1050" s="24" t="inlineStr">
        <is>
          <t>36e69a8e3eae61133046d3645d547e13d60f51bde87934773af0a06b25f4dae3</t>
        </is>
      </c>
      <c r="DE1050" s="24" t="inlineStr">
        <is>
          <t>/Users/vincentc9002/model-prediction/data/odds/tennis/2026-09-09/polymarket_snapshots.jsonl</t>
        </is>
      </c>
      <c r="DF1050" s="24" t="inlineStr">
        <is>
          <t>730544:2026-09-09T22:05:11.909825Z</t>
        </is>
      </c>
      <c r="DG1050" s="24" t="n"/>
      <c r="DH1050" s="24" t="n"/>
      <c r="DI1050" s="24" t="n"/>
      <c r="DJ1050" s="24" t="inlineStr">
        <is>
          <t>0.869961</t>
        </is>
      </c>
      <c r="DK1050" s="24" t="n"/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9929d2c07cd24cb2</t>
        </is>
      </c>
      <c r="B1051" s="24" t="inlineStr">
        <is>
          <t>2026-09-10T04:35:23.589248Z</t>
        </is>
      </c>
      <c r="C1051" s="24" t="inlineStr">
        <is>
          <t>2026-09-10T09:30Z</t>
        </is>
      </c>
      <c r="D1051" s="24" t="inlineStr">
        <is>
          <t>998-2026:183598</t>
        </is>
      </c>
      <c r="E1051" s="24" t="inlineStr">
        <is>
          <t>TENNIS</t>
        </is>
      </c>
      <c r="F1051" s="24" t="inlineStr">
        <is>
          <t>Lucie Havlickova</t>
        </is>
      </c>
      <c r="G1051" s="24" t="inlineStr">
        <is>
          <t>Lucija Ciric Bagaric</t>
        </is>
      </c>
      <c r="H1051" s="24" t="inlineStr">
        <is>
          <t>moneyline</t>
        </is>
      </c>
      <c r="I1051" s="24" t="inlineStr">
        <is>
          <t>away</t>
        </is>
      </c>
      <c r="J1051" s="25" t="n"/>
      <c r="K1051" s="24" t="inlineStr">
        <is>
          <t>polymarket_us</t>
        </is>
      </c>
      <c r="L1051" s="26" t="n">
        <v>-194</v>
      </c>
      <c r="M1051" s="27" t="n">
        <v>1.515464</v>
      </c>
      <c r="N1051" s="28" t="n">
        <v>0.659864</v>
      </c>
      <c r="O1051" s="28" t="n">
        <v>0.5848</v>
      </c>
      <c r="P1051" s="28" t="n">
        <v>0.05</v>
      </c>
      <c r="Q1051" s="28" t="n">
        <v>-0.07506400000000001</v>
      </c>
      <c r="R1051" s="26" t="n">
        <v>0</v>
      </c>
      <c r="S1051" s="29" t="n">
        <v>1</v>
      </c>
      <c r="T1051" s="24" t="inlineStr">
        <is>
          <t>tennis-surface-elo-v1</t>
        </is>
      </c>
      <c r="U1051" s="24" t="inlineStr">
        <is>
          <t>settled</t>
        </is>
      </c>
      <c r="V1051" s="24" t="inlineStr">
        <is>
          <t>win</t>
        </is>
      </c>
      <c r="W1051" s="26" t="n">
        <v>1</v>
      </c>
      <c r="X1051" s="26" t="n">
        <v>0</v>
      </c>
      <c r="Y1051" s="25" t="n"/>
      <c r="Z1051" s="26" t="n">
        <v>-194</v>
      </c>
      <c r="AA1051" s="28" t="n">
        <v>0.66</v>
      </c>
      <c r="AB1051" s="28" t="n">
        <v>0.000136</v>
      </c>
      <c r="AC1051" s="30" t="n">
        <v>0.5155</v>
      </c>
      <c r="AD1051" s="24" t="inlineStr">
        <is>
          <t>2026-09-10T10:00:29.659677Z</t>
        </is>
      </c>
      <c r="AE1051" s="31" t="inlineStr">
        <is>
          <t>Surface-blended Elo on Hard: Lucie Havlickova p=0.585 vs Lucija Ciric Bagaric. Executable ask 0.6600 (aec-wta-lucbag-luchav-2026-09-09).</t>
        </is>
      </c>
      <c r="AF1051" s="31" t="inlineStr">
        <is>
          <t>Surface-blended Elo model; singles only, WTA+ATP market coverage, not yet locked-holdout qualified -- promoted by explicit operator directive, not genuine walk-forward validation.</t>
        </is>
      </c>
      <c r="AG1051" s="24" t="inlineStr">
        <is>
          <t>not_applicable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PAPER_CALL_LOW_EDGE</t>
        </is>
      </c>
      <c r="AP1051" s="24" t="inlineStr">
        <is>
          <t>Lucie Havlickova</t>
        </is>
      </c>
      <c r="AQ1051" s="24" t="inlineStr">
        <is>
          <t>Lucie Havlickova</t>
        </is>
      </c>
      <c r="AR1051" s="24" t="inlineStr">
        <is>
          <t>Lucie Havlickova</t>
        </is>
      </c>
      <c r="AS1051" s="24" t="inlineStr">
        <is>
          <t>Lucija Ciric Bagaric</t>
        </is>
      </c>
      <c r="AT1051" s="24" t="inlineStr">
        <is>
          <t>Lucija Ciric Bagaric</t>
        </is>
      </c>
      <c r="AU1051" s="24" t="inlineStr">
        <is>
          <t>Lucija Ciric Bagaric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6c67e999d2a03612e30f4032c8e5e77e8becfbc79e05f4c8993e726b90d34d54</t>
        </is>
      </c>
      <c r="BB1051" s="24" t="inlineStr">
        <is>
          <t>surface_blended_elo</t>
        </is>
      </c>
      <c r="BC1051" s="24" t="inlineStr">
        <is>
          <t>tennis-surface-elo-v1</t>
        </is>
      </c>
      <c r="BD1051" s="24" t="inlineStr">
        <is>
          <t>6c67e999d2a03612e30f4032c8e5e77e8becfbc79e05f4c8993e726b90d34d54</t>
        </is>
      </c>
      <c r="BE1051" s="24" t="inlineStr">
        <is>
          <t>tennis-surface-elo-v1</t>
        </is>
      </c>
      <c r="BF1051" s="24" t="inlineStr">
        <is>
          <t>1</t>
        </is>
      </c>
      <c r="BG1051" s="24" t="inlineStr">
        <is>
          <t>6c67e999d2a03612e30f4032c8e5e77e8becfbc79e05f4c8993e726b90d34d54</t>
        </is>
      </c>
      <c r="BH1051" s="24" t="inlineStr">
        <is>
          <t>2026-09-10T04:34:47.034669Z</t>
        </is>
      </c>
      <c r="BI1051" s="24" t="inlineStr">
        <is>
          <t>["same_event","same_team_same_day","same_league_same_day"]</t>
        </is>
      </c>
      <c r="BJ1051" s="25" t="n"/>
      <c r="BK1051" s="26" t="n">
        <v>-194</v>
      </c>
      <c r="BL1051" s="27" t="n">
        <v>1.515464</v>
      </c>
      <c r="BM1051" s="28" t="n">
        <v>0.659864</v>
      </c>
      <c r="BN1051" s="28" t="n"/>
      <c r="BO1051" s="28" t="n"/>
      <c r="BP1051" s="25" t="n"/>
      <c r="BQ1051" s="27" t="n">
        <v>1.515464</v>
      </c>
      <c r="BR1051" s="28" t="n">
        <v>0.66</v>
      </c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False</t>
        </is>
      </c>
      <c r="CT1051" s="24" t="n"/>
      <c r="CU1051" s="24" t="n"/>
      <c r="CV1051" s="24" t="n"/>
      <c r="CW1051" s="24" t="n"/>
      <c r="CX1051" s="24" t="n"/>
      <c r="CY1051" s="24" t="n"/>
      <c r="CZ1051" s="24" t="n"/>
      <c r="DA1051" s="24" t="n"/>
      <c r="DB1051" s="24" t="n"/>
      <c r="DC1051" s="24" t="n"/>
      <c r="DD1051" s="24" t="inlineStr">
        <is>
          <t>0c3f91e141323682489ebc2fba3499dd716de3e84a3b6a892c24be79ad4e4ad4</t>
        </is>
      </c>
      <c r="DE1051" s="24" t="inlineStr">
        <is>
          <t>/Users/vincentc9002/model-prediction/data/odds/tennis/2026-09-10/polymarket_snapshots.jsonl</t>
        </is>
      </c>
      <c r="DF1051" s="24" t="inlineStr">
        <is>
          <t>736880:2026-09-10T04:34:47.034669Z</t>
        </is>
      </c>
      <c r="DG1051" s="24" t="n"/>
      <c r="DH1051" s="24" t="n"/>
      <c r="DI1051" s="24" t="n"/>
      <c r="DJ1051" s="24" t="inlineStr">
        <is>
          <t>0.659864</t>
        </is>
      </c>
      <c r="DK1051" s="24" t="n"/>
      <c r="DL1051" s="24" t="n"/>
      <c r="DM1051" s="24" t="n"/>
      <c r="DN1051" s="24" t="n"/>
      <c r="DO1051" s="24" t="n"/>
      <c r="DP1051" s="24" t="n"/>
      <c r="DQ1051" s="24" t="inlineStr">
        <is>
          <t>{"artifact_hash": "6c67e999d2a03612e30f4032c8e5e77e8becfbc79e05f4c8993e726b90d34d54", "away_team": "Lucie Havlickova", "event_id": "998-2026:183598", "event_start_utc": "2026-09-10T09:30Z", "features": {"elo_p1_surface": 1553.9, "elo_p2_surface": 1489.2, "expected_games_p1": 13.41, "expected_games_p2": 10.27, "expected_total_games": 23.68, "history_matches": 15929, "min_player_matches": 18, "surface": "Hard"}, "historical_source_observation_times_verified": false, "home_team": "Lucija Ciric Bagaric", "inference_inputs": {"code_sha256": {"features/elo_ratings.py": "8525faf022a6343c452286dbfeb17dbb043744c6bdabbe448b6b371216da439b", "models/tennis.py": "6c67e999d2a03612e30f4032c8e5e77e8becfbc79e05f4c8993e726b90d34d54"}, "overall_ratings": [1537.4271079759503, 1479.9929975401396], "players": ["Lucie Havlickova", "Lucija Ciric Bagaric"], "sport": "TENNIS", "surface": "Hard", "surface_counts": [16, 29], "surface_ratings": [1553.8665210185306, 1489.2244070020645]}, "market_type": "moneyline", "model_version": "tennis-surface-elo-v1", "observed_at_utc": "2026-09-10T04:35:22.694718+00:00", "probabilities": {"away": 0.5848, "home": 0.4152}, "replay_scope": "Exact full-precision serving state and rounding; upstream historical observation times are not certified.", "schema": "coded-moneyline-replay-v1", "snapshot_hash": "23e077092f5a37eb21553a383836e5566e2d0913c6c708a3b21186f48d564577", "sport": "TENNIS"}</t>
        </is>
      </c>
    </row>
    <row r="1052" ht="36" customHeight="1">
      <c r="A1052" s="24" t="inlineStr">
        <is>
          <t>85f1338448aa47a0</t>
        </is>
      </c>
      <c r="B1052" s="24" t="inlineStr">
        <is>
          <t>2026-09-10T04:35:23.589248Z</t>
        </is>
      </c>
      <c r="C1052" s="24" t="inlineStr">
        <is>
          <t>2026-09-10T09:00Z</t>
        </is>
      </c>
      <c r="D1052" s="24" t="inlineStr">
        <is>
          <t>1076-2026:183543</t>
        </is>
      </c>
      <c r="E1052" s="24" t="inlineStr">
        <is>
          <t>TENNIS</t>
        </is>
      </c>
      <c r="F1052" s="24" t="inlineStr">
        <is>
          <t>Rositsa Dencheva</t>
        </is>
      </c>
      <c r="G1052" s="24" t="inlineStr">
        <is>
          <t>Francesca Jones</t>
        </is>
      </c>
      <c r="H1052" s="24" t="inlineStr">
        <is>
          <t>moneyline</t>
        </is>
      </c>
      <c r="I1052" s="24" t="inlineStr">
        <is>
          <t>home</t>
        </is>
      </c>
      <c r="J1052" s="25" t="n"/>
      <c r="K1052" s="24" t="inlineStr">
        <is>
          <t>polymarket_us</t>
        </is>
      </c>
      <c r="L1052" s="26" t="n">
        <v>-213</v>
      </c>
      <c r="M1052" s="27" t="n">
        <v>1.469484</v>
      </c>
      <c r="N1052" s="28" t="n">
        <v>0.680511</v>
      </c>
      <c r="O1052" s="28" t="n">
        <v>0.6915</v>
      </c>
      <c r="P1052" s="28" t="n">
        <v>0.05</v>
      </c>
      <c r="Q1052" s="28" t="n">
        <v>0.010989</v>
      </c>
      <c r="R1052" s="26" t="n">
        <v>25</v>
      </c>
      <c r="S1052" s="29" t="n">
        <v>1</v>
      </c>
      <c r="T1052" s="24" t="inlineStr">
        <is>
          <t>tennis-surface-elo-v1</t>
        </is>
      </c>
      <c r="U1052" s="24" t="inlineStr">
        <is>
          <t>settled</t>
        </is>
      </c>
      <c r="V1052" s="24" t="inlineStr">
        <is>
          <t>loss</t>
        </is>
      </c>
      <c r="W1052" s="26" t="n">
        <v>1</v>
      </c>
      <c r="X1052" s="26" t="n">
        <v>0</v>
      </c>
      <c r="Y1052" s="25" t="n"/>
      <c r="Z1052" s="26" t="n">
        <v>-213</v>
      </c>
      <c r="AA1052" s="28" t="n">
        <v>0.68</v>
      </c>
      <c r="AB1052" s="28" t="n">
        <v>-0.000511</v>
      </c>
      <c r="AC1052" s="30" t="n">
        <v>-1</v>
      </c>
      <c r="AD1052" s="24" t="inlineStr">
        <is>
          <t>2026-09-10T22:00:20.686448Z</t>
        </is>
      </c>
      <c r="AE1052" s="31" t="inlineStr">
        <is>
          <t>Surface-blended Elo on Hard: Rositsa Dencheva p=0.308 vs Francesca Jones. Executable ask 0.6800 (aec-wta-frajon-rosden-2026-09-09).</t>
        </is>
      </c>
      <c r="AF1052" s="31" t="inlineStr">
        <is>
          <t>Surface-blended Elo model; singles only, WTA+ATP market coverage, not yet locked-holdout qualified -- promoted by explicit operator directive, not genuine walk-forward validation.</t>
        </is>
      </c>
      <c r="AG1052" s="24" t="inlineStr">
        <is>
          <t>review_required</t>
        </is>
      </c>
      <c r="AH1052" s="24" t="n"/>
      <c r="AI1052" s="31" t="n"/>
      <c r="AJ1052" s="31" t="n"/>
      <c r="AK1052" s="24" t="inlineStr">
        <is>
          <t>paper_call</t>
        </is>
      </c>
      <c r="AL1052" s="26" t="n">
        <v>4</v>
      </c>
      <c r="AM1052" s="24" t="inlineStr">
        <is>
          <t>RESEARCH_OBSERVATION</t>
        </is>
      </c>
      <c r="AN1052" s="24" t="inlineStr">
        <is>
          <t>CALL</t>
        </is>
      </c>
      <c r="AO1052" s="24" t="inlineStr">
        <is>
          <t>PAPER_CALL_MODEL_UNVALIDATED</t>
        </is>
      </c>
      <c r="AP1052" s="24" t="inlineStr">
        <is>
          <t>Rositsa Dencheva</t>
        </is>
      </c>
      <c r="AQ1052" s="24" t="inlineStr">
        <is>
          <t>Rositsa Dencheva</t>
        </is>
      </c>
      <c r="AR1052" s="24" t="inlineStr">
        <is>
          <t>Rositsa Dencheva</t>
        </is>
      </c>
      <c r="AS1052" s="24" t="inlineStr">
        <is>
          <t>Francesca Jones</t>
        </is>
      </c>
      <c r="AT1052" s="24" t="inlineStr">
        <is>
          <t>Francesca Jones</t>
        </is>
      </c>
      <c r="AU1052" s="24" t="inlineStr">
        <is>
          <t>Francesca Jones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6c67e999d2a03612e30f4032c8e5e77e8becfbc79e05f4c8993e726b90d34d54</t>
        </is>
      </c>
      <c r="BB1052" s="24" t="inlineStr">
        <is>
          <t>surface_blended_elo</t>
        </is>
      </c>
      <c r="BC1052" s="24" t="inlineStr">
        <is>
          <t>tennis-surface-elo-v1</t>
        </is>
      </c>
      <c r="BD1052" s="24" t="inlineStr">
        <is>
          <t>6c67e999d2a03612e30f4032c8e5e77e8becfbc79e05f4c8993e726b90d34d54</t>
        </is>
      </c>
      <c r="BE1052" s="24" t="inlineStr">
        <is>
          <t>tennis-surface-elo-v1</t>
        </is>
      </c>
      <c r="BF1052" s="24" t="inlineStr">
        <is>
          <t>1</t>
        </is>
      </c>
      <c r="BG1052" s="24" t="inlineStr">
        <is>
          <t>6c67e999d2a03612e30f4032c8e5e77e8becfbc79e05f4c8993e726b90d34d54</t>
        </is>
      </c>
      <c r="BH1052" s="24" t="inlineStr">
        <is>
          <t>2026-09-10T04:34:47.047109Z</t>
        </is>
      </c>
      <c r="BI1052" s="24" t="inlineStr">
        <is>
          <t>["same_event","same_team_same_day","same_league_same_day"]</t>
        </is>
      </c>
      <c r="BJ1052" s="25" t="n"/>
      <c r="BK1052" s="26" t="n">
        <v>-213</v>
      </c>
      <c r="BL1052" s="27" t="n">
        <v>1.469484</v>
      </c>
      <c r="BM1052" s="28" t="n">
        <v>0.680511</v>
      </c>
      <c r="BN1052" s="28" t="n"/>
      <c r="BO1052" s="28" t="n"/>
      <c r="BP1052" s="25" t="n"/>
      <c r="BQ1052" s="27" t="n">
        <v>1.469484</v>
      </c>
      <c r="BR1052" s="28" t="n">
        <v>0.68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n"/>
      <c r="CZ1052" s="24" t="n"/>
      <c r="DA1052" s="24" t="n"/>
      <c r="DB1052" s="24" t="n"/>
      <c r="DC1052" s="24" t="n"/>
      <c r="DD1052" s="24" t="inlineStr">
        <is>
          <t>b0af136226d57d769361bb7c5905b733f2aaea08614af86963573a2126a7b237</t>
        </is>
      </c>
      <c r="DE1052" s="24" t="inlineStr">
        <is>
          <t>/Users/vincentc9002/model-prediction/data/odds/tennis/2026-09-10/polymarket_snapshots.jsonl</t>
        </is>
      </c>
      <c r="DF1052" s="24" t="inlineStr">
        <is>
          <t>737362:2026-09-10T04:34:47.047109Z</t>
        </is>
      </c>
      <c r="DG1052" s="24" t="n"/>
      <c r="DH1052" s="24" t="n"/>
      <c r="DI1052" s="24" t="n"/>
      <c r="DJ1052" s="24" t="inlineStr">
        <is>
          <t>0.680511</t>
        </is>
      </c>
      <c r="DK1052" s="24" t="n"/>
      <c r="DL1052" s="24" t="n"/>
      <c r="DM1052" s="24" t="n"/>
      <c r="DN1052" s="24" t="n"/>
      <c r="DO1052" s="24" t="n"/>
      <c r="DP1052" s="24" t="n"/>
      <c r="DQ1052" s="24" t="inlineStr">
        <is>
          <t>{"artifact_hash": "6c67e999d2a03612e30f4032c8e5e77e8becfbc79e05f4c8993e726b90d34d54", "away_team": "Rositsa Dencheva", "event_id": "1076-2026:183543", "event_start_utc": "2026-09-10T09:00Z", "features": {"elo_p1_surface": 1543.4, "elo_p2_surface": 1686.2, "expected_games_p1": 8.0, "expected_games_p2": 13.11, "expected_total_games": 21.11, "history_matches": 15929, "min_player_matches": 3, "surface": "Hard"}, "historical_source_observation_times_verified": false, "home_team": "Francesca Jones", "inference_inputs": {"code_sha256": {"features/elo_ratings.py": "8525faf022a6343c452286dbfeb17dbb043744c6bdabbe448b6b371216da439b", "models/tennis.py": "6c67e999d2a03612e30f4032c8e5e77e8becfbc79e05f4c8993e726b90d34d54"}, "overall_ratings": [1543.1625513880028, 1675.7030787645601], "players": ["Rositsa Dencheva", "Francesca Jones"], "sport": "TENNIS", "surface": "Hard", "surface_counts": [3, 99], "surface_ratings": [1543.4016515161225, 1686.19263545032]}, "market_type": "moneyline", "model_version": "tennis-surface-elo-v1", "observed_at_utc": "2026-09-10T04:35:22.694718+00:00", "probabilities": {"away": 0.3085, "home": 0.6915}, "replay_scope": "Exact full-precision serving state and rounding; upstream historical observation times are not certified.", "schema": "coded-moneyline-replay-v1", "snapshot_hash": "3479b0419448dc5ec65e6c07d3bfff375b0bd05000497878d25f7c37ee596f15", "sport": "TENNIS"}</t>
        </is>
      </c>
    </row>
    <row r="1053" ht="36" customHeight="1">
      <c r="A1053" s="24" t="inlineStr">
        <is>
          <t>ecc3eff0a1d94057</t>
        </is>
      </c>
      <c r="B1053" s="24" t="inlineStr">
        <is>
          <t>2026-09-10T10:04:02.517521Z</t>
        </is>
      </c>
      <c r="C1053" s="24" t="inlineStr">
        <is>
          <t>2026-09-10T10:30Z</t>
        </is>
      </c>
      <c r="D1053" s="24" t="inlineStr">
        <is>
          <t>998-2026:183599</t>
        </is>
      </c>
      <c r="E1053" s="24" t="inlineStr">
        <is>
          <t>TENNIS</t>
        </is>
      </c>
      <c r="F1053" s="24" t="inlineStr">
        <is>
          <t>Barbora Palicova</t>
        </is>
      </c>
      <c r="G1053" s="24" t="inlineStr">
        <is>
          <t>Fiona Ferro</t>
        </is>
      </c>
      <c r="H1053" s="24" t="inlineStr">
        <is>
          <t>moneyline</t>
        </is>
      </c>
      <c r="I1053" s="24" t="inlineStr">
        <is>
          <t>home</t>
        </is>
      </c>
      <c r="J1053" s="25" t="n"/>
      <c r="K1053" s="24" t="inlineStr">
        <is>
          <t>polymarket_us</t>
        </is>
      </c>
      <c r="L1053" s="26" t="n">
        <v>-178</v>
      </c>
      <c r="M1053" s="27" t="n">
        <v>1.561798</v>
      </c>
      <c r="N1053" s="28" t="n">
        <v>0.640288</v>
      </c>
      <c r="O1053" s="28" t="n">
        <v>0.7649</v>
      </c>
      <c r="P1053" s="28" t="n">
        <v>0.05</v>
      </c>
      <c r="Q1053" s="28" t="n">
        <v>0.124612</v>
      </c>
      <c r="R1053" s="26" t="n">
        <v>82</v>
      </c>
      <c r="S1053" s="29" t="n">
        <v>1.5</v>
      </c>
      <c r="T1053" s="24" t="inlineStr">
        <is>
          <t>tennis-surface-elo-v1</t>
        </is>
      </c>
      <c r="U1053" s="24" t="inlineStr">
        <is>
          <t>settled</t>
        </is>
      </c>
      <c r="V1053" s="24" t="inlineStr">
        <is>
          <t>win</t>
        </is>
      </c>
      <c r="W1053" s="26" t="n">
        <v>0</v>
      </c>
      <c r="X1053" s="26" t="n">
        <v>1</v>
      </c>
      <c r="Y1053" s="25" t="n"/>
      <c r="Z1053" s="26" t="n">
        <v>-178</v>
      </c>
      <c r="AA1053" s="28" t="n">
        <v>0.64</v>
      </c>
      <c r="AB1053" s="28" t="n">
        <v>-0.000288</v>
      </c>
      <c r="AC1053" s="30" t="n">
        <v>0.8427</v>
      </c>
      <c r="AD1053" s="24" t="inlineStr">
        <is>
          <t>2026-09-10T22:00:21.126723Z</t>
        </is>
      </c>
      <c r="AE1053" s="31" t="inlineStr">
        <is>
          <t>Surface-blended Elo on Hard: Barbora Palicova p=0.235 vs Fiona Ferro. Executable ask 0.6400 (aec-wta-fiofer-barpal-2026-09-09).</t>
        </is>
      </c>
      <c r="AF1053" s="31" t="inlineStr">
        <is>
          <t>Surface-blended Elo model; singles only, WTA+ATP market coverage, not yet locked-holdout qualified -- promoted by explicit operator directive, not genuine walk-forward validation.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model_qualified</t>
        </is>
      </c>
      <c r="AL1053" s="26" t="n">
        <v>4</v>
      </c>
      <c r="AM1053" s="24" t="inlineStr">
        <is>
          <t>QUALIFIED_SHADOW_CALL</t>
        </is>
      </c>
      <c r="AN1053" s="24" t="inlineStr">
        <is>
          <t>CALL</t>
        </is>
      </c>
      <c r="AO1053" s="24" t="inlineStr">
        <is>
          <t>QUALIFIED</t>
        </is>
      </c>
      <c r="AP1053" s="24" t="inlineStr">
        <is>
          <t>Barbora Palicova</t>
        </is>
      </c>
      <c r="AQ1053" s="24" t="inlineStr">
        <is>
          <t>Barbora Palicova</t>
        </is>
      </c>
      <c r="AR1053" s="24" t="inlineStr">
        <is>
          <t>Barbora Palicova</t>
        </is>
      </c>
      <c r="AS1053" s="24" t="inlineStr">
        <is>
          <t>Fiona Ferro</t>
        </is>
      </c>
      <c r="AT1053" s="24" t="inlineStr">
        <is>
          <t>Fiona Ferro</t>
        </is>
      </c>
      <c r="AU1053" s="24" t="inlineStr">
        <is>
          <t>Fiona Ferro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6c67e999d2a03612e30f4032c8e5e77e8becfbc79e05f4c8993e726b90d34d54</t>
        </is>
      </c>
      <c r="BB1053" s="24" t="inlineStr">
        <is>
          <t>surface_blended_elo</t>
        </is>
      </c>
      <c r="BC1053" s="24" t="inlineStr">
        <is>
          <t>tennis-surface-elo-v1</t>
        </is>
      </c>
      <c r="BD1053" s="24" t="inlineStr">
        <is>
          <t>6c67e999d2a03612e30f4032c8e5e77e8becfbc79e05f4c8993e726b90d34d54</t>
        </is>
      </c>
      <c r="BE1053" s="24" t="inlineStr">
        <is>
          <t>tennis-surface-elo-v1</t>
        </is>
      </c>
      <c r="BF1053" s="24" t="inlineStr">
        <is>
          <t>1</t>
        </is>
      </c>
      <c r="BG1053" s="24" t="inlineStr">
        <is>
          <t>6c67e999d2a03612e30f4032c8e5e77e8becfbc79e05f4c8993e726b90d34d54</t>
        </is>
      </c>
      <c r="BH1053" s="24" t="inlineStr">
        <is>
          <t>2026-09-10T10:03:31.764875Z</t>
        </is>
      </c>
      <c r="BI1053" s="24" t="inlineStr">
        <is>
          <t>["same_event","same_team_same_day","same_league_same_day"]</t>
        </is>
      </c>
      <c r="BJ1053" s="25" t="n"/>
      <c r="BK1053" s="26" t="n">
        <v>-178</v>
      </c>
      <c r="BL1053" s="27" t="n">
        <v>1.561798</v>
      </c>
      <c r="BM1053" s="28" t="n">
        <v>0.640288</v>
      </c>
      <c r="BN1053" s="28" t="n"/>
      <c r="BO1053" s="28" t="n"/>
      <c r="BP1053" s="25" t="n"/>
      <c r="BQ1053" s="27" t="n">
        <v>1.561798</v>
      </c>
      <c r="BR1053" s="28" t="n">
        <v>0.64</v>
      </c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True</t>
        </is>
      </c>
      <c r="CT1053" s="24" t="n"/>
      <c r="CU1053" s="24" t="n"/>
      <c r="CV1053" s="24" t="n"/>
      <c r="CW1053" s="24" t="n"/>
      <c r="CX1053" s="24" t="n"/>
      <c r="CY1053" s="24" t="n"/>
      <c r="CZ1053" s="24" t="n"/>
      <c r="DA1053" s="24" t="n"/>
      <c r="DB1053" s="24" t="n"/>
      <c r="DC1053" s="24" t="n"/>
      <c r="DD1053" s="24" t="inlineStr">
        <is>
          <t>9a9a40c9ca980374d2b7eb1cadeba0e7e1f2f577306d2bcf635378ecc59d4216</t>
        </is>
      </c>
      <c r="DE1053" s="24" t="inlineStr">
        <is>
          <t>/Users/vincentc9002/model-prediction/data/odds/tennis/2026-09-10/polymarket_snapshots.jsonl</t>
        </is>
      </c>
      <c r="DF1053" s="24" t="inlineStr">
        <is>
          <t>738056:2026-09-10T10:03:31.764875Z</t>
        </is>
      </c>
      <c r="DG1053" s="24" t="n"/>
      <c r="DH1053" s="24" t="n"/>
      <c r="DI1053" s="24" t="n"/>
      <c r="DJ1053" s="24" t="inlineStr">
        <is>
          <t>0.640288</t>
        </is>
      </c>
      <c r="DK1053" s="24" t="n"/>
      <c r="DL1053" s="24" t="n"/>
      <c r="DM1053" s="24" t="n"/>
      <c r="DN1053" s="24" t="n"/>
      <c r="DO1053" s="24" t="n"/>
      <c r="DP1053" s="24" t="n"/>
      <c r="DQ1053" s="24" t="inlineStr">
        <is>
          <t>{"artifact_hash": "6c67e999d2a03612e30f4032c8e5e77e8becfbc79e05f4c8993e726b90d34d54", "away_team": "Barbora Palicova", "event_id": "998-2026:183599", "event_start_utc": "2026-09-10T10:30Z", "features": {"elo_p1_surface": 1413.9, "elo_p2_surface": 1622.5, "expected_games_p1": 6.08, "expected_games_p2": 12.65, "expected_total_games": 18.73, "history_matches": 15929, "min_player_matches": 45,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[1394.1957104918383, 1585.811193962918], "players": ["Barbora Palicova", "Fiona Ferro"], "sport": "TENNIS", "surface": "Hard", "surface_counts": [40, 67], "surface_ratings": [1413.8560102992917, 1622.499853152198]}, "market_type": "moneyline", "model_version": "tennis-surface-elo-v1", "observed_at_utc": "2026-09-10T10:04:01.069743+00:00", "probabilities": {"away": 0.2351, "home": 0.7649}, "replay_scope": "Exact full-precision serving state and rounding; upstream historical observation times are not certified.", "schema": "coded-moneyline-replay-v1", "snapshot_hash": "b937ee6e495ec53b36a25a0755b90a8ed9872798d566c19e92c9168a42afc45b", "sport": "TENNIS"}</t>
        </is>
      </c>
    </row>
    <row r="1054" ht="36" customHeight="1">
      <c r="A1054" s="24" t="inlineStr">
        <is>
          <t>e28e153055284fae</t>
        </is>
      </c>
      <c r="B1054" s="24" t="inlineStr">
        <is>
          <t>2026-09-10T10:04:02.517521Z</t>
        </is>
      </c>
      <c r="C1054" s="24" t="inlineStr">
        <is>
          <t>2026-09-10T10:30Z</t>
        </is>
      </c>
      <c r="D1054" s="24" t="inlineStr">
        <is>
          <t>1076-2026:183541</t>
        </is>
      </c>
      <c r="E1054" s="24" t="inlineStr">
        <is>
          <t>TENNIS</t>
        </is>
      </c>
      <c r="F1054" s="24" t="inlineStr">
        <is>
          <t>Eva Vedder</t>
        </is>
      </c>
      <c r="G1054" s="24" t="inlineStr">
        <is>
          <t>Maria Lourdes Carle</t>
        </is>
      </c>
      <c r="H1054" s="24" t="inlineStr">
        <is>
          <t>moneyline</t>
        </is>
      </c>
      <c r="I1054" s="24" t="inlineStr">
        <is>
          <t>home</t>
        </is>
      </c>
      <c r="J1054" s="25" t="n"/>
      <c r="K1054" s="24" t="inlineStr">
        <is>
          <t>polymarket_us</t>
        </is>
      </c>
      <c r="L1054" s="26" t="n">
        <v>-113</v>
      </c>
      <c r="M1054" s="27" t="n">
        <v>1.884956</v>
      </c>
      <c r="N1054" s="28" t="n">
        <v>0.530516</v>
      </c>
      <c r="O1054" s="28" t="n">
        <v>0.5557</v>
      </c>
      <c r="P1054" s="28" t="n">
        <v>0.05</v>
      </c>
      <c r="Q1054" s="28" t="n">
        <v>0.025184</v>
      </c>
      <c r="R1054" s="26" t="n">
        <v>33</v>
      </c>
      <c r="S1054" s="29" t="n">
        <v>1</v>
      </c>
      <c r="T1054" s="24" t="inlineStr">
        <is>
          <t>tennis-surface-elo-v1</t>
        </is>
      </c>
      <c r="U1054" s="24" t="inlineStr">
        <is>
          <t>settled</t>
        </is>
      </c>
      <c r="V1054" s="24" t="inlineStr">
        <is>
          <t>win</t>
        </is>
      </c>
      <c r="W1054" s="26" t="n">
        <v>0</v>
      </c>
      <c r="X1054" s="26" t="n">
        <v>1</v>
      </c>
      <c r="Y1054" s="25" t="n"/>
      <c r="Z1054" s="26" t="n">
        <v>-113</v>
      </c>
      <c r="AA1054" s="28" t="n">
        <v>0.53</v>
      </c>
      <c r="AB1054" s="28" t="n">
        <v>-0.000516</v>
      </c>
      <c r="AC1054" s="30" t="n">
        <v>0.885</v>
      </c>
      <c r="AD1054" s="24" t="inlineStr">
        <is>
          <t>2026-09-10T22:00:21.555465Z</t>
        </is>
      </c>
      <c r="AE1054" s="31" t="inlineStr">
        <is>
          <t>Surface-blended Elo on Hard: Eva Vedder p=0.444 vs Maria Lourdes Carle. Executable ask 0.5300 (aec-wta-marcar-evaved-2026-09-09).</t>
        </is>
      </c>
      <c r="AF1054" s="31" t="inlineStr">
        <is>
          <t>Surface-blended Elo model; singles only, WTA+ATP market coverage, not yet locked-holdout qualified -- promoted by explicit operator directive, not genuine walk-forward validation.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paper_call</t>
        </is>
      </c>
      <c r="AL1054" s="26" t="n">
        <v>4</v>
      </c>
      <c r="AM1054" s="24" t="inlineStr">
        <is>
          <t>RESEARCH_OBSERVATION</t>
        </is>
      </c>
      <c r="AN1054" s="24" t="inlineStr">
        <is>
          <t>CALL</t>
        </is>
      </c>
      <c r="AO1054" s="24" t="inlineStr">
        <is>
          <t>PAPER_CALL_LOW_EDGE</t>
        </is>
      </c>
      <c r="AP1054" s="24" t="inlineStr">
        <is>
          <t>Eva Vedder</t>
        </is>
      </c>
      <c r="AQ1054" s="24" t="inlineStr">
        <is>
          <t>Eva Vedder</t>
        </is>
      </c>
      <c r="AR1054" s="24" t="inlineStr">
        <is>
          <t>Eva Vedder</t>
        </is>
      </c>
      <c r="AS1054" s="24" t="inlineStr">
        <is>
          <t>Maria Lourdes Carle</t>
        </is>
      </c>
      <c r="AT1054" s="24" t="inlineStr">
        <is>
          <t>Maria Lourdes Carle</t>
        </is>
      </c>
      <c r="AU1054" s="24" t="inlineStr">
        <is>
          <t>Maria Lourdes Carle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6c67e999d2a03612e30f4032c8e5e77e8becfbc79e05f4c8993e726b90d34d54</t>
        </is>
      </c>
      <c r="BB1054" s="24" t="inlineStr">
        <is>
          <t>surface_blended_elo</t>
        </is>
      </c>
      <c r="BC1054" s="24" t="inlineStr">
        <is>
          <t>tennis-surface-elo-v1</t>
        </is>
      </c>
      <c r="BD1054" s="24" t="inlineStr">
        <is>
          <t>6c67e999d2a03612e30f4032c8e5e77e8becfbc79e05f4c8993e726b90d34d54</t>
        </is>
      </c>
      <c r="BE1054" s="24" t="inlineStr">
        <is>
          <t>tennis-surface-elo-v1</t>
        </is>
      </c>
      <c r="BF1054" s="24" t="inlineStr">
        <is>
          <t>1</t>
        </is>
      </c>
      <c r="BG1054" s="24" t="inlineStr">
        <is>
          <t>6c67e999d2a03612e30f4032c8e5e77e8becfbc79e05f4c8993e726b90d34d54</t>
        </is>
      </c>
      <c r="BH1054" s="24" t="inlineStr">
        <is>
          <t>2026-09-10T10:03:31.758617Z</t>
        </is>
      </c>
      <c r="BI1054" s="24" t="inlineStr">
        <is>
          <t>["same_event","same_team_same_day","same_league_same_day"]</t>
        </is>
      </c>
      <c r="BJ1054" s="25" t="n"/>
      <c r="BK1054" s="26" t="n">
        <v>-113</v>
      </c>
      <c r="BL1054" s="27" t="n">
        <v>1.884956</v>
      </c>
      <c r="BM1054" s="28" t="n">
        <v>0.530516</v>
      </c>
      <c r="BN1054" s="28" t="n"/>
      <c r="BO1054" s="28" t="n"/>
      <c r="BP1054" s="25" t="n"/>
      <c r="BQ1054" s="27" t="n">
        <v>1.884956</v>
      </c>
      <c r="BR1054" s="28" t="n">
        <v>0.53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True</t>
        </is>
      </c>
      <c r="CT1054" s="24" t="n"/>
      <c r="CU1054" s="24" t="n"/>
      <c r="CV1054" s="24" t="n"/>
      <c r="CW1054" s="24" t="n"/>
      <c r="CX1054" s="24" t="n"/>
      <c r="CY1054" s="24" t="n"/>
      <c r="CZ1054" s="24" t="n"/>
      <c r="DA1054" s="24" t="n"/>
      <c r="DB1054" s="24" t="n"/>
      <c r="DC1054" s="24" t="n"/>
      <c r="DD1054" s="24" t="inlineStr">
        <is>
          <t>614e84bafaf0a786ccc8f211b9d51cdfa9208b8555a3f815909134aff7104102</t>
        </is>
      </c>
      <c r="DE1054" s="24" t="inlineStr">
        <is>
          <t>/Users/vincentc9002/model-prediction/data/odds/tennis/2026-09-10/polymarket_snapshots.jsonl</t>
        </is>
      </c>
      <c r="DF1054" s="24" t="inlineStr">
        <is>
          <t>736609:2026-09-10T10:03:31.758617Z</t>
        </is>
      </c>
      <c r="DG1054" s="24" t="n"/>
      <c r="DH1054" s="24" t="n"/>
      <c r="DI1054" s="24" t="n"/>
      <c r="DJ1054" s="24" t="inlineStr">
        <is>
          <t>0.530516</t>
        </is>
      </c>
      <c r="DK1054" s="24" t="n"/>
      <c r="DL1054" s="24" t="n"/>
      <c r="DM1054" s="24" t="n"/>
      <c r="DN1054" s="24" t="n"/>
      <c r="DO1054" s="24" t="n"/>
      <c r="DP1054" s="24" t="n"/>
      <c r="DQ1054" s="24" t="inlineStr">
        <is>
          <t>{"artifact_hash": "6c67e999d2a03612e30f4032c8e5e77e8becfbc79e05f4c8993e726b90d34d54", "away_team": "Eva Vedder", "event_id": "1076-2026:183541", "event_start_utc": "2026-09-10T10:30Z", "features": {"elo_p1_surface": 1450.7, "elo_p2_surface": 1477.7, "expected_games_p1": 11.87, "expected_games_p2": 12.77, "expected_total_games": 24.65, "history_matches": 15929, "min_player_matches": 41, "surface": "Hard"}, "historical_source_observation_times_verified": false, "home_team": "Maria Lourdes Carle", "inference_inputs": {"code_sha256": {"features/elo_ratings.py": "8525faf022a6343c452286dbfeb17dbb043744c6bdabbe448b6b371216da439b", "models/tennis.py": "6c67e999d2a03612e30f4032c8e5e77e8becfbc79e05f4c8993e726b90d34d54"}, "overall_ratings": [1460.6547763808853, 1538.8195407407452], "players": ["Eva Vedder", "Maria Lourdes Carle"], "sport": "TENNIS", "surface": "Hard", "surface_counts": [36, 102], "surface_ratings": [1450.6752186875603, 1477.6628720079104]}, "market_type": "moneyline", "model_version": "tennis-surface-elo-v1", "observed_at_utc": "2026-09-10T10:04:01.069743+00:00", "probabilities": {"away": 0.4443, "home": 0.5557}, "replay_scope": "Exact full-precision serving state and rounding; upstream historical observation times are not certified.", "schema": "coded-moneyline-replay-v1", "snapshot_hash": "b6d7dce59585a59cd735f95336065de613a58ff08ee91a148813773207f054f8", "sport": "TENNIS"}</t>
        </is>
      </c>
    </row>
    <row r="1055" ht="36" customHeight="1">
      <c r="A1055" s="24" t="inlineStr">
        <is>
          <t>ebc98471c879414b</t>
        </is>
      </c>
      <c r="B1055" s="24" t="inlineStr">
        <is>
          <t>2026-09-10T10:04:02.517521Z</t>
        </is>
      </c>
      <c r="C1055" s="24" t="inlineStr">
        <is>
          <t>2026-09-10T12:00Z</t>
        </is>
      </c>
      <c r="D1055" s="24" t="inlineStr">
        <is>
          <t>1076-2026:183547</t>
        </is>
      </c>
      <c r="E1055" s="24" t="inlineStr">
        <is>
          <t>TENNIS</t>
        </is>
      </c>
      <c r="F1055" s="24" t="inlineStr">
        <is>
          <t>Alicia Herrero Linana</t>
        </is>
      </c>
      <c r="G1055" s="24" t="inlineStr">
        <is>
          <t>Ane Mintegi Del Olmo</t>
        </is>
      </c>
      <c r="H1055" s="24" t="inlineStr">
        <is>
          <t>moneyline</t>
        </is>
      </c>
      <c r="I1055" s="24" t="inlineStr">
        <is>
          <t>away</t>
        </is>
      </c>
      <c r="J1055" s="25" t="n"/>
      <c r="K1055" s="24" t="inlineStr">
        <is>
          <t>polymarket_us</t>
        </is>
      </c>
      <c r="L1055" s="26" t="n">
        <v>144</v>
      </c>
      <c r="M1055" s="27" t="n">
        <v>2.44</v>
      </c>
      <c r="N1055" s="28" t="n">
        <v>0.409836</v>
      </c>
      <c r="O1055" s="28" t="n">
        <v>0.5449000000000001</v>
      </c>
      <c r="P1055" s="28" t="n">
        <v>0.05</v>
      </c>
      <c r="Q1055" s="28" t="n">
        <v>0.135064</v>
      </c>
      <c r="R1055" s="26" t="n">
        <v>88</v>
      </c>
      <c r="S1055" s="29" t="n">
        <v>1.5</v>
      </c>
      <c r="T1055" s="24" t="inlineStr">
        <is>
          <t>tennis-surface-elo-v1</t>
        </is>
      </c>
      <c r="U1055" s="24" t="inlineStr">
        <is>
          <t>settled</t>
        </is>
      </c>
      <c r="V1055" s="24" t="inlineStr">
        <is>
          <t>win</t>
        </is>
      </c>
      <c r="W1055" s="26" t="n">
        <v>1</v>
      </c>
      <c r="X1055" s="26" t="n">
        <v>0</v>
      </c>
      <c r="Y1055" s="25" t="n"/>
      <c r="Z1055" s="26" t="n">
        <v>144</v>
      </c>
      <c r="AA1055" s="28" t="n">
        <v>0.41</v>
      </c>
      <c r="AB1055" s="28" t="n">
        <v>0.000164</v>
      </c>
      <c r="AC1055" s="30" t="n">
        <v>2.16</v>
      </c>
      <c r="AD1055" s="24" t="inlineStr">
        <is>
          <t>2026-09-10T22:00:21.983822Z</t>
        </is>
      </c>
      <c r="AE1055" s="31" t="inlineStr">
        <is>
          <t>Surface-blended Elo on Hard: Alicia Herrero Linana p=0.545 vs Ane Mintegi Del Olmo. Executable ask 0.4100 (aec-wta-aneolm-alilin-2026-09-09).</t>
        </is>
      </c>
      <c r="AF1055" s="31" t="inlineStr">
        <is>
          <t>Surface-blended Elo model; singles only, WTA+ATP market coverage, not yet locked-holdout qualified -- promoted by explicit operator directive, not genuine walk-forward validation.</t>
        </is>
      </c>
      <c r="AG1055" s="24" t="inlineStr">
        <is>
          <t>not_applicable</t>
        </is>
      </c>
      <c r="AH1055" s="24" t="n"/>
      <c r="AI1055" s="31" t="n"/>
      <c r="AJ1055" s="31" t="n"/>
      <c r="AK1055" s="24" t="inlineStr">
        <is>
          <t>model_qualified</t>
        </is>
      </c>
      <c r="AL1055" s="26" t="n">
        <v>4</v>
      </c>
      <c r="AM1055" s="24" t="inlineStr">
        <is>
          <t>QUALIFIED_SHADOW_CALL</t>
        </is>
      </c>
      <c r="AN1055" s="24" t="inlineStr">
        <is>
          <t>CALL</t>
        </is>
      </c>
      <c r="AO1055" s="24" t="inlineStr">
        <is>
          <t>QUALIFIED</t>
        </is>
      </c>
      <c r="AP1055" s="24" t="inlineStr">
        <is>
          <t>Alicia Herrero Linana</t>
        </is>
      </c>
      <c r="AQ1055" s="24" t="inlineStr">
        <is>
          <t>Alicia Herrero Linana</t>
        </is>
      </c>
      <c r="AR1055" s="24" t="inlineStr">
        <is>
          <t>Alicia Herrero Linana</t>
        </is>
      </c>
      <c r="AS1055" s="24" t="inlineStr">
        <is>
          <t>Ane Mintegi Del Olmo</t>
        </is>
      </c>
      <c r="AT1055" s="24" t="inlineStr">
        <is>
          <t>Ane Mintegi Del Olmo</t>
        </is>
      </c>
      <c r="AU1055" s="24" t="inlineStr">
        <is>
          <t>Ane Mintegi Del Olmo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6c67e999d2a03612e30f4032c8e5e77e8becfbc79e05f4c8993e726b90d34d54</t>
        </is>
      </c>
      <c r="BB1055" s="24" t="inlineStr">
        <is>
          <t>surface_blended_elo</t>
        </is>
      </c>
      <c r="BC1055" s="24" t="inlineStr">
        <is>
          <t>tennis-surface-elo-v1</t>
        </is>
      </c>
      <c r="BD1055" s="24" t="inlineStr">
        <is>
          <t>6c67e999d2a03612e30f4032c8e5e77e8becfbc79e05f4c8993e726b90d34d54</t>
        </is>
      </c>
      <c r="BE1055" s="24" t="inlineStr">
        <is>
          <t>tennis-surface-elo-v1</t>
        </is>
      </c>
      <c r="BF1055" s="24" t="inlineStr">
        <is>
          <t>1</t>
        </is>
      </c>
      <c r="BG1055" s="24" t="inlineStr">
        <is>
          <t>6c67e999d2a03612e30f4032c8e5e77e8becfbc79e05f4c8993e726b90d34d54</t>
        </is>
      </c>
      <c r="BH1055" s="24" t="inlineStr">
        <is>
          <t>2026-09-10T10:03:31.772737Z</t>
        </is>
      </c>
      <c r="BI1055" s="24" t="inlineStr">
        <is>
          <t>["same_event","same_team_same_day","same_league_same_day"]</t>
        </is>
      </c>
      <c r="BJ1055" s="25" t="n"/>
      <c r="BK1055" s="26" t="n">
        <v>144</v>
      </c>
      <c r="BL1055" s="27" t="n">
        <v>2.44</v>
      </c>
      <c r="BM1055" s="28" t="n">
        <v>0.409836</v>
      </c>
      <c r="BN1055" s="28" t="n"/>
      <c r="BO1055" s="28" t="n"/>
      <c r="BP1055" s="25" t="n"/>
      <c r="BQ1055" s="27" t="n">
        <v>2.44</v>
      </c>
      <c r="BR1055" s="28" t="n">
        <v>0.41</v>
      </c>
      <c r="BS1055" s="28" t="n"/>
      <c r="BT1055" s="28" t="n"/>
      <c r="BU1055" s="25" t="n"/>
      <c r="BV1055" s="29" t="n"/>
      <c r="BW1055" s="24" t="n"/>
      <c r="BX1055" s="30" t="n"/>
      <c r="BY1055" s="27" t="n"/>
      <c r="BZ1055" s="24" t="n"/>
      <c r="CA1055" s="31" t="n"/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n"/>
      <c r="CU1055" s="24" t="n"/>
      <c r="CV1055" s="24" t="n"/>
      <c r="CW1055" s="24" t="n"/>
      <c r="CX1055" s="24" t="n"/>
      <c r="CY1055" s="24" t="n"/>
      <c r="CZ1055" s="24" t="n"/>
      <c r="DA1055" s="24" t="n"/>
      <c r="DB1055" s="24" t="n"/>
      <c r="DC1055" s="24" t="n"/>
      <c r="DD1055" s="24" t="inlineStr">
        <is>
          <t>9c251881d2f4d4b5397f3d7b87720ddc607dcddbdcce3336dc68b75f619a22dc</t>
        </is>
      </c>
      <c r="DE1055" s="24" t="inlineStr">
        <is>
          <t>/Users/vincentc9002/model-prediction/data/odds/tennis/2026-09-10/polymarket_snapshots.jsonl</t>
        </is>
      </c>
      <c r="DF1055" s="24" t="inlineStr">
        <is>
          <t>738238:2026-09-10T10:03:31.772737Z</t>
        </is>
      </c>
      <c r="DG1055" s="24" t="n"/>
      <c r="DH1055" s="24" t="n"/>
      <c r="DI1055" s="24" t="n"/>
      <c r="DJ1055" s="24" t="inlineStr">
        <is>
          <t>0.409836</t>
        </is>
      </c>
      <c r="DK1055" s="24" t="n"/>
      <c r="DL1055" s="24" t="n"/>
      <c r="DM1055" s="24" t="n"/>
      <c r="DN1055" s="24" t="n"/>
      <c r="DO1055" s="24" t="n"/>
      <c r="DP1055" s="24" t="n"/>
      <c r="DQ1055" s="24" t="inlineStr">
        <is>
          <t>{"artifact_hash": "6c67e999d2a03612e30f4032c8e5e77e8becfbc79e05f4c8993e726b90d34d54", "away_team": "Alicia Herrero Linana", "event_id": "1076-2026:183547", "event_start_utc": "2026-09-10T12:00Z", "features": {"elo_p1_surface": 1550.3, "elo_p2_surface": 1502.3, "expected_games_p1": 13.3, "expected_games_p2": 10.84, "expected_total_games": 24.13, "history_matches": 15929, "min_player_matches": 19, "surface": "Hard"}, "historical_source_observation_times_verified": false, "home_team": "Ane Mintegi Del Olmo", "inference_inputs": {"code_sha256": {"features/elo_ratings.py": "8525faf022a6343c452286dbfeb17dbb043744c6bdabbe448b6b371216da439b", "models/tennis.py": "6c67e999d2a03612e30f4032c8e5e77e8becfbc79e05f4c8993e726b90d34d54"}, "overall_ratings": [1550.2481247782293, 1529.0649241885365], "players": ["Alicia Herrero Linana", "Ane Mintegi Del Olmo"], "sport": "TENNIS", "surface": "Hard", "surface_counts": [32, 12], "surface_ratings": [1550.2559788279593, 1502.2548496106735]}, "market_type": "moneyline", "model_version": "tennis-surface-elo-v1", "observed_at_utc": "2026-09-10T10:04:01.069743+00:00", "probabilities": {"away": 0.5449, "home": 0.4551}, "replay_scope": "Exact full-precision serving state and rounding; upstream historical observation times are not certified.", "schema": "coded-moneyline-replay-v1", "snapshot_hash": "d7ccb30d4959f843d591b7f4c7926327973e485f731d58f30b94ecde0fafd04a", "sport": "TENNIS"}</t>
        </is>
      </c>
    </row>
    <row r="1056" ht="36" customHeight="1">
      <c r="A1056" s="24" t="inlineStr">
        <is>
          <t>70dc2d522477464e</t>
        </is>
      </c>
      <c r="B1056" s="24" t="inlineStr">
        <is>
          <t>2026-09-10T22:04:01.715036Z</t>
        </is>
      </c>
      <c r="C1056" s="24" t="inlineStr">
        <is>
          <t>2026-09-10T23:00Z</t>
        </is>
      </c>
      <c r="D1056" s="24" t="inlineStr">
        <is>
          <t>189-2026:182553</t>
        </is>
      </c>
      <c r="E1056" s="24" t="inlineStr">
        <is>
          <t>TENNIS</t>
        </is>
      </c>
      <c r="F1056" s="24" t="inlineStr">
        <is>
          <t>Jessica Pegula</t>
        </is>
      </c>
      <c r="G1056" s="24" t="inlineStr">
        <is>
          <t>Aryna Sabalenka</t>
        </is>
      </c>
      <c r="H1056" s="24" t="inlineStr">
        <is>
          <t>moneyline</t>
        </is>
      </c>
      <c r="I1056" s="24" t="inlineStr">
        <is>
          <t>home</t>
        </is>
      </c>
      <c r="J1056" s="25" t="n"/>
      <c r="K1056" s="24" t="inlineStr">
        <is>
          <t>polymarket_us</t>
        </is>
      </c>
      <c r="L1056" s="26" t="n">
        <v>-186</v>
      </c>
      <c r="M1056" s="27" t="n">
        <v>1.537634</v>
      </c>
      <c r="N1056" s="28" t="n">
        <v>0.65035</v>
      </c>
      <c r="O1056" s="28" t="n">
        <v>0.5407999999999999</v>
      </c>
      <c r="P1056" s="28" t="n">
        <v>0.05</v>
      </c>
      <c r="Q1056" s="28" t="n">
        <v>-0.10955</v>
      </c>
      <c r="R1056" s="26" t="n">
        <v>0</v>
      </c>
      <c r="S1056" s="29" t="n">
        <v>1</v>
      </c>
      <c r="T1056" s="24" t="inlineStr">
        <is>
          <t>tennis-surface-elo-v1</t>
        </is>
      </c>
      <c r="U1056" s="24" t="inlineStr">
        <is>
          <t>settled</t>
        </is>
      </c>
      <c r="V1056" s="24" t="inlineStr">
        <is>
          <t>win</t>
        </is>
      </c>
      <c r="W1056" s="26" t="n">
        <v>0</v>
      </c>
      <c r="X1056" s="26" t="n">
        <v>1</v>
      </c>
      <c r="Y1056" s="25" t="n"/>
      <c r="Z1056" s="26" t="n">
        <v>-186</v>
      </c>
      <c r="AA1056" s="28" t="n">
        <v>0.65</v>
      </c>
      <c r="AB1056" s="28" t="n">
        <v>-0.00035</v>
      </c>
      <c r="AC1056" s="30" t="n">
        <v>0.5376</v>
      </c>
      <c r="AD1056" s="24" t="inlineStr">
        <is>
          <t>2026-09-11T04:30:30.924151Z</t>
        </is>
      </c>
      <c r="AE1056" s="31" t="inlineStr">
        <is>
          <t>Surface-blended Elo on Hard: Jessica Pegula p=0.459 vs Aryna Sabalenka. Executable ask 0.6500 (aec-wta-arysab-jespeg-2026-09-10).</t>
        </is>
      </c>
      <c r="AF1056" s="31" t="inlineStr">
        <is>
          <t>Surface-blended Elo model; singles only, WTA+ATP market coverage, not yet locked-holdout qualified -- promoted by explicit operator directive, not genuine walk-forward validation.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paper_call</t>
        </is>
      </c>
      <c r="AL1056" s="26" t="n">
        <v>4</v>
      </c>
      <c r="AM1056" s="24" t="inlineStr">
        <is>
          <t>RESEARCH_OBSERVATION</t>
        </is>
      </c>
      <c r="AN1056" s="24" t="inlineStr">
        <is>
          <t>CALL</t>
        </is>
      </c>
      <c r="AO1056" s="24" t="inlineStr">
        <is>
          <t>PAPER_CALL_LOW_EDGE</t>
        </is>
      </c>
      <c r="AP1056" s="24" t="inlineStr">
        <is>
          <t>Jessica Pegula</t>
        </is>
      </c>
      <c r="AQ1056" s="24" t="inlineStr">
        <is>
          <t>Jessica Pegula</t>
        </is>
      </c>
      <c r="AR1056" s="24" t="inlineStr">
        <is>
          <t>Jessica Pegula</t>
        </is>
      </c>
      <c r="AS1056" s="24" t="inlineStr">
        <is>
          <t>Aryna Sabalenka</t>
        </is>
      </c>
      <c r="AT1056" s="24" t="inlineStr">
        <is>
          <t>Aryna Sabalenka</t>
        </is>
      </c>
      <c r="AU1056" s="24" t="inlineStr">
        <is>
          <t>Aryna Sabalenka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shadow_qualified</t>
        </is>
      </c>
      <c r="BA1056" s="24" t="inlineStr">
        <is>
          <t>6c67e999d2a03612e30f4032c8e5e77e8becfbc79e05f4c8993e726b90d34d54</t>
        </is>
      </c>
      <c r="BB1056" s="24" t="inlineStr">
        <is>
          <t>surface_blended_elo</t>
        </is>
      </c>
      <c r="BC1056" s="24" t="inlineStr">
        <is>
          <t>tennis-surface-elo-v1</t>
        </is>
      </c>
      <c r="BD1056" s="24" t="inlineStr">
        <is>
          <t>6c67e999d2a03612e30f4032c8e5e77e8becfbc79e05f4c8993e726b90d34d54</t>
        </is>
      </c>
      <c r="BE1056" s="24" t="inlineStr">
        <is>
          <t>tennis-surface-elo-v1</t>
        </is>
      </c>
      <c r="BF1056" s="24" t="inlineStr">
        <is>
          <t>1</t>
        </is>
      </c>
      <c r="BG1056" s="24" t="inlineStr">
        <is>
          <t>6c67e999d2a03612e30f4032c8e5e77e8becfbc79e05f4c8993e726b90d34d54</t>
        </is>
      </c>
      <c r="BH1056" s="24" t="inlineStr">
        <is>
          <t>2026-09-10T22:03:47.676008Z</t>
        </is>
      </c>
      <c r="BI1056" s="24" t="inlineStr">
        <is>
          <t>["same_event","same_team_same_day","same_league_same_day"]</t>
        </is>
      </c>
      <c r="BJ1056" s="25" t="n"/>
      <c r="BK1056" s="26" t="n">
        <v>-186</v>
      </c>
      <c r="BL1056" s="27" t="n">
        <v>1.537634</v>
      </c>
      <c r="BM1056" s="28" t="n">
        <v>0.65035</v>
      </c>
      <c r="BN1056" s="28" t="n"/>
      <c r="BO1056" s="28" t="n"/>
      <c r="BP1056" s="25" t="n"/>
      <c r="BQ1056" s="27" t="n">
        <v>1.537634</v>
      </c>
      <c r="BR1056" s="28" t="n">
        <v>0.65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n"/>
      <c r="CU1056" s="24" t="n"/>
      <c r="CV1056" s="24" t="n"/>
      <c r="CW1056" s="24" t="n"/>
      <c r="CX1056" s="24" t="n"/>
      <c r="CY1056" s="24" t="n"/>
      <c r="CZ1056" s="24" t="n"/>
      <c r="DA1056" s="24" t="n"/>
      <c r="DB1056" s="24" t="n"/>
      <c r="DC1056" s="24" t="n"/>
      <c r="DD1056" s="24" t="inlineStr">
        <is>
          <t>ddaf952abfea6cd12d81f5060c856f98d1dac965c54a3224c647104834c6f1a3</t>
        </is>
      </c>
      <c r="DE1056" s="24" t="inlineStr">
        <is>
          <t>/Users/vincentc9002/model-prediction/data/odds/tennis/2026-09-10/polymarket_snapshots.jsonl</t>
        </is>
      </c>
      <c r="DF1056" s="24" t="inlineStr">
        <is>
          <t>746193:2026-09-10T22:03:47.676008Z</t>
        </is>
      </c>
      <c r="DG1056" s="24" t="n"/>
      <c r="DH1056" s="24" t="n"/>
      <c r="DI1056" s="24" t="n"/>
      <c r="DJ1056" s="24" t="inlineStr">
        <is>
          <t>0.65035</t>
        </is>
      </c>
      <c r="DK1056" s="24" t="n"/>
      <c r="DL1056" s="24" t="n"/>
      <c r="DM1056" s="24" t="n"/>
      <c r="DN1056" s="24" t="n"/>
      <c r="DO1056" s="24" t="n"/>
      <c r="DP1056" s="24" t="n"/>
      <c r="DQ1056" s="24" t="inlineStr">
        <is>
          <t>{"artifact_hash": "6c67e999d2a03612e30f4032c8e5e77e8becfbc79e05f4c8993e726b90d34d54", "away_team": "Jessica Pegula", "event_id": "189-2026:182553", "event_start_utc": "2026-09-10T23:00Z", "features": {"elo_p1_surface": 2021.7, "elo_p2_surface": 2058.9, "expected_games_p1": 11.57, "expected_games_p2": 12.93, "expected_total_games": 24.5, "history_matches": 15929, "min_player_matches": 182,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[2025.6391105912262, 2025.0644309970698], "players": ["Jessica Pegula", "Aryna Sabalenka"], "sport": "TENNIS", "surface": "Hard", "surface_counts": [149, 137], "surface_ratings": [2021.6719728201033, 2058.9047499949875]}, "market_type": "moneyline", "model_version": "tennis-surface-elo-v1", "observed_at_utc": "2026-09-10T22:04:00.628565+00:00", "probabilities": {"away": 0.4592, "home": 0.5408}, "replay_scope": "Exact full-precision serving state and rounding; upstream historical observation times are not certified.", "schema": "coded-moneyline-replay-v1", "snapshot_hash": "dd7fb9c210a147f668f949741b3632348b356357291fa00e949a4904b1cf3f73", "sport": "TENNIS"}</t>
        </is>
      </c>
    </row>
    <row r="1057" ht="36" customHeight="1">
      <c r="A1057" s="24" t="inlineStr">
        <is>
          <t>b0742759082d485d</t>
        </is>
      </c>
      <c r="B1057" s="24" t="inlineStr">
        <is>
          <t>2026-09-10T22:04:01.715036Z</t>
        </is>
      </c>
      <c r="C1057" s="24" t="inlineStr">
        <is>
          <t>2026-09-11T00:30Z</t>
        </is>
      </c>
      <c r="D1057" s="24" t="inlineStr">
        <is>
          <t>189-2026:182551</t>
        </is>
      </c>
      <c r="E1057" s="24" t="inlineStr">
        <is>
          <t>TENNIS</t>
        </is>
      </c>
      <c r="F1057" s="24" t="inlineStr">
        <is>
          <t>Elena Rybakina</t>
        </is>
      </c>
      <c r="G1057" s="24" t="inlineStr">
        <is>
          <t>Coco Gauff</t>
        </is>
      </c>
      <c r="H1057" s="24" t="inlineStr">
        <is>
          <t>moneyline</t>
        </is>
      </c>
      <c r="I1057" s="24" t="inlineStr">
        <is>
          <t>away</t>
        </is>
      </c>
      <c r="J1057" s="25" t="n"/>
      <c r="K1057" s="24" t="inlineStr">
        <is>
          <t>polymarket_us</t>
        </is>
      </c>
      <c r="L1057" s="26" t="n">
        <v>-108</v>
      </c>
      <c r="M1057" s="27" t="n">
        <v>1.925926</v>
      </c>
      <c r="N1057" s="28" t="n">
        <v>0.519231</v>
      </c>
      <c r="O1057" s="28" t="n">
        <v>0.5779</v>
      </c>
      <c r="P1057" s="28" t="n">
        <v>0.05</v>
      </c>
      <c r="Q1057" s="28" t="n">
        <v>0.058669</v>
      </c>
      <c r="R1057" s="26" t="n">
        <v>49</v>
      </c>
      <c r="S1057" s="29" t="n">
        <v>1</v>
      </c>
      <c r="T1057" s="24" t="inlineStr">
        <is>
          <t>tennis-surface-elo-v1</t>
        </is>
      </c>
      <c r="U1057" s="24" t="inlineStr">
        <is>
          <t>settled</t>
        </is>
      </c>
      <c r="V1057" s="24" t="inlineStr">
        <is>
          <t>win</t>
        </is>
      </c>
      <c r="W1057" s="26" t="n">
        <v>1</v>
      </c>
      <c r="X1057" s="26" t="n">
        <v>0</v>
      </c>
      <c r="Y1057" s="25" t="n"/>
      <c r="Z1057" s="26" t="n">
        <v>-108</v>
      </c>
      <c r="AA1057" s="28" t="n">
        <v>0.52</v>
      </c>
      <c r="AB1057" s="28" t="n">
        <v>0.000769</v>
      </c>
      <c r="AC1057" s="30" t="n">
        <v>0.9258999999999999</v>
      </c>
      <c r="AD1057" s="24" t="inlineStr">
        <is>
          <t>2026-09-11T04:30:31.332600Z</t>
        </is>
      </c>
      <c r="AE1057" s="31" t="inlineStr">
        <is>
          <t>Surface-blended Elo on Hard: Elena Rybakina p=0.578 vs Coco Gauff. Executable ask 0.5200 (aec-wta-cocgau-eleryb-2026-09-10).</t>
        </is>
      </c>
      <c r="AF1057" s="31" t="inlineStr">
        <is>
          <t>Surface-blended Elo model; singles only, WTA+ATP market coverage, not yet locked-holdout qualified -- promoted by explicit operator directive, not genuine walk-forward validation.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model_qualified</t>
        </is>
      </c>
      <c r="AL1057" s="26" t="n">
        <v>4</v>
      </c>
      <c r="AM1057" s="24" t="inlineStr">
        <is>
          <t>QUALIFIED_SHADOW_CALL</t>
        </is>
      </c>
      <c r="AN1057" s="24" t="inlineStr">
        <is>
          <t>CALL</t>
        </is>
      </c>
      <c r="AO1057" s="24" t="inlineStr">
        <is>
          <t>QUALIFIED</t>
        </is>
      </c>
      <c r="AP1057" s="24" t="inlineStr">
        <is>
          <t>Elena Rybakina</t>
        </is>
      </c>
      <c r="AQ1057" s="24" t="inlineStr">
        <is>
          <t>Elena Rybakina</t>
        </is>
      </c>
      <c r="AR1057" s="24" t="inlineStr">
        <is>
          <t>Elena Rybakina</t>
        </is>
      </c>
      <c r="AS1057" s="24" t="inlineStr">
        <is>
          <t>Coco Gauff</t>
        </is>
      </c>
      <c r="AT1057" s="24" t="inlineStr">
        <is>
          <t>Coco Gauff</t>
        </is>
      </c>
      <c r="AU1057" s="24" t="inlineStr">
        <is>
          <t>Coco Gauff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shadow_qualified</t>
        </is>
      </c>
      <c r="BA1057" s="24" t="inlineStr">
        <is>
          <t>6c67e999d2a03612e30f4032c8e5e77e8becfbc79e05f4c8993e726b90d34d54</t>
        </is>
      </c>
      <c r="BB1057" s="24" t="inlineStr">
        <is>
          <t>surface_blended_elo</t>
        </is>
      </c>
      <c r="BC1057" s="24" t="inlineStr">
        <is>
          <t>tennis-surface-elo-v1</t>
        </is>
      </c>
      <c r="BD1057" s="24" t="inlineStr">
        <is>
          <t>6c67e999d2a03612e30f4032c8e5e77e8becfbc79e05f4c8993e726b90d34d54</t>
        </is>
      </c>
      <c r="BE1057" s="24" t="inlineStr">
        <is>
          <t>tennis-surface-elo-v1</t>
        </is>
      </c>
      <c r="BF1057" s="24" t="inlineStr">
        <is>
          <t>1</t>
        </is>
      </c>
      <c r="BG1057" s="24" t="inlineStr">
        <is>
          <t>6c67e999d2a03612e30f4032c8e5e77e8becfbc79e05f4c8993e726b90d34d54</t>
        </is>
      </c>
      <c r="BH1057" s="24" t="inlineStr">
        <is>
          <t>2026-09-10T22:03:47.800089Z</t>
        </is>
      </c>
      <c r="BI1057" s="24" t="inlineStr">
        <is>
          <t>["same_event","same_team_same_day","same_league_same_day"]</t>
        </is>
      </c>
      <c r="BJ1057" s="25" t="n"/>
      <c r="BK1057" s="26" t="n">
        <v>-108</v>
      </c>
      <c r="BL1057" s="27" t="n">
        <v>1.925926</v>
      </c>
      <c r="BM1057" s="28" t="n">
        <v>0.519231</v>
      </c>
      <c r="BN1057" s="28" t="n"/>
      <c r="BO1057" s="28" t="n"/>
      <c r="BP1057" s="25" t="n"/>
      <c r="BQ1057" s="27" t="n">
        <v>1.925926</v>
      </c>
      <c r="BR1057" s="28" t="n">
        <v>0.52</v>
      </c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n"/>
      <c r="CU1057" s="24" t="n"/>
      <c r="CV1057" s="24" t="n"/>
      <c r="CW1057" s="24" t="n"/>
      <c r="CX1057" s="24" t="n"/>
      <c r="CY1057" s="24" t="n"/>
      <c r="CZ1057" s="24" t="n"/>
      <c r="DA1057" s="24" t="n"/>
      <c r="DB1057" s="24" t="n"/>
      <c r="DC1057" s="24" t="n"/>
      <c r="DD1057" s="24" t="inlineStr">
        <is>
          <t>bbb82d53e939435ba7171c2294465993083c4950164d3cf9fe56137b8403014c</t>
        </is>
      </c>
      <c r="DE1057" s="24" t="inlineStr">
        <is>
          <t>/Users/vincentc9002/model-prediction/data/odds/tennis/2026-09-10/polymarket_snapshots.jsonl</t>
        </is>
      </c>
      <c r="DF1057" s="24" t="inlineStr">
        <is>
          <t>776067:2026-09-10T22:03:47.800089Z</t>
        </is>
      </c>
      <c r="DG1057" s="24" t="n"/>
      <c r="DH1057" s="24" t="n"/>
      <c r="DI1057" s="24" t="n"/>
      <c r="DJ1057" s="24" t="inlineStr">
        <is>
          <t>0.519231</t>
        </is>
      </c>
      <c r="DK1057" s="24" t="n"/>
      <c r="DL1057" s="24" t="n"/>
      <c r="DM1057" s="24" t="n"/>
      <c r="DN1057" s="24" t="n"/>
      <c r="DO1057" s="24" t="n"/>
      <c r="DP1057" s="24" t="n"/>
      <c r="DQ1057" s="24" t="inlineStr">
        <is>
          <t>{"artifact_hash": "6c67e999d2a03612e30f4032c8e5e77e8becfbc79e05f4c8993e726b90d34d54", "away_team": "Elena Rybakina", "event_id": "189-2026:182551", "event_start_utc": "2026-09-11T00:30Z", "features": {"elo_p1_surface": 2043.4, "elo_p2_surface": 1967.2, "expected_games_p1": 13.45, "expected_games_p2": 9.86, "expected_total_games": 23.31, "history_matches": 15929, "min_player_matches": 185,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[2013.1032683809258, 2027.850770509601], "players": ["Elena Rybakina", "Coco Gauff"], "sport": "TENNIS", "surface": "Hard", "surface_counts": [141, 124], "surface_ratings": [2043.4156286210805, 1967.1852369565322]}, "market_type": "moneyline", "model_version": "tennis-surface-elo-v1", "observed_at_utc": "2026-09-10T22:04:00.628565+00:00", "probabilities": {"away": 0.5779, "home": 0.4221}, "replay_scope": "Exact full-precision serving state and rounding; upstream historical observation times are not certified.", "schema": "coded-moneyline-replay-v1", "snapshot_hash": "26b7ed7528b2f08e58b16e115d0c19a3f2a9d27646543d9eb4d3b74b3f093422", "sport": "TENNIS"}</t>
        </is>
      </c>
    </row>
    <row r="1058" ht="36" customHeight="1">
      <c r="A1058" s="24" t="inlineStr">
        <is>
          <t>2bc82bc342ed4af2</t>
        </is>
      </c>
      <c r="B1058" s="24" t="inlineStr">
        <is>
          <t>2026-09-10T22:04:01.715036Z</t>
        </is>
      </c>
      <c r="C1058" s="24" t="inlineStr">
        <is>
          <t>2026-09-10T23:30Z</t>
        </is>
      </c>
      <c r="D1058" s="24" t="inlineStr">
        <is>
          <t>964-2026:183643</t>
        </is>
      </c>
      <c r="E1058" s="24" t="inlineStr">
        <is>
          <t>TENNIS</t>
        </is>
      </c>
      <c r="F1058" s="24" t="inlineStr">
        <is>
          <t>Anna Blinkova</t>
        </is>
      </c>
      <c r="G1058" s="24" t="inlineStr">
        <is>
          <t>Julia Riera</t>
        </is>
      </c>
      <c r="H1058" s="24" t="inlineStr">
        <is>
          <t>moneyline</t>
        </is>
      </c>
      <c r="I1058" s="24" t="inlineStr">
        <is>
          <t>away</t>
        </is>
      </c>
      <c r="J1058" s="25" t="n"/>
      <c r="K1058" s="24" t="inlineStr">
        <is>
          <t>polymarket_us</t>
        </is>
      </c>
      <c r="L1058" s="26" t="n">
        <v>-203</v>
      </c>
      <c r="M1058" s="27" t="n">
        <v>1.492611</v>
      </c>
      <c r="N1058" s="28" t="n">
        <v>0.669967</v>
      </c>
      <c r="O1058" s="28" t="n">
        <v>0.5753</v>
      </c>
      <c r="P1058" s="28" t="n">
        <v>0.05</v>
      </c>
      <c r="Q1058" s="28" t="n">
        <v>-0.094667</v>
      </c>
      <c r="R1058" s="26" t="n">
        <v>0</v>
      </c>
      <c r="S1058" s="29" t="n">
        <v>1</v>
      </c>
      <c r="T1058" s="24" t="inlineStr">
        <is>
          <t>tennis-surface-elo-v1</t>
        </is>
      </c>
      <c r="U1058" s="24" t="inlineStr">
        <is>
          <t>settled</t>
        </is>
      </c>
      <c r="V1058" s="24" t="inlineStr">
        <is>
          <t>win</t>
        </is>
      </c>
      <c r="W1058" s="26" t="n">
        <v>1</v>
      </c>
      <c r="X1058" s="26" t="n">
        <v>0</v>
      </c>
      <c r="Y1058" s="25" t="n"/>
      <c r="Z1058" s="26" t="n">
        <v>-203</v>
      </c>
      <c r="AA1058" s="28" t="n">
        <v>0.67</v>
      </c>
      <c r="AB1058" s="28" t="n">
        <v>3.3e-05</v>
      </c>
      <c r="AC1058" s="30" t="n">
        <v>0.4926</v>
      </c>
      <c r="AD1058" s="24" t="inlineStr">
        <is>
          <t>2026-09-11T04:30:31.745947Z</t>
        </is>
      </c>
      <c r="AE1058" s="31" t="inlineStr">
        <is>
          <t>Surface-blended Elo on Hard: Anna Blinkova p=0.575 vs Julia Riera. Executable ask 0.6700 (aec-wta-julrie-annbli-2026-09-11).</t>
        </is>
      </c>
      <c r="AF1058" s="31" t="inlineStr">
        <is>
          <t>Surface-blended Elo model; singles only, WTA+ATP market coverage, not yet locked-holdout qualified -- promoted by explicit operator directive, not genuine walk-forward validation.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paper_call</t>
        </is>
      </c>
      <c r="AL1058" s="26" t="n">
        <v>4</v>
      </c>
      <c r="AM1058" s="24" t="inlineStr">
        <is>
          <t>RESEARCH_OBSERVATION</t>
        </is>
      </c>
      <c r="AN1058" s="24" t="inlineStr">
        <is>
          <t>CALL</t>
        </is>
      </c>
      <c r="AO1058" s="24" t="inlineStr">
        <is>
          <t>PAPER_CALL_LOW_EDGE</t>
        </is>
      </c>
      <c r="AP1058" s="24" t="inlineStr">
        <is>
          <t>Anna Blinkova</t>
        </is>
      </c>
      <c r="AQ1058" s="24" t="inlineStr">
        <is>
          <t>Anna Blinkova</t>
        </is>
      </c>
      <c r="AR1058" s="24" t="inlineStr">
        <is>
          <t>Anna Blinkova</t>
        </is>
      </c>
      <c r="AS1058" s="24" t="inlineStr">
        <is>
          <t>Julia Riera</t>
        </is>
      </c>
      <c r="AT1058" s="24" t="inlineStr">
        <is>
          <t>Julia Riera</t>
        </is>
      </c>
      <c r="AU1058" s="24" t="inlineStr">
        <is>
          <t>Julia Riera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shadow_qualified</t>
        </is>
      </c>
      <c r="BA1058" s="24" t="inlineStr">
        <is>
          <t>6c67e999d2a03612e30f4032c8e5e77e8becfbc79e05f4c8993e726b90d34d54</t>
        </is>
      </c>
      <c r="BB1058" s="24" t="inlineStr">
        <is>
          <t>surface_blended_elo</t>
        </is>
      </c>
      <c r="BC1058" s="24" t="inlineStr">
        <is>
          <t>tennis-surface-elo-v1</t>
        </is>
      </c>
      <c r="BD1058" s="24" t="inlineStr">
        <is>
          <t>6c67e999d2a03612e30f4032c8e5e77e8becfbc79e05f4c8993e726b90d34d54</t>
        </is>
      </c>
      <c r="BE1058" s="24" t="inlineStr">
        <is>
          <t>tennis-surface-elo-v1</t>
        </is>
      </c>
      <c r="BF1058" s="24" t="inlineStr">
        <is>
          <t>1</t>
        </is>
      </c>
      <c r="BG1058" s="24" t="inlineStr">
        <is>
          <t>6c67e999d2a03612e30f4032c8e5e77e8becfbc79e05f4c8993e726b90d34d54</t>
        </is>
      </c>
      <c r="BH1058" s="24" t="inlineStr">
        <is>
          <t>2026-09-10T22:03:47.840367Z</t>
        </is>
      </c>
      <c r="BI1058" s="24" t="inlineStr">
        <is>
          <t>["same_event","same_team_same_day","same_league_same_day"]</t>
        </is>
      </c>
      <c r="BJ1058" s="25" t="n"/>
      <c r="BK1058" s="26" t="n">
        <v>-203</v>
      </c>
      <c r="BL1058" s="27" t="n">
        <v>1.492611</v>
      </c>
      <c r="BM1058" s="28" t="n">
        <v>0.669967</v>
      </c>
      <c r="BN1058" s="28" t="n"/>
      <c r="BO1058" s="28" t="n"/>
      <c r="BP1058" s="25" t="n"/>
      <c r="BQ1058" s="27" t="n">
        <v>1.492611</v>
      </c>
      <c r="BR1058" s="28" t="n">
        <v>0.67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False</t>
        </is>
      </c>
      <c r="CT1058" s="24" t="n"/>
      <c r="CU1058" s="24" t="n"/>
      <c r="CV1058" s="24" t="n"/>
      <c r="CW1058" s="24" t="n"/>
      <c r="CX1058" s="24" t="n"/>
      <c r="CY1058" s="24" t="n"/>
      <c r="CZ1058" s="24" t="n"/>
      <c r="DA1058" s="24" t="n"/>
      <c r="DB1058" s="24" t="n"/>
      <c r="DC1058" s="24" t="n"/>
      <c r="DD1058" s="24" t="inlineStr">
        <is>
          <t>fa5b2b3bbbbe10faea1846455e7202f54096867cfc5aba76465fa58b7f64e01d</t>
        </is>
      </c>
      <c r="DE1058" s="24" t="inlineStr">
        <is>
          <t>/Users/vincentc9002/model-prediction/data/odds/tennis/2026-09-10/polymarket_snapshots.jsonl</t>
        </is>
      </c>
      <c r="DF1058" s="24" t="inlineStr">
        <is>
          <t>778621:2026-09-10T22:03:47.840367Z</t>
        </is>
      </c>
      <c r="DG1058" s="24" t="n"/>
      <c r="DH1058" s="24" t="n"/>
      <c r="DI1058" s="24" t="n"/>
      <c r="DJ1058" s="24" t="inlineStr">
        <is>
          <t>0.669967</t>
        </is>
      </c>
      <c r="DK1058" s="24" t="n"/>
      <c r="DL1058" s="24" t="n"/>
      <c r="DM1058" s="24" t="n"/>
      <c r="DN1058" s="24" t="n"/>
      <c r="DO1058" s="24" t="n"/>
      <c r="DP1058" s="24" t="n"/>
      <c r="DQ1058" s="24" t="inlineStr">
        <is>
          <t>{"artifact_hash": "6c67e999d2a03612e30f4032c8e5e77e8becfbc79e05f4c8993e726b90d34d54", "away_team": "Anna Blinkova", "event_id": "964-2026:183643", "event_start_utc": "2026-09-10T23:30Z", "features": {"elo_p1_surface": 1585.4, "elo_p2_surface": 1528.4, "expected_games_p1": 13.37, "expected_games_p2": 10.53, "expected_total_games": 23.9, "history_matches": 15929, "min_player_matches": 97, "surface": "Hard"}, "historical_source_observation_times_verified": false, "home_team": "Julia Riera", "inference_inputs": {"code_sha256": {"features/elo_ratings.py": "8525faf022a6343c452286dbfeb17dbb043744c6bdabbe448b6b371216da439b", "models/tennis.py": "6c67e999d2a03612e30f4032c8e5e77e8becfbc79e05f4c8993e726b90d34d54"}, "overall_ratings": [1592.768370064525, 1549.5793005522032], "players": ["Anna Blinkova", "Julia Riera"], "sport": "TENNIS", "surface": "Hard", "surface_counts": [125, 78], "surface_ratings": [1585.399557786971, 1528.403152682584]}, "market_type": "moneyline", "model_version": "tennis-surface-elo-v1", "observed_at_utc": "2026-09-10T22:04:00.628565+00:00", "probabilities": {"away": 0.5753, "home": 0.4247}, "replay_scope": "Exact full-precision serving state and rounding; upstream historical observation times are not certified.", "schema": "coded-moneyline-replay-v1", "snapshot_hash": "17c9a1484c46d5e3cbb1439ba077da7b3c80dc9240bcd61e5196cedbb9c0b7e1", "sport": "TENNIS"}</t>
        </is>
      </c>
    </row>
    <row r="1059" ht="36" customHeight="1">
      <c r="A1059" s="24" t="inlineStr">
        <is>
          <t>f0a2c05c131b4bdc</t>
        </is>
      </c>
      <c r="B1059" s="24" t="inlineStr">
        <is>
          <t>2026-09-11T04:33:30.097079Z</t>
        </is>
      </c>
      <c r="C1059" s="24" t="inlineStr">
        <is>
          <t>2026-09-11T10:00Z</t>
        </is>
      </c>
      <c r="D1059" s="24" t="inlineStr">
        <is>
          <t>998-2026:183602</t>
        </is>
      </c>
      <c r="E1059" s="24" t="inlineStr">
        <is>
          <t>TENNIS</t>
        </is>
      </c>
      <c r="F1059" s="24" t="inlineStr">
        <is>
          <t>Noma Noha Akugue</t>
        </is>
      </c>
      <c r="G1059" s="24" t="inlineStr">
        <is>
          <t>Anastasiia Sobolieva</t>
        </is>
      </c>
      <c r="H1059" s="24" t="inlineStr">
        <is>
          <t>moneyline</t>
        </is>
      </c>
      <c r="I1059" s="24" t="inlineStr">
        <is>
          <t>away</t>
        </is>
      </c>
      <c r="J1059" s="25" t="n"/>
      <c r="K1059" s="24" t="inlineStr">
        <is>
          <t>polymarket_us</t>
        </is>
      </c>
      <c r="L1059" s="26" t="n">
        <v>138</v>
      </c>
      <c r="M1059" s="27" t="n">
        <v>2.38</v>
      </c>
      <c r="N1059" s="28" t="n">
        <v>0.420168</v>
      </c>
      <c r="O1059" s="28" t="n">
        <v>0.5619</v>
      </c>
      <c r="P1059" s="28" t="n">
        <v>0.05</v>
      </c>
      <c r="Q1059" s="28" t="n">
        <v>0.141732</v>
      </c>
      <c r="R1059" s="26" t="n">
        <v>91</v>
      </c>
      <c r="S1059" s="29" t="n">
        <v>1.5</v>
      </c>
      <c r="T1059" s="24" t="inlineStr">
        <is>
          <t>tennis-surface-elo-v1</t>
        </is>
      </c>
      <c r="U1059" s="24" t="inlineStr">
        <is>
          <t>settled</t>
        </is>
      </c>
      <c r="V1059" s="24" t="inlineStr">
        <is>
          <t>win</t>
        </is>
      </c>
      <c r="W1059" s="26" t="n">
        <v>1</v>
      </c>
      <c r="X1059" s="26" t="n">
        <v>0</v>
      </c>
      <c r="Y1059" s="25" t="n"/>
      <c r="Z1059" s="26" t="n">
        <v>138</v>
      </c>
      <c r="AA1059" s="28" t="n">
        <v>0.42</v>
      </c>
      <c r="AB1059" s="28" t="n">
        <v>-0.000168</v>
      </c>
      <c r="AC1059" s="30" t="n">
        <v>2.07</v>
      </c>
      <c r="AD1059" s="24" t="inlineStr">
        <is>
          <t>2026-09-11T16:00:22.943209Z</t>
        </is>
      </c>
      <c r="AE1059" s="31" t="inlineStr">
        <is>
          <t>Surface-blended Elo on Hard: Noma Noha Akugue p=0.562 vs Anastasiia Sobolieva. Executable ask 0.4200 (aec-wta-anasob-nomaku-2026-09-11).</t>
        </is>
      </c>
      <c r="AF1059" s="31" t="inlineStr">
        <is>
          <t>Surface-blended Elo model; singles only, WTA+ATP market coverage, not yet locked-holdout qualified -- promoted by explicit operator directive, not genuine walk-forward validation.</t>
        </is>
      </c>
      <c r="AG1059" s="24" t="inlineStr">
        <is>
          <t>not_applicable</t>
        </is>
      </c>
      <c r="AH1059" s="24" t="n"/>
      <c r="AI1059" s="31" t="n"/>
      <c r="AJ1059" s="31" t="n"/>
      <c r="AK1059" s="24" t="inlineStr">
        <is>
          <t>model_qualified</t>
        </is>
      </c>
      <c r="AL1059" s="26" t="n">
        <v>4</v>
      </c>
      <c r="AM1059" s="24" t="inlineStr">
        <is>
          <t>QUALIFIED_SHADOW_CALL</t>
        </is>
      </c>
      <c r="AN1059" s="24" t="inlineStr">
        <is>
          <t>CALL</t>
        </is>
      </c>
      <c r="AO1059" s="24" t="inlineStr">
        <is>
          <t>QUALIFIED</t>
        </is>
      </c>
      <c r="AP1059" s="24" t="inlineStr">
        <is>
          <t>Noma Noha Akugue</t>
        </is>
      </c>
      <c r="AQ1059" s="24" t="inlineStr">
        <is>
          <t>Noma Noha Akugue</t>
        </is>
      </c>
      <c r="AR1059" s="24" t="inlineStr">
        <is>
          <t>Noma Noha Akugue</t>
        </is>
      </c>
      <c r="AS1059" s="24" t="inlineStr">
        <is>
          <t>Anastasiia Sobolieva</t>
        </is>
      </c>
      <c r="AT1059" s="24" t="inlineStr">
        <is>
          <t>Anastasiia Sobolieva</t>
        </is>
      </c>
      <c r="AU1059" s="24" t="inlineStr">
        <is>
          <t>Anastasiia Sobolieva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shadow_qualified</t>
        </is>
      </c>
      <c r="BA1059" s="24" t="inlineStr">
        <is>
          <t>6c67e999d2a03612e30f4032c8e5e77e8becfbc79e05f4c8993e726b90d34d54</t>
        </is>
      </c>
      <c r="BB1059" s="24" t="inlineStr">
        <is>
          <t>surface_blended_elo</t>
        </is>
      </c>
      <c r="BC1059" s="24" t="inlineStr">
        <is>
          <t>tennis-surface-elo-v1</t>
        </is>
      </c>
      <c r="BD1059" s="24" t="inlineStr">
        <is>
          <t>6c67e999d2a03612e30f4032c8e5e77e8becfbc79e05f4c8993e726b90d34d54</t>
        </is>
      </c>
      <c r="BE1059" s="24" t="inlineStr">
        <is>
          <t>tennis-surface-elo-v1</t>
        </is>
      </c>
      <c r="BF1059" s="24" t="inlineStr">
        <is>
          <t>1</t>
        </is>
      </c>
      <c r="BG1059" s="24" t="inlineStr">
        <is>
          <t>6c67e999d2a03612e30f4032c8e5e77e8becfbc79e05f4c8993e726b90d34d54</t>
        </is>
      </c>
      <c r="BH1059" s="24" t="inlineStr">
        <is>
          <t>2026-09-11T04:32:47.251878Z</t>
        </is>
      </c>
      <c r="BI1059" s="24" t="inlineStr">
        <is>
          <t>["same_event","same_team_same_day","same_league_same_day"]</t>
        </is>
      </c>
      <c r="BJ1059" s="25" t="n"/>
      <c r="BK1059" s="26" t="n">
        <v>138</v>
      </c>
      <c r="BL1059" s="27" t="n">
        <v>2.38</v>
      </c>
      <c r="BM1059" s="28" t="n">
        <v>0.420168</v>
      </c>
      <c r="BN1059" s="28" t="n"/>
      <c r="BO1059" s="28" t="n"/>
      <c r="BP1059" s="25" t="n"/>
      <c r="BQ1059" s="27" t="n">
        <v>2.38</v>
      </c>
      <c r="BR1059" s="28" t="n">
        <v>0.42</v>
      </c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n"/>
      <c r="CU1059" s="24" t="n"/>
      <c r="CV1059" s="24" t="n"/>
      <c r="CW1059" s="24" t="n"/>
      <c r="CX1059" s="24" t="n"/>
      <c r="CY1059" s="24" t="n"/>
      <c r="CZ1059" s="24" t="n"/>
      <c r="DA1059" s="24" t="n"/>
      <c r="DB1059" s="24" t="n"/>
      <c r="DC1059" s="24" t="n"/>
      <c r="DD1059" s="24" t="inlineStr">
        <is>
          <t>3efe9110e079e3480fb70d51a8d1b052e5c3e11d05966d1b0c0d0ba3301b9efd</t>
        </is>
      </c>
      <c r="DE1059" s="24" t="inlineStr">
        <is>
          <t>/Users/vincentc9002/model-prediction/data/odds/tennis/2026-09-11/polymarket_snapshots.jsonl</t>
        </is>
      </c>
      <c r="DF1059" s="24" t="inlineStr">
        <is>
          <t>773342:2026-09-11T04:32:47.251878Z</t>
        </is>
      </c>
      <c r="DG1059" s="24" t="n"/>
      <c r="DH1059" s="24" t="n"/>
      <c r="DI1059" s="24" t="n"/>
      <c r="DJ1059" s="24" t="inlineStr">
        <is>
          <t>0.420168</t>
        </is>
      </c>
      <c r="DK1059" s="24" t="n"/>
      <c r="DL1059" s="24" t="n"/>
      <c r="DM1059" s="24" t="n"/>
      <c r="DN1059" s="24" t="n"/>
      <c r="DO1059" s="24" t="n"/>
      <c r="DP1059" s="24" t="n"/>
      <c r="DQ1059" s="24" t="inlineStr">
        <is>
          <t>{"artifact_hash": "6c67e999d2a03612e30f4032c8e5e77e8becfbc79e05f4c8993e726b90d34d54", "away_team": "Noma Noha Akugue", "event_id": "998-2026:183602", "event_start_utc": "2026-09-11T10:00Z", "features": {"elo_p1_surface": 1498.9, "elo_p2_surface": 1433.6, "expected_games_p1": 13.41, "expected_games_p2": 10.25, "expected_total_games": 23.66, "history_matches": 15943, "min_player_matches": 53, "surface": "Hard"}, "historical_source_observation_times_verified": false, "home_team": "Anastasiia Sobolieva", "inference_inputs": {"code_sha256": {"features/elo_ratings.py": "8525faf022a6343c452286dbfeb17dbb043744c6bdabbe448b6b371216da439b", "models/tennis.py": "6c67e999d2a03612e30f4032c8e5e77e8becfbc79e05f4c8993e726b90d34d54"}, "overall_ratings": [1504.1497329336, 1494.5789763187586], "players": ["Noma Noha Akugue", "Anastasiia Sobolieva"], "sport": "TENNIS", "surface": "Hard", "surface_counts": [58, 38], "surface_ratings": [1498.9233949628147, 1433.6048125862403]}, "market_type": "moneyline", "model_version": "tennis-surface-elo-v1", "observed_at_utc": "2026-09-11T04:33:29.348049+00:00", "probabilities": {"away": 0.5619, "home": 0.4381}, "replay_scope": "Exact full-precision serving state and rounding; upstream historical observation times are not certified.", "schema": "coded-moneyline-replay-v1", "snapshot_hash": "9dd11d7e41da42a0ebd99480523649fefe5105d275f7e48a8338c29ba5deb5b7", "sport": "TENNIS"}</t>
        </is>
      </c>
    </row>
    <row r="1060" ht="36" customHeight="1">
      <c r="A1060" s="24" t="inlineStr">
        <is>
          <t>67073c30daaf420d</t>
        </is>
      </c>
      <c r="B1060" s="24" t="inlineStr">
        <is>
          <t>2026-09-11T10:03:25.639391Z</t>
        </is>
      </c>
      <c r="C1060" s="24" t="inlineStr">
        <is>
          <t>2026-09-11T12:30Z</t>
        </is>
      </c>
      <c r="D1060" s="24" t="inlineStr">
        <is>
          <t>998-2026:183603</t>
        </is>
      </c>
      <c r="E1060" s="24" t="inlineStr">
        <is>
          <t>TENNIS</t>
        </is>
      </c>
      <c r="F1060" s="24" t="inlineStr">
        <is>
          <t>Lucie Havlickova</t>
        </is>
      </c>
      <c r="G1060" s="24" t="inlineStr">
        <is>
          <t>Fiona Ferro</t>
        </is>
      </c>
      <c r="H1060" s="24" t="inlineStr">
        <is>
          <t>moneyline</t>
        </is>
      </c>
      <c r="I1060" s="24" t="inlineStr">
        <is>
          <t>home</t>
        </is>
      </c>
      <c r="J1060" s="25" t="n"/>
      <c r="K1060" s="24" t="inlineStr">
        <is>
          <t>polymarket_us</t>
        </is>
      </c>
      <c r="L1060" s="26" t="n">
        <v>-203</v>
      </c>
      <c r="M1060" s="27" t="n">
        <v>1.492611</v>
      </c>
      <c r="N1060" s="28" t="n">
        <v>0.669967</v>
      </c>
      <c r="O1060" s="28" t="n">
        <v>0.5867</v>
      </c>
      <c r="P1060" s="28" t="n">
        <v>0.05</v>
      </c>
      <c r="Q1060" s="28" t="n">
        <v>-0.08326699999999999</v>
      </c>
      <c r="R1060" s="26" t="n">
        <v>0</v>
      </c>
      <c r="S1060" s="29" t="n">
        <v>1</v>
      </c>
      <c r="T1060" s="24" t="inlineStr">
        <is>
          <t>tennis-surface-elo-v1</t>
        </is>
      </c>
      <c r="U1060" s="24" t="inlineStr">
        <is>
          <t>settled</t>
        </is>
      </c>
      <c r="V1060" s="24" t="inlineStr">
        <is>
          <t>win</t>
        </is>
      </c>
      <c r="W1060" s="26" t="n">
        <v>0</v>
      </c>
      <c r="X1060" s="26" t="n">
        <v>1</v>
      </c>
      <c r="Y1060" s="25" t="n"/>
      <c r="Z1060" s="26" t="n">
        <v>-203</v>
      </c>
      <c r="AA1060" s="28" t="n">
        <v>0.67</v>
      </c>
      <c r="AB1060" s="28" t="n">
        <v>3.3e-05</v>
      </c>
      <c r="AC1060" s="30" t="n">
        <v>0.4926</v>
      </c>
      <c r="AD1060" s="24" t="inlineStr">
        <is>
          <t>2026-09-11T16:00:23.654518Z</t>
        </is>
      </c>
      <c r="AE1060" s="31" t="inlineStr">
        <is>
          <t>Surface-blended Elo on Hard: Lucie Havlickova p=0.413 vs Fiona Ferro. Executable ask 0.6700 (aec-wta-fiofer-luchav-2026-09-11).</t>
        </is>
      </c>
      <c r="AF1060" s="31" t="inlineStr">
        <is>
          <t>Surface-blended Elo model; singles only, WTA+ATP market coverage, not yet locked-holdout qualified -- promoted by explicit operator directive, not genuine walk-forward validation.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paper_call</t>
        </is>
      </c>
      <c r="AL1060" s="26" t="n">
        <v>4</v>
      </c>
      <c r="AM1060" s="24" t="inlineStr">
        <is>
          <t>RESEARCH_OBSERVATION</t>
        </is>
      </c>
      <c r="AN1060" s="24" t="inlineStr">
        <is>
          <t>CALL</t>
        </is>
      </c>
      <c r="AO1060" s="24" t="inlineStr">
        <is>
          <t>PAPER_CALL_LOW_EDGE</t>
        </is>
      </c>
      <c r="AP1060" s="24" t="inlineStr">
        <is>
          <t>Lucie Havlickova</t>
        </is>
      </c>
      <c r="AQ1060" s="24" t="inlineStr">
        <is>
          <t>Lucie Havlickova</t>
        </is>
      </c>
      <c r="AR1060" s="24" t="inlineStr">
        <is>
          <t>Lucie Havlickova</t>
        </is>
      </c>
      <c r="AS1060" s="24" t="inlineStr">
        <is>
          <t>Fiona Ferro</t>
        </is>
      </c>
      <c r="AT1060" s="24" t="inlineStr">
        <is>
          <t>Fiona Ferro</t>
        </is>
      </c>
      <c r="AU1060" s="24" t="inlineStr">
        <is>
          <t>Fiona Ferro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shadow_qualified</t>
        </is>
      </c>
      <c r="BA1060" s="24" t="inlineStr">
        <is>
          <t>6c67e999d2a03612e30f4032c8e5e77e8becfbc79e05f4c8993e726b90d34d54</t>
        </is>
      </c>
      <c r="BB1060" s="24" t="inlineStr">
        <is>
          <t>surface_blended_elo</t>
        </is>
      </c>
      <c r="BC1060" s="24" t="inlineStr">
        <is>
          <t>tennis-surface-elo-v1</t>
        </is>
      </c>
      <c r="BD1060" s="24" t="inlineStr">
        <is>
          <t>6c67e999d2a03612e30f4032c8e5e77e8becfbc79e05f4c8993e726b90d34d54</t>
        </is>
      </c>
      <c r="BE1060" s="24" t="inlineStr">
        <is>
          <t>tennis-surface-elo-v1</t>
        </is>
      </c>
      <c r="BF1060" s="24" t="inlineStr">
        <is>
          <t>1</t>
        </is>
      </c>
      <c r="BG1060" s="24" t="inlineStr">
        <is>
          <t>6c67e999d2a03612e30f4032c8e5e77e8becfbc79e05f4c8993e726b90d34d54</t>
        </is>
      </c>
      <c r="BH1060" s="24" t="inlineStr">
        <is>
          <t>2026-09-11T04:32:49.123977Z</t>
        </is>
      </c>
      <c r="BI1060" s="24" t="inlineStr">
        <is>
          <t>["same_event","same_team_same_day","same_league_same_day"]</t>
        </is>
      </c>
      <c r="BJ1060" s="25" t="n"/>
      <c r="BK1060" s="26" t="n">
        <v>-203</v>
      </c>
      <c r="BL1060" s="27" t="n">
        <v>1.492611</v>
      </c>
      <c r="BM1060" s="28" t="n">
        <v>0.669967</v>
      </c>
      <c r="BN1060" s="28" t="n"/>
      <c r="BO1060" s="28" t="n"/>
      <c r="BP1060" s="25" t="n"/>
      <c r="BQ1060" s="27" t="n">
        <v>1.492611</v>
      </c>
      <c r="BR1060" s="28" t="n">
        <v>0.67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False</t>
        </is>
      </c>
      <c r="CT1060" s="24" t="n"/>
      <c r="CU1060" s="24" t="n"/>
      <c r="CV1060" s="24" t="n"/>
      <c r="CW1060" s="24" t="n"/>
      <c r="CX1060" s="24" t="n"/>
      <c r="CY1060" s="24" t="n"/>
      <c r="CZ1060" s="24" t="n"/>
      <c r="DA1060" s="24" t="n"/>
      <c r="DB1060" s="24" t="n"/>
      <c r="DC1060" s="24" t="n"/>
      <c r="DD1060" s="24" t="inlineStr">
        <is>
          <t>666779079f06c789313e7727bb50d191faa30eeb58cfc51646794bda687e71d2</t>
        </is>
      </c>
      <c r="DE1060" s="24" t="inlineStr">
        <is>
          <t>/Users/vincentc9002/model-prediction/data/odds/tennis/2026-09-11/polymarket_snapshots.jsonl</t>
        </is>
      </c>
      <c r="DF1060" s="24" t="inlineStr">
        <is>
          <t>780725:2026-09-11T04:32:49.123977Z</t>
        </is>
      </c>
      <c r="DG1060" s="24" t="n"/>
      <c r="DH1060" s="24" t="n"/>
      <c r="DI1060" s="24" t="n"/>
      <c r="DJ1060" s="24" t="inlineStr">
        <is>
          <t>0.669967</t>
        </is>
      </c>
      <c r="DK1060" s="24" t="n"/>
      <c r="DL1060" s="24" t="n"/>
      <c r="DM1060" s="24" t="n"/>
      <c r="DN1060" s="24" t="n"/>
      <c r="DO1060" s="24" t="n"/>
      <c r="DP1060" s="24" t="n"/>
      <c r="DQ1060" s="24" t="inlineStr">
        <is>
          <t>{"artifact_hash": "6c67e999d2a03612e30f4032c8e5e77e8becfbc79e05f4c8993e726b90d34d54", "away_team": "Lucie Havlickova", "event_id": "998-2026:183603", "event_start_utc": "2026-09-11T12:30Z", "features": {"elo_p1_surface": 1566.9, "elo_p2_surface": 1629.9, "expected_games_p1": 10.75, "expected_games_p2": 13.19, "expected_total_games": 23.94, "history_matches": 15943, "min_player_matches": 19,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[1550.8060016776801, 1593.7847326078888], "players": ["Lucie Havlickova", "Fiona Ferro"], "sport": "TENNIS", "surface": "Hard", "surface_counts": [17, 68], "surface_ratings": [1566.9235222663192, 1629.9010816349978]}, "market_type": "moneyline", "model_version": "tennis-surface-elo-v1", "observed_at_utc": "2026-09-11T10:03:24.594878+00:00", "probabilities": {"away": 0.4133, "home": 0.5867}, "replay_scope": "Exact full-precision serving state and rounding; upstream historical observation times are not certified.", "schema": "coded-moneyline-replay-v1", "snapshot_hash": "438b7b25e6e59dbca5cb2986cfa0d197e3cc3e43b0d4f648aaa1d7c67bd4fd21", "sport": "TENNIS"}</t>
        </is>
      </c>
    </row>
    <row r="1061" ht="36" customHeight="1">
      <c r="A1061" s="24" t="inlineStr">
        <is>
          <t>1dbb0207504b42ff</t>
        </is>
      </c>
      <c r="B1061" s="24" t="inlineStr">
        <is>
          <t>2026-09-11T10:03:25.639391Z</t>
        </is>
      </c>
      <c r="C1061" s="24" t="inlineStr">
        <is>
          <t>2026-09-11T16:00Z</t>
        </is>
      </c>
      <c r="D1061" s="24" t="inlineStr">
        <is>
          <t>998-2026:183600</t>
        </is>
      </c>
      <c r="E1061" s="24" t="inlineStr">
        <is>
          <t>TENNIS</t>
        </is>
      </c>
      <c r="F1061" s="24" t="inlineStr">
        <is>
          <t>Dalma Galfi</t>
        </is>
      </c>
      <c r="G1061" s="24" t="inlineStr">
        <is>
          <t>Simona Waltert</t>
        </is>
      </c>
      <c r="H1061" s="24" t="inlineStr">
        <is>
          <t>moneyline</t>
        </is>
      </c>
      <c r="I1061" s="24" t="inlineStr">
        <is>
          <t>home</t>
        </is>
      </c>
      <c r="J1061" s="25" t="n"/>
      <c r="K1061" s="24" t="inlineStr">
        <is>
          <t>polymarket_us</t>
        </is>
      </c>
      <c r="L1061" s="26" t="n">
        <v>-156</v>
      </c>
      <c r="M1061" s="27" t="n">
        <v>1.641026</v>
      </c>
      <c r="N1061" s="28" t="n">
        <v>0.609375</v>
      </c>
      <c r="O1061" s="28" t="n">
        <v>0.6112</v>
      </c>
      <c r="P1061" s="28" t="n">
        <v>0.05</v>
      </c>
      <c r="Q1061" s="28" t="n">
        <v>0.001825</v>
      </c>
      <c r="R1061" s="26" t="n">
        <v>21</v>
      </c>
      <c r="S1061" s="29" t="n">
        <v>1</v>
      </c>
      <c r="T1061" s="24" t="inlineStr">
        <is>
          <t>tennis-surface-elo-v1</t>
        </is>
      </c>
      <c r="U1061" s="24" t="inlineStr">
        <is>
          <t>settled</t>
        </is>
      </c>
      <c r="V1061" s="24" t="inlineStr">
        <is>
          <t>loss</t>
        </is>
      </c>
      <c r="W1061" s="26" t="n">
        <v>1</v>
      </c>
      <c r="X1061" s="26" t="n">
        <v>0</v>
      </c>
      <c r="Y1061" s="25" t="n"/>
      <c r="Z1061" s="26" t="n">
        <v>-156</v>
      </c>
      <c r="AA1061" s="28" t="n">
        <v>0.61</v>
      </c>
      <c r="AB1061" s="28" t="n">
        <v>0.000625</v>
      </c>
      <c r="AC1061" s="30" t="n">
        <v>-1</v>
      </c>
      <c r="AD1061" s="24" t="inlineStr">
        <is>
          <t>2026-09-11T22:00:24.406096Z</t>
        </is>
      </c>
      <c r="AE1061" s="31" t="inlineStr">
        <is>
          <t>Surface-blended Elo on Hard: Dalma Galfi p=0.389 vs Simona Waltert. Executable ask 0.6100 (aec-wta-simwal-dalgal-2026-09-11).</t>
        </is>
      </c>
      <c r="AF1061" s="31" t="inlineStr">
        <is>
          <t>Surface-blended Elo model; singles only, WTA+ATP market coverage, not yet locked-holdout qualified -- promoted by explicit operator directive, not genuine walk-forward validation.</t>
        </is>
      </c>
      <c r="AG1061" s="24" t="inlineStr">
        <is>
          <t>review_required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PAPER_CALL_LOW_EDGE</t>
        </is>
      </c>
      <c r="AP1061" s="24" t="inlineStr">
        <is>
          <t>Dalma Galfi</t>
        </is>
      </c>
      <c r="AQ1061" s="24" t="inlineStr">
        <is>
          <t>Dalma Galfi</t>
        </is>
      </c>
      <c r="AR1061" s="24" t="inlineStr">
        <is>
          <t>Dalma Galfi</t>
        </is>
      </c>
      <c r="AS1061" s="24" t="inlineStr">
        <is>
          <t>Simona Waltert</t>
        </is>
      </c>
      <c r="AT1061" s="24" t="inlineStr">
        <is>
          <t>Simona Waltert</t>
        </is>
      </c>
      <c r="AU1061" s="24" t="inlineStr">
        <is>
          <t>Simona Waltert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shadow_qualified</t>
        </is>
      </c>
      <c r="BA1061" s="24" t="inlineStr">
        <is>
          <t>6c67e999d2a03612e30f4032c8e5e77e8becfbc79e05f4c8993e726b90d34d54</t>
        </is>
      </c>
      <c r="BB1061" s="24" t="inlineStr">
        <is>
          <t>surface_blended_elo</t>
        </is>
      </c>
      <c r="BC1061" s="24" t="inlineStr">
        <is>
          <t>tennis-surface-elo-v1</t>
        </is>
      </c>
      <c r="BD1061" s="24" t="inlineStr">
        <is>
          <t>6c67e999d2a03612e30f4032c8e5e77e8becfbc79e05f4c8993e726b90d34d54</t>
        </is>
      </c>
      <c r="BE1061" s="24" t="inlineStr">
        <is>
          <t>tennis-surface-elo-v1</t>
        </is>
      </c>
      <c r="BF1061" s="24" t="inlineStr">
        <is>
          <t>1</t>
        </is>
      </c>
      <c r="BG1061" s="24" t="inlineStr">
        <is>
          <t>6c67e999d2a03612e30f4032c8e5e77e8becfbc79e05f4c8993e726b90d34d54</t>
        </is>
      </c>
      <c r="BH1061" s="24" t="inlineStr">
        <is>
          <t>2026-09-11T04:32:47.296126Z</t>
        </is>
      </c>
      <c r="BI1061" s="24" t="inlineStr">
        <is>
          <t>["same_event","same_team_same_day","same_league_same_day"]</t>
        </is>
      </c>
      <c r="BJ1061" s="25" t="n"/>
      <c r="BK1061" s="26" t="n">
        <v>-156</v>
      </c>
      <c r="BL1061" s="27" t="n">
        <v>1.641026</v>
      </c>
      <c r="BM1061" s="28" t="n">
        <v>0.609375</v>
      </c>
      <c r="BN1061" s="28" t="n"/>
      <c r="BO1061" s="28" t="n"/>
      <c r="BP1061" s="25" t="n"/>
      <c r="BQ1061" s="27" t="n">
        <v>1.641026</v>
      </c>
      <c r="BR1061" s="28" t="n">
        <v>0.61</v>
      </c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n"/>
      <c r="CU1061" s="24" t="n"/>
      <c r="CV1061" s="24" t="n"/>
      <c r="CW1061" s="24" t="n"/>
      <c r="CX1061" s="24" t="n"/>
      <c r="CY1061" s="24" t="n"/>
      <c r="CZ1061" s="24" t="n"/>
      <c r="DA1061" s="24" t="n"/>
      <c r="DB1061" s="24" t="n"/>
      <c r="DC1061" s="24" t="n"/>
      <c r="DD1061" s="24" t="inlineStr">
        <is>
          <t>644b62df9d310487c2b06730e575744f1f4b3f02ddfb744d8adadc4855630181</t>
        </is>
      </c>
      <c r="DE1061" s="24" t="inlineStr">
        <is>
          <t>/Users/vincentc9002/model-prediction/data/odds/tennis/2026-09-11/polymarket_snapshots.jsonl</t>
        </is>
      </c>
      <c r="DF1061" s="24" t="inlineStr">
        <is>
          <t>784175:2026-09-11T04:32:47.296126Z</t>
        </is>
      </c>
      <c r="DG1061" s="24" t="n"/>
      <c r="DH1061" s="24" t="n"/>
      <c r="DI1061" s="24" t="n"/>
      <c r="DJ1061" s="24" t="inlineStr">
        <is>
          <t>0.609375</t>
        </is>
      </c>
      <c r="DK1061" s="24" t="n"/>
      <c r="DL1061" s="24" t="n"/>
      <c r="DM1061" s="24" t="n"/>
      <c r="DN1061" s="24" t="n"/>
      <c r="DO1061" s="24" t="n"/>
      <c r="DP1061" s="24" t="n"/>
      <c r="DQ1061" s="24" t="inlineStr">
        <is>
          <t>{"artifact_hash": "6c67e999d2a03612e30f4032c8e5e77e8becfbc79e05f4c8993e726b90d34d54", "away_team": "Dalma Galfi", "event_id": "998-2026:183600", "event_start_utc": "2026-09-11T16:00Z", "features": {"elo_p1_surface": 1520.6, "elo_p2_surface": 1605.4, "expected_games_p1": 10.0, "expected_games_p2": 13.28, "expected_total_games": 23.28, "history_matches": 15943, "min_player_matches": 134,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[1537.9008342276231, 1598.3265731319943], "players": ["Dalma Galfi", "Simona Waltert"], "sport": "TENNIS", "surface": "Hard", "surface_counts": [103, 108], "surface_ratings": [1520.5793491156305, 1605.390139497699]}, "market_type": "moneyline", "model_version": "tennis-surface-elo-v1", "observed_at_utc": "2026-09-11T10:03:24.594878+00:00", "probabilities": {"away": 0.3888, "home": 0.6112}, "replay_scope": "Exact full-precision serving state and rounding; upstream historical observation times are not certified.", "schema": "coded-moneyline-replay-v1", "snapshot_hash": "3d5a143f7b12b1e5cf393a314047a3ca1f36b69b97dff9081721cbdffd6ed8a7", "sport": "TENNIS"}</t>
        </is>
      </c>
    </row>
    <row r="1062" ht="36" customHeight="1">
      <c r="A1062" s="24" t="inlineStr">
        <is>
          <t>1e84dd51d66c4726</t>
        </is>
      </c>
      <c r="B1062" s="24" t="inlineStr">
        <is>
          <t>2026-09-11T10:03:25.639391Z</t>
        </is>
      </c>
      <c r="C1062" s="24" t="inlineStr">
        <is>
          <t>2026-09-11T11:00Z</t>
        </is>
      </c>
      <c r="D1062" s="24" t="inlineStr">
        <is>
          <t>1076-2026:183556</t>
        </is>
      </c>
      <c r="E1062" s="24" t="inlineStr">
        <is>
          <t>TENNIS</t>
        </is>
      </c>
      <c r="F1062" s="24" t="inlineStr">
        <is>
          <t>Maria Lourdes Carle</t>
        </is>
      </c>
      <c r="G1062" s="24" t="inlineStr">
        <is>
          <t>Rositsa Dencheva</t>
        </is>
      </c>
      <c r="H1062" s="24" t="inlineStr">
        <is>
          <t>moneyline</t>
        </is>
      </c>
      <c r="I1062" s="24" t="inlineStr">
        <is>
          <t>home</t>
        </is>
      </c>
      <c r="J1062" s="25" t="n"/>
      <c r="K1062" s="24" t="inlineStr">
        <is>
          <t>polymarket_us</t>
        </is>
      </c>
      <c r="L1062" s="26" t="n">
        <v>-150</v>
      </c>
      <c r="M1062" s="27" t="n">
        <v>1.666667</v>
      </c>
      <c r="N1062" s="28" t="n">
        <v>0.6</v>
      </c>
      <c r="O1062" s="28" t="n">
        <v>0.582</v>
      </c>
      <c r="P1062" s="28" t="n">
        <v>0.05</v>
      </c>
      <c r="Q1062" s="28" t="n">
        <v>-0.018</v>
      </c>
      <c r="R1062" s="26" t="n">
        <v>11</v>
      </c>
      <c r="S1062" s="29" t="n">
        <v>1</v>
      </c>
      <c r="T1062" s="24" t="inlineStr">
        <is>
          <t>tennis-surface-elo-v1</t>
        </is>
      </c>
      <c r="U1062" s="24" t="inlineStr">
        <is>
          <t>settled</t>
        </is>
      </c>
      <c r="V1062" s="24" t="inlineStr">
        <is>
          <t>win</t>
        </is>
      </c>
      <c r="W1062" s="26" t="n">
        <v>0</v>
      </c>
      <c r="X1062" s="26" t="n">
        <v>1</v>
      </c>
      <c r="Y1062" s="25" t="n"/>
      <c r="Z1062" s="26" t="n">
        <v>-150</v>
      </c>
      <c r="AA1062" s="28" t="n">
        <v>0.6</v>
      </c>
      <c r="AB1062" s="28" t="n">
        <v>0</v>
      </c>
      <c r="AC1062" s="30" t="n">
        <v>0.6667</v>
      </c>
      <c r="AD1062" s="24" t="inlineStr">
        <is>
          <t>2026-09-11T16:00:24.084644Z</t>
        </is>
      </c>
      <c r="AE1062" s="31" t="inlineStr">
        <is>
          <t>Surface-blended Elo on Hard: Maria Lourdes Carle p=0.418 vs Rositsa Dencheva. Executable ask 0.6000 (aec-wta-rosden-marcar-2026-09-11).</t>
        </is>
      </c>
      <c r="AF1062" s="31" t="inlineStr">
        <is>
          <t>Surface-blended Elo model; singles only, WTA+ATP market coverage, not yet locked-holdout qualified -- promoted by explicit operator directive, not genuine walk-forward validation.</t>
        </is>
      </c>
      <c r="AG1062" s="24" t="inlineStr">
        <is>
          <t>not_applicable</t>
        </is>
      </c>
      <c r="AH1062" s="24" t="n"/>
      <c r="AI1062" s="31" t="n"/>
      <c r="AJ1062" s="31" t="n"/>
      <c r="AK1062" s="24" t="inlineStr">
        <is>
          <t>paper_call</t>
        </is>
      </c>
      <c r="AL1062" s="26" t="n">
        <v>4</v>
      </c>
      <c r="AM1062" s="24" t="inlineStr">
        <is>
          <t>RESEARCH_OBSERVATION</t>
        </is>
      </c>
      <c r="AN1062" s="24" t="inlineStr">
        <is>
          <t>CALL</t>
        </is>
      </c>
      <c r="AO1062" s="24" t="inlineStr">
        <is>
          <t>PAPER_CALL_MODEL_UNVALIDATED</t>
        </is>
      </c>
      <c r="AP1062" s="24" t="inlineStr">
        <is>
          <t>Maria Lourdes Carle</t>
        </is>
      </c>
      <c r="AQ1062" s="24" t="inlineStr">
        <is>
          <t>Maria Lourdes Carle</t>
        </is>
      </c>
      <c r="AR1062" s="24" t="inlineStr">
        <is>
          <t>Maria Lourdes Carle</t>
        </is>
      </c>
      <c r="AS1062" s="24" t="inlineStr">
        <is>
          <t>Rositsa Dencheva</t>
        </is>
      </c>
      <c r="AT1062" s="24" t="inlineStr">
        <is>
          <t>Rositsa Dencheva</t>
        </is>
      </c>
      <c r="AU1062" s="24" t="inlineStr">
        <is>
          <t>Rositsa Dencheva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shadow_qualified</t>
        </is>
      </c>
      <c r="BA1062" s="24" t="inlineStr">
        <is>
          <t>6c67e999d2a03612e30f4032c8e5e77e8becfbc79e05f4c8993e726b90d34d54</t>
        </is>
      </c>
      <c r="BB1062" s="24" t="inlineStr">
        <is>
          <t>surface_blended_elo</t>
        </is>
      </c>
      <c r="BC1062" s="24" t="inlineStr">
        <is>
          <t>tennis-surface-elo-v1</t>
        </is>
      </c>
      <c r="BD1062" s="24" t="inlineStr">
        <is>
          <t>6c67e999d2a03612e30f4032c8e5e77e8becfbc79e05f4c8993e726b90d34d54</t>
        </is>
      </c>
      <c r="BE1062" s="24" t="inlineStr">
        <is>
          <t>tennis-surface-elo-v1</t>
        </is>
      </c>
      <c r="BF1062" s="24" t="inlineStr">
        <is>
          <t>1</t>
        </is>
      </c>
      <c r="BG1062" s="24" t="inlineStr">
        <is>
          <t>6c67e999d2a03612e30f4032c8e5e77e8becfbc79e05f4c8993e726b90d34d54</t>
        </is>
      </c>
      <c r="BH1062" s="24" t="inlineStr">
        <is>
          <t>2026-09-11T04:32:47.263740Z</t>
        </is>
      </c>
      <c r="BI1062" s="24" t="inlineStr">
        <is>
          <t>["same_event","same_team_same_day","same_league_same_day"]</t>
        </is>
      </c>
      <c r="BJ1062" s="25" t="n"/>
      <c r="BK1062" s="26" t="n">
        <v>-150</v>
      </c>
      <c r="BL1062" s="27" t="n">
        <v>1.666667</v>
      </c>
      <c r="BM1062" s="28" t="n">
        <v>0.6</v>
      </c>
      <c r="BN1062" s="28" t="n"/>
      <c r="BO1062" s="28" t="n"/>
      <c r="BP1062" s="25" t="n"/>
      <c r="BQ1062" s="27" t="n">
        <v>1.666667</v>
      </c>
      <c r="BR1062" s="28" t="n">
        <v>0.6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False</t>
        </is>
      </c>
      <c r="CT1062" s="24" t="n"/>
      <c r="CU1062" s="24" t="n"/>
      <c r="CV1062" s="24" t="n"/>
      <c r="CW1062" s="24" t="n"/>
      <c r="CX1062" s="24" t="n"/>
      <c r="CY1062" s="24" t="n"/>
      <c r="CZ1062" s="24" t="n"/>
      <c r="DA1062" s="24" t="n"/>
      <c r="DB1062" s="24" t="n"/>
      <c r="DC1062" s="24" t="n"/>
      <c r="DD1062" s="24" t="inlineStr">
        <is>
          <t>d30c9e012ec1921393f3c2a196981eac12b54be97731b0c39234cd23989bd819</t>
        </is>
      </c>
      <c r="DE1062" s="24" t="inlineStr">
        <is>
          <t>/Users/vincentc9002/model-prediction/data/odds/tennis/2026-09-11/polymarket_snapshots.jsonl</t>
        </is>
      </c>
      <c r="DF1062" s="24" t="inlineStr">
        <is>
          <t>780879:2026-09-11T04:32:47.263740Z</t>
        </is>
      </c>
      <c r="DG1062" s="24" t="n"/>
      <c r="DH1062" s="24" t="n"/>
      <c r="DI1062" s="24" t="n"/>
      <c r="DJ1062" s="24" t="inlineStr">
        <is>
          <t>0.6</t>
        </is>
      </c>
      <c r="DK1062" s="24" t="n"/>
      <c r="DL1062" s="24" t="n"/>
      <c r="DM1062" s="24" t="n"/>
      <c r="DN1062" s="24" t="n"/>
      <c r="DO1062" s="24" t="n"/>
      <c r="DP1062" s="24" t="n"/>
      <c r="DQ1062" s="24" t="inlineStr">
        <is>
          <t>{"artifact_hash": "6c67e999d2a03612e30f4032c8e5e77e8becfbc79e05f4c8993e726b90d34d54", "away_team": "Maria Lourdes Carle", "event_id": "1076-2026:183556", "event_start_utc": "2026-09-11T11:00Z", "features": {"elo_p1_surface": 1492.4, "elo_p2_surface": 1565.6, "expected_games_p1": 10.4, "expected_games_p2": 13.25, "expected_total_games": 23.65, "history_matches": 15943, "min_player_matches": 4,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[1551.279446246409, 1564.9864565267167], "players": ["Maria Lourdes Carle", "Rositsa Dencheva"], "sport": "TENNIS", "surface": "Hard", "surface_counts": [103, 4], "surface_ratings": [1492.422538229228, 1565.6305975542034]}, "market_type": "moneyline", "model_version": "tennis-surface-elo-v1", "observed_at_utc": "2026-09-11T10:03:24.594878+00:00", "probabilities": {"away": 0.418, "home": 0.582}, "replay_scope": "Exact full-precision serving state and rounding; upstream historical observation times are not certified.", "schema": "coded-moneyline-replay-v1", "snapshot_hash": "bdf97174f6ec67a221e3bb1098cfde7932c44e520c0b3e86b5a67f25af7e1536", "sport": "TENNIS"}</t>
        </is>
      </c>
    </row>
    <row r="1063" ht="36" customHeight="1">
      <c r="A1063" s="24" t="inlineStr">
        <is>
          <t>8471c47bb38e441e</t>
        </is>
      </c>
      <c r="B1063" s="24" t="inlineStr">
        <is>
          <t>2026-09-11T10:03:25.639391Z</t>
        </is>
      </c>
      <c r="C1063" s="24" t="inlineStr">
        <is>
          <t>2026-09-11T11:00Z</t>
        </is>
      </c>
      <c r="D1063" s="24" t="inlineStr">
        <is>
          <t>1076-2026:183555</t>
        </is>
      </c>
      <c r="E1063" s="24" t="inlineStr">
        <is>
          <t>TENNIS</t>
        </is>
      </c>
      <c r="F1063" s="24" t="inlineStr">
        <is>
          <t>Elizara Yaneva</t>
        </is>
      </c>
      <c r="G1063" s="24" t="inlineStr">
        <is>
          <t>Irene Burillo</t>
        </is>
      </c>
      <c r="H1063" s="24" t="inlineStr">
        <is>
          <t>moneyline</t>
        </is>
      </c>
      <c r="I1063" s="24" t="inlineStr">
        <is>
          <t>away</t>
        </is>
      </c>
      <c r="J1063" s="25" t="n"/>
      <c r="K1063" s="24" t="inlineStr">
        <is>
          <t>polymarket_us</t>
        </is>
      </c>
      <c r="L1063" s="26" t="n">
        <v>-170</v>
      </c>
      <c r="M1063" s="27" t="n">
        <v>1.588235</v>
      </c>
      <c r="N1063" s="28" t="n">
        <v>0.62963</v>
      </c>
      <c r="O1063" s="28" t="n">
        <v>0.5591</v>
      </c>
      <c r="P1063" s="28" t="n">
        <v>0.05</v>
      </c>
      <c r="Q1063" s="28" t="n">
        <v>-0.07053</v>
      </c>
      <c r="R1063" s="26" t="n">
        <v>0</v>
      </c>
      <c r="S1063" s="29" t="n">
        <v>1</v>
      </c>
      <c r="T1063" s="24" t="inlineStr">
        <is>
          <t>tennis-surface-elo-v1</t>
        </is>
      </c>
      <c r="U1063" s="24" t="inlineStr">
        <is>
          <t>settled</t>
        </is>
      </c>
      <c r="V1063" s="24" t="inlineStr">
        <is>
          <t>loss</t>
        </is>
      </c>
      <c r="W1063" s="26" t="n">
        <v>0</v>
      </c>
      <c r="X1063" s="26" t="n">
        <v>1</v>
      </c>
      <c r="Y1063" s="25" t="n"/>
      <c r="Z1063" s="26" t="n">
        <v>-170</v>
      </c>
      <c r="AA1063" s="28" t="n">
        <v>0.63</v>
      </c>
      <c r="AB1063" s="28" t="n">
        <v>0.00037</v>
      </c>
      <c r="AC1063" s="30" t="n">
        <v>-1</v>
      </c>
      <c r="AD1063" s="24" t="inlineStr">
        <is>
          <t>2026-09-11T16:00:24.516798Z</t>
        </is>
      </c>
      <c r="AE1063" s="31" t="inlineStr">
        <is>
          <t>Surface-blended Elo on Hard: Elizara Yaneva p=0.559 vs Irene Burillo. Executable ask 0.6300 (aec-wta-ireesc-eliyan-2026-09-10).</t>
        </is>
      </c>
      <c r="AF1063" s="31" t="inlineStr">
        <is>
          <t>Surface-blended Elo model; singles only, WTA+ATP market coverage, not yet locked-holdout qualified -- promoted by explicit operator directive, not genuine walk-forward validation.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PAPER_CALL_LOW_EDGE</t>
        </is>
      </c>
      <c r="AP1063" s="24" t="inlineStr">
        <is>
          <t>Elizara Yaneva</t>
        </is>
      </c>
      <c r="AQ1063" s="24" t="inlineStr">
        <is>
          <t>Elizara Yaneva</t>
        </is>
      </c>
      <c r="AR1063" s="24" t="inlineStr">
        <is>
          <t>Elizara Yaneva</t>
        </is>
      </c>
      <c r="AS1063" s="24" t="inlineStr">
        <is>
          <t>Irene Burillo</t>
        </is>
      </c>
      <c r="AT1063" s="24" t="inlineStr">
        <is>
          <t>Irene Burillo</t>
        </is>
      </c>
      <c r="AU1063" s="24" t="inlineStr">
        <is>
          <t>Irene Burillo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shadow_qualified</t>
        </is>
      </c>
      <c r="BA1063" s="24" t="inlineStr">
        <is>
          <t>6c67e999d2a03612e30f4032c8e5e77e8becfbc79e05f4c8993e726b90d34d54</t>
        </is>
      </c>
      <c r="BB1063" s="24" t="inlineStr">
        <is>
          <t>surface_blended_elo</t>
        </is>
      </c>
      <c r="BC1063" s="24" t="inlineStr">
        <is>
          <t>tennis-surface-elo-v1</t>
        </is>
      </c>
      <c r="BD1063" s="24" t="inlineStr">
        <is>
          <t>6c67e999d2a03612e30f4032c8e5e77e8becfbc79e05f4c8993e726b90d34d54</t>
        </is>
      </c>
      <c r="BE1063" s="24" t="inlineStr">
        <is>
          <t>tennis-surface-elo-v1</t>
        </is>
      </c>
      <c r="BF1063" s="24" t="inlineStr">
        <is>
          <t>1</t>
        </is>
      </c>
      <c r="BG1063" s="24" t="inlineStr">
        <is>
          <t>6c67e999d2a03612e30f4032c8e5e77e8becfbc79e05f4c8993e726b90d34d54</t>
        </is>
      </c>
      <c r="BH1063" s="24" t="inlineStr">
        <is>
          <t>2026-09-11T04:32:47.267248Z</t>
        </is>
      </c>
      <c r="BI1063" s="24" t="inlineStr">
        <is>
          <t>["same_event","same_team_same_day","same_league_same_day"]</t>
        </is>
      </c>
      <c r="BJ1063" s="25" t="n"/>
      <c r="BK1063" s="26" t="n">
        <v>-170</v>
      </c>
      <c r="BL1063" s="27" t="n">
        <v>1.588235</v>
      </c>
      <c r="BM1063" s="28" t="n">
        <v>0.62963</v>
      </c>
      <c r="BN1063" s="28" t="n"/>
      <c r="BO1063" s="28" t="n"/>
      <c r="BP1063" s="25" t="n"/>
      <c r="BQ1063" s="27" t="n">
        <v>1.588235</v>
      </c>
      <c r="BR1063" s="28" t="n">
        <v>0.63</v>
      </c>
      <c r="BS1063" s="28" t="n"/>
      <c r="BT1063" s="28" t="n"/>
      <c r="BU1063" s="25" t="n"/>
      <c r="BV1063" s="29" t="n"/>
      <c r="BW1063" s="24" t="n"/>
      <c r="BX1063" s="30" t="n"/>
      <c r="BY1063" s="27" t="n"/>
      <c r="BZ1063" s="24" t="n"/>
      <c r="CA1063" s="31" t="n"/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False</t>
        </is>
      </c>
      <c r="CT1063" s="24" t="n"/>
      <c r="CU1063" s="24" t="n"/>
      <c r="CV1063" s="24" t="n"/>
      <c r="CW1063" s="24" t="n"/>
      <c r="CX1063" s="24" t="n"/>
      <c r="CY1063" s="24" t="n"/>
      <c r="CZ1063" s="24" t="n"/>
      <c r="DA1063" s="24" t="n"/>
      <c r="DB1063" s="24" t="n"/>
      <c r="DC1063" s="24" t="n"/>
      <c r="DD1063" s="24" t="inlineStr">
        <is>
          <t>c7dd5fde4c0d49448f52ca17f491d137beda21707e3d9e6eb44b93f12fa875da</t>
        </is>
      </c>
      <c r="DE1063" s="24" t="inlineStr">
        <is>
          <t>/Users/vincentc9002/model-prediction/data/odds/tennis/2026-09-11/polymarket_snapshots.jsonl</t>
        </is>
      </c>
      <c r="DF1063" s="24" t="inlineStr">
        <is>
          <t>770311:2026-09-11T04:32:47.267248Z</t>
        </is>
      </c>
      <c r="DG1063" s="24" t="n"/>
      <c r="DH1063" s="24" t="n"/>
      <c r="DI1063" s="24" t="n"/>
      <c r="DJ1063" s="24" t="inlineStr">
        <is>
          <t>0.62963</t>
        </is>
      </c>
      <c r="DK1063" s="24" t="n"/>
      <c r="DL1063" s="24" t="n"/>
      <c r="DM1063" s="24" t="n"/>
      <c r="DN1063" s="24" t="n"/>
      <c r="DO1063" s="24" t="n"/>
      <c r="DP1063" s="24" t="n"/>
      <c r="DQ1063" s="24" t="inlineStr">
        <is>
          <t>{"artifact_hash": "6c67e999d2a03612e30f4032c8e5e77e8becfbc79e05f4c8993e726b90d34d54", "away_team": "Elizara Yaneva", "event_id": "1076-2026:183555", "event_start_utc": "2026-09-11T11:00Z", "features": {"elo_p1_surface": 1489.4, "elo_p2_surface": 1468.4, "expected_games_p1": 12.96, "expected_games_p2": 11.68, "expected_total_games": 24.63, "history_matches": 15943, "min_player_matches": 18, "surface": "Hard"}, "historical_source_observation_times_verified": false, "home_team": "Irene Burillo", "inference_inputs": {"code_sha256": {"features/elo_ratings.py": "8525faf022a6343c452286dbfeb17dbb043744c6bdabbe448b6b371216da439b", "models/tennis.py": "6c67e999d2a03612e30f4032c8e5e77e8becfbc79e05f4c8993e726b90d34d54"}, "overall_ratings": [1509.006787802884, 1448.475295089207], "players": ["Elizara Yaneva", "Irene Burillo"], "sport": "TENNIS", "surface": "Hard", "surface_counts": [11, 39], "surface_ratings": [1489.3935775417094, 1468.4119381660576]}, "market_type": "moneyline", "model_version": "tennis-surface-elo-v1", "observed_at_utc": "2026-09-11T10:03:24.594878+00:00", "probabilities": {"away": 0.5591, "home": 0.4409}, "replay_scope": "Exact full-precision serving state and rounding; upstream historical observation times are not certified.", "schema": "coded-moneyline-replay-v1", "snapshot_hash": "cb713d5945f6debd69e50322fec5d6f2ecced04a53fd5babec32b9829b02399f", "sport": "TENNIS"}</t>
        </is>
      </c>
    </row>
    <row r="1064" ht="36" customHeight="1">
      <c r="A1064" s="24" t="inlineStr">
        <is>
          <t>2e65c1337753469f</t>
        </is>
      </c>
      <c r="B1064" s="24" t="inlineStr">
        <is>
          <t>2026-09-11T10:03:25.639391Z</t>
        </is>
      </c>
      <c r="C1064" s="24" t="inlineStr">
        <is>
          <t>2026-09-11T12:30Z</t>
        </is>
      </c>
      <c r="D1064" s="24" t="inlineStr">
        <is>
          <t>1076-2026:183554</t>
        </is>
      </c>
      <c r="E1064" s="24" t="inlineStr">
        <is>
          <t>TENNIS</t>
        </is>
      </c>
      <c r="F1064" s="24" t="inlineStr">
        <is>
          <t>Alevtina Ibragimova</t>
        </is>
      </c>
      <c r="G1064" s="24" t="inlineStr">
        <is>
          <t>Aurora Zantedeschi</t>
        </is>
      </c>
      <c r="H1064" s="24" t="inlineStr">
        <is>
          <t>moneyline</t>
        </is>
      </c>
      <c r="I1064" s="24" t="inlineStr">
        <is>
          <t>away</t>
        </is>
      </c>
      <c r="J1064" s="25" t="n"/>
      <c r="K1064" s="24" t="inlineStr">
        <is>
          <t>polymarket_us</t>
        </is>
      </c>
      <c r="L1064" s="26" t="n">
        <v>-163</v>
      </c>
      <c r="M1064" s="27" t="n">
        <v>1.613497</v>
      </c>
      <c r="N1064" s="28" t="n">
        <v>0.619772</v>
      </c>
      <c r="O1064" s="28" t="n">
        <v>0.6333</v>
      </c>
      <c r="P1064" s="28" t="n">
        <v>0.05</v>
      </c>
      <c r="Q1064" s="28" t="n">
        <v>0.013528</v>
      </c>
      <c r="R1064" s="26" t="n">
        <v>27</v>
      </c>
      <c r="S1064" s="29" t="n">
        <v>1</v>
      </c>
      <c r="T1064" s="24" t="inlineStr">
        <is>
          <t>tennis-surface-elo-v1</t>
        </is>
      </c>
      <c r="U1064" s="24" t="inlineStr">
        <is>
          <t>settled</t>
        </is>
      </c>
      <c r="V1064" s="24" t="inlineStr">
        <is>
          <t>win</t>
        </is>
      </c>
      <c r="W1064" s="26" t="n">
        <v>1</v>
      </c>
      <c r="X1064" s="26" t="n">
        <v>0</v>
      </c>
      <c r="Y1064" s="25" t="n"/>
      <c r="Z1064" s="26" t="n">
        <v>-163</v>
      </c>
      <c r="AA1064" s="28" t="n">
        <v>0.62</v>
      </c>
      <c r="AB1064" s="28" t="n">
        <v>0.000228</v>
      </c>
      <c r="AC1064" s="30" t="n">
        <v>0.6135</v>
      </c>
      <c r="AD1064" s="24" t="inlineStr">
        <is>
          <t>2026-09-11T16:00:24.947026Z</t>
        </is>
      </c>
      <c r="AE1064" s="31" t="inlineStr">
        <is>
          <t>Surface-blended Elo on Hard: Alevtina Ibragimova p=0.633 vs Aurora Zantedeschi. Executable ask 0.6200 (aec-wta-aurzan-aleibr-2026-09-11).</t>
        </is>
      </c>
      <c r="AF1064" s="31" t="inlineStr">
        <is>
          <t>Surface-blended Elo model; singles only, WTA+ATP market coverage, not yet locked-holdout qualified -- promoted by explicit operator directive, not genuine walk-forward validation.</t>
        </is>
      </c>
      <c r="AG1064" s="24" t="inlineStr">
        <is>
          <t>not_applicable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PAPER_CALL_LOW_EDGE</t>
        </is>
      </c>
      <c r="AP1064" s="24" t="inlineStr">
        <is>
          <t>Alevtina Ibragimova</t>
        </is>
      </c>
      <c r="AQ1064" s="24" t="inlineStr">
        <is>
          <t>Alevtina Ibragimova</t>
        </is>
      </c>
      <c r="AR1064" s="24" t="inlineStr">
        <is>
          <t>Alevtina Ibragimova</t>
        </is>
      </c>
      <c r="AS1064" s="24" t="inlineStr">
        <is>
          <t>Aurora Zantedeschi</t>
        </is>
      </c>
      <c r="AT1064" s="24" t="inlineStr">
        <is>
          <t>Aurora Zantedeschi</t>
        </is>
      </c>
      <c r="AU1064" s="24" t="inlineStr">
        <is>
          <t>Aurora Zantedeschi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inlineStr">
        <is>
          <t>6c67e999d2a03612e30f4032c8e5e77e8becfbc79e05f4c8993e726b90d34d54</t>
        </is>
      </c>
      <c r="BB1064" s="24" t="inlineStr">
        <is>
          <t>surface_blended_elo</t>
        </is>
      </c>
      <c r="BC1064" s="24" t="inlineStr">
        <is>
          <t>tennis-surface-elo-v1</t>
        </is>
      </c>
      <c r="BD1064" s="24" t="inlineStr">
        <is>
          <t>6c67e999d2a03612e30f4032c8e5e77e8becfbc79e05f4c8993e726b90d34d54</t>
        </is>
      </c>
      <c r="BE1064" s="24" t="inlineStr">
        <is>
          <t>tennis-surface-elo-v1</t>
        </is>
      </c>
      <c r="BF1064" s="24" t="inlineStr">
        <is>
          <t>1</t>
        </is>
      </c>
      <c r="BG1064" s="24" t="inlineStr">
        <is>
          <t>6c67e999d2a03612e30f4032c8e5e77e8becfbc79e05f4c8993e726b90d34d54</t>
        </is>
      </c>
      <c r="BH1064" s="24" t="inlineStr">
        <is>
          <t>2026-09-11T04:32:47.268166Z</t>
        </is>
      </c>
      <c r="BI1064" s="24" t="inlineStr">
        <is>
          <t>["same_event","same_team_same_day","same_league_same_day"]</t>
        </is>
      </c>
      <c r="BJ1064" s="25" t="n"/>
      <c r="BK1064" s="26" t="n">
        <v>-163</v>
      </c>
      <c r="BL1064" s="27" t="n">
        <v>1.613497</v>
      </c>
      <c r="BM1064" s="28" t="n">
        <v>0.619772</v>
      </c>
      <c r="BN1064" s="28" t="n"/>
      <c r="BO1064" s="28" t="n"/>
      <c r="BP1064" s="25" t="n"/>
      <c r="BQ1064" s="27" t="n">
        <v>1.613497</v>
      </c>
      <c r="BR1064" s="28" t="n">
        <v>0.62</v>
      </c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inlineStr">
        <is>
          <t>a3bce6b201f85db97997d25a2981b33ba56c0433015169f9d5838d4bb41ec85b</t>
        </is>
      </c>
      <c r="DE1064" s="24" t="inlineStr">
        <is>
          <t>/Users/vincentc9002/model-prediction/data/odds/tennis/2026-09-11/polymarket_snapshots.jsonl</t>
        </is>
      </c>
      <c r="DF1064" s="24" t="inlineStr">
        <is>
          <t>769702:2026-09-11T04:32:47.268166Z</t>
        </is>
      </c>
      <c r="DG1064" s="24" t="n"/>
      <c r="DH1064" s="24" t="n"/>
      <c r="DI1064" s="24" t="n"/>
      <c r="DJ1064" s="24" t="inlineStr">
        <is>
          <t>0.619772</t>
        </is>
      </c>
      <c r="DK1064" s="24" t="n"/>
      <c r="DL1064" s="24" t="n"/>
      <c r="DM1064" s="24" t="n"/>
      <c r="DN1064" s="24" t="n"/>
      <c r="DO1064" s="24" t="n"/>
      <c r="DP1064" s="24" t="n"/>
      <c r="DQ1064" s="24" t="inlineStr">
        <is>
          <t>{"artifact_hash": "6c67e999d2a03612e30f4032c8e5e77e8becfbc79e05f4c8993e726b90d34d54", "away_team": "Alevtina Ibragimova", "event_id": "1076-2026:183554", "event_start_utc": "2026-09-11T12:30Z", "features": {"elo_p1_surface": 1585.4, "elo_p2_surface": 1490.3, "expected_games_p1": 13.45, "expected_games_p2": 9.18, "expected_total_games": 22.63, "history_matches": 15943, "min_player_matches": 21, "surface": "Hard"}, "historical_source_observation_times_verified": false, "home_team": "Aurora Zantedeschi", "inference_inputs": {"code_sha256": {"features/elo_ratings.py": "8525faf022a6343c452286dbfeb17dbb043744c6bdabbe448b6b371216da439b", "models/tennis.py": "6c67e999d2a03612e30f4032c8e5e77e8becfbc79e05f4c8993e726b90d34d54"}, "overall_ratings": [1580.132148214361, 1486.7883736871465], "players": ["Alevtina Ibragimova", "Aurora Zantedeschi"], "sport": "TENNIS", "surface": "Hard", "surface_counts": [38, 18], "surface_ratings": [1585.4223232482318, 1490.2977321451083]}, "market_type": "moneyline", "model_version": "tennis-surface-elo-v1", "observed_at_utc": "2026-09-11T10:03:24.594878+00:00", "probabilities": {"away": 0.6333, "home": 0.3667}, "replay_scope": "Exact full-precision serving state and rounding; upstream historical observation times are not certified.", "schema": "coded-moneyline-replay-v1", "snapshot_hash": "4edd7a45457113cc01dfebcb4ed33633ab21d430e957ae892b8407e5ca62c7d3", "sport": "TENNIS"}</t>
        </is>
      </c>
    </row>
    <row r="1065" ht="36" customHeight="1">
      <c r="A1065" s="24" t="inlineStr">
        <is>
          <t>24729219209a4263</t>
        </is>
      </c>
      <c r="B1065" s="24" t="inlineStr">
        <is>
          <t>2026-09-11T10:03:25.639391Z</t>
        </is>
      </c>
      <c r="C1065" s="24" t="inlineStr">
        <is>
          <t>2026-09-11T16:00Z</t>
        </is>
      </c>
      <c r="D1065" s="24" t="inlineStr">
        <is>
          <t>1076-2026:183557</t>
        </is>
      </c>
      <c r="E1065" s="24" t="inlineStr">
        <is>
          <t>TENNIS</t>
        </is>
      </c>
      <c r="F1065" s="24" t="inlineStr">
        <is>
          <t>Eva Bennemann</t>
        </is>
      </c>
      <c r="G1065" s="24" t="inlineStr">
        <is>
          <t>Alicia Herrero Linana</t>
        </is>
      </c>
      <c r="H1065" s="24" t="inlineStr">
        <is>
          <t>moneyline</t>
        </is>
      </c>
      <c r="I1065" s="24" t="inlineStr">
        <is>
          <t>home</t>
        </is>
      </c>
      <c r="J1065" s="25" t="n"/>
      <c r="K1065" s="24" t="inlineStr">
        <is>
          <t>polymarket_us</t>
        </is>
      </c>
      <c r="L1065" s="26" t="n">
        <v>-133</v>
      </c>
      <c r="M1065" s="27" t="n">
        <v>1.75188</v>
      </c>
      <c r="N1065" s="28" t="n">
        <v>0.570815</v>
      </c>
      <c r="O1065" s="28" t="n">
        <v>0.5589</v>
      </c>
      <c r="P1065" s="28" t="n">
        <v>0.05</v>
      </c>
      <c r="Q1065" s="28" t="n">
        <v>-0.011915</v>
      </c>
      <c r="R1065" s="26" t="n">
        <v>14</v>
      </c>
      <c r="S1065" s="29" t="n">
        <v>1</v>
      </c>
      <c r="T1065" s="24" t="inlineStr">
        <is>
          <t>tennis-surface-elo-v1</t>
        </is>
      </c>
      <c r="U1065" s="24" t="inlineStr">
        <is>
          <t>settled</t>
        </is>
      </c>
      <c r="V1065" s="24" t="inlineStr">
        <is>
          <t>win</t>
        </is>
      </c>
      <c r="W1065" s="26" t="n">
        <v>0</v>
      </c>
      <c r="X1065" s="26" t="n">
        <v>1</v>
      </c>
      <c r="Y1065" s="25" t="n"/>
      <c r="Z1065" s="26" t="n">
        <v>-133</v>
      </c>
      <c r="AA1065" s="28" t="n">
        <v>0.57</v>
      </c>
      <c r="AB1065" s="28" t="n">
        <v>-0.000815</v>
      </c>
      <c r="AC1065" s="30" t="n">
        <v>0.7519</v>
      </c>
      <c r="AD1065" s="24" t="inlineStr">
        <is>
          <t>2026-09-11T22:00:24.847086Z</t>
        </is>
      </c>
      <c r="AE1065" s="31" t="inlineStr">
        <is>
          <t>Surface-blended Elo on Hard: Eva Bennemann p=0.441 vs Alicia Herrero Linana. Executable ask 0.5700 (aec-wta-alilin-evaben-2026-09-11).</t>
        </is>
      </c>
      <c r="AF1065" s="31" t="inlineStr">
        <is>
          <t>Surface-blended Elo model; singles only, WTA+ATP market coverage, not yet locked-holdout qualified -- promoted by explicit operator directive, not genuine walk-forward validation.</t>
        </is>
      </c>
      <c r="AG1065" s="24" t="inlineStr">
        <is>
          <t>not_applicable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Eva Bennemann</t>
        </is>
      </c>
      <c r="AQ1065" s="24" t="inlineStr">
        <is>
          <t>Eva Bennemann</t>
        </is>
      </c>
      <c r="AR1065" s="24" t="inlineStr">
        <is>
          <t>Eva Bennemann</t>
        </is>
      </c>
      <c r="AS1065" s="24" t="inlineStr">
        <is>
          <t>Alicia Herrero Linana</t>
        </is>
      </c>
      <c r="AT1065" s="24" t="inlineStr">
        <is>
          <t>Alicia Herrero Linana</t>
        </is>
      </c>
      <c r="AU1065" s="24" t="inlineStr">
        <is>
          <t>Alicia Herrero Linana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inlineStr">
        <is>
          <t>6c67e999d2a03612e30f4032c8e5e77e8becfbc79e05f4c8993e726b90d34d54</t>
        </is>
      </c>
      <c r="BB1065" s="24" t="inlineStr">
        <is>
          <t>surface_blended_elo</t>
        </is>
      </c>
      <c r="BC1065" s="24" t="inlineStr">
        <is>
          <t>tennis-surface-elo-v1</t>
        </is>
      </c>
      <c r="BD1065" s="24" t="inlineStr">
        <is>
          <t>6c67e999d2a03612e30f4032c8e5e77e8becfbc79e05f4c8993e726b90d34d54</t>
        </is>
      </c>
      <c r="BE1065" s="24" t="inlineStr">
        <is>
          <t>tennis-surface-elo-v1</t>
        </is>
      </c>
      <c r="BF1065" s="24" t="inlineStr">
        <is>
          <t>1</t>
        </is>
      </c>
      <c r="BG1065" s="24" t="inlineStr">
        <is>
          <t>6c67e999d2a03612e30f4032c8e5e77e8becfbc79e05f4c8993e726b90d34d54</t>
        </is>
      </c>
      <c r="BH1065" s="24" t="inlineStr">
        <is>
          <t>2026-09-11T04:32:47.308002Z</t>
        </is>
      </c>
      <c r="BI1065" s="24" t="inlineStr">
        <is>
          <t>["same_event","same_team_same_day","same_league_same_day"]</t>
        </is>
      </c>
      <c r="BJ1065" s="25" t="n"/>
      <c r="BK1065" s="26" t="n">
        <v>-133</v>
      </c>
      <c r="BL1065" s="27" t="n">
        <v>1.75188</v>
      </c>
      <c r="BM1065" s="28" t="n">
        <v>0.570815</v>
      </c>
      <c r="BN1065" s="28" t="n"/>
      <c r="BO1065" s="28" t="n"/>
      <c r="BP1065" s="25" t="n"/>
      <c r="BQ1065" s="27" t="n">
        <v>1.75188</v>
      </c>
      <c r="BR1065" s="28" t="n">
        <v>0.57</v>
      </c>
      <c r="BS1065" s="28" t="n"/>
      <c r="BT1065" s="28" t="n"/>
      <c r="BU1065" s="25" t="n"/>
      <c r="BV1065" s="29" t="n"/>
      <c r="BW1065" s="24" t="n"/>
      <c r="BX1065" s="30" t="n"/>
      <c r="BY1065" s="27" t="n"/>
      <c r="BZ1065" s="24" t="n"/>
      <c r="CA1065" s="31" t="n"/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False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inlineStr">
        <is>
          <t>b91ca451d399af3e9edb23258531e2115e761b1ede8f4e6274d0e34d03f8a049</t>
        </is>
      </c>
      <c r="DE1065" s="24" t="inlineStr">
        <is>
          <t>/Users/vincentc9002/model-prediction/data/odds/tennis/2026-09-11/polymarket_snapshots.jsonl</t>
        </is>
      </c>
      <c r="DF1065" s="24" t="inlineStr">
        <is>
          <t>782099:2026-09-11T04:32:47.308002Z</t>
        </is>
      </c>
      <c r="DG1065" s="24" t="n"/>
      <c r="DH1065" s="24" t="n"/>
      <c r="DI1065" s="24" t="n"/>
      <c r="DJ1065" s="24" t="inlineStr">
        <is>
          <t>0.570815</t>
        </is>
      </c>
      <c r="DK1065" s="24" t="n"/>
      <c r="DL1065" s="24" t="n"/>
      <c r="DM1065" s="24" t="n"/>
      <c r="DN1065" s="24" t="n"/>
      <c r="DO1065" s="24" t="n"/>
      <c r="DP1065" s="24" t="n"/>
      <c r="DQ1065" s="24" t="inlineStr">
        <is>
          <t>{"artifact_hash": "6c67e999d2a03612e30f4032c8e5e77e8becfbc79e05f4c8993e726b90d34d54", "away_team": "Eva Bennemann", "event_id": "1076-2026:183557", "event_start_utc": "2026-09-11T16:00Z", "features": {"elo_p1_surface": 1524.3, "elo_p2_surface": 1564.1, "expected_games_p1": 11.5, "expected_games_p2": 12.96, "expected_total_games": 24.46, "history_matches": 15943, "min_player_matches": 5,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[1523.193278274246, 1565.273809334728], "players": ["Eva Bennemann", "Alicia Herrero Linana"], "sport": "TENNIS", "surface": "Hard", "surface_counts": [5, 33], "surface_ratings": [1524.2947589059738, 1564.059403265393]}, "market_type": "moneyline", "model_version": "tennis-surface-elo-v1", "observed_at_utc": "2026-09-11T10:03:24.594878+00:00", "probabilities": {"away": 0.4411, "home": 0.5589}, "replay_scope": "Exact full-precision serving state and rounding; upstream historical observation times are not certified.", "schema": "coded-moneyline-replay-v1", "snapshot_hash": "8ccae3ff03162175ace51b2e253660da63a1531cce527b802ce7a26862c67ec2", "sport": "TENNIS"}</t>
        </is>
      </c>
    </row>
    <row r="1066" ht="36" customHeight="1">
      <c r="A1066" s="24" t="inlineStr">
        <is>
          <t>6fafa0e7de0347df</t>
        </is>
      </c>
      <c r="B1066" s="24" t="inlineStr">
        <is>
          <t>2026-09-11T16:04:37.133259Z</t>
        </is>
      </c>
      <c r="C1066" s="24" t="inlineStr">
        <is>
          <t>2026-09-11T21:00Z</t>
        </is>
      </c>
      <c r="D1066" s="24" t="inlineStr">
        <is>
          <t>964-2026:183642</t>
        </is>
      </c>
      <c r="E1066" s="24" t="inlineStr">
        <is>
          <t>TENNIS</t>
        </is>
      </c>
      <c r="F1066" s="24" t="inlineStr">
        <is>
          <t>Claire Liu</t>
        </is>
      </c>
      <c r="G1066" s="24" t="inlineStr">
        <is>
          <t>Leolia Jeanjean</t>
        </is>
      </c>
      <c r="H1066" s="24" t="inlineStr">
        <is>
          <t>moneyline</t>
        </is>
      </c>
      <c r="I1066" s="24" t="inlineStr">
        <is>
          <t>away</t>
        </is>
      </c>
      <c r="J1066" s="25" t="n"/>
      <c r="K1066" s="24" t="inlineStr">
        <is>
          <t>polymarket_us</t>
        </is>
      </c>
      <c r="L1066" s="26" t="n">
        <v>-150</v>
      </c>
      <c r="M1066" s="27" t="n">
        <v>1.666667</v>
      </c>
      <c r="N1066" s="28" t="n">
        <v>0.6</v>
      </c>
      <c r="O1066" s="28" t="n">
        <v>0.5207000000000001</v>
      </c>
      <c r="P1066" s="28" t="n">
        <v>0.05</v>
      </c>
      <c r="Q1066" s="28" t="n">
        <v>-0.0793</v>
      </c>
      <c r="R1066" s="26" t="n">
        <v>0</v>
      </c>
      <c r="S1066" s="29" t="n">
        <v>1</v>
      </c>
      <c r="T1066" s="24" t="inlineStr">
        <is>
          <t>tennis-surface-elo-v1</t>
        </is>
      </c>
      <c r="U1066" s="24" t="inlineStr">
        <is>
          <t>settled</t>
        </is>
      </c>
      <c r="V1066" s="24" t="inlineStr">
        <is>
          <t>win</t>
        </is>
      </c>
      <c r="W1066" s="26" t="n">
        <v>1</v>
      </c>
      <c r="X1066" s="26" t="n">
        <v>0</v>
      </c>
      <c r="Y1066" s="25" t="n"/>
      <c r="Z1066" s="26" t="n">
        <v>-150</v>
      </c>
      <c r="AA1066" s="28" t="n">
        <v>0.6</v>
      </c>
      <c r="AB1066" s="28" t="n">
        <v>0</v>
      </c>
      <c r="AC1066" s="30" t="n">
        <v>0.6667</v>
      </c>
      <c r="AD1066" s="24" t="inlineStr">
        <is>
          <t>2026-09-12T04:31:02.229717Z</t>
        </is>
      </c>
      <c r="AE1066" s="31" t="inlineStr">
        <is>
          <t>Surface-blended Elo on Hard: Claire Liu p=0.521 vs Leolia Jeanjean. Executable ask 0.6000 (aec-wta-leojea-claliu-2026-09-12).</t>
        </is>
      </c>
      <c r="AF1066" s="31" t="inlineStr">
        <is>
          <t>Surface-blended Elo model; singles only, WTA+ATP market coverage, not yet locked-holdout qualified -- promoted by explicit operator directive, not genuine walk-forward validation.</t>
        </is>
      </c>
      <c r="AG1066" s="24" t="inlineStr">
        <is>
          <t>not_applicable</t>
        </is>
      </c>
      <c r="AH1066" s="24" t="n"/>
      <c r="AI1066" s="31" t="n"/>
      <c r="AJ1066" s="31" t="n"/>
      <c r="AK1066" s="24" t="inlineStr">
        <is>
          <t>paper_call</t>
        </is>
      </c>
      <c r="AL1066" s="26" t="n">
        <v>4</v>
      </c>
      <c r="AM1066" s="24" t="inlineStr">
        <is>
          <t>RESEARCH_OBSERVATION</t>
        </is>
      </c>
      <c r="AN1066" s="24" t="inlineStr">
        <is>
          <t>CALL</t>
        </is>
      </c>
      <c r="AO1066" s="24" t="inlineStr">
        <is>
          <t>PAPER_CALL_LOW_EDGE</t>
        </is>
      </c>
      <c r="AP1066" s="24" t="inlineStr">
        <is>
          <t>Claire Liu</t>
        </is>
      </c>
      <c r="AQ1066" s="24" t="inlineStr">
        <is>
          <t>Claire Liu</t>
        </is>
      </c>
      <c r="AR1066" s="24" t="inlineStr">
        <is>
          <t>Claire Liu</t>
        </is>
      </c>
      <c r="AS1066" s="24" t="inlineStr">
        <is>
          <t>Leolia Jeanjean</t>
        </is>
      </c>
      <c r="AT1066" s="24" t="inlineStr">
        <is>
          <t>Leolia Jeanjean</t>
        </is>
      </c>
      <c r="AU1066" s="24" t="inlineStr">
        <is>
          <t>Leolia Jeanjean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inlineStr">
        <is>
          <t>6c67e999d2a03612e30f4032c8e5e77e8becfbc79e05f4c8993e726b90d34d54</t>
        </is>
      </c>
      <c r="BB1066" s="24" t="inlineStr">
        <is>
          <t>surface_blended_elo</t>
        </is>
      </c>
      <c r="BC1066" s="24" t="inlineStr">
        <is>
          <t>tennis-surface-elo-v1</t>
        </is>
      </c>
      <c r="BD1066" s="24" t="inlineStr">
        <is>
          <t>6c67e999d2a03612e30f4032c8e5e77e8becfbc79e05f4c8993e726b90d34d54</t>
        </is>
      </c>
      <c r="BE1066" s="24" t="inlineStr">
        <is>
          <t>tennis-surface-elo-v1</t>
        </is>
      </c>
      <c r="BF1066" s="24" t="inlineStr">
        <is>
          <t>1</t>
        </is>
      </c>
      <c r="BG1066" s="24" t="inlineStr">
        <is>
          <t>6c67e999d2a03612e30f4032c8e5e77e8becfbc79e05f4c8993e726b90d34d54</t>
        </is>
      </c>
      <c r="BH1066" s="24" t="inlineStr">
        <is>
          <t>2026-09-11T16:03:40.114814Z</t>
        </is>
      </c>
      <c r="BI1066" s="24" t="inlineStr">
        <is>
          <t>["same_event","same_team_same_day","same_league_same_day"]</t>
        </is>
      </c>
      <c r="BJ1066" s="25" t="n"/>
      <c r="BK1066" s="26" t="n">
        <v>-150</v>
      </c>
      <c r="BL1066" s="27" t="n">
        <v>1.666667</v>
      </c>
      <c r="BM1066" s="28" t="n">
        <v>0.6</v>
      </c>
      <c r="BN1066" s="28" t="n"/>
      <c r="BO1066" s="28" t="n"/>
      <c r="BP1066" s="25" t="n"/>
      <c r="BQ1066" s="27" t="n">
        <v>1.666667</v>
      </c>
      <c r="BR1066" s="28" t="n">
        <v>0.6</v>
      </c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inlineStr">
        <is>
          <t>2c3ffa47cd1dabfde2c7546199efea2180276c4bf1345fa599c2ad98b5c3e41c</t>
        </is>
      </c>
      <c r="DE1066" s="24" t="inlineStr">
        <is>
          <t>/Users/vincentc9002/model-prediction/data/odds/tennis/2026-09-11/polymarket_snapshots.jsonl</t>
        </is>
      </c>
      <c r="DF1066" s="24" t="inlineStr">
        <is>
          <t>785074:2026-09-11T16:03:40.114814Z</t>
        </is>
      </c>
      <c r="DG1066" s="24" t="n"/>
      <c r="DH1066" s="24" t="n"/>
      <c r="DI1066" s="24" t="n"/>
      <c r="DJ1066" s="24" t="inlineStr">
        <is>
          <t>0.6</t>
        </is>
      </c>
      <c r="DK1066" s="24" t="n"/>
      <c r="DL1066" s="24" t="n"/>
      <c r="DM1066" s="24" t="n"/>
      <c r="DN1066" s="24" t="n"/>
      <c r="DO1066" s="24" t="n"/>
      <c r="DP1066" s="24" t="n"/>
      <c r="DQ1066" s="24" t="inlineStr">
        <is>
          <t>{"artifact_hash": "6c67e999d2a03612e30f4032c8e5e77e8becfbc79e05f4c8993e726b90d34d54", "away_team": "Claire Liu", "event_id": "964-2026:183642", "event_start_utc": "2026-09-11T21:00Z", "features": {"elo_p1_surface": 1576.4, "elo_p2_surface": 1567.0, "expected_games_p1": 12.75, "expected_games_p2": 11.99, "expected_total_games": 24.74, "history_matches": 15943, "min_player_matches": 78,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[1644.867348059163, 1628.116007816164], "players": ["Claire Liu", "Leolia Jeanjean"], "sport": "TENNIS", "surface": "Hard", "surface_counts": [65, 96], "surface_ratings": [1576.3739005555574, 1566.9798394581487]}, "market_type": "moneyline", "model_version": "tennis-surface-elo-v1", "observed_at_utc": "2026-09-11T16:04:36.029463+00:00", "probabilities": {"away": 0.5207, "home": 0.4793}, "replay_scope": "Exact full-precision serving state and rounding; upstream historical observation times are not certified.", "schema": "coded-moneyline-replay-v1", "snapshot_hash": "3648cec814afbe347e75fccc72bdf244b67bff0cd7bd2485c290ec49cf36b582", "sport": "TENNIS"}</t>
        </is>
      </c>
    </row>
    <row r="1067" ht="36" customHeight="1">
      <c r="A1067" s="24" t="inlineStr">
        <is>
          <t>9bd4815b5a2b4658</t>
        </is>
      </c>
      <c r="B1067" s="24" t="inlineStr">
        <is>
          <t>2026-09-11T16:04:37.133259Z</t>
        </is>
      </c>
      <c r="C1067" s="24" t="inlineStr">
        <is>
          <t>2026-09-11T19:00Z</t>
        </is>
      </c>
      <c r="D1067" s="24" t="inlineStr">
        <is>
          <t>189-2026:182768</t>
        </is>
      </c>
      <c r="E1067" s="24" t="inlineStr">
        <is>
          <t>TENNIS</t>
        </is>
      </c>
      <c r="F1067" s="24" t="inlineStr">
        <is>
          <t>Karen Khachanov</t>
        </is>
      </c>
      <c r="G1067" s="24" t="inlineStr">
        <is>
          <t>Alexander Zverev</t>
        </is>
      </c>
      <c r="H1067" s="24" t="inlineStr">
        <is>
          <t>moneyline</t>
        </is>
      </c>
      <c r="I1067" s="24" t="inlineStr">
        <is>
          <t>home</t>
        </is>
      </c>
      <c r="J1067" s="25" t="n"/>
      <c r="K1067" s="24" t="inlineStr">
        <is>
          <t>polymarket_us</t>
        </is>
      </c>
      <c r="L1067" s="26" t="n">
        <v>-400</v>
      </c>
      <c r="M1067" s="27" t="n">
        <v>1.25</v>
      </c>
      <c r="N1067" s="28" t="n">
        <v>0.8</v>
      </c>
      <c r="O1067" s="28" t="n">
        <v>0.7856</v>
      </c>
      <c r="P1067" s="28" t="n">
        <v>0.05</v>
      </c>
      <c r="Q1067" s="28" t="n">
        <v>-0.0144</v>
      </c>
      <c r="R1067" s="26" t="n">
        <v>13</v>
      </c>
      <c r="S1067" s="29" t="n">
        <v>1</v>
      </c>
      <c r="T1067" s="24" t="inlineStr">
        <is>
          <t>tennis-surface-elo-v1</t>
        </is>
      </c>
      <c r="U1067" s="24" t="inlineStr">
        <is>
          <t>settled</t>
        </is>
      </c>
      <c r="V1067" s="24" t="inlineStr">
        <is>
          <t>win</t>
        </is>
      </c>
      <c r="W1067" s="26" t="n">
        <v>0</v>
      </c>
      <c r="X1067" s="26" t="n">
        <v>1</v>
      </c>
      <c r="Y1067" s="25" t="n"/>
      <c r="Z1067" s="26" t="n">
        <v>-400</v>
      </c>
      <c r="AA1067" s="28" t="n">
        <v>0.8</v>
      </c>
      <c r="AB1067" s="28" t="n">
        <v>0</v>
      </c>
      <c r="AC1067" s="30" t="n">
        <v>0.25</v>
      </c>
      <c r="AD1067" s="24" t="inlineStr">
        <is>
          <t>2026-09-12T04:31:02.662038Z</t>
        </is>
      </c>
      <c r="AE1067" s="31" t="inlineStr">
        <is>
          <t>Surface-blended Elo on Hard: Karen Khachanov p=0.214 vs Alexander Zverev. Executable ask 0.8000 (aec-atp-alezve-karkha-2026-09-11).</t>
        </is>
      </c>
      <c r="AF1067" s="31" t="inlineStr">
        <is>
          <t>Surface-blended Elo model; singles only, WTA+ATP market coverage, not yet locked-holdout qualified -- promoted by explicit operator directive, not genuine walk-forward validation.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PAPER_CALL_LOW_EDGE</t>
        </is>
      </c>
      <c r="AP1067" s="24" t="inlineStr">
        <is>
          <t>Karen Khachanov</t>
        </is>
      </c>
      <c r="AQ1067" s="24" t="inlineStr">
        <is>
          <t>Karen Khachanov</t>
        </is>
      </c>
      <c r="AR1067" s="24" t="inlineStr">
        <is>
          <t>Karen Khachanov</t>
        </is>
      </c>
      <c r="AS1067" s="24" t="inlineStr">
        <is>
          <t>Alexander Zverev</t>
        </is>
      </c>
      <c r="AT1067" s="24" t="inlineStr">
        <is>
          <t>Alexander Zverev</t>
        </is>
      </c>
      <c r="AU1067" s="24" t="inlineStr">
        <is>
          <t>Alexander Zverev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inlineStr">
        <is>
          <t>6c67e999d2a03612e30f4032c8e5e77e8becfbc79e05f4c8993e726b90d34d54</t>
        </is>
      </c>
      <c r="BB1067" s="24" t="inlineStr">
        <is>
          <t>surface_blended_elo</t>
        </is>
      </c>
      <c r="BC1067" s="24" t="inlineStr">
        <is>
          <t>tennis-surface-elo-v1</t>
        </is>
      </c>
      <c r="BD1067" s="24" t="inlineStr">
        <is>
          <t>6c67e999d2a03612e30f4032c8e5e77e8becfbc79e05f4c8993e726b90d34d54</t>
        </is>
      </c>
      <c r="BE1067" s="24" t="inlineStr">
        <is>
          <t>tennis-surface-elo-v1</t>
        </is>
      </c>
      <c r="BF1067" s="24" t="inlineStr">
        <is>
          <t>1</t>
        </is>
      </c>
      <c r="BG1067" s="24" t="inlineStr">
        <is>
          <t>6c67e999d2a03612e30f4032c8e5e77e8becfbc79e05f4c8993e726b90d34d54</t>
        </is>
      </c>
      <c r="BH1067" s="24" t="inlineStr">
        <is>
          <t>2026-09-11T16:03:40.199088Z</t>
        </is>
      </c>
      <c r="BI1067" s="24" t="inlineStr">
        <is>
          <t>["same_event","same_team_same_day","same_league_same_day"]</t>
        </is>
      </c>
      <c r="BJ1067" s="25" t="n"/>
      <c r="BK1067" s="26" t="n">
        <v>-400</v>
      </c>
      <c r="BL1067" s="27" t="n">
        <v>1.25</v>
      </c>
      <c r="BM1067" s="28" t="n">
        <v>0.8</v>
      </c>
      <c r="BN1067" s="28" t="n"/>
      <c r="BO1067" s="28" t="n"/>
      <c r="BP1067" s="25" t="n"/>
      <c r="BQ1067" s="27" t="n">
        <v>1.25</v>
      </c>
      <c r="BR1067" s="28" t="n">
        <v>0.8</v>
      </c>
      <c r="BS1067" s="28" t="n"/>
      <c r="BT1067" s="28" t="n"/>
      <c r="BU1067" s="25" t="n"/>
      <c r="BV1067" s="29" t="n"/>
      <c r="BW1067" s="24" t="n"/>
      <c r="BX1067" s="30" t="n"/>
      <c r="BY1067" s="27" t="n"/>
      <c r="BZ1067" s="24" t="n"/>
      <c r="CA1067" s="31" t="n"/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inlineStr">
        <is>
          <t>64c721a7bf13a30b0a7192c61e4848ba1862fae29634d5ede6c8a19af320593a</t>
        </is>
      </c>
      <c r="DE1067" s="24" t="inlineStr">
        <is>
          <t>/Users/vincentc9002/model-prediction/data/odds/tennis/2026-09-11/polymarket_snapshots.jsonl</t>
        </is>
      </c>
      <c r="DF1067" s="24" t="inlineStr">
        <is>
          <t>778144:2026-09-11T16:03:40.199088Z</t>
        </is>
      </c>
      <c r="DG1067" s="24" t="n"/>
      <c r="DH1067" s="24" t="n"/>
      <c r="DI1067" s="24" t="n"/>
      <c r="DJ1067" s="24" t="inlineStr">
        <is>
          <t>0.8</t>
        </is>
      </c>
      <c r="DK1067" s="24" t="n"/>
      <c r="DL1067" s="24" t="n"/>
      <c r="DM1067" s="24" t="n"/>
      <c r="DN1067" s="24" t="n"/>
      <c r="DO1067" s="24" t="n"/>
      <c r="DP1067" s="24" t="n"/>
      <c r="DQ1067" s="24" t="inlineStr">
        <is>
          <t>{"artifact_hash": "6c67e999d2a03612e30f4032c8e5e77e8becfbc79e05f4c8993e726b90d34d54", "away_team": "Karen Khachanov", "event_id": "189-2026:182768", "event_start_utc": "2026-09-11T19:00Z", "features": {"elo_p1_surface": 1656.6, "elo_p2_surface": 1871.6, "expected_games_p1": 6.82, "expected_games_p2": 12.74, "expected_total_games": 19.57, "history_matches": 11207, "min_player_matches": 153,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[1686.263671585594, 1950.7185212922], "players": ["Karen Khachanov", "Alexander Zverev"], "sport": "TENNIS", "surface": "Hard", "surface_counts": [98, 140], "surface_ratings": [1656.6436231893624, 1871.647279322375]}, "market_type": "moneyline", "model_version": "tennis-surface-elo-v1", "observed_at_utc": "2026-09-11T16:04:36.029463+00:00", "probabilities": {"away": 0.2144, "home": 0.7856}, "replay_scope": "Exact full-precision serving state and rounding; upstream historical observation times are not certified.", "schema": "coded-moneyline-replay-v1", "snapshot_hash": "949b8a16562eaa3ca23525c5d7448ca7fe9d120065087c27a207dc119f56c469", "sport": "TENNIS"}</t>
        </is>
      </c>
    </row>
    <row r="1068" ht="36" customHeight="1">
      <c r="A1068" s="24" t="inlineStr">
        <is>
          <t>9493fe0311cc4fd1</t>
        </is>
      </c>
      <c r="B1068" s="24" t="inlineStr">
        <is>
          <t>2026-09-11T22:03:44.963351Z</t>
        </is>
      </c>
      <c r="C1068" s="24" t="inlineStr">
        <is>
          <t>2026-09-11T22:30Z</t>
        </is>
      </c>
      <c r="D1068" s="24" t="inlineStr">
        <is>
          <t>964-2026:183641</t>
        </is>
      </c>
      <c r="E1068" s="24" t="inlineStr">
        <is>
          <t>TENNIS</t>
        </is>
      </c>
      <c r="F1068" s="24" t="inlineStr">
        <is>
          <t>Anna Blinkova</t>
        </is>
      </c>
      <c r="G1068" s="24" t="inlineStr">
        <is>
          <t>Elsa Jacquemot</t>
        </is>
      </c>
      <c r="H1068" s="24" t="inlineStr">
        <is>
          <t>moneyline</t>
        </is>
      </c>
      <c r="I1068" s="24" t="inlineStr">
        <is>
          <t>away</t>
        </is>
      </c>
      <c r="J1068" s="25" t="n"/>
      <c r="K1068" s="24" t="inlineStr">
        <is>
          <t>polymarket_us</t>
        </is>
      </c>
      <c r="L1068" s="26" t="n">
        <v>-203</v>
      </c>
      <c r="M1068" s="27" t="n">
        <v>1.492611</v>
      </c>
      <c r="N1068" s="28" t="n">
        <v>0.669967</v>
      </c>
      <c r="O1068" s="28" t="n">
        <v>0.6217</v>
      </c>
      <c r="P1068" s="28" t="n">
        <v>0.05</v>
      </c>
      <c r="Q1068" s="28" t="n">
        <v>-0.048267</v>
      </c>
      <c r="R1068" s="26" t="n">
        <v>0</v>
      </c>
      <c r="S1068" s="29" t="n">
        <v>1</v>
      </c>
      <c r="T1068" s="24" t="inlineStr">
        <is>
          <t>tennis-surface-elo-v1</t>
        </is>
      </c>
      <c r="U1068" s="24" t="inlineStr">
        <is>
          <t>settled</t>
        </is>
      </c>
      <c r="V1068" s="24" t="inlineStr">
        <is>
          <t>win</t>
        </is>
      </c>
      <c r="W1068" s="26" t="n">
        <v>1</v>
      </c>
      <c r="X1068" s="26" t="n">
        <v>0</v>
      </c>
      <c r="Y1068" s="25" t="n"/>
      <c r="Z1068" s="26" t="n">
        <v>-203</v>
      </c>
      <c r="AA1068" s="28" t="n">
        <v>0.67</v>
      </c>
      <c r="AB1068" s="28" t="n">
        <v>3.3e-05</v>
      </c>
      <c r="AC1068" s="30" t="n">
        <v>0.4926</v>
      </c>
      <c r="AD1068" s="24" t="inlineStr">
        <is>
          <t>2026-09-12T04:31:29.968339Z</t>
        </is>
      </c>
      <c r="AE1068" s="31" t="inlineStr">
        <is>
          <t>Surface-blended Elo on Hard: Anna Blinkova p=0.622 vs Elsa Jacquemot. Executable ask 0.6700 (aec-wta-elsjac-annbli-2026-09-12).</t>
        </is>
      </c>
      <c r="AF1068" s="31" t="inlineStr">
        <is>
          <t>Surface-blended Elo model; singles only, WTA+ATP market coverage, not yet locked-holdout qualified -- promoted by explicit operator directive, not genuine walk-forward validation.</t>
        </is>
      </c>
      <c r="AG1068" s="24" t="inlineStr">
        <is>
          <t>not_applicable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PAPER_CALL_LOW_EDGE</t>
        </is>
      </c>
      <c r="AP1068" s="24" t="inlineStr">
        <is>
          <t>Anna Blinkova</t>
        </is>
      </c>
      <c r="AQ1068" s="24" t="inlineStr">
        <is>
          <t>Anna Blinkova</t>
        </is>
      </c>
      <c r="AR1068" s="24" t="inlineStr">
        <is>
          <t>Anna Blinkova</t>
        </is>
      </c>
      <c r="AS1068" s="24" t="inlineStr">
        <is>
          <t>Elsa Jacquemot</t>
        </is>
      </c>
      <c r="AT1068" s="24" t="inlineStr">
        <is>
          <t>Elsa Jacquemot</t>
        </is>
      </c>
      <c r="AU1068" s="24" t="inlineStr">
        <is>
          <t>Elsa Jacquemot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inlineStr">
        <is>
          <t>6c67e999d2a03612e30f4032c8e5e77e8becfbc79e05f4c8993e726b90d34d54</t>
        </is>
      </c>
      <c r="BB1068" s="24" t="inlineStr">
        <is>
          <t>surface_blended_elo</t>
        </is>
      </c>
      <c r="BC1068" s="24" t="inlineStr">
        <is>
          <t>tennis-surface-elo-v1</t>
        </is>
      </c>
      <c r="BD1068" s="24" t="inlineStr">
        <is>
          <t>6c67e999d2a03612e30f4032c8e5e77e8becfbc79e05f4c8993e726b90d34d54</t>
        </is>
      </c>
      <c r="BE1068" s="24" t="inlineStr">
        <is>
          <t>tennis-surface-elo-v1</t>
        </is>
      </c>
      <c r="BF1068" s="24" t="inlineStr">
        <is>
          <t>1</t>
        </is>
      </c>
      <c r="BG1068" s="24" t="inlineStr">
        <is>
          <t>6c67e999d2a03612e30f4032c8e5e77e8becfbc79e05f4c8993e726b90d34d54</t>
        </is>
      </c>
      <c r="BH1068" s="24" t="inlineStr">
        <is>
          <t>2026-09-11T22:03:02.812076Z</t>
        </is>
      </c>
      <c r="BI1068" s="24" t="inlineStr">
        <is>
          <t>["same_event","same_team_same_day","same_league_same_day"]</t>
        </is>
      </c>
      <c r="BJ1068" s="25" t="n"/>
      <c r="BK1068" s="26" t="n">
        <v>-203</v>
      </c>
      <c r="BL1068" s="27" t="n">
        <v>1.492611</v>
      </c>
      <c r="BM1068" s="28" t="n">
        <v>0.669967</v>
      </c>
      <c r="BN1068" s="28" t="n"/>
      <c r="BO1068" s="28" t="n"/>
      <c r="BP1068" s="25" t="n"/>
      <c r="BQ1068" s="27" t="n">
        <v>1.492611</v>
      </c>
      <c r="BR1068" s="28" t="n">
        <v>0.67</v>
      </c>
      <c r="BS1068" s="28" t="n"/>
      <c r="BT1068" s="28" t="n"/>
      <c r="BU1068" s="25" t="n"/>
      <c r="BV1068" s="29" t="n"/>
      <c r="BW1068" s="24" t="n"/>
      <c r="BX1068" s="30" t="n"/>
      <c r="BY1068" s="27" t="n"/>
      <c r="BZ1068" s="24" t="n"/>
      <c r="CA1068" s="31" t="n"/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inlineStr">
        <is>
          <t>a4e4d2e927064cc4069d3f4cfbee4c41a6a52265ce046d0c3aed28e771ecd165</t>
        </is>
      </c>
      <c r="DE1068" s="24" t="inlineStr">
        <is>
          <t>/Users/vincentc9002/model-prediction/data/odds/tennis/2026-09-11/polymarket_snapshots.jsonl</t>
        </is>
      </c>
      <c r="DF1068" s="24" t="inlineStr">
        <is>
          <t>785339:2026-09-11T22:03:02.812076Z</t>
        </is>
      </c>
      <c r="DG1068" s="24" t="n"/>
      <c r="DH1068" s="24" t="n"/>
      <c r="DI1068" s="24" t="n"/>
      <c r="DJ1068" s="24" t="inlineStr">
        <is>
          <t>0.669967</t>
        </is>
      </c>
      <c r="DK1068" s="24" t="n"/>
      <c r="DL1068" s="24" t="n"/>
      <c r="DM1068" s="24" t="n"/>
      <c r="DN1068" s="24" t="n"/>
      <c r="DO1068" s="24" t="n"/>
      <c r="DP1068" s="24" t="n"/>
      <c r="DQ1068" s="24" t="inlineStr">
        <is>
          <t>{"artifact_hash": "6c67e999d2a03612e30f4032c8e5e77e8becfbc79e05f4c8993e726b90d34d54", "away_team": "Anna Blinkova", "event_id": "964-2026:183641", "event_start_utc": "2026-09-11T22:30Z", "features": {"elo_p1_surface": 1598.8, "elo_p2_surface": 1510.5, "expected_games_p1": 13.46, "expected_games_p2": 9.43, "expected_total_games": 22.88, "history_matches": 15943, "min_player_matches": 141,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[1606.7896216389527, 1526.2207621009723], "players": ["Anna Blinkova", "Elsa Jacquemot"], "sport": "TENNIS", "surface": "Hard", "surface_counts": [126, 115], "surface_ratings": [1598.7980716533739, 1510.5098042003547]}, "market_type": "moneyline", "model_version": "tennis-surface-elo-v1", "observed_at_utc": "2026-09-11T22:03:43.461720+00:00", "probabilities": {"away": 0.6217, "home": 0.3783}, "replay_scope": "Exact full-precision serving state and rounding; upstream historical observation times are not certified.", "schema": "coded-moneyline-replay-v1", "snapshot_hash": "efd8c58772b2997d258f8bea5a65ad582da8bcab3e2c9e3162709f1ac5b4c4ae", "sport": "TENNIS"}</t>
        </is>
      </c>
    </row>
    <row r="1069" ht="36" customHeight="1">
      <c r="A1069" s="24" t="inlineStr">
        <is>
          <t>73b9c8ef5e7c415b</t>
        </is>
      </c>
      <c r="B1069" s="24" t="inlineStr">
        <is>
          <t>2026-09-11T22:03:44.963351Z</t>
        </is>
      </c>
      <c r="C1069" s="24" t="inlineStr">
        <is>
          <t>2026-09-11T23:00Z</t>
        </is>
      </c>
      <c r="D1069" s="24" t="inlineStr">
        <is>
          <t>189-2026:182766</t>
        </is>
      </c>
      <c r="E1069" s="24" t="inlineStr">
        <is>
          <t>TENNIS</t>
        </is>
      </c>
      <c r="F1069" s="24" t="inlineStr">
        <is>
          <t>Ben Shelton</t>
        </is>
      </c>
      <c r="G1069" s="24" t="inlineStr">
        <is>
          <t>Frances Tiafoe</t>
        </is>
      </c>
      <c r="H1069" s="24" t="inlineStr">
        <is>
          <t>moneyline</t>
        </is>
      </c>
      <c r="I1069" s="24" t="inlineStr">
        <is>
          <t>away</t>
        </is>
      </c>
      <c r="J1069" s="25" t="n"/>
      <c r="K1069" s="24" t="inlineStr">
        <is>
          <t>polymarket_us</t>
        </is>
      </c>
      <c r="L1069" s="26" t="n">
        <v>-264</v>
      </c>
      <c r="M1069" s="27" t="n">
        <v>1.378788</v>
      </c>
      <c r="N1069" s="28" t="n">
        <v>0.725275</v>
      </c>
      <c r="O1069" s="28" t="n">
        <v>0.5581</v>
      </c>
      <c r="P1069" s="28" t="n">
        <v>0.05</v>
      </c>
      <c r="Q1069" s="28" t="n">
        <v>-0.167175</v>
      </c>
      <c r="R1069" s="26" t="n">
        <v>0</v>
      </c>
      <c r="S1069" s="29" t="n">
        <v>1</v>
      </c>
      <c r="T1069" s="24" t="inlineStr">
        <is>
          <t>tennis-surface-elo-v1</t>
        </is>
      </c>
      <c r="U1069" s="24" t="inlineStr">
        <is>
          <t>settled</t>
        </is>
      </c>
      <c r="V1069" s="24" t="inlineStr">
        <is>
          <t>win</t>
        </is>
      </c>
      <c r="W1069" s="26" t="n">
        <v>1</v>
      </c>
      <c r="X1069" s="26" t="n">
        <v>0</v>
      </c>
      <c r="Y1069" s="25" t="n"/>
      <c r="Z1069" s="26" t="n">
        <v>-264</v>
      </c>
      <c r="AA1069" s="28" t="n">
        <v>0.725</v>
      </c>
      <c r="AB1069" s="28" t="n">
        <v>-0.000275</v>
      </c>
      <c r="AC1069" s="30" t="n">
        <v>0.3788</v>
      </c>
      <c r="AD1069" s="24" t="inlineStr">
        <is>
          <t>2026-09-12T04:31:30.401635Z</t>
        </is>
      </c>
      <c r="AE1069" s="31" t="inlineStr">
        <is>
          <t>Surface-blended Elo on Hard: Ben Shelton p=0.558 vs Frances Tiafoe. Executable ask 0.7250 (aec-atp-fratia-benshe-2026-09-10).</t>
        </is>
      </c>
      <c r="AF1069" s="31" t="inlineStr">
        <is>
          <t>Surface-blended Elo model; singles only, WTA+ATP market coverage, not yet locked-holdout qualified -- promoted by explicit operator directive, not genuine walk-forward validation.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PAPER_CALL_LOW_EDGE</t>
        </is>
      </c>
      <c r="AP1069" s="24" t="inlineStr">
        <is>
          <t>Ben Shelton</t>
        </is>
      </c>
      <c r="AQ1069" s="24" t="inlineStr">
        <is>
          <t>Ben Shelton</t>
        </is>
      </c>
      <c r="AR1069" s="24" t="inlineStr">
        <is>
          <t>Ben Shelton</t>
        </is>
      </c>
      <c r="AS1069" s="24" t="inlineStr">
        <is>
          <t>Frances Tiafoe</t>
        </is>
      </c>
      <c r="AT1069" s="24" t="inlineStr">
        <is>
          <t>Frances Tiafoe</t>
        </is>
      </c>
      <c r="AU1069" s="24" t="inlineStr">
        <is>
          <t>Frances Tiafoe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inlineStr">
        <is>
          <t>6c67e999d2a03612e30f4032c8e5e77e8becfbc79e05f4c8993e726b90d34d54</t>
        </is>
      </c>
      <c r="BB1069" s="24" t="inlineStr">
        <is>
          <t>surface_blended_elo</t>
        </is>
      </c>
      <c r="BC1069" s="24" t="inlineStr">
        <is>
          <t>tennis-surface-elo-v1</t>
        </is>
      </c>
      <c r="BD1069" s="24" t="inlineStr">
        <is>
          <t>6c67e999d2a03612e30f4032c8e5e77e8becfbc79e05f4c8993e726b90d34d54</t>
        </is>
      </c>
      <c r="BE1069" s="24" t="inlineStr">
        <is>
          <t>tennis-surface-elo-v1</t>
        </is>
      </c>
      <c r="BF1069" s="24" t="inlineStr">
        <is>
          <t>1</t>
        </is>
      </c>
      <c r="BG1069" s="24" t="inlineStr">
        <is>
          <t>6c67e999d2a03612e30f4032c8e5e77e8becfbc79e05f4c8993e726b90d34d54</t>
        </is>
      </c>
      <c r="BH1069" s="24" t="inlineStr">
        <is>
          <t>2026-09-11T22:03:03.689180Z</t>
        </is>
      </c>
      <c r="BI1069" s="24" t="inlineStr">
        <is>
          <t>["same_event","same_team_same_day","same_league_same_day"]</t>
        </is>
      </c>
      <c r="BJ1069" s="25" t="n"/>
      <c r="BK1069" s="26" t="n">
        <v>-264</v>
      </c>
      <c r="BL1069" s="27" t="n">
        <v>1.378788</v>
      </c>
      <c r="BM1069" s="28" t="n">
        <v>0.725275</v>
      </c>
      <c r="BN1069" s="28" t="n"/>
      <c r="BO1069" s="28" t="n"/>
      <c r="BP1069" s="25" t="n"/>
      <c r="BQ1069" s="27" t="n">
        <v>1.378788</v>
      </c>
      <c r="BR1069" s="28" t="n">
        <v>0.725</v>
      </c>
      <c r="BS1069" s="28" t="n"/>
      <c r="BT1069" s="28" t="n"/>
      <c r="BU1069" s="25" t="n"/>
      <c r="BV1069" s="29" t="n"/>
      <c r="BW1069" s="24" t="n"/>
      <c r="BX1069" s="30" t="n"/>
      <c r="BY1069" s="27" t="n"/>
      <c r="BZ1069" s="24" t="n"/>
      <c r="CA1069" s="31" t="n"/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inlineStr">
        <is>
          <t>351a0dc521966561b8aee9d473c2986ac29c6e0cedd01300423f20de9448ff44</t>
        </is>
      </c>
      <c r="DE1069" s="24" t="inlineStr">
        <is>
          <t>/Users/vincentc9002/model-prediction/data/odds/tennis/2026-09-11/polymarket_snapshots.jsonl</t>
        </is>
      </c>
      <c r="DF1069" s="24" t="inlineStr">
        <is>
          <t>767400:2026-09-11T22:03:03.689180Z</t>
        </is>
      </c>
      <c r="DG1069" s="24" t="n"/>
      <c r="DH1069" s="24" t="n"/>
      <c r="DI1069" s="24" t="n"/>
      <c r="DJ1069" s="24" t="inlineStr">
        <is>
          <t>0.725275</t>
        </is>
      </c>
      <c r="DK1069" s="24" t="n"/>
      <c r="DL1069" s="24" t="n"/>
      <c r="DM1069" s="24" t="n"/>
      <c r="DN1069" s="24" t="n"/>
      <c r="DO1069" s="24" t="n"/>
      <c r="DP1069" s="24" t="n"/>
      <c r="DQ1069" s="24" t="inlineStr">
        <is>
          <t>{"artifact_hash": "6c67e999d2a03612e30f4032c8e5e77e8becfbc79e05f4c8993e726b90d34d54", "away_team": "Ben Shelton", "event_id": "189-2026:182766", "event_start_utc": "2026-09-11T23:00Z", "features": {"elo_p1_surface": 1898.0, "elo_p2_surface": 1837.4, "expected_games_p1": 13.69, "expected_games_p2": 10.91, "expected_total_games": 24.6, "history_matches": 11207, "min_player_matches": 160, "surface": "Hard"}, "historical_source_observation_times_verified": false, "home_team": "Frances Tiafoe", "inference_inputs": {"code_sha256": {"features/elo_ratings.py": "8525faf022a6343c452286dbfeb17dbb043744c6bdabbe448b6b371216da439b", "models/tennis.py": "6c67e999d2a03612e30f4032c8e5e77e8becfbc79e05f4c8993e726b90d34d54"}, "overall_ratings": [1855.3572549455819, 1878.798006010687], "players": ["Ben Shelton", "Frances Tiafoe"], "sport": "TENNIS", "surface": "Hard", "surface_counts": [139, 121], "surface_ratings": [1898.0354871387524, 1837.433869603098]}, "market_type": "moneyline", "model_version": "tennis-surface-elo-v1", "observed_at_utc": "2026-09-11T22:03:43.461720+00:00", "probabilities": {"away": 0.5581, "home": 0.4419}, "replay_scope": "Exact full-precision serving state and rounding; upstream historical observation times are not certified.", "schema": "coded-moneyline-replay-v1", "snapshot_hash": "d964988dcc7bd39589bd1e3be9e600b5e2ddfede90d850e25968ce3ab418a9e8", "sport": "TENNIS"}</t>
        </is>
      </c>
    </row>
    <row r="1070" ht="36" customHeight="1">
      <c r="A1070" s="24" t="inlineStr">
        <is>
          <t>239bf52670764310</t>
        </is>
      </c>
      <c r="B1070" s="24" t="inlineStr">
        <is>
          <t>2026-09-12T04:37:33.303202Z</t>
        </is>
      </c>
      <c r="C1070" s="24" t="inlineStr">
        <is>
          <t>2026-09-12T10:00Z</t>
        </is>
      </c>
      <c r="D1070" s="24" t="inlineStr">
        <is>
          <t>1076-2026:183559</t>
        </is>
      </c>
      <c r="E1070" s="24" t="inlineStr">
        <is>
          <t>TENNIS</t>
        </is>
      </c>
      <c r="F1070" s="24" t="inlineStr">
        <is>
          <t>Irene Burillo</t>
        </is>
      </c>
      <c r="G1070" s="24" t="inlineStr">
        <is>
          <t>Rositsa Dencheva</t>
        </is>
      </c>
      <c r="H1070" s="24" t="inlineStr">
        <is>
          <t>moneyline</t>
        </is>
      </c>
      <c r="I1070" s="24" t="inlineStr">
        <is>
          <t>home</t>
        </is>
      </c>
      <c r="J1070" s="25" t="n"/>
      <c r="K1070" s="24" t="inlineStr">
        <is>
          <t>polymarket_us</t>
        </is>
      </c>
      <c r="L1070" s="26" t="n">
        <v>-257</v>
      </c>
      <c r="M1070" s="27" t="n">
        <v>1.389105</v>
      </c>
      <c r="N1070" s="28" t="n">
        <v>0.719888</v>
      </c>
      <c r="O1070" s="28" t="n">
        <v>0.642</v>
      </c>
      <c r="P1070" s="28" t="n">
        <v>0.05</v>
      </c>
      <c r="Q1070" s="28" t="n">
        <v>-0.077888</v>
      </c>
      <c r="R1070" s="26" t="n">
        <v>0</v>
      </c>
      <c r="S1070" s="29" t="n">
        <v>1</v>
      </c>
      <c r="T1070" s="24" t="inlineStr">
        <is>
          <t>tennis-surface-elo-v1</t>
        </is>
      </c>
      <c r="U1070" s="24" t="inlineStr">
        <is>
          <t>settled</t>
        </is>
      </c>
      <c r="V1070" s="24" t="inlineStr">
        <is>
          <t>win</t>
        </is>
      </c>
      <c r="W1070" s="26" t="n">
        <v>0</v>
      </c>
      <c r="X1070" s="26" t="n">
        <v>1</v>
      </c>
      <c r="Y1070" s="25" t="n"/>
      <c r="Z1070" s="26" t="n">
        <v>-257</v>
      </c>
      <c r="AA1070" s="28" t="n">
        <v>0.72</v>
      </c>
      <c r="AB1070" s="28" t="n">
        <v>0.000112</v>
      </c>
      <c r="AC1070" s="30" t="n">
        <v>0.3891</v>
      </c>
      <c r="AD1070" s="24" t="inlineStr">
        <is>
          <t>2026-09-12T16:00:31.800311Z</t>
        </is>
      </c>
      <c r="AE1070" s="31" t="inlineStr">
        <is>
          <t>Surface-blended Elo on Hard: Irene Burillo p=0.358 vs Rositsa Dencheva. Executable ask 0.7200 (aec-wta-rosden-ireesc-2026-09-12).</t>
        </is>
      </c>
      <c r="AF1070" s="31" t="inlineStr">
        <is>
          <t>Surface-blended Elo model; singles only, WTA+ATP market coverage, not yet locked-holdout qualified -- promoted by explicit operator directive, not genuine walk-forward validation.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PAPER_CALL_MODEL_UNVALIDATED</t>
        </is>
      </c>
      <c r="AP1070" s="24" t="inlineStr">
        <is>
          <t>Irene Burillo</t>
        </is>
      </c>
      <c r="AQ1070" s="24" t="inlineStr">
        <is>
          <t>Irene Burillo</t>
        </is>
      </c>
      <c r="AR1070" s="24" t="inlineStr">
        <is>
          <t>Irene Burillo</t>
        </is>
      </c>
      <c r="AS1070" s="24" t="inlineStr">
        <is>
          <t>Rositsa Dencheva</t>
        </is>
      </c>
      <c r="AT1070" s="24" t="inlineStr">
        <is>
          <t>Rositsa Dencheva</t>
        </is>
      </c>
      <c r="AU1070" s="24" t="inlineStr">
        <is>
          <t>Rositsa Dencheva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inlineStr">
        <is>
          <t>6c67e999d2a03612e30f4032c8e5e77e8becfbc79e05f4c8993e726b90d34d54</t>
        </is>
      </c>
      <c r="BB1070" s="24" t="inlineStr">
        <is>
          <t>surface_blended_elo</t>
        </is>
      </c>
      <c r="BC1070" s="24" t="inlineStr">
        <is>
          <t>tennis-surface-elo-v1</t>
        </is>
      </c>
      <c r="BD1070" s="24" t="inlineStr">
        <is>
          <t>6c67e999d2a03612e30f4032c8e5e77e8becfbc79e05f4c8993e726b90d34d54</t>
        </is>
      </c>
      <c r="BE1070" s="24" t="inlineStr">
        <is>
          <t>tennis-surface-elo-v1</t>
        </is>
      </c>
      <c r="BF1070" s="24" t="inlineStr">
        <is>
          <t>1</t>
        </is>
      </c>
      <c r="BG1070" s="24" t="inlineStr">
        <is>
          <t>6c67e999d2a03612e30f4032c8e5e77e8becfbc79e05f4c8993e726b90d34d54</t>
        </is>
      </c>
      <c r="BH1070" s="24" t="inlineStr">
        <is>
          <t>2026-09-12T04:36:17.812748Z</t>
        </is>
      </c>
      <c r="BI1070" s="24" t="inlineStr">
        <is>
          <t>["same_event","same_team_same_day","same_league_same_day"]</t>
        </is>
      </c>
      <c r="BJ1070" s="25" t="n"/>
      <c r="BK1070" s="26" t="n">
        <v>-257</v>
      </c>
      <c r="BL1070" s="27" t="n">
        <v>1.389105</v>
      </c>
      <c r="BM1070" s="28" t="n">
        <v>0.719888</v>
      </c>
      <c r="BN1070" s="28" t="n"/>
      <c r="BO1070" s="28" t="n"/>
      <c r="BP1070" s="25" t="n"/>
      <c r="BQ1070" s="27" t="n">
        <v>1.389105</v>
      </c>
      <c r="BR1070" s="28" t="n">
        <v>0.72</v>
      </c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inlineStr">
        <is>
          <t>31abf30e0bf664d838f53e1faa2662b1b63b4842f248978fe5b39aae961340b1</t>
        </is>
      </c>
      <c r="DE1070" s="24" t="inlineStr">
        <is>
          <t>/Users/vincentc9002/model-prediction/data/odds/tennis/2026-09-12/polymarket_snapshots.jsonl</t>
        </is>
      </c>
      <c r="DF1070" s="24" t="inlineStr">
        <is>
          <t>790661:2026-09-12T04:36:17.812748Z</t>
        </is>
      </c>
      <c r="DG1070" s="24" t="n"/>
      <c r="DH1070" s="24" t="n"/>
      <c r="DI1070" s="24" t="n"/>
      <c r="DJ1070" s="24" t="inlineStr">
        <is>
          <t>0.719888</t>
        </is>
      </c>
      <c r="DK1070" s="24" t="n"/>
      <c r="DL1070" s="24" t="n"/>
      <c r="DM1070" s="24" t="n"/>
      <c r="DN1070" s="24" t="n"/>
      <c r="DO1070" s="24" t="n"/>
      <c r="DP1070" s="24" t="n"/>
      <c r="DQ1070" s="24" t="inlineStr">
        <is>
          <t>{"artifact_hash": "6c67e999d2a03612e30f4032c8e5e77e8becfbc79e05f4c8993e726b90d34d54", "away_team": "Irene Burillo", "event_id": "1076-2026:183559", "event_start_utc": "2026-09-12T10:00Z", "features": {"elo_p1_surface": 1485.4, "elo_p2_surface": 1578.3, "expected_games_p1": 9.71, "expected_games_p2": 13.29, "expected_total_games": 23.0, "history_matches": 15953, "min_player_matches": 5,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[1467.2350070336176, 1580.355552666662], "players": ["Irene Burillo", "Rositsa Dencheva"], "sport": "TENNIS", "surface": "Hard", "surface_counts": [40, 5], "surface_ratings": [1485.3770054670263, 1578.3082658587898]}, "market_type": "moneyline", "model_version": "tennis-surface-elo-v1", "observed_at_utc": "2026-09-12T04:37:31.050393+00:00", "probabilities": {"away": 0.358, "home": 0.642}, "replay_scope": "Exact full-precision serving state and rounding; upstream historical observation times are not certified.", "schema": "coded-moneyline-replay-v1", "snapshot_hash": "67bca8db2046b7a81765d07199dc8b536c17ec60aca7265700ec1e17f97f43f3", "sport": "TENNIS"}</t>
        </is>
      </c>
    </row>
    <row r="1071" ht="36" customHeight="1">
      <c r="A1071" s="24" t="inlineStr">
        <is>
          <t>9796a53d6b40473c</t>
        </is>
      </c>
      <c r="B1071" s="24" t="inlineStr">
        <is>
          <t>2026-09-12T10:07:04.732639Z</t>
        </is>
      </c>
      <c r="C1071" s="24" t="inlineStr">
        <is>
          <t>2026-09-12T14:00Z</t>
        </is>
      </c>
      <c r="D1071" s="24" t="inlineStr">
        <is>
          <t>998-2026:183605</t>
        </is>
      </c>
      <c r="E1071" s="24" t="inlineStr">
        <is>
          <t>TENNIS</t>
        </is>
      </c>
      <c r="F1071" s="24" t="inlineStr">
        <is>
          <t>Fiona Ferro</t>
        </is>
      </c>
      <c r="G1071" s="24" t="inlineStr">
        <is>
          <t>Dalma Galfi</t>
        </is>
      </c>
      <c r="H1071" s="24" t="inlineStr">
        <is>
          <t>moneyline</t>
        </is>
      </c>
      <c r="I1071" s="24" t="inlineStr">
        <is>
          <t>away</t>
        </is>
      </c>
      <c r="J1071" s="25" t="n"/>
      <c r="K1071" s="24" t="inlineStr">
        <is>
          <t>polymarket_us</t>
        </is>
      </c>
      <c r="L1071" s="26" t="n">
        <v>-150</v>
      </c>
      <c r="M1071" s="27" t="n">
        <v>1.666667</v>
      </c>
      <c r="N1071" s="28" t="n">
        <v>0.6</v>
      </c>
      <c r="O1071" s="28" t="n">
        <v>0.6238</v>
      </c>
      <c r="P1071" s="28" t="n">
        <v>0.05</v>
      </c>
      <c r="Q1071" s="28" t="n">
        <v>0.0238</v>
      </c>
      <c r="R1071" s="26" t="n">
        <v>32</v>
      </c>
      <c r="S1071" s="29" t="n">
        <v>1</v>
      </c>
      <c r="T1071" s="24" t="inlineStr">
        <is>
          <t>tennis-surface-elo-v1</t>
        </is>
      </c>
      <c r="U1071" s="24" t="inlineStr">
        <is>
          <t>settled</t>
        </is>
      </c>
      <c r="V1071" s="24" t="inlineStr">
        <is>
          <t>win</t>
        </is>
      </c>
      <c r="W1071" s="26" t="n">
        <v>1</v>
      </c>
      <c r="X1071" s="26" t="n">
        <v>0</v>
      </c>
      <c r="Y1071" s="25" t="n"/>
      <c r="Z1071" s="26" t="n">
        <v>-150</v>
      </c>
      <c r="AA1071" s="28" t="n">
        <v>0.6</v>
      </c>
      <c r="AB1071" s="28" t="n">
        <v>0</v>
      </c>
      <c r="AC1071" s="30" t="n">
        <v>0.6667</v>
      </c>
      <c r="AD1071" s="24" t="inlineStr">
        <is>
          <t>2026-09-12T22:01:26.619796Z</t>
        </is>
      </c>
      <c r="AE1071" s="31" t="inlineStr">
        <is>
          <t>Surface-blended Elo on Hard: Fiona Ferro p=0.624 vs Dalma Galfi. Executable ask 0.6000 (aec-wta-dalgal-fiofer-2026-09-12).</t>
        </is>
      </c>
      <c r="AF1071" s="31" t="inlineStr">
        <is>
          <t>Surface-blended Elo model; singles only, WTA+ATP market coverage, not yet locked-holdout qualified -- promoted by explicit operator directive, not genuine walk-forward validation.</t>
        </is>
      </c>
      <c r="AG1071" s="24" t="inlineStr">
        <is>
          <t>not_applicable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PAPER_CALL_LOW_EDGE</t>
        </is>
      </c>
      <c r="AP1071" s="24" t="inlineStr">
        <is>
          <t>Fiona Ferro</t>
        </is>
      </c>
      <c r="AQ1071" s="24" t="inlineStr">
        <is>
          <t>Fiona Ferro</t>
        </is>
      </c>
      <c r="AR1071" s="24" t="inlineStr">
        <is>
          <t>Fiona Ferro</t>
        </is>
      </c>
      <c r="AS1071" s="24" t="inlineStr">
        <is>
          <t>Dalma Galfi</t>
        </is>
      </c>
      <c r="AT1071" s="24" t="inlineStr">
        <is>
          <t>Dalma Galfi</t>
        </is>
      </c>
      <c r="AU1071" s="24" t="inlineStr">
        <is>
          <t>Dalma Galfi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6c67e999d2a03612e30f4032c8e5e77e8becfbc79e05f4c8993e726b90d34d54</t>
        </is>
      </c>
      <c r="BB1071" s="24" t="inlineStr">
        <is>
          <t>surface_blended_elo</t>
        </is>
      </c>
      <c r="BC1071" s="24" t="inlineStr">
        <is>
          <t>tennis-surface-elo-v1</t>
        </is>
      </c>
      <c r="BD1071" s="24" t="inlineStr">
        <is>
          <t>6c67e999d2a03612e30f4032c8e5e77e8becfbc79e05f4c8993e726b90d34d54</t>
        </is>
      </c>
      <c r="BE1071" s="24" t="inlineStr">
        <is>
          <t>tennis-surface-elo-v1</t>
        </is>
      </c>
      <c r="BF1071" s="24" t="inlineStr">
        <is>
          <t>1</t>
        </is>
      </c>
      <c r="BG1071" s="24" t="inlineStr">
        <is>
          <t>6c67e999d2a03612e30f4032c8e5e77e8becfbc79e05f4c8993e726b90d34d54</t>
        </is>
      </c>
      <c r="BH1071" s="24" t="inlineStr">
        <is>
          <t>2026-09-12T10:05:55.627786Z</t>
        </is>
      </c>
      <c r="BI1071" s="24" t="inlineStr">
        <is>
          <t>["same_event","same_team_same_day","same_league_same_day"]</t>
        </is>
      </c>
      <c r="BJ1071" s="25" t="n"/>
      <c r="BK1071" s="26" t="n">
        <v>-150</v>
      </c>
      <c r="BL1071" s="27" t="n">
        <v>1.666667</v>
      </c>
      <c r="BM1071" s="28" t="n">
        <v>0.6</v>
      </c>
      <c r="BN1071" s="28" t="n"/>
      <c r="BO1071" s="28" t="n"/>
      <c r="BP1071" s="25" t="n"/>
      <c r="BQ1071" s="27" t="n">
        <v>1.666667</v>
      </c>
      <c r="BR1071" s="28" t="n">
        <v>0.6</v>
      </c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n"/>
      <c r="CU1071" s="24" t="n"/>
      <c r="CV1071" s="24" t="n"/>
      <c r="CW1071" s="24" t="n"/>
      <c r="CX1071" s="24" t="n"/>
      <c r="CY1071" s="24" t="n"/>
      <c r="CZ1071" s="24" t="n"/>
      <c r="DA1071" s="24" t="n"/>
      <c r="DB1071" s="24" t="n"/>
      <c r="DC1071" s="24" t="n"/>
      <c r="DD1071" s="24" t="inlineStr">
        <is>
          <t>4e7a8884d420207d7a6e544c33a18861032b7cda0f2f07fdf0e5d56d4e179282</t>
        </is>
      </c>
      <c r="DE1071" s="24" t="inlineStr">
        <is>
          <t>/Users/vincentc9002/model-prediction/data/odds/tennis/2026-09-12/polymarket_snapshots.jsonl</t>
        </is>
      </c>
      <c r="DF1071" s="24" t="inlineStr">
        <is>
          <t>792708:2026-09-12T10:05:55.627786Z</t>
        </is>
      </c>
      <c r="DG1071" s="24" t="n"/>
      <c r="DH1071" s="24" t="n"/>
      <c r="DI1071" s="24" t="n"/>
      <c r="DJ1071" s="24" t="inlineStr">
        <is>
          <t>0.6</t>
        </is>
      </c>
      <c r="DK1071" s="24" t="n"/>
      <c r="DL1071" s="24" t="n"/>
      <c r="DM1071" s="24" t="n"/>
      <c r="DN1071" s="24" t="n"/>
      <c r="DO1071" s="24" t="n"/>
      <c r="DP1071" s="24" t="n"/>
      <c r="DQ1071" s="24" t="inlineStr">
        <is>
          <t>{"artifact_hash": "6c67e999d2a03612e30f4032c8e5e77e8becfbc79e05f4c8993e726b90d34d54", "away_team": "Fiona Ferro", "event_id": "998-2026:183605", "event_start_utc": "2026-09-12T14:00Z", "features": {"elo_p1_surface": 1643.0, "elo_p2_surface": 1540.4, "expected_games_p1": 13.43, "expected_games_p2": 8.91, "expected_total_games": 22.34, "history_matches": 15953, "min_player_matches": 80, "surface": "Hard"}, "historical_source_observation_times_verified": false, "home_team": "Dalma Galfi", "inference_inputs": {"code_sha256": {"features/elo_ratings.py": "8525faf022a6343c452286dbfeb17dbb043744c6bdabbe448b6b371216da439b", "models/tennis.py": "6c67e999d2a03612e30f4032c8e5e77e8becfbc79e05f4c8993e726b90d34d54"}, "overall_ratings": [1607.8155231935998, 1556.655820668132], "players": ["Fiona Ferro", "Dalma Galfi"], "sport": "TENNIS", "surface": "Hard", "surface_counts": [69, 104], "surface_ratings": [1643.032209727342, 1540.409259510885]}, "market_type": "moneyline", "model_version": "tennis-surface-elo-v1", "observed_at_utc": "2026-09-12T10:07:01.269630+00:00", "probabilities": {"away": 0.6238, "home": 0.3762}, "replay_scope": "Exact full-precision serving state and rounding; upstream historical observation times are not certified.", "schema": "coded-moneyline-replay-v1", "snapshot_hash": "85dd24908b3b13d5df5ed24187ac9b7d6dc757c48fbdc64c47fe35743dd2db1f", "sport": "TENNIS"}</t>
        </is>
      </c>
    </row>
    <row r="1072" ht="36" customHeight="1">
      <c r="A1072" s="24" t="inlineStr">
        <is>
          <t>b6bef29cab97478e</t>
        </is>
      </c>
      <c r="B1072" s="24" t="inlineStr">
        <is>
          <t>2026-09-12T10:07:04.732639Z</t>
        </is>
      </c>
      <c r="C1072" s="24" t="inlineStr">
        <is>
          <t>2026-09-12T11:30Z</t>
        </is>
      </c>
      <c r="D1072" s="24" t="inlineStr">
        <is>
          <t>1076-2026:183558</t>
        </is>
      </c>
      <c r="E1072" s="24" t="inlineStr">
        <is>
          <t>TENNIS</t>
        </is>
      </c>
      <c r="F1072" s="24" t="inlineStr">
        <is>
          <t>Alicia Herrero Linana</t>
        </is>
      </c>
      <c r="G1072" s="24" t="inlineStr">
        <is>
          <t>Alevtina Ibragimova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-163</v>
      </c>
      <c r="M1072" s="27" t="n">
        <v>1.613497</v>
      </c>
      <c r="N1072" s="28" t="n">
        <v>0.619772</v>
      </c>
      <c r="O1072" s="28" t="n">
        <v>0.5236</v>
      </c>
      <c r="P1072" s="28" t="n">
        <v>0.05</v>
      </c>
      <c r="Q1072" s="28" t="n">
        <v>-0.09617199999999999</v>
      </c>
      <c r="R1072" s="26" t="n">
        <v>0</v>
      </c>
      <c r="S1072" s="29" t="n">
        <v>1</v>
      </c>
      <c r="T1072" s="24" t="inlineStr">
        <is>
          <t>tennis-surface-elo-v1</t>
        </is>
      </c>
      <c r="U1072" s="24" t="inlineStr">
        <is>
          <t>settled</t>
        </is>
      </c>
      <c r="V1072" s="24" t="inlineStr">
        <is>
          <t>win</t>
        </is>
      </c>
      <c r="W1072" s="26" t="n">
        <v>0</v>
      </c>
      <c r="X1072" s="26" t="n">
        <v>1</v>
      </c>
      <c r="Y1072" s="25" t="n"/>
      <c r="Z1072" s="26" t="n">
        <v>-163</v>
      </c>
      <c r="AA1072" s="28" t="n">
        <v>0.62</v>
      </c>
      <c r="AB1072" s="28" t="n">
        <v>0.000228</v>
      </c>
      <c r="AC1072" s="30" t="n">
        <v>0.6135</v>
      </c>
      <c r="AD1072" s="24" t="inlineStr">
        <is>
          <t>2026-09-12T16:00:37.621438Z</t>
        </is>
      </c>
      <c r="AE1072" s="31" t="inlineStr">
        <is>
          <t>Surface-blended Elo on Hard: Alicia Herrero Linana p=0.476 vs Alevtina Ibragimova. Executable ask 0.6200 (aec-wta-aleibr-alilin-2026-09-12).</t>
        </is>
      </c>
      <c r="AF1072" s="31" t="inlineStr">
        <is>
          <t>Surface-blended Elo model; singles only, WTA+ATP market coverage, not yet locked-holdout qualified -- promoted by explicit operator directive, not genuine walk-forward validation.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PAPER_CALL_LOW_EDGE</t>
        </is>
      </c>
      <c r="AP1072" s="24" t="inlineStr">
        <is>
          <t>Alicia Herrero Linana</t>
        </is>
      </c>
      <c r="AQ1072" s="24" t="inlineStr">
        <is>
          <t>Alicia Herrero Linana</t>
        </is>
      </c>
      <c r="AR1072" s="24" t="inlineStr">
        <is>
          <t>Alicia Herrero Linana</t>
        </is>
      </c>
      <c r="AS1072" s="24" t="inlineStr">
        <is>
          <t>Alevtina Ibragimova</t>
        </is>
      </c>
      <c r="AT1072" s="24" t="inlineStr">
        <is>
          <t>Alevtina Ibragimova</t>
        </is>
      </c>
      <c r="AU1072" s="24" t="inlineStr">
        <is>
          <t>Alevtina Ibragimova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6c67e999d2a03612e30f4032c8e5e77e8becfbc79e05f4c8993e726b90d34d54</t>
        </is>
      </c>
      <c r="BB1072" s="24" t="inlineStr">
        <is>
          <t>surface_blended_elo</t>
        </is>
      </c>
      <c r="BC1072" s="24" t="inlineStr">
        <is>
          <t>tennis-surface-elo-v1</t>
        </is>
      </c>
      <c r="BD1072" s="24" t="inlineStr">
        <is>
          <t>6c67e999d2a03612e30f4032c8e5e77e8becfbc79e05f4c8993e726b90d34d54</t>
        </is>
      </c>
      <c r="BE1072" s="24" t="inlineStr">
        <is>
          <t>tennis-surface-elo-v1</t>
        </is>
      </c>
      <c r="BF1072" s="24" t="inlineStr">
        <is>
          <t>1</t>
        </is>
      </c>
      <c r="BG1072" s="24" t="inlineStr">
        <is>
          <t>6c67e999d2a03612e30f4032c8e5e77e8becfbc79e05f4c8993e726b90d34d54</t>
        </is>
      </c>
      <c r="BH1072" s="24" t="inlineStr">
        <is>
          <t>2026-09-12T10:05:54.597411Z</t>
        </is>
      </c>
      <c r="BI1072" s="24" t="inlineStr">
        <is>
          <t>["same_event","same_team_same_day","same_league_same_day"]</t>
        </is>
      </c>
      <c r="BJ1072" s="25" t="n"/>
      <c r="BK1072" s="26" t="n">
        <v>-163</v>
      </c>
      <c r="BL1072" s="27" t="n">
        <v>1.613497</v>
      </c>
      <c r="BM1072" s="28" t="n">
        <v>0.619772</v>
      </c>
      <c r="BN1072" s="28" t="n"/>
      <c r="BO1072" s="28" t="n"/>
      <c r="BP1072" s="25" t="n"/>
      <c r="BQ1072" s="27" t="n">
        <v>1.613497</v>
      </c>
      <c r="BR1072" s="28" t="n">
        <v>0.62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n"/>
      <c r="CZ1072" s="24" t="n"/>
      <c r="DA1072" s="24" t="n"/>
      <c r="DB1072" s="24" t="n"/>
      <c r="DC1072" s="24" t="n"/>
      <c r="DD1072" s="24" t="inlineStr">
        <is>
          <t>97979f90c09e81635d325d9c1a99a653ce7676f3b6bcf306a9eab722611b86f3</t>
        </is>
      </c>
      <c r="DE1072" s="24" t="inlineStr">
        <is>
          <t>/Users/vincentc9002/model-prediction/data/odds/tennis/2026-09-12/polymarket_snapshots.jsonl</t>
        </is>
      </c>
      <c r="DF1072" s="24" t="inlineStr">
        <is>
          <t>792709:2026-09-12T10:05:54.597411Z</t>
        </is>
      </c>
      <c r="DG1072" s="24" t="n"/>
      <c r="DH1072" s="24" t="n"/>
      <c r="DI1072" s="24" t="n"/>
      <c r="DJ1072" s="24" t="inlineStr">
        <is>
          <t>0.619772</t>
        </is>
      </c>
      <c r="DK1072" s="24" t="n"/>
      <c r="DL1072" s="24" t="n"/>
      <c r="DM1072" s="24" t="n"/>
      <c r="DN1072" s="24" t="n"/>
      <c r="DO1072" s="24" t="n"/>
      <c r="DP1072" s="24" t="n"/>
      <c r="DQ1072" s="24" t="inlineStr">
        <is>
          <t>{"artifact_hash": "6c67e999d2a03612e30f4032c8e5e77e8becfbc79e05f4c8993e726b90d34d54", "away_team": "Alicia Herrero Linana", "event_id": "1076-2026:183558", "event_start_utc": "2026-09-12T11:30Z", "features": {"elo_p1_surface": 1578.2, "elo_p2_surface": 1597.1, "expected_games_p1": 12.09, "expected_games_p2": 12.63, "expected_total_games": 24.73, "history_matches": 15953, "min_player_matches": 34, "surface": "Hard"}, "historical_source_observation_times_verified": false, "home_team": "Alevtina Ibragimova", "inference_inputs": {"code_sha256": {"features/elo_ratings.py": "8525faf022a6343c452286dbfeb17dbb043744c6bdabbe448b6b371216da439b", "models/tennis.py": "6c67e999d2a03612e30f4032c8e5e77e8becfbc79e05f4c8993e726b90d34d54"}, "overall_ratings": [1579.345349868238, 1591.9340336566186], "players": ["Alicia Herrero Linana", "Alevtina Ibragimova"], "sport": "TENNIS", "surface": "Hard", "surface_counts": [34, 39], "surface_ratings": [1578.2361279398115, 1597.1479481883687]}, "market_type": "moneyline", "model_version": "tennis-surface-elo-v1", "observed_at_utc": "2026-09-12T10:07:01.269630+00:00", "probabilities": {"away": 0.4764, "home": 0.5236}, "replay_scope": "Exact full-precision serving state and rounding; upstream historical observation times are not certified.", "schema": "coded-moneyline-replay-v1", "snapshot_hash": "39f52f51e3f73517987309556e8466c846b20987684e501f9f3a0452d28039d9", "sport": "TENNIS"}</t>
        </is>
      </c>
    </row>
    <row r="1073" ht="36" customHeight="1">
      <c r="A1073" s="24" t="inlineStr">
        <is>
          <t>e6db9e859469459b</t>
        </is>
      </c>
      <c r="B1073" s="24" t="inlineStr">
        <is>
          <t>2026-09-12T10:07:04.732639Z</t>
        </is>
      </c>
      <c r="C1073" s="24" t="inlineStr">
        <is>
          <t>2026-09-12T13:00Z</t>
        </is>
      </c>
      <c r="D1073" s="24" t="inlineStr">
        <is>
          <t>1005-2026:185901</t>
        </is>
      </c>
      <c r="E1073" s="24" t="inlineStr">
        <is>
          <t>TENNIS</t>
        </is>
      </c>
      <c r="F1073" s="24" t="inlineStr">
        <is>
          <t>Lizette Cabrera</t>
        </is>
      </c>
      <c r="G1073" s="24" t="inlineStr">
        <is>
          <t>Victoria Bosio</t>
        </is>
      </c>
      <c r="H1073" s="24" t="inlineStr">
        <is>
          <t>moneyline</t>
        </is>
      </c>
      <c r="I1073" s="24" t="inlineStr">
        <is>
          <t>away</t>
        </is>
      </c>
      <c r="J1073" s="25" t="n"/>
      <c r="K1073" s="24" t="inlineStr">
        <is>
          <t>polymarket_us</t>
        </is>
      </c>
      <c r="L1073" s="26" t="n">
        <v>-223</v>
      </c>
      <c r="M1073" s="27" t="n">
        <v>1.44843</v>
      </c>
      <c r="N1073" s="28" t="n">
        <v>0.690402</v>
      </c>
      <c r="O1073" s="28" t="n">
        <v>0.5098</v>
      </c>
      <c r="P1073" s="28" t="n">
        <v>0.05</v>
      </c>
      <c r="Q1073" s="28" t="n">
        <v>-0.180602</v>
      </c>
      <c r="R1073" s="26" t="n">
        <v>0</v>
      </c>
      <c r="S1073" s="29" t="n">
        <v>1</v>
      </c>
      <c r="T1073" s="24" t="inlineStr">
        <is>
          <t>tennis-surface-elo-v1</t>
        </is>
      </c>
      <c r="U1073" s="24" t="inlineStr">
        <is>
          <t>settled</t>
        </is>
      </c>
      <c r="V1073" s="24" t="inlineStr">
        <is>
          <t>loss</t>
        </is>
      </c>
      <c r="W1073" s="26" t="n">
        <v>0</v>
      </c>
      <c r="X1073" s="26" t="n">
        <v>1</v>
      </c>
      <c r="Y1073" s="25" t="n"/>
      <c r="Z1073" s="26" t="n">
        <v>-223</v>
      </c>
      <c r="AA1073" s="28" t="n">
        <v>0.6899999999999999</v>
      </c>
      <c r="AB1073" s="28" t="n">
        <v>-0.000402</v>
      </c>
      <c r="AC1073" s="30" t="n">
        <v>-1</v>
      </c>
      <c r="AD1073" s="24" t="inlineStr">
        <is>
          <t>2026-09-13T04:32:30.631961Z</t>
        </is>
      </c>
      <c r="AE1073" s="31" t="inlineStr">
        <is>
          <t>Surface-blended Elo on Hard: Lizette Cabrera p=0.510 vs Victoria Bosio. Executable ask 0.6900 (aec-wta-vicbos-lizcab-2026-09-12).</t>
        </is>
      </c>
      <c r="AF1073" s="31" t="inlineStr">
        <is>
          <t>Surface-blended Elo model; singles only, WTA+ATP market coverage, not yet locked-holdout qualified -- promoted by explicit operator directive, not genuine walk-forward validation.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PAPER_CALL_LOW_EDGE</t>
        </is>
      </c>
      <c r="AP1073" s="24" t="inlineStr">
        <is>
          <t>Lizette Cabrera</t>
        </is>
      </c>
      <c r="AQ1073" s="24" t="inlineStr">
        <is>
          <t>Lizette Cabrera</t>
        </is>
      </c>
      <c r="AR1073" s="24" t="inlineStr">
        <is>
          <t>Lizette Cabrera</t>
        </is>
      </c>
      <c r="AS1073" s="24" t="inlineStr">
        <is>
          <t>Victoria Bosio</t>
        </is>
      </c>
      <c r="AT1073" s="24" t="inlineStr">
        <is>
          <t>Victoria Bosio</t>
        </is>
      </c>
      <c r="AU1073" s="24" t="inlineStr">
        <is>
          <t>Victoria Bosio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6c67e999d2a03612e30f4032c8e5e77e8becfbc79e05f4c8993e726b90d34d54</t>
        </is>
      </c>
      <c r="BB1073" s="24" t="inlineStr">
        <is>
          <t>surface_blended_elo</t>
        </is>
      </c>
      <c r="BC1073" s="24" t="inlineStr">
        <is>
          <t>tennis-surface-elo-v1</t>
        </is>
      </c>
      <c r="BD1073" s="24" t="inlineStr">
        <is>
          <t>6c67e999d2a03612e30f4032c8e5e77e8becfbc79e05f4c8993e726b90d34d54</t>
        </is>
      </c>
      <c r="BE1073" s="24" t="inlineStr">
        <is>
          <t>tennis-surface-elo-v1</t>
        </is>
      </c>
      <c r="BF1073" s="24" t="inlineStr">
        <is>
          <t>1</t>
        </is>
      </c>
      <c r="BG1073" s="24" t="inlineStr">
        <is>
          <t>6c67e999d2a03612e30f4032c8e5e77e8becfbc79e05f4c8993e726b90d34d54</t>
        </is>
      </c>
      <c r="BH1073" s="24" t="inlineStr">
        <is>
          <t>2026-09-12T10:05:55.592859Z</t>
        </is>
      </c>
      <c r="BI1073" s="24" t="inlineStr">
        <is>
          <t>["same_event","same_team_same_day","same_league_same_day"]</t>
        </is>
      </c>
      <c r="BJ1073" s="25" t="n"/>
      <c r="BK1073" s="26" t="n">
        <v>-223</v>
      </c>
      <c r="BL1073" s="27" t="n">
        <v>1.44843</v>
      </c>
      <c r="BM1073" s="28" t="n">
        <v>0.690402</v>
      </c>
      <c r="BN1073" s="28" t="n"/>
      <c r="BO1073" s="28" t="n"/>
      <c r="BP1073" s="25" t="n"/>
      <c r="BQ1073" s="27" t="n">
        <v>1.44843</v>
      </c>
      <c r="BR1073" s="28" t="n">
        <v>0.6899999999999999</v>
      </c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n"/>
      <c r="CZ1073" s="24" t="n"/>
      <c r="DA1073" s="24" t="n"/>
      <c r="DB1073" s="24" t="n"/>
      <c r="DC1073" s="24" t="n"/>
      <c r="DD1073" s="24" t="inlineStr">
        <is>
          <t>e8ce73b42844d0f8127e8379398036a7f49a339ee6f49656f8c70f3b031b549a</t>
        </is>
      </c>
      <c r="DE1073" s="24" t="inlineStr">
        <is>
          <t>/Users/vincentc9002/model-prediction/data/odds/tennis/2026-09-12/polymarket_snapshots.jsonl</t>
        </is>
      </c>
      <c r="DF1073" s="24" t="inlineStr">
        <is>
          <t>796933:2026-09-12T10:05:55.592859Z</t>
        </is>
      </c>
      <c r="DG1073" s="24" t="n"/>
      <c r="DH1073" s="24" t="n"/>
      <c r="DI1073" s="24" t="n"/>
      <c r="DJ1073" s="24" t="inlineStr">
        <is>
          <t>0.690402</t>
        </is>
      </c>
      <c r="DK1073" s="24" t="n"/>
      <c r="DL1073" s="24" t="n"/>
      <c r="DM1073" s="24" t="n"/>
      <c r="DN1073" s="24" t="n"/>
      <c r="DO1073" s="24" t="n"/>
      <c r="DP1073" s="24" t="n"/>
      <c r="DQ1073" s="24" t="inlineStr">
        <is>
          <t>{"artifact_hash": "6c67e999d2a03612e30f4032c8e5e77e8becfbc79e05f4c8993e726b90d34d54", "away_team": "Lizette Cabrera", "event_id": "1005-2026:185901", "event_start_utc": "2026-09-12T13:00Z", "features": {"elo_p1_surface": 1486.7, "elo_p2_surface": 1479.3, "expected_games_p1": 12.71, "expected_games_p2": 12.05, "expected_total_games": 24.76, "history_matches": 15953, "min_player_matches": 16, "surface": "Hard"}, "historical_source_observation_times_verified": false, "home_team": "Victoria Bosio", "inference_inputs": {"code_sha256": {"features/elo_ratings.py": "8525faf022a6343c452286dbfeb17dbb043744c6bdabbe448b6b371216da439b", "models/tennis.py": "6c67e999d2a03612e30f4032c8e5e77e8becfbc79e05f4c8993e726b90d34d54"}, "overall_ratings": [1482.5018267681332, 1476.6472135317176], "players": ["Lizette Cabrera", "Victoria Bosio"], "sport": "TENNIS", "surface": "Hard", "surface_counts": [19, 14], "surface_ratings": [1486.7452967002444, 1479.3063572131964]}, "market_type": "moneyline", "model_version": "tennis-surface-elo-v1", "observed_at_utc": "2026-09-12T10:07:01.269630+00:00", "probabilities": {"away": 0.5098, "home": 0.4902}, "replay_scope": "Exact full-precision serving state and rounding; upstream historical observation times are not certified.", "schema": "coded-moneyline-replay-v1", "snapshot_hash": "2e6010a6d5e0dd0606aa6547989e8292a5284b770b5d85be6906f6120e1a4987", "sport": "TENNIS"}</t>
        </is>
      </c>
    </row>
    <row r="1074" ht="36" customHeight="1">
      <c r="A1074" s="24" t="inlineStr">
        <is>
          <t>a9affde23e8543e7</t>
        </is>
      </c>
      <c r="B1074" s="24" t="inlineStr">
        <is>
          <t>2026-09-12T10:07:04.732639Z</t>
        </is>
      </c>
      <c r="C1074" s="24" t="inlineStr">
        <is>
          <t>2026-09-12T13:00Z</t>
        </is>
      </c>
      <c r="D1074" s="24" t="inlineStr">
        <is>
          <t>1005-2026:185900</t>
        </is>
      </c>
      <c r="E1074" s="24" t="inlineStr">
        <is>
          <t>TENNIS</t>
        </is>
      </c>
      <c r="F1074" s="24" t="inlineStr">
        <is>
          <t>Luiza Fullana</t>
        </is>
      </c>
      <c r="G1074" s="24" t="inlineStr">
        <is>
          <t>You Xiaodi</t>
        </is>
      </c>
      <c r="H1074" s="24" t="inlineStr">
        <is>
          <t>moneyline</t>
        </is>
      </c>
      <c r="I1074" s="24" t="inlineStr">
        <is>
          <t>away</t>
        </is>
      </c>
      <c r="J1074" s="25" t="n"/>
      <c r="K1074" s="24" t="inlineStr">
        <is>
          <t>polymarket_us</t>
        </is>
      </c>
      <c r="L1074" s="26" t="n">
        <v>270</v>
      </c>
      <c r="M1074" s="27" t="n">
        <v>3.7</v>
      </c>
      <c r="N1074" s="28" t="n">
        <v>0.27027</v>
      </c>
      <c r="O1074" s="28" t="n">
        <v>0.5365</v>
      </c>
      <c r="P1074" s="28" t="n">
        <v>0.05</v>
      </c>
      <c r="Q1074" s="28" t="n">
        <v>0.26623</v>
      </c>
      <c r="R1074" s="26" t="n">
        <v>100</v>
      </c>
      <c r="S1074" s="29" t="n">
        <v>2</v>
      </c>
      <c r="T1074" s="24" t="inlineStr">
        <is>
          <t>tennis-surface-elo-v1</t>
        </is>
      </c>
      <c r="U1074" s="24" t="inlineStr">
        <is>
          <t>settled</t>
        </is>
      </c>
      <c r="V1074" s="24" t="inlineStr">
        <is>
          <t>loss</t>
        </is>
      </c>
      <c r="W1074" s="26" t="n">
        <v>0</v>
      </c>
      <c r="X1074" s="26" t="n">
        <v>1</v>
      </c>
      <c r="Y1074" s="25" t="n"/>
      <c r="Z1074" s="26" t="n">
        <v>270</v>
      </c>
      <c r="AA1074" s="28" t="n">
        <v>0.27</v>
      </c>
      <c r="AB1074" s="28" t="n">
        <v>-0.00027</v>
      </c>
      <c r="AC1074" s="30" t="n">
        <v>-2</v>
      </c>
      <c r="AD1074" s="24" t="inlineStr">
        <is>
          <t>2026-09-12T22:01:27.064814Z</t>
        </is>
      </c>
      <c r="AE1074" s="31" t="inlineStr">
        <is>
          <t>Surface-blended Elo on Hard: Luiza Fullana p=0.536 vs You Xiaodi. Executable ask 0.2700 (aec-wta-xiayou-luiful-2026-09-12).</t>
        </is>
      </c>
      <c r="AF1074" s="31" t="inlineStr">
        <is>
          <t>Surface-blended Elo model; singles only, WTA+ATP market coverage, not yet locked-holdout qualified -- promoted by explicit operator directive, not genuine walk-forward validation.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PAPER_CALL_MODEL_UNVALIDATED</t>
        </is>
      </c>
      <c r="AP1074" s="24" t="inlineStr">
        <is>
          <t>Luiza Fullana</t>
        </is>
      </c>
      <c r="AQ1074" s="24" t="inlineStr">
        <is>
          <t>Luiza Fullana</t>
        </is>
      </c>
      <c r="AR1074" s="24" t="inlineStr">
        <is>
          <t>Luiza Fullana</t>
        </is>
      </c>
      <c r="AS1074" s="24" t="inlineStr">
        <is>
          <t>You Xiaodi</t>
        </is>
      </c>
      <c r="AT1074" s="24" t="inlineStr">
        <is>
          <t>You Xiaodi</t>
        </is>
      </c>
      <c r="AU1074" s="24" t="inlineStr">
        <is>
          <t>You Xiaodi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6c67e999d2a03612e30f4032c8e5e77e8becfbc79e05f4c8993e726b90d34d54</t>
        </is>
      </c>
      <c r="BB1074" s="24" t="inlineStr">
        <is>
          <t>surface_blended_elo</t>
        </is>
      </c>
      <c r="BC1074" s="24" t="inlineStr">
        <is>
          <t>tennis-surface-elo-v1</t>
        </is>
      </c>
      <c r="BD1074" s="24" t="inlineStr">
        <is>
          <t>6c67e999d2a03612e30f4032c8e5e77e8becfbc79e05f4c8993e726b90d34d54</t>
        </is>
      </c>
      <c r="BE1074" s="24" t="inlineStr">
        <is>
          <t>tennis-surface-elo-v1</t>
        </is>
      </c>
      <c r="BF1074" s="24" t="inlineStr">
        <is>
          <t>1</t>
        </is>
      </c>
      <c r="BG1074" s="24" t="inlineStr">
        <is>
          <t>6c67e999d2a03612e30f4032c8e5e77e8becfbc79e05f4c8993e726b90d34d54</t>
        </is>
      </c>
      <c r="BH1074" s="24" t="inlineStr">
        <is>
          <t>2026-09-12T10:05:55.443953Z</t>
        </is>
      </c>
      <c r="BI1074" s="24" t="inlineStr">
        <is>
          <t>["same_event","same_team_same_day","same_league_same_day"]</t>
        </is>
      </c>
      <c r="BJ1074" s="25" t="n"/>
      <c r="BK1074" s="26" t="n">
        <v>270</v>
      </c>
      <c r="BL1074" s="27" t="n">
        <v>3.7</v>
      </c>
      <c r="BM1074" s="28" t="n">
        <v>0.27027</v>
      </c>
      <c r="BN1074" s="28" t="n"/>
      <c r="BO1074" s="28" t="n"/>
      <c r="BP1074" s="25" t="n"/>
      <c r="BQ1074" s="27" t="n">
        <v>3.7</v>
      </c>
      <c r="BR1074" s="28" t="n">
        <v>0.27</v>
      </c>
      <c r="BS1074" s="28" t="n"/>
      <c r="BT1074" s="28" t="n"/>
      <c r="BU1074" s="25" t="n"/>
      <c r="BV1074" s="29" t="n"/>
      <c r="BW1074" s="24" t="n"/>
      <c r="BX1074" s="30" t="n"/>
      <c r="BY1074" s="27" t="n"/>
      <c r="BZ1074" s="24" t="n"/>
      <c r="CA1074" s="31" t="n"/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True</t>
        </is>
      </c>
      <c r="CT1074" s="24" t="n"/>
      <c r="CU1074" s="24" t="n"/>
      <c r="CV1074" s="24" t="n"/>
      <c r="CW1074" s="24" t="n"/>
      <c r="CX1074" s="24" t="n"/>
      <c r="CY1074" s="24" t="n"/>
      <c r="CZ1074" s="24" t="n"/>
      <c r="DA1074" s="24" t="n"/>
      <c r="DB1074" s="24" t="n"/>
      <c r="DC1074" s="24" t="n"/>
      <c r="DD1074" s="24" t="inlineStr">
        <is>
          <t>5043efff25d765febcee89ed7dc5e0d2aec41f0db6c8a796db7d6093b904c396</t>
        </is>
      </c>
      <c r="DE1074" s="24" t="inlineStr">
        <is>
          <t>/Users/vincentc9002/model-prediction/data/odds/tennis/2026-09-12/polymarket_snapshots.jsonl</t>
        </is>
      </c>
      <c r="DF1074" s="24" t="inlineStr">
        <is>
          <t>798450:2026-09-12T10:05:55.443953Z</t>
        </is>
      </c>
      <c r="DG1074" s="24" t="n"/>
      <c r="DH1074" s="24" t="n"/>
      <c r="DI1074" s="24" t="n"/>
      <c r="DJ1074" s="24" t="inlineStr">
        <is>
          <t>0.27027</t>
        </is>
      </c>
      <c r="DK1074" s="24" t="n"/>
      <c r="DL1074" s="24" t="n"/>
      <c r="DM1074" s="24" t="n"/>
      <c r="DN1074" s="24" t="n"/>
      <c r="DO1074" s="24" t="n"/>
      <c r="DP1074" s="24" t="n"/>
      <c r="DQ1074" s="24" t="inlineStr">
        <is>
          <t>{"artifact_hash": "6c67e999d2a03612e30f4032c8e5e77e8becfbc79e05f4c8993e726b90d34d54", "away_team": "Luiza Fullana", "event_id": "1005-2026:185900", "event_start_utc": "2026-09-12T13:00Z", "features": {"elo_p1_surface": 1440.6, "elo_p2_surface": 1428.2, "expected_games_p1": 12.81, "expected_games_p2": 11.92, "expected_total_games": 24.72, "history_matches": 15953, "min_player_matches": 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[1440.1312979300726, 1391.0183615736667], "players": ["Luiza Fullana", "You Xiaodi"], "sport": "TENNIS", "surface": "Hard", "surface_counts": [4, 46], "surface_ratings": [1440.5546376277346, 1428.1531926203722]}, "market_type": "moneyline", "model_version": "tennis-surface-elo-v1", "observed_at_utc": "2026-09-12T10:07:01.269630+00:00", "probabilities": {"away": 0.5365, "home": 0.4635}, "replay_scope": "Exact full-precision serving state and rounding; upstream historical observation times are not certified.", "schema": "coded-moneyline-replay-v1", "snapshot_hash": "547160fcf714d93627846a61d34cc8a4789fa78d1e88e67395c301388eb98385", "sport": "TENNIS"}</t>
        </is>
      </c>
    </row>
    <row r="1075" ht="36" customHeight="1">
      <c r="A1075" s="24" t="inlineStr">
        <is>
          <t>894f03501cb84c6a</t>
        </is>
      </c>
      <c r="B1075" s="24" t="inlineStr">
        <is>
          <t>2026-09-12T10:07:04.732639Z</t>
        </is>
      </c>
      <c r="C1075" s="24" t="inlineStr">
        <is>
          <t>2026-09-12T14:30Z</t>
        </is>
      </c>
      <c r="D1075" s="24" t="inlineStr">
        <is>
          <t>1005-2026:185896</t>
        </is>
      </c>
      <c r="E1075" s="24" t="inlineStr">
        <is>
          <t>TENNIS</t>
        </is>
      </c>
      <c r="F1075" s="24" t="inlineStr">
        <is>
          <t>Victoria Rodriguez</t>
        </is>
      </c>
      <c r="G1075" s="24" t="inlineStr">
        <is>
          <t>Hayu Kinoshita</t>
        </is>
      </c>
      <c r="H1075" s="24" t="inlineStr">
        <is>
          <t>moneyline</t>
        </is>
      </c>
      <c r="I1075" s="24" t="inlineStr">
        <is>
          <t>home</t>
        </is>
      </c>
      <c r="J1075" s="25" t="n"/>
      <c r="K1075" s="24" t="inlineStr">
        <is>
          <t>polymarket_us</t>
        </is>
      </c>
      <c r="L1075" s="26" t="n">
        <v>-456</v>
      </c>
      <c r="M1075" s="27" t="n">
        <v>1.219298</v>
      </c>
      <c r="N1075" s="28" t="n">
        <v>0.820144</v>
      </c>
      <c r="O1075" s="28" t="n">
        <v>0.5747</v>
      </c>
      <c r="P1075" s="28" t="n">
        <v>0.05</v>
      </c>
      <c r="Q1075" s="28" t="n">
        <v>-0.245444</v>
      </c>
      <c r="R1075" s="26" t="n">
        <v>0</v>
      </c>
      <c r="S1075" s="29" t="n">
        <v>1</v>
      </c>
      <c r="T1075" s="24" t="inlineStr">
        <is>
          <t>tennis-surface-elo-v1</t>
        </is>
      </c>
      <c r="U1075" s="24" t="inlineStr">
        <is>
          <t>settled</t>
        </is>
      </c>
      <c r="V1075" s="24" t="inlineStr">
        <is>
          <t>win</t>
        </is>
      </c>
      <c r="W1075" s="26" t="n">
        <v>0</v>
      </c>
      <c r="X1075" s="26" t="n">
        <v>1</v>
      </c>
      <c r="Y1075" s="25" t="n"/>
      <c r="Z1075" s="26" t="n">
        <v>-456</v>
      </c>
      <c r="AA1075" s="28" t="n">
        <v>0.82</v>
      </c>
      <c r="AB1075" s="28" t="n">
        <v>-0.000144</v>
      </c>
      <c r="AC1075" s="30" t="n">
        <v>0.2193</v>
      </c>
      <c r="AD1075" s="24" t="inlineStr">
        <is>
          <t>2026-09-13T04:32:31.084534Z</t>
        </is>
      </c>
      <c r="AE1075" s="31" t="inlineStr">
        <is>
          <t>Surface-blended Elo on Hard: Victoria Rodriguez p=0.425 vs Hayu Kinoshita. Executable ask 0.8200 (aec-wta-haykin-vicrod-2026-09-12).</t>
        </is>
      </c>
      <c r="AF1075" s="31" t="inlineStr">
        <is>
          <t>Surface-blended Elo model; singles only, WTA+ATP market coverage, not yet locked-holdout qualified -- promoted by explicit operator directive, not genuine walk-forward validation.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PAPER_CALL_MODEL_UNVALIDATED</t>
        </is>
      </c>
      <c r="AP1075" s="24" t="inlineStr">
        <is>
          <t>Victoria Rodriguez</t>
        </is>
      </c>
      <c r="AQ1075" s="24" t="inlineStr">
        <is>
          <t>Victoria Rodriguez</t>
        </is>
      </c>
      <c r="AR1075" s="24" t="inlineStr">
        <is>
          <t>Victoria Rodriguez</t>
        </is>
      </c>
      <c r="AS1075" s="24" t="inlineStr">
        <is>
          <t>Hayu Kinoshita</t>
        </is>
      </c>
      <c r="AT1075" s="24" t="inlineStr">
        <is>
          <t>Hayu Kinoshita</t>
        </is>
      </c>
      <c r="AU1075" s="24" t="inlineStr">
        <is>
          <t>Hayu Kinoshita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6c67e999d2a03612e30f4032c8e5e77e8becfbc79e05f4c8993e726b90d34d54</t>
        </is>
      </c>
      <c r="BB1075" s="24" t="inlineStr">
        <is>
          <t>surface_blended_elo</t>
        </is>
      </c>
      <c r="BC1075" s="24" t="inlineStr">
        <is>
          <t>tennis-surface-elo-v1</t>
        </is>
      </c>
      <c r="BD1075" s="24" t="inlineStr">
        <is>
          <t>6c67e999d2a03612e30f4032c8e5e77e8becfbc79e05f4c8993e726b90d34d54</t>
        </is>
      </c>
      <c r="BE1075" s="24" t="inlineStr">
        <is>
          <t>tennis-surface-elo-v1</t>
        </is>
      </c>
      <c r="BF1075" s="24" t="inlineStr">
        <is>
          <t>1</t>
        </is>
      </c>
      <c r="BG1075" s="24" t="inlineStr">
        <is>
          <t>6c67e999d2a03612e30f4032c8e5e77e8becfbc79e05f4c8993e726b90d34d54</t>
        </is>
      </c>
      <c r="BH1075" s="24" t="inlineStr">
        <is>
          <t>2026-09-12T10:05:55.831108Z</t>
        </is>
      </c>
      <c r="BI1075" s="24" t="inlineStr">
        <is>
          <t>["same_event","same_team_same_day","same_league_same_day"]</t>
        </is>
      </c>
      <c r="BJ1075" s="25" t="n"/>
      <c r="BK1075" s="26" t="n">
        <v>-456</v>
      </c>
      <c r="BL1075" s="27" t="n">
        <v>1.219298</v>
      </c>
      <c r="BM1075" s="28" t="n">
        <v>0.820144</v>
      </c>
      <c r="BN1075" s="28" t="n"/>
      <c r="BO1075" s="28" t="n"/>
      <c r="BP1075" s="25" t="n"/>
      <c r="BQ1075" s="27" t="n">
        <v>1.219298</v>
      </c>
      <c r="BR1075" s="28" t="n">
        <v>0.82</v>
      </c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n"/>
      <c r="CZ1075" s="24" t="n"/>
      <c r="DA1075" s="24" t="n"/>
      <c r="DB1075" s="24" t="n"/>
      <c r="DC1075" s="24" t="n"/>
      <c r="DD1075" s="24" t="inlineStr">
        <is>
          <t>d90b7c2d8732496b0a42dd321f59114361c1bb27cdc274bbddd260d7b3abbf84</t>
        </is>
      </c>
      <c r="DE1075" s="24" t="inlineStr">
        <is>
          <t>/Users/vincentc9002/model-prediction/data/odds/tennis/2026-09-12/polymarket_snapshots.jsonl</t>
        </is>
      </c>
      <c r="DF1075" s="24" t="inlineStr">
        <is>
          <t>796935:2026-09-12T10:05:55.831108Z</t>
        </is>
      </c>
      <c r="DG1075" s="24" t="n"/>
      <c r="DH1075" s="24" t="n"/>
      <c r="DI1075" s="24" t="n"/>
      <c r="DJ1075" s="24" t="inlineStr">
        <is>
          <t>0.820144</t>
        </is>
      </c>
      <c r="DK1075" s="24" t="n"/>
      <c r="DL1075" s="24" t="n"/>
      <c r="DM1075" s="24" t="n"/>
      <c r="DN1075" s="24" t="n"/>
      <c r="DO1075" s="24" t="n"/>
      <c r="DP1075" s="24" t="n"/>
      <c r="DQ1075" s="24" t="inlineStr">
        <is>
          <t>{"artifact_hash": "6c67e999d2a03612e30f4032c8e5e77e8becfbc79e05f4c8993e726b90d34d54", "away_team": "Victoria Rodriguez", "event_id": "1005-2026:185896", "event_start_utc": "2026-09-12T14:30Z", "features": {"elo_p1_surface": 1412.3, "elo_p2_surface": 1463.7, "expected_games_p1": 11.13, "expected_games_p2": 13.09, "expected_total_games": 24.23, "history_matches": 15953, "min_player_matches": 9,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[1410.0900677464758, 1463.4465200704108], "players": ["Victoria Rodriguez", "Hayu Kinoshita"], "sport": "TENNIS", "surface": "Hard", "surface_counts": [22, 7], "surface_ratings": [1412.2916782093926, 1463.6951099669275]}, "market_type": "moneyline", "model_version": "tennis-surface-elo-v1", "observed_at_utc": "2026-09-12T10:07:01.269630+00:00", "probabilities": {"away": 0.4253, "home": 0.5747}, "replay_scope": "Exact full-precision serving state and rounding; upstream historical observation times are not certified.", "schema": "coded-moneyline-replay-v1", "snapshot_hash": "c721149e4d40a53adada8e6e7fd03b57b928fa9520600614cdd6ab44fb965ab3", "sport": "TENNIS"}</t>
        </is>
      </c>
    </row>
    <row r="1076" ht="36" customHeight="1">
      <c r="A1076" s="24" t="inlineStr">
        <is>
          <t>c47a553f98294390</t>
        </is>
      </c>
      <c r="B1076" s="24" t="inlineStr">
        <is>
          <t>2026-09-12T10:07:04.732639Z</t>
        </is>
      </c>
      <c r="C1076" s="24" t="inlineStr">
        <is>
          <t>2026-09-12T14:30Z</t>
        </is>
      </c>
      <c r="D1076" s="24" t="inlineStr">
        <is>
          <t>1005-2026:185897</t>
        </is>
      </c>
      <c r="E1076" s="24" t="inlineStr">
        <is>
          <t>TENNIS</t>
        </is>
      </c>
      <c r="F1076" s="24" t="inlineStr">
        <is>
          <t>Cadence Brace</t>
        </is>
      </c>
      <c r="G1076" s="24" t="inlineStr">
        <is>
          <t>Ana Candiotto</t>
        </is>
      </c>
      <c r="H1076" s="24" t="inlineStr">
        <is>
          <t>moneyline</t>
        </is>
      </c>
      <c r="I1076" s="24" t="inlineStr">
        <is>
          <t>away</t>
        </is>
      </c>
      <c r="J1076" s="25" t="n"/>
      <c r="K1076" s="24" t="inlineStr">
        <is>
          <t>polymarket_us</t>
        </is>
      </c>
      <c r="L1076" s="26" t="n">
        <v>-1150</v>
      </c>
      <c r="M1076" s="27" t="n">
        <v>1.086957</v>
      </c>
      <c r="N1076" s="28" t="n">
        <v>0.92</v>
      </c>
      <c r="O1076" s="28" t="n">
        <v>0.5185</v>
      </c>
      <c r="P1076" s="28" t="n">
        <v>0.05</v>
      </c>
      <c r="Q1076" s="28" t="n">
        <v>-0.4015</v>
      </c>
      <c r="R1076" s="26" t="n">
        <v>0</v>
      </c>
      <c r="S1076" s="29" t="n">
        <v>1</v>
      </c>
      <c r="T1076" s="24" t="inlineStr">
        <is>
          <t>tennis-surface-elo-v1</t>
        </is>
      </c>
      <c r="U1076" s="24" t="inlineStr">
        <is>
          <t>settled</t>
        </is>
      </c>
      <c r="V1076" s="24" t="inlineStr">
        <is>
          <t>win</t>
        </is>
      </c>
      <c r="W1076" s="26" t="n">
        <v>1</v>
      </c>
      <c r="X1076" s="26" t="n">
        <v>0</v>
      </c>
      <c r="Y1076" s="25" t="n"/>
      <c r="Z1076" s="26" t="n">
        <v>-1150</v>
      </c>
      <c r="AA1076" s="28" t="n">
        <v>0.92</v>
      </c>
      <c r="AB1076" s="28" t="n">
        <v>0</v>
      </c>
      <c r="AC1076" s="30" t="n">
        <v>0.08699999999999999</v>
      </c>
      <c r="AD1076" s="24" t="inlineStr">
        <is>
          <t>2026-09-13T04:32:31.525904Z</t>
        </is>
      </c>
      <c r="AE1076" s="31" t="inlineStr">
        <is>
          <t>Surface-blended Elo on Hard: Cadence Brace p=0.519 vs Ana Candiotto. Executable ask 0.9200 (aec-wta-anacan-cadbra-2026-09-12).</t>
        </is>
      </c>
      <c r="AF1076" s="31" t="inlineStr">
        <is>
          <t>Surface-blended Elo model; singles only, WTA+ATP market coverage, not yet locked-holdout qualified -- promoted by explicit operator directive, not genuine walk-forward validation.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PAPER_CALL_MODEL_UNVALIDATED</t>
        </is>
      </c>
      <c r="AP1076" s="24" t="inlineStr">
        <is>
          <t>Cadence Brace</t>
        </is>
      </c>
      <c r="AQ1076" s="24" t="inlineStr">
        <is>
          <t>Cadence Brace</t>
        </is>
      </c>
      <c r="AR1076" s="24" t="inlineStr">
        <is>
          <t>Cadence Brace</t>
        </is>
      </c>
      <c r="AS1076" s="24" t="inlineStr">
        <is>
          <t>Ana Candiotto</t>
        </is>
      </c>
      <c r="AT1076" s="24" t="inlineStr">
        <is>
          <t>Ana Candiotto</t>
        </is>
      </c>
      <c r="AU1076" s="24" t="inlineStr">
        <is>
          <t>Ana Candiotto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6c67e999d2a03612e30f4032c8e5e77e8becfbc79e05f4c8993e726b90d34d54</t>
        </is>
      </c>
      <c r="BB1076" s="24" t="inlineStr">
        <is>
          <t>surface_blended_elo</t>
        </is>
      </c>
      <c r="BC1076" s="24" t="inlineStr">
        <is>
          <t>tennis-surface-elo-v1</t>
        </is>
      </c>
      <c r="BD1076" s="24" t="inlineStr">
        <is>
          <t>6c67e999d2a03612e30f4032c8e5e77e8becfbc79e05f4c8993e726b90d34d54</t>
        </is>
      </c>
      <c r="BE1076" s="24" t="inlineStr">
        <is>
          <t>tennis-surface-elo-v1</t>
        </is>
      </c>
      <c r="BF1076" s="24" t="inlineStr">
        <is>
          <t>1</t>
        </is>
      </c>
      <c r="BG1076" s="24" t="inlineStr">
        <is>
          <t>6c67e999d2a03612e30f4032c8e5e77e8becfbc79e05f4c8993e726b90d34d54</t>
        </is>
      </c>
      <c r="BH1076" s="24" t="inlineStr">
        <is>
          <t>2026-09-12T10:05:55.686687Z</t>
        </is>
      </c>
      <c r="BI1076" s="24" t="inlineStr">
        <is>
          <t>["same_event","same_team_same_day","same_league_same_day"]</t>
        </is>
      </c>
      <c r="BJ1076" s="25" t="n"/>
      <c r="BK1076" s="26" t="n">
        <v>-1150</v>
      </c>
      <c r="BL1076" s="27" t="n">
        <v>1.086957</v>
      </c>
      <c r="BM1076" s="28" t="n">
        <v>0.92</v>
      </c>
      <c r="BN1076" s="28" t="n"/>
      <c r="BO1076" s="28" t="n"/>
      <c r="BP1076" s="25" t="n"/>
      <c r="BQ1076" s="27" t="n">
        <v>1.086957</v>
      </c>
      <c r="BR1076" s="28" t="n">
        <v>0.92</v>
      </c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False</t>
        </is>
      </c>
      <c r="CT1076" s="24" t="n"/>
      <c r="CU1076" s="24" t="n"/>
      <c r="CV1076" s="24" t="n"/>
      <c r="CW1076" s="24" t="n"/>
      <c r="CX1076" s="24" t="n"/>
      <c r="CY1076" s="24" t="n"/>
      <c r="CZ1076" s="24" t="n"/>
      <c r="DA1076" s="24" t="n"/>
      <c r="DB1076" s="24" t="n"/>
      <c r="DC1076" s="24" t="n"/>
      <c r="DD1076" s="24" t="inlineStr">
        <is>
          <t>416648d628d814ce17c8f0a68c883210ac745cb4342ad3c0931e3d856826cc91</t>
        </is>
      </c>
      <c r="DE1076" s="24" t="inlineStr">
        <is>
          <t>/Users/vincentc9002/model-prediction/data/odds/tennis/2026-09-12/polymarket_snapshots.jsonl</t>
        </is>
      </c>
      <c r="DF1076" s="24" t="inlineStr">
        <is>
          <t>798452:2026-09-12T10:05:55.686687Z</t>
        </is>
      </c>
      <c r="DG1076" s="24" t="n"/>
      <c r="DH1076" s="24" t="n"/>
      <c r="DI1076" s="24" t="n"/>
      <c r="DJ1076" s="24" t="inlineStr">
        <is>
          <t>0.92</t>
        </is>
      </c>
      <c r="DK1076" s="24" t="n"/>
      <c r="DL1076" s="24" t="n"/>
      <c r="DM1076" s="24" t="n"/>
      <c r="DN1076" s="24" t="n"/>
      <c r="DO1076" s="24" t="n"/>
      <c r="DP1076" s="24" t="n"/>
      <c r="DQ1076" s="24" t="inlineStr">
        <is>
          <t>{"artifact_hash": "6c67e999d2a03612e30f4032c8e5e77e8becfbc79e05f4c8993e726b90d34d54", "away_team": "Cadence Brace", "event_id": "1005-2026:185897", "event_start_utc": "2026-09-12T14:30Z", "features": {"elo_p1_surface": 1455.1, "elo_p2_surface": 1429.8, "expected_games_p1": 13.02, "expected_games_p2": 11.55, "expected_total_games": 24.58, "history_matches": 15953, "min_player_matches": 9, "surface": "Hard"}, "historical_source_observation_times_verified": false, "home_team": "Ana Candiotto", "inference_inputs": {"code_sha256": {"features/elo_ratings.py": "8525faf022a6343c452286dbfeb17dbb043744c6bdabbe448b6b371216da439b", "models/tennis.py": "6c67e999d2a03612e30f4032c8e5e77e8becfbc79e05f4c8993e726b90d34d54"}, "overall_ratings": [1428.041643088004, 1427.631376033667], "players": ["Cadence Brace", "Ana Candiotto"], "sport": "TENNIS", "surface": "Hard", "surface_counts": [20, 9], "surface_ratings": [1455.1489323271219, 1429.8460876699048]}, "market_type": "moneyline", "model_version": "tennis-surface-elo-v1", "observed_at_utc": "2026-09-12T10:07:01.269630+00:00", "probabilities": {"away": 0.5185, "home": 0.4815}, "replay_scope": "Exact full-precision serving state and rounding; upstream historical observation times are not certified.", "schema": "coded-moneyline-replay-v1", "snapshot_hash": "1d95d33d68d02f100bc2ea69063e8faf938657385a73ef5ee803326a39ae38fc", "sport": "TENNIS"}</t>
        </is>
      </c>
    </row>
    <row r="1077" ht="36" customHeight="1">
      <c r="A1077" s="24" t="inlineStr">
        <is>
          <t>04c1377911b04b80</t>
        </is>
      </c>
      <c r="B1077" s="24" t="inlineStr">
        <is>
          <t>2026-09-12T10:07:04.732639Z</t>
        </is>
      </c>
      <c r="C1077" s="24" t="inlineStr">
        <is>
          <t>2026-09-12T16:00Z</t>
        </is>
      </c>
      <c r="D1077" s="24" t="inlineStr">
        <is>
          <t>1005-2026:185895</t>
        </is>
      </c>
      <c r="E1077" s="24" t="inlineStr">
        <is>
          <t>TENNIS</t>
        </is>
      </c>
      <c r="F1077" s="24" t="inlineStr">
        <is>
          <t>Anastasia Tikhonova</t>
        </is>
      </c>
      <c r="G1077" s="24" t="inlineStr">
        <is>
          <t>Alana Smith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156</v>
      </c>
      <c r="M1077" s="27" t="n">
        <v>2.56</v>
      </c>
      <c r="N1077" s="28" t="n">
        <v>0.390625</v>
      </c>
      <c r="O1077" s="28" t="n">
        <v>0.5377999999999999</v>
      </c>
      <c r="P1077" s="28" t="n">
        <v>0.05</v>
      </c>
      <c r="Q1077" s="28" t="n">
        <v>0.147175</v>
      </c>
      <c r="R1077" s="26" t="n">
        <v>94</v>
      </c>
      <c r="S1077" s="29" t="n">
        <v>1.75</v>
      </c>
      <c r="T1077" s="24" t="inlineStr">
        <is>
          <t>tennis-surface-elo-v1</t>
        </is>
      </c>
      <c r="U1077" s="24" t="inlineStr">
        <is>
          <t>settled</t>
        </is>
      </c>
      <c r="V1077" s="24" t="inlineStr">
        <is>
          <t>loss</t>
        </is>
      </c>
      <c r="W1077" s="26" t="n">
        <v>1</v>
      </c>
      <c r="X1077" s="26" t="n">
        <v>0</v>
      </c>
      <c r="Y1077" s="25" t="n"/>
      <c r="Z1077" s="26" t="n">
        <v>156</v>
      </c>
      <c r="AA1077" s="28" t="n">
        <v>0.39</v>
      </c>
      <c r="AB1077" s="28" t="n">
        <v>-0.000625</v>
      </c>
      <c r="AC1077" s="30" t="n">
        <v>-1.75</v>
      </c>
      <c r="AD1077" s="24" t="inlineStr">
        <is>
          <t>2026-09-13T04:32:31.974439Z</t>
        </is>
      </c>
      <c r="AE1077" s="31" t="inlineStr">
        <is>
          <t>Surface-blended Elo on Hard: Anastasia Tikhonova p=0.462 vs Alana Smith. Executable ask 0.3900 (aec-wta-alasmi-anatik-2026-09-12).</t>
        </is>
      </c>
      <c r="AF1077" s="31" t="inlineStr">
        <is>
          <t>Surface-blended Elo model; singles only, WTA+ATP market coverage, not yet locked-holdout qualified -- promoted by explicit operator directive, not genuine walk-forward validation.</t>
        </is>
      </c>
      <c r="AG1077" s="24" t="inlineStr">
        <is>
          <t>review_required</t>
        </is>
      </c>
      <c r="AH1077" s="24" t="n"/>
      <c r="AI1077" s="31" t="n"/>
      <c r="AJ1077" s="31" t="n"/>
      <c r="AK1077" s="24" t="inlineStr">
        <is>
          <t>model_qualified</t>
        </is>
      </c>
      <c r="AL1077" s="26" t="n">
        <v>4</v>
      </c>
      <c r="AM1077" s="24" t="inlineStr">
        <is>
          <t>QUALIFIED_SHADOW_CALL</t>
        </is>
      </c>
      <c r="AN1077" s="24" t="inlineStr">
        <is>
          <t>CALL</t>
        </is>
      </c>
      <c r="AO1077" s="24" t="inlineStr">
        <is>
          <t>QUALIFIED</t>
        </is>
      </c>
      <c r="AP1077" s="24" t="inlineStr">
        <is>
          <t>Anastasia Tikhonova</t>
        </is>
      </c>
      <c r="AQ1077" s="24" t="inlineStr">
        <is>
          <t>Anastasia Tikhonova</t>
        </is>
      </c>
      <c r="AR1077" s="24" t="inlineStr">
        <is>
          <t>Anastasia Tikhonova</t>
        </is>
      </c>
      <c r="AS1077" s="24" t="inlineStr">
        <is>
          <t>Alana Smith</t>
        </is>
      </c>
      <c r="AT1077" s="24" t="inlineStr">
        <is>
          <t>Alana Smith</t>
        </is>
      </c>
      <c r="AU1077" s="24" t="inlineStr">
        <is>
          <t>Alana Smith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6c67e999d2a03612e30f4032c8e5e77e8becfbc79e05f4c8993e726b90d34d54</t>
        </is>
      </c>
      <c r="BB1077" s="24" t="inlineStr">
        <is>
          <t>surface_blended_elo</t>
        </is>
      </c>
      <c r="BC1077" s="24" t="inlineStr">
        <is>
          <t>tennis-surface-elo-v1</t>
        </is>
      </c>
      <c r="BD1077" s="24" t="inlineStr">
        <is>
          <t>6c67e999d2a03612e30f4032c8e5e77e8becfbc79e05f4c8993e726b90d34d54</t>
        </is>
      </c>
      <c r="BE1077" s="24" t="inlineStr">
        <is>
          <t>tennis-surface-elo-v1</t>
        </is>
      </c>
      <c r="BF1077" s="24" t="inlineStr">
        <is>
          <t>1</t>
        </is>
      </c>
      <c r="BG1077" s="24" t="inlineStr">
        <is>
          <t>6c67e999d2a03612e30f4032c8e5e77e8becfbc79e05f4c8993e726b90d34d54</t>
        </is>
      </c>
      <c r="BH1077" s="24" t="inlineStr">
        <is>
          <t>2026-09-12T10:05:56.905575Z</t>
        </is>
      </c>
      <c r="BI1077" s="24" t="inlineStr">
        <is>
          <t>["same_event","same_team_same_day","same_league_same_day"]</t>
        </is>
      </c>
      <c r="BJ1077" s="25" t="n"/>
      <c r="BK1077" s="26" t="n">
        <v>156</v>
      </c>
      <c r="BL1077" s="27" t="n">
        <v>2.56</v>
      </c>
      <c r="BM1077" s="28" t="n">
        <v>0.390625</v>
      </c>
      <c r="BN1077" s="28" t="n"/>
      <c r="BO1077" s="28" t="n"/>
      <c r="BP1077" s="25" t="n"/>
      <c r="BQ1077" s="27" t="n">
        <v>2.56</v>
      </c>
      <c r="BR1077" s="28" t="n">
        <v>0.39</v>
      </c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n"/>
      <c r="CZ1077" s="24" t="n"/>
      <c r="DA1077" s="24" t="n"/>
      <c r="DB1077" s="24" t="n"/>
      <c r="DC1077" s="24" t="n"/>
      <c r="DD1077" s="24" t="inlineStr">
        <is>
          <t>16b977a8de00b7980b51370d9a81ee78a54667a6911f5c05c104a5355146f43d</t>
        </is>
      </c>
      <c r="DE1077" s="24" t="inlineStr">
        <is>
          <t>/Users/vincentc9002/model-prediction/data/odds/tennis/2026-09-12/polymarket_snapshots.jsonl</t>
        </is>
      </c>
      <c r="DF1077" s="24" t="inlineStr">
        <is>
          <t>796936:2026-09-12T10:05:56.905575Z</t>
        </is>
      </c>
      <c r="DG1077" s="24" t="n"/>
      <c r="DH1077" s="24" t="n"/>
      <c r="DI1077" s="24" t="n"/>
      <c r="DJ1077" s="24" t="inlineStr">
        <is>
          <t>0.390625</t>
        </is>
      </c>
      <c r="DK1077" s="24" t="n"/>
      <c r="DL1077" s="24" t="n"/>
      <c r="DM1077" s="24" t="n"/>
      <c r="DN1077" s="24" t="n"/>
      <c r="DO1077" s="24" t="n"/>
      <c r="DP1077" s="24" t="n"/>
      <c r="DQ1077" s="24" t="inlineStr">
        <is>
          <t>{"artifact_hash": "6c67e999d2a03612e30f4032c8e5e77e8becfbc79e05f4c8993e726b90d34d54", "away_team": "Anastasia Tikhonova", "event_id": "1005-2026:185895", "event_start_utc": "2026-09-12T16:00Z", "features": {"elo_p1_surface": 1443.2, "elo_p2_surface": 1469.8, "expected_games_p1": 11.89, "expected_games_p2": 12.77, "expected_total_games": 24.65, "history_matches": 15953, "min_player_matches": 29, "surface": "Hard"}, "historical_source_observation_times_verified": false, "home_team": "Alana Smith", "inference_inputs": {"code_sha256": {"features/elo_ratings.py": "8525faf022a6343c452286dbfeb17dbb043744c6bdabbe448b6b371216da439b", "models/tennis.py": "6c67e999d2a03612e30f4032c8e5e77e8becfbc79e05f4c8993e726b90d34d54"}, "overall_ratings": [1442.9035319456725, 1468.9517452065184], "players": ["Anastasia Tikhonova", "Alana Smith"], "sport": "TENNIS", "surface": "Hard", "surface_counts": [39, 29], "surface_ratings": [1443.2377011037931, 1469.7623831400285]}, "market_type": "moneyline", "model_version": "tennis-surface-elo-v1", "observed_at_utc": "2026-09-12T10:07:01.269630+00:00", "probabilities": {"away": 0.4622, "home": 0.5378}, "replay_scope": "Exact full-precision serving state and rounding; upstream historical observation times are not certified.", "schema": "coded-moneyline-replay-v1", "snapshot_hash": "e1d974b988d61489ec8508d68e50e44df167466730608c86a4edde755772bd44", "sport": "TENNIS"}</t>
        </is>
      </c>
    </row>
    <row r="1078" ht="36" customHeight="1">
      <c r="A1078" s="24" t="inlineStr">
        <is>
          <t>a7eabc3d7afb44ad</t>
        </is>
      </c>
      <c r="B1078" s="24" t="inlineStr">
        <is>
          <t>2026-09-12T10:07:04.732639Z</t>
        </is>
      </c>
      <c r="C1078" s="24" t="inlineStr">
        <is>
          <t>2026-09-12T16:00Z</t>
        </is>
      </c>
      <c r="D1078" s="24" t="inlineStr">
        <is>
          <t>1005-2026:185894</t>
        </is>
      </c>
      <c r="E1078" s="24" t="inlineStr">
        <is>
          <t>TENNIS</t>
        </is>
      </c>
      <c r="F1078" s="24" t="inlineStr">
        <is>
          <t>Fernanda Labrana</t>
        </is>
      </c>
      <c r="G1078" s="24" t="inlineStr">
        <is>
          <t>Whitney Osuigwe</t>
        </is>
      </c>
      <c r="H1078" s="24" t="inlineStr">
        <is>
          <t>moneyline</t>
        </is>
      </c>
      <c r="I1078" s="24" t="inlineStr">
        <is>
          <t>home</t>
        </is>
      </c>
      <c r="J1078" s="25" t="n"/>
      <c r="K1078" s="24" t="inlineStr">
        <is>
          <t>polymarket_us</t>
        </is>
      </c>
      <c r="L1078" s="26" t="n">
        <v>-900</v>
      </c>
      <c r="M1078" s="27" t="n">
        <v>1.111111</v>
      </c>
      <c r="N1078" s="28" t="n">
        <v>0.9</v>
      </c>
      <c r="O1078" s="28" t="n">
        <v>0.5824</v>
      </c>
      <c r="P1078" s="28" t="n">
        <v>0.05</v>
      </c>
      <c r="Q1078" s="28" t="n">
        <v>-0.3176</v>
      </c>
      <c r="R1078" s="26" t="n">
        <v>0</v>
      </c>
      <c r="S1078" s="29" t="n">
        <v>1</v>
      </c>
      <c r="T1078" s="24" t="inlineStr">
        <is>
          <t>tennis-surface-elo-v1</t>
        </is>
      </c>
      <c r="U1078" s="24" t="inlineStr">
        <is>
          <t>settled</t>
        </is>
      </c>
      <c r="V1078" s="24" t="inlineStr">
        <is>
          <t>win</t>
        </is>
      </c>
      <c r="W1078" s="26" t="n">
        <v>0</v>
      </c>
      <c r="X1078" s="26" t="n">
        <v>1</v>
      </c>
      <c r="Y1078" s="25" t="n"/>
      <c r="Z1078" s="26" t="n">
        <v>-900</v>
      </c>
      <c r="AA1078" s="28" t="n">
        <v>0.9</v>
      </c>
      <c r="AB1078" s="28" t="n">
        <v>0</v>
      </c>
      <c r="AC1078" s="30" t="n">
        <v>0.1111</v>
      </c>
      <c r="AD1078" s="24" t="inlineStr">
        <is>
          <t>2026-09-13T04:32:32.417061Z</t>
        </is>
      </c>
      <c r="AE1078" s="31" t="inlineStr">
        <is>
          <t>Surface-blended Elo on Hard: Fernanda Labrana p=0.418 vs Whitney Osuigwe. Executable ask 0.9000 (aec-wta-whiosu-ferlab-2026-09-12).</t>
        </is>
      </c>
      <c r="AF1078" s="31" t="inlineStr">
        <is>
          <t>Surface-blended Elo model; singles only, WTA+ATP market coverage, not yet locked-holdout qualified -- promoted by explicit operator directive, not genuine walk-forward validation.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paper_call</t>
        </is>
      </c>
      <c r="AL1078" s="26" t="n">
        <v>4</v>
      </c>
      <c r="AM1078" s="24" t="inlineStr">
        <is>
          <t>RESEARCH_OBSERVATION</t>
        </is>
      </c>
      <c r="AN1078" s="24" t="inlineStr">
        <is>
          <t>CALL</t>
        </is>
      </c>
      <c r="AO1078" s="24" t="inlineStr">
        <is>
          <t>PAPER_CALL_MODEL_UNVALIDATED</t>
        </is>
      </c>
      <c r="AP1078" s="24" t="inlineStr">
        <is>
          <t>Fernanda Labrana</t>
        </is>
      </c>
      <c r="AQ1078" s="24" t="inlineStr">
        <is>
          <t>Fernanda Labrana</t>
        </is>
      </c>
      <c r="AR1078" s="24" t="inlineStr">
        <is>
          <t>Fernanda Labrana</t>
        </is>
      </c>
      <c r="AS1078" s="24" t="inlineStr">
        <is>
          <t>Whitney Osuigwe</t>
        </is>
      </c>
      <c r="AT1078" s="24" t="inlineStr">
        <is>
          <t>Whitney Osuigwe</t>
        </is>
      </c>
      <c r="AU1078" s="24" t="inlineStr">
        <is>
          <t>Whitney Osuigwe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6c67e999d2a03612e30f4032c8e5e77e8becfbc79e05f4c8993e726b90d34d54</t>
        </is>
      </c>
      <c r="BB1078" s="24" t="inlineStr">
        <is>
          <t>surface_blended_elo</t>
        </is>
      </c>
      <c r="BC1078" s="24" t="inlineStr">
        <is>
          <t>tennis-surface-elo-v1</t>
        </is>
      </c>
      <c r="BD1078" s="24" t="inlineStr">
        <is>
          <t>6c67e999d2a03612e30f4032c8e5e77e8becfbc79e05f4c8993e726b90d34d54</t>
        </is>
      </c>
      <c r="BE1078" s="24" t="inlineStr">
        <is>
          <t>tennis-surface-elo-v1</t>
        </is>
      </c>
      <c r="BF1078" s="24" t="inlineStr">
        <is>
          <t>1</t>
        </is>
      </c>
      <c r="BG1078" s="24" t="inlineStr">
        <is>
          <t>6c67e999d2a03612e30f4032c8e5e77e8becfbc79e05f4c8993e726b90d34d54</t>
        </is>
      </c>
      <c r="BH1078" s="24" t="inlineStr">
        <is>
          <t>2026-09-12T10:05:56.718362Z</t>
        </is>
      </c>
      <c r="BI1078" s="24" t="inlineStr">
        <is>
          <t>["same_event","same_team_same_day","same_league_same_day"]</t>
        </is>
      </c>
      <c r="BJ1078" s="25" t="n"/>
      <c r="BK1078" s="26" t="n">
        <v>-900</v>
      </c>
      <c r="BL1078" s="27" t="n">
        <v>1.111111</v>
      </c>
      <c r="BM1078" s="28" t="n">
        <v>0.9</v>
      </c>
      <c r="BN1078" s="28" t="n"/>
      <c r="BO1078" s="28" t="n"/>
      <c r="BP1078" s="25" t="n"/>
      <c r="BQ1078" s="27" t="n">
        <v>1.111111</v>
      </c>
      <c r="BR1078" s="28" t="n">
        <v>0.9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n"/>
      <c r="CZ1078" s="24" t="n"/>
      <c r="DA1078" s="24" t="n"/>
      <c r="DB1078" s="24" t="n"/>
      <c r="DC1078" s="24" t="n"/>
      <c r="DD1078" s="24" t="inlineStr">
        <is>
          <t>708b3737f165452599355a0ebd7461f52415a4a5baa3d3925c67ad3ec51b0929</t>
        </is>
      </c>
      <c r="DE1078" s="24" t="inlineStr">
        <is>
          <t>/Users/vincentc9002/model-prediction/data/odds/tennis/2026-09-12/polymarket_snapshots.jsonl</t>
        </is>
      </c>
      <c r="DF1078" s="24" t="inlineStr">
        <is>
          <t>798454:2026-09-12T10:05:56.718362Z</t>
        </is>
      </c>
      <c r="DG1078" s="24" t="n"/>
      <c r="DH1078" s="24" t="n"/>
      <c r="DI1078" s="24" t="n"/>
      <c r="DJ1078" s="24" t="inlineStr">
        <is>
          <t>0.9</t>
        </is>
      </c>
      <c r="DK1078" s="24" t="n"/>
      <c r="DL1078" s="24" t="n"/>
      <c r="DM1078" s="24" t="n"/>
      <c r="DN1078" s="24" t="n"/>
      <c r="DO1078" s="24" t="n"/>
      <c r="DP1078" s="24" t="n"/>
      <c r="DQ1078" s="24" t="inlineStr">
        <is>
          <t>{"artifact_hash": "6c67e999d2a03612e30f4032c8e5e77e8becfbc79e05f4c8993e726b90d34d54", "away_team": "Fernanda Labrana", "event_id": "1005-2026:185894", "event_start_utc": "2026-09-12T16:00Z", "features": {"elo_p1_surface": 1438.0, "elo_p2_surface": 1508.3, "expected_games_p1": 10.5, "expected_games_p2": 13.23, "expected_total_games": 23.73, "history_matches": 15953, "min_player_matches": 6, "surface": "Hard"}, "historical_source_observation_times_verified": false, "home_team": "Whitney Osuigwe", "inference_inputs": {"code_sha256": {"features/elo_ratings.py": "8525faf022a6343c452286dbfeb17dbb043744c6bdabbe448b6b371216da439b", "models/tennis.py": "6c67e999d2a03612e30f4032c8e5e77e8becfbc79e05f4c8993e726b90d34d54"}, "overall_ratings": [1438.904759230865, 1474.0834938805292], "players": ["Fernanda Labrana", "Whitney Osuigwe"], "sport": "TENNIS", "surface": "Hard", "surface_counts": [6, 50], "surface_ratings": [1437.9803072823886, 1508.315935728694]}, "market_type": "moneyline", "model_version": "tennis-surface-elo-v1", "observed_at_utc": "2026-09-12T10:07:01.269630+00:00", "probabilities": {"away": 0.4176, "home": 0.5824}, "replay_scope": "Exact full-precision serving state and rounding; upstream historical observation times are not certified.", "schema": "coded-moneyline-replay-v1", "snapshot_hash": "1cdfebf458c43c0a90f64f3c2c1c2fbb62db3ba669f218a5c849f45d46bb35ed", "sport": "TENNIS"}</t>
        </is>
      </c>
    </row>
    <row r="1079" ht="36" customHeight="1">
      <c r="A1079" s="24" t="inlineStr">
        <is>
          <t>ba453285f7344089</t>
        </is>
      </c>
      <c r="B1079" s="24" t="inlineStr">
        <is>
          <t>2026-09-12T16:07:29.828938Z</t>
        </is>
      </c>
      <c r="C1079" s="24" t="inlineStr">
        <is>
          <t>2026-09-12T20:00Z</t>
        </is>
      </c>
      <c r="D1079" s="24" t="inlineStr">
        <is>
          <t>189-2026:182589</t>
        </is>
      </c>
      <c r="E1079" s="24" t="inlineStr">
        <is>
          <t>TENNIS</t>
        </is>
      </c>
      <c r="F1079" s="24" t="inlineStr">
        <is>
          <t>Elena Rybakina</t>
        </is>
      </c>
      <c r="G1079" s="24" t="inlineStr">
        <is>
          <t>Aryna Sabalenka</t>
        </is>
      </c>
      <c r="H1079" s="24" t="inlineStr">
        <is>
          <t>moneyline</t>
        </is>
      </c>
      <c r="I1079" s="24" t="inlineStr">
        <is>
          <t>home</t>
        </is>
      </c>
      <c r="J1079" s="25" t="n"/>
      <c r="K1079" s="24" t="inlineStr">
        <is>
          <t>polymarket_us</t>
        </is>
      </c>
      <c r="L1079" s="26" t="n">
        <v>-138</v>
      </c>
      <c r="M1079" s="27" t="n">
        <v>1.724638</v>
      </c>
      <c r="N1079" s="28" t="n">
        <v>0.579832</v>
      </c>
      <c r="O1079" s="28" t="n">
        <v>0.5227000000000001</v>
      </c>
      <c r="P1079" s="28" t="n">
        <v>0.05</v>
      </c>
      <c r="Q1079" s="28" t="n">
        <v>-0.057132</v>
      </c>
      <c r="R1079" s="26" t="n">
        <v>0</v>
      </c>
      <c r="S1079" s="29" t="n">
        <v>1</v>
      </c>
      <c r="T1079" s="24" t="inlineStr">
        <is>
          <t>tennis-surface-elo-v1</t>
        </is>
      </c>
      <c r="U1079" s="24" t="inlineStr">
        <is>
          <t>settled</t>
        </is>
      </c>
      <c r="V1079" s="24" t="inlineStr">
        <is>
          <t>loss</t>
        </is>
      </c>
      <c r="W1079" s="26" t="n">
        <v>1</v>
      </c>
      <c r="X1079" s="26" t="n">
        <v>0</v>
      </c>
      <c r="Y1079" s="25" t="n"/>
      <c r="Z1079" s="26" t="n">
        <v>-138</v>
      </c>
      <c r="AA1079" s="28" t="n">
        <v>0.58</v>
      </c>
      <c r="AB1079" s="28" t="n">
        <v>0.000168</v>
      </c>
      <c r="AC1079" s="30" t="n">
        <v>-1</v>
      </c>
      <c r="AD1079" s="24" t="inlineStr">
        <is>
          <t>2026-09-13T04:33:14.169499Z</t>
        </is>
      </c>
      <c r="AE1079" s="31" t="inlineStr">
        <is>
          <t>Surface-blended Elo on Hard: Elena Rybakina p=0.477 vs Aryna Sabalenka. Executable ask 0.5800 (aec-wta-arysab-eleryb-2026-09-12).</t>
        </is>
      </c>
      <c r="AF1079" s="31" t="inlineStr">
        <is>
          <t>Surface-blended Elo model; singles only, WTA+ATP market coverage, not yet locked-holdout qualified -- promoted by explicit operator directive, not genuine walk-forward validation.</t>
        </is>
      </c>
      <c r="AG1079" s="24" t="inlineStr">
        <is>
          <t>review_required</t>
        </is>
      </c>
      <c r="AH1079" s="24" t="n"/>
      <c r="AI1079" s="31" t="n"/>
      <c r="AJ1079" s="31" t="n"/>
      <c r="AK1079" s="24" t="inlineStr">
        <is>
          <t>paper_call</t>
        </is>
      </c>
      <c r="AL1079" s="26" t="n">
        <v>4</v>
      </c>
      <c r="AM1079" s="24" t="inlineStr">
        <is>
          <t>RESEARCH_OBSERVATION</t>
        </is>
      </c>
      <c r="AN1079" s="24" t="inlineStr">
        <is>
          <t>CALL</t>
        </is>
      </c>
      <c r="AO1079" s="24" t="inlineStr">
        <is>
          <t>PAPER_CALL_LOW_EDGE</t>
        </is>
      </c>
      <c r="AP1079" s="24" t="inlineStr">
        <is>
          <t>Elena Rybakina</t>
        </is>
      </c>
      <c r="AQ1079" s="24" t="inlineStr">
        <is>
          <t>Elena Rybakina</t>
        </is>
      </c>
      <c r="AR1079" s="24" t="inlineStr">
        <is>
          <t>Elena Rybakina</t>
        </is>
      </c>
      <c r="AS1079" s="24" t="inlineStr">
        <is>
          <t>Aryna Sabalenka</t>
        </is>
      </c>
      <c r="AT1079" s="24" t="inlineStr">
        <is>
          <t>Aryna Sabalenka</t>
        </is>
      </c>
      <c r="AU1079" s="24" t="inlineStr">
        <is>
          <t>Aryna Sabalenka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shadow_qualified</t>
        </is>
      </c>
      <c r="BA1079" s="24" t="inlineStr">
        <is>
          <t>6c67e999d2a03612e30f4032c8e5e77e8becfbc79e05f4c8993e726b90d34d54</t>
        </is>
      </c>
      <c r="BB1079" s="24" t="inlineStr">
        <is>
          <t>surface_blended_elo</t>
        </is>
      </c>
      <c r="BC1079" s="24" t="inlineStr">
        <is>
          <t>tennis-surface-elo-v1</t>
        </is>
      </c>
      <c r="BD1079" s="24" t="inlineStr">
        <is>
          <t>6c67e999d2a03612e30f4032c8e5e77e8becfbc79e05f4c8993e726b90d34d54</t>
        </is>
      </c>
      <c r="BE1079" s="24" t="inlineStr">
        <is>
          <t>tennis-surface-elo-v1</t>
        </is>
      </c>
      <c r="BF1079" s="24" t="inlineStr">
        <is>
          <t>1</t>
        </is>
      </c>
      <c r="BG1079" s="24" t="inlineStr">
        <is>
          <t>6c67e999d2a03612e30f4032c8e5e77e8becfbc79e05f4c8993e726b90d34d54</t>
        </is>
      </c>
      <c r="BH1079" s="24" t="inlineStr">
        <is>
          <t>2026-09-12T16:06:18.383229Z</t>
        </is>
      </c>
      <c r="BI1079" s="24" t="inlineStr">
        <is>
          <t>["same_event","same_team_same_day","same_league_same_day"]</t>
        </is>
      </c>
      <c r="BJ1079" s="25" t="n"/>
      <c r="BK1079" s="26" t="n">
        <v>-138</v>
      </c>
      <c r="BL1079" s="27" t="n">
        <v>1.724638</v>
      </c>
      <c r="BM1079" s="28" t="n">
        <v>0.579832</v>
      </c>
      <c r="BN1079" s="28" t="n"/>
      <c r="BO1079" s="28" t="n"/>
      <c r="BP1079" s="25" t="n"/>
      <c r="BQ1079" s="27" t="n">
        <v>1.724638</v>
      </c>
      <c r="BR1079" s="28" t="n">
        <v>0.58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False</t>
        </is>
      </c>
      <c r="CT1079" s="24" t="n"/>
      <c r="CU1079" s="24" t="n"/>
      <c r="CV1079" s="24" t="n"/>
      <c r="CW1079" s="24" t="n"/>
      <c r="CX1079" s="24" t="n"/>
      <c r="CY1079" s="24" t="n"/>
      <c r="CZ1079" s="24" t="n"/>
      <c r="DA1079" s="24" t="n"/>
      <c r="DB1079" s="24" t="n"/>
      <c r="DC1079" s="24" t="n"/>
      <c r="DD1079" s="24" t="inlineStr">
        <is>
          <t>90c03f25db1409bed70ca68d4324d1e37e095f31579acca3609b170723a4b0b8</t>
        </is>
      </c>
      <c r="DE1079" s="24" t="inlineStr">
        <is>
          <t>/Users/vincentc9002/model-prediction/data/odds/tennis/2026-09-12/polymarket_snapshots.jsonl</t>
        </is>
      </c>
      <c r="DF1079" s="24" t="inlineStr">
        <is>
          <t>785769:2026-09-12T16:06:18.383229Z</t>
        </is>
      </c>
      <c r="DG1079" s="24" t="n"/>
      <c r="DH1079" s="24" t="n"/>
      <c r="DI1079" s="24" t="n"/>
      <c r="DJ1079" s="24" t="inlineStr">
        <is>
          <t>0.579832</t>
        </is>
      </c>
      <c r="DK1079" s="24" t="n"/>
      <c r="DL1079" s="24" t="n"/>
      <c r="DM1079" s="24" t="n"/>
      <c r="DN1079" s="24" t="n"/>
      <c r="DO1079" s="24" t="n"/>
      <c r="DP1079" s="24" t="n"/>
      <c r="DQ1079" s="24" t="inlineStr">
        <is>
          <t>{"artifact_hash": "6c67e999d2a03612e30f4032c8e5e77e8becfbc79e05f4c8993e726b90d34d54", "away_team": "Elena Rybakina", "event_id": "189-2026:182589", "event_start_utc": "2026-09-12T20:00Z", "features": {"elo_p1_surface": 2056.0, "elo_p2_surface": 2073.2, "expected_games_p1": 12.14, "expected_games_p2": 12.6, "expected_total_games": 24.74, "history_matches": 15953, "min_player_matches": 187,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[2029.782008366977, 2041.0908959462695], "players": ["Elena Rybakina", "Aryna Sabalenka"], "sport": "TENNIS", "surface": "Hard", "surface_counts": [142, 138], "surface_ratings": [2055.9603580014177, 2073.1966509801864]}, "market_type": "moneyline", "model_version": "tennis-surface-elo-v1", "observed_at_utc": "2026-09-12T16:07:25.930483+00:00", "probabilities": {"away": 0.4773, "home": 0.5227}, "replay_scope": "Exact full-precision serving state and rounding; upstream historical observation times are not certified.", "schema": "coded-moneyline-replay-v1", "snapshot_hash": "4e1e5118ebb22dead91563873793a9c0083e68b855ce6bfa817e47f9abc13593", "sport": "TENNIS"}</t>
        </is>
      </c>
    </row>
    <row r="1080" ht="36" customHeight="1">
      <c r="A1080" s="24" t="inlineStr">
        <is>
          <t>35e37143b2df46e0</t>
        </is>
      </c>
      <c r="B1080" s="24" t="inlineStr">
        <is>
          <t>2026-09-12T16:07:29.828938Z</t>
        </is>
      </c>
      <c r="C1080" s="24" t="inlineStr">
        <is>
          <t>2026-09-12T21:30Z</t>
        </is>
      </c>
      <c r="D1080" s="24" t="inlineStr">
        <is>
          <t>964-2026:183644</t>
        </is>
      </c>
      <c r="E1080" s="24" t="inlineStr">
        <is>
          <t>TENNIS</t>
        </is>
      </c>
      <c r="F1080" s="24" t="inlineStr">
        <is>
          <t>Anna Blinkova</t>
        </is>
      </c>
      <c r="G1080" s="24" t="inlineStr">
        <is>
          <t>Claire Liu</t>
        </is>
      </c>
      <c r="H1080" s="24" t="inlineStr">
        <is>
          <t>moneyline</t>
        </is>
      </c>
      <c r="I1080" s="24" t="inlineStr">
        <is>
          <t>home</t>
        </is>
      </c>
      <c r="J1080" s="25" t="n"/>
      <c r="K1080" s="24" t="inlineStr">
        <is>
          <t>polymarket_us</t>
        </is>
      </c>
      <c r="L1080" s="26" t="n">
        <v>-122</v>
      </c>
      <c r="M1080" s="27" t="n">
        <v>1.819672</v>
      </c>
      <c r="N1080" s="28" t="n">
        <v>0.54955</v>
      </c>
      <c r="O1080" s="28" t="n">
        <v>0.5001</v>
      </c>
      <c r="P1080" s="28" t="n">
        <v>0.05</v>
      </c>
      <c r="Q1080" s="28" t="n">
        <v>-0.04945</v>
      </c>
      <c r="R1080" s="26" t="n">
        <v>0</v>
      </c>
      <c r="S1080" s="29" t="n">
        <v>1</v>
      </c>
      <c r="T1080" s="24" t="inlineStr">
        <is>
          <t>tennis-surface-elo-v1</t>
        </is>
      </c>
      <c r="U1080" s="24" t="inlineStr">
        <is>
          <t>settled</t>
        </is>
      </c>
      <c r="V1080" s="24" t="inlineStr">
        <is>
          <t>win</t>
        </is>
      </c>
      <c r="W1080" s="26" t="n">
        <v>0</v>
      </c>
      <c r="X1080" s="26" t="n">
        <v>1</v>
      </c>
      <c r="Y1080" s="25" t="n"/>
      <c r="Z1080" s="26" t="n">
        <v>-122</v>
      </c>
      <c r="AA1080" s="28" t="n">
        <v>0.55</v>
      </c>
      <c r="AB1080" s="28" t="n">
        <v>0.00045</v>
      </c>
      <c r="AC1080" s="30" t="n">
        <v>0.8197</v>
      </c>
      <c r="AD1080" s="24" t="inlineStr">
        <is>
          <t>2026-09-13T04:33:14.621530Z</t>
        </is>
      </c>
      <c r="AE1080" s="31" t="inlineStr">
        <is>
          <t>Surface-blended Elo on Hard: Anna Blinkova p=0.500 vs Claire Liu. Executable ask 0.5500 (aec-wta-claliu-annbli-2026-09-13).</t>
        </is>
      </c>
      <c r="AF1080" s="31" t="inlineStr">
        <is>
          <t>Surface-blended Elo model; singles only, WTA+ATP market coverage, not yet locked-holdout qualified -- promoted by explicit operator directive, not genuine walk-forward validation.</t>
        </is>
      </c>
      <c r="AG1080" s="24" t="inlineStr">
        <is>
          <t>not_applicable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PAPER_CALL_LOW_EDGE</t>
        </is>
      </c>
      <c r="AP1080" s="24" t="inlineStr">
        <is>
          <t>Anna Blinkova</t>
        </is>
      </c>
      <c r="AQ1080" s="24" t="inlineStr">
        <is>
          <t>Anna Blinkova</t>
        </is>
      </c>
      <c r="AR1080" s="24" t="inlineStr">
        <is>
          <t>Anna Blinkova</t>
        </is>
      </c>
      <c r="AS1080" s="24" t="inlineStr">
        <is>
          <t>Claire Liu</t>
        </is>
      </c>
      <c r="AT1080" s="24" t="inlineStr">
        <is>
          <t>Claire Liu</t>
        </is>
      </c>
      <c r="AU1080" s="24" t="inlineStr">
        <is>
          <t>Claire Liu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shadow_qualified</t>
        </is>
      </c>
      <c r="BA1080" s="24" t="inlineStr">
        <is>
          <t>6c67e999d2a03612e30f4032c8e5e77e8becfbc79e05f4c8993e726b90d34d54</t>
        </is>
      </c>
      <c r="BB1080" s="24" t="inlineStr">
        <is>
          <t>surface_blended_elo</t>
        </is>
      </c>
      <c r="BC1080" s="24" t="inlineStr">
        <is>
          <t>tennis-surface-elo-v1</t>
        </is>
      </c>
      <c r="BD1080" s="24" t="inlineStr">
        <is>
          <t>6c67e999d2a03612e30f4032c8e5e77e8becfbc79e05f4c8993e726b90d34d54</t>
        </is>
      </c>
      <c r="BE1080" s="24" t="inlineStr">
        <is>
          <t>tennis-surface-elo-v1</t>
        </is>
      </c>
      <c r="BF1080" s="24" t="inlineStr">
        <is>
          <t>1</t>
        </is>
      </c>
      <c r="BG1080" s="24" t="inlineStr">
        <is>
          <t>6c67e999d2a03612e30f4032c8e5e77e8becfbc79e05f4c8993e726b90d34d54</t>
        </is>
      </c>
      <c r="BH1080" s="24" t="inlineStr">
        <is>
          <t>2026-09-12T16:06:18.463756Z</t>
        </is>
      </c>
      <c r="BI1080" s="24" t="inlineStr">
        <is>
          <t>["same_event","same_team_same_day","same_league_same_day"]</t>
        </is>
      </c>
      <c r="BJ1080" s="25" t="n"/>
      <c r="BK1080" s="26" t="n">
        <v>-122</v>
      </c>
      <c r="BL1080" s="27" t="n">
        <v>1.819672</v>
      </c>
      <c r="BM1080" s="28" t="n">
        <v>0.54955</v>
      </c>
      <c r="BN1080" s="28" t="n"/>
      <c r="BO1080" s="28" t="n"/>
      <c r="BP1080" s="25" t="n"/>
      <c r="BQ1080" s="27" t="n">
        <v>1.819672</v>
      </c>
      <c r="BR1080" s="28" t="n">
        <v>0.55</v>
      </c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n"/>
      <c r="CU1080" s="24" t="n"/>
      <c r="CV1080" s="24" t="n"/>
      <c r="CW1080" s="24" t="n"/>
      <c r="CX1080" s="24" t="n"/>
      <c r="CY1080" s="24" t="n"/>
      <c r="CZ1080" s="24" t="n"/>
      <c r="DA1080" s="24" t="n"/>
      <c r="DB1080" s="24" t="n"/>
      <c r="DC1080" s="24" t="n"/>
      <c r="DD1080" s="24" t="inlineStr">
        <is>
          <t>eda7f947bdf6588d0d12c7070fc18d9fcaad30e54d7f1dc13c17308592543535</t>
        </is>
      </c>
      <c r="DE1080" s="24" t="inlineStr">
        <is>
          <t>/Users/vincentc9002/model-prediction/data/odds/tennis/2026-09-12/polymarket_snapshots.jsonl</t>
        </is>
      </c>
      <c r="DF1080" s="24" t="inlineStr">
        <is>
          <t>799251:2026-09-12T16:06:18.463756Z</t>
        </is>
      </c>
      <c r="DG1080" s="24" t="n"/>
      <c r="DH1080" s="24" t="n"/>
      <c r="DI1080" s="24" t="n"/>
      <c r="DJ1080" s="24" t="inlineStr">
        <is>
          <t>0.54955</t>
        </is>
      </c>
      <c r="DK1080" s="24" t="n"/>
      <c r="DL1080" s="24" t="n"/>
      <c r="DM1080" s="24" t="n"/>
      <c r="DN1080" s="24" t="n"/>
      <c r="DO1080" s="24" t="n"/>
      <c r="DP1080" s="24" t="n"/>
      <c r="DQ1080" s="24" t="inlineStr">
        <is>
          <t>{"artifact_hash": "6c67e999d2a03612e30f4032c8e5e77e8becfbc79e05f4c8993e726b90d34d54", "away_team": "Anna Blinkova", "event_id": "964-2026:183644", "event_start_utc": "2026-09-12T21:30Z", "features": {"elo_p1_surface": 1610.8, "elo_p2_surface": 1591.9, "expected_games_p1": 12.92, "expected_games_p2": 11.74, "expected_total_games": 24.66, "history_matches": 15953, "min_player_matches": 79, "surface": "Hard"}, "historical_source_observation_times_verified": false, "home_team": "Claire Liu", "inference_inputs": {"code_sha256": {"features/elo_ratings.py": "8525faf022a6343c452286dbfeb17dbb043744c6bdabbe448b6b371216da439b", "models/tennis.py": "6c67e999d2a03612e30f4032c8e5e77e8becfbc79e05f4c8993e726b90d34d54"}, "overall_ratings": [1619.1443969490738, 1660.096517534023], "players": ["Anna Blinkova", "Claire Liu"], "sport": "TENNIS", "surface": "Hard", "surface_counts": [127, 66], "surface_ratings": [1610.8175592382256, 1591.941393446973]}, "market_type": "moneyline", "model_version": "tennis-surface-elo-v1", "observed_at_utc": "2026-09-12T16:07:25.930483+00:00", "probabilities": {"away": 0.4999, "home": 0.5001}, "replay_scope": "Exact full-precision serving state and rounding; upstream historical observation times are not certified.", "schema": "coded-moneyline-replay-v1", "snapshot_hash": "5340b31578bbd0861ee011111c3cb7a15cd9433f07343b07b786c04c435a2b53", "sport": "TENNIS"}</t>
        </is>
      </c>
    </row>
    <row r="1081" ht="36" customHeight="1">
      <c r="A1081" s="24" t="inlineStr">
        <is>
          <t>58714b6cda7c4c54</t>
        </is>
      </c>
      <c r="B1081" s="24" t="inlineStr">
        <is>
          <t>2026-09-12T16:07:29.828938Z</t>
        </is>
      </c>
      <c r="C1081" s="24" t="inlineStr">
        <is>
          <t>2026-09-12T17:30Z</t>
        </is>
      </c>
      <c r="D1081" s="24" t="inlineStr">
        <is>
          <t>887-2026:185910</t>
        </is>
      </c>
      <c r="E1081" s="24" t="inlineStr">
        <is>
          <t>TENNIS</t>
        </is>
      </c>
      <c r="F1081" s="24" t="inlineStr">
        <is>
          <t>Caroline Dolehide</t>
        </is>
      </c>
      <c r="G1081" s="24" t="inlineStr">
        <is>
          <t>Mimi Xu</t>
        </is>
      </c>
      <c r="H1081" s="24" t="inlineStr">
        <is>
          <t>moneyline</t>
        </is>
      </c>
      <c r="I1081" s="24" t="inlineStr">
        <is>
          <t>away</t>
        </is>
      </c>
      <c r="J1081" s="25" t="n"/>
      <c r="K1081" s="24" t="inlineStr">
        <is>
          <t>polymarket_us</t>
        </is>
      </c>
      <c r="L1081" s="26" t="n">
        <v>-335</v>
      </c>
      <c r="M1081" s="27" t="n">
        <v>1.298507</v>
      </c>
      <c r="N1081" s="28" t="n">
        <v>0.770115</v>
      </c>
      <c r="O1081" s="28" t="n">
        <v>0.6233</v>
      </c>
      <c r="P1081" s="28" t="n">
        <v>0.05</v>
      </c>
      <c r="Q1081" s="28" t="n">
        <v>-0.146815</v>
      </c>
      <c r="R1081" s="26" t="n">
        <v>0</v>
      </c>
      <c r="S1081" s="29" t="n">
        <v>1</v>
      </c>
      <c r="T1081" s="24" t="inlineStr">
        <is>
          <t>tennis-surface-elo-v1</t>
        </is>
      </c>
      <c r="U1081" s="24" t="inlineStr">
        <is>
          <t>settled</t>
        </is>
      </c>
      <c r="V1081" s="24" t="inlineStr">
        <is>
          <t>win</t>
        </is>
      </c>
      <c r="W1081" s="26" t="n">
        <v>1</v>
      </c>
      <c r="X1081" s="26" t="n">
        <v>0</v>
      </c>
      <c r="Y1081" s="25" t="n"/>
      <c r="Z1081" s="26" t="n">
        <v>-335</v>
      </c>
      <c r="AA1081" s="28" t="n">
        <v>0.77</v>
      </c>
      <c r="AB1081" s="28" t="n">
        <v>-0.000115</v>
      </c>
      <c r="AC1081" s="30" t="n">
        <v>0.2985</v>
      </c>
      <c r="AD1081" s="24" t="inlineStr">
        <is>
          <t>2026-09-12T22:01:43.898497Z</t>
        </is>
      </c>
      <c r="AE1081" s="31" t="inlineStr">
        <is>
          <t>Surface-blended Elo on Hard: Caroline Dolehide p=0.623 vs Mimi Xu. Executable ask 0.7700 (aec-wta-mimxu-cardol-2026-09-12).</t>
        </is>
      </c>
      <c r="AF1081" s="31" t="inlineStr">
        <is>
          <t>Surface-blended Elo model; singles only, WTA+ATP market coverage, not yet locked-holdout qualified -- promoted by explicit operator directive, not genuine walk-forward validation.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paper_call</t>
        </is>
      </c>
      <c r="AL1081" s="26" t="n">
        <v>4</v>
      </c>
      <c r="AM1081" s="24" t="inlineStr">
        <is>
          <t>RESEARCH_OBSERVATION</t>
        </is>
      </c>
      <c r="AN1081" s="24" t="inlineStr">
        <is>
          <t>CALL</t>
        </is>
      </c>
      <c r="AO1081" s="24" t="inlineStr">
        <is>
          <t>PAPER_CALL_LOW_EDGE</t>
        </is>
      </c>
      <c r="AP1081" s="24" t="inlineStr">
        <is>
          <t>Caroline Dolehide</t>
        </is>
      </c>
      <c r="AQ1081" s="24" t="inlineStr">
        <is>
          <t>Caroline Dolehide</t>
        </is>
      </c>
      <c r="AR1081" s="24" t="inlineStr">
        <is>
          <t>Caroline Dolehide</t>
        </is>
      </c>
      <c r="AS1081" s="24" t="inlineStr">
        <is>
          <t>Mimi Xu</t>
        </is>
      </c>
      <c r="AT1081" s="24" t="inlineStr">
        <is>
          <t>Mimi Xu</t>
        </is>
      </c>
      <c r="AU1081" s="24" t="inlineStr">
        <is>
          <t>Mimi Xu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shadow_qualified</t>
        </is>
      </c>
      <c r="BA1081" s="24" t="inlineStr">
        <is>
          <t>6c67e999d2a03612e30f4032c8e5e77e8becfbc79e05f4c8993e726b90d34d54</t>
        </is>
      </c>
      <c r="BB1081" s="24" t="inlineStr">
        <is>
          <t>surface_blended_elo</t>
        </is>
      </c>
      <c r="BC1081" s="24" t="inlineStr">
        <is>
          <t>tennis-surface-elo-v1</t>
        </is>
      </c>
      <c r="BD1081" s="24" t="inlineStr">
        <is>
          <t>6c67e999d2a03612e30f4032c8e5e77e8becfbc79e05f4c8993e726b90d34d54</t>
        </is>
      </c>
      <c r="BE1081" s="24" t="inlineStr">
        <is>
          <t>tennis-surface-elo-v1</t>
        </is>
      </c>
      <c r="BF1081" s="24" t="inlineStr">
        <is>
          <t>1</t>
        </is>
      </c>
      <c r="BG1081" s="24" t="inlineStr">
        <is>
          <t>6c67e999d2a03612e30f4032c8e5e77e8becfbc79e05f4c8993e726b90d34d54</t>
        </is>
      </c>
      <c r="BH1081" s="24" t="inlineStr">
        <is>
          <t>2026-09-12T16:06:17.414839Z</t>
        </is>
      </c>
      <c r="BI1081" s="24" t="inlineStr">
        <is>
          <t>["same_event","same_team_same_day","same_league_same_day"]</t>
        </is>
      </c>
      <c r="BJ1081" s="25" t="n"/>
      <c r="BK1081" s="26" t="n">
        <v>-335</v>
      </c>
      <c r="BL1081" s="27" t="n">
        <v>1.298507</v>
      </c>
      <c r="BM1081" s="28" t="n">
        <v>0.770115</v>
      </c>
      <c r="BN1081" s="28" t="n"/>
      <c r="BO1081" s="28" t="n"/>
      <c r="BP1081" s="25" t="n"/>
      <c r="BQ1081" s="27" t="n">
        <v>1.298507</v>
      </c>
      <c r="BR1081" s="28" t="n">
        <v>0.77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False</t>
        </is>
      </c>
      <c r="CT1081" s="24" t="n"/>
      <c r="CU1081" s="24" t="n"/>
      <c r="CV1081" s="24" t="n"/>
      <c r="CW1081" s="24" t="n"/>
      <c r="CX1081" s="24" t="n"/>
      <c r="CY1081" s="24" t="n"/>
      <c r="CZ1081" s="24" t="n"/>
      <c r="DA1081" s="24" t="n"/>
      <c r="DB1081" s="24" t="n"/>
      <c r="DC1081" s="24" t="n"/>
      <c r="DD1081" s="24" t="inlineStr">
        <is>
          <t>1f4c63678948a6a7904dfa652a1805fdec7be5f5af99a95bd72270b13b347453</t>
        </is>
      </c>
      <c r="DE1081" s="24" t="inlineStr">
        <is>
          <t>/Users/vincentc9002/model-prediction/data/odds/tennis/2026-09-12/polymarket_snapshots.jsonl</t>
        </is>
      </c>
      <c r="DF1081" s="24" t="inlineStr">
        <is>
          <t>800261:2026-09-12T16:06:17.414839Z</t>
        </is>
      </c>
      <c r="DG1081" s="24" t="n"/>
      <c r="DH1081" s="24" t="n"/>
      <c r="DI1081" s="24" t="n"/>
      <c r="DJ1081" s="24" t="inlineStr">
        <is>
          <t>0.770115</t>
        </is>
      </c>
      <c r="DK1081" s="24" t="n"/>
      <c r="DL1081" s="24" t="n"/>
      <c r="DM1081" s="24" t="n"/>
      <c r="DN1081" s="24" t="n"/>
      <c r="DO1081" s="24" t="n"/>
      <c r="DP1081" s="24" t="n"/>
      <c r="DQ1081" s="24" t="inlineStr">
        <is>
          <t>{"artifact_hash": "6c67e999d2a03612e30f4032c8e5e77e8becfbc79e05f4c8993e726b90d34d54", "away_team": "Caroline Dolehide", "event_id": "887-2026:185910", "event_start_utc": "2026-09-12T17:30Z", "features": {"elo_p1_surface": 1495.4, "elo_p2_surface": 1433.8, "expected_games_p1": 13.39, "expected_games_p2": 10.37, "expected_total_games": 23.77, "history_matches": 15953, "min_player_matches": 19, "surface": "Hard"}, "historical_source_observation_times_verified": false, "home_team": "Mimi Xu", "inference_inputs": {"code_sha256": {"features/elo_ratings.py": "8525faf022a6343c452286dbfeb17dbb043744c6bdabbe448b6b371216da439b", "models/tennis.py": "6c67e999d2a03612e30f4032c8e5e77e8becfbc79e05f4c8993e726b90d34d54"}, "overall_ratings": [1501.1074679209003, 1401.730728568086], "players": ["Caroline Dolehide", "Mimi Xu"], "sport": "TENNIS", "surface": "Hard", "surface_counts": [84, 6], "surface_ratings": [1495.384291789353, 1433.7544306121256]}, "market_type": "moneyline", "model_version": "tennis-surface-elo-v1", "observed_at_utc": "2026-09-12T16:07:25.930483+00:00", "probabilities": {"away": 0.6233, "home": 0.3767}, "replay_scope": "Exact full-precision serving state and rounding; upstream historical observation times are not certified.", "schema": "coded-moneyline-replay-v1", "snapshot_hash": "56b517c1fd26a926e56d104473167bc626c21519d79d2e5e6f8230342ea46f19", "sport": "TENNIS"}</t>
        </is>
      </c>
    </row>
    <row r="1082" ht="36" customHeight="1">
      <c r="A1082" s="24" t="inlineStr">
        <is>
          <t>053223b8478c4486</t>
        </is>
      </c>
      <c r="B1082" s="24" t="inlineStr">
        <is>
          <t>2026-09-12T16:07:29.828938Z</t>
        </is>
      </c>
      <c r="C1082" s="24" t="inlineStr">
        <is>
          <t>2026-09-12T17:30Z</t>
        </is>
      </c>
      <c r="D1082" s="24" t="inlineStr">
        <is>
          <t>887-2026:185907</t>
        </is>
      </c>
      <c r="E1082" s="24" t="inlineStr">
        <is>
          <t>TENNIS</t>
        </is>
      </c>
      <c r="F1082" s="24" t="inlineStr">
        <is>
          <t>Ena Koike</t>
        </is>
      </c>
      <c r="G1082" s="24" t="inlineStr">
        <is>
          <t>Sara Sorribes Tormo</t>
        </is>
      </c>
      <c r="H1082" s="24" t="inlineStr">
        <is>
          <t>moneyline</t>
        </is>
      </c>
      <c r="I1082" s="24" t="inlineStr">
        <is>
          <t>home</t>
        </is>
      </c>
      <c r="J1082" s="25" t="n"/>
      <c r="K1082" s="24" t="inlineStr">
        <is>
          <t>polymarket_us</t>
        </is>
      </c>
      <c r="L1082" s="26" t="n">
        <v>-335</v>
      </c>
      <c r="M1082" s="27" t="n">
        <v>1.298507</v>
      </c>
      <c r="N1082" s="28" t="n">
        <v>0.770115</v>
      </c>
      <c r="O1082" s="28" t="n">
        <v>0.6818</v>
      </c>
      <c r="P1082" s="28" t="n">
        <v>0.05</v>
      </c>
      <c r="Q1082" s="28" t="n">
        <v>-0.088315</v>
      </c>
      <c r="R1082" s="26" t="n">
        <v>0</v>
      </c>
      <c r="S1082" s="29" t="n">
        <v>1</v>
      </c>
      <c r="T1082" s="24" t="inlineStr">
        <is>
          <t>tennis-surface-elo-v1</t>
        </is>
      </c>
      <c r="U1082" s="24" t="inlineStr">
        <is>
          <t>settled</t>
        </is>
      </c>
      <c r="V1082" s="24" t="inlineStr">
        <is>
          <t>win</t>
        </is>
      </c>
      <c r="W1082" s="26" t="n">
        <v>0</v>
      </c>
      <c r="X1082" s="26" t="n">
        <v>1</v>
      </c>
      <c r="Y1082" s="25" t="n"/>
      <c r="Z1082" s="26" t="n">
        <v>-335</v>
      </c>
      <c r="AA1082" s="28" t="n">
        <v>0.77</v>
      </c>
      <c r="AB1082" s="28" t="n">
        <v>-0.000115</v>
      </c>
      <c r="AC1082" s="30" t="n">
        <v>0.2985</v>
      </c>
      <c r="AD1082" s="24" t="inlineStr">
        <is>
          <t>2026-09-12T22:01:44.339507Z</t>
        </is>
      </c>
      <c r="AE1082" s="31" t="inlineStr">
        <is>
          <t>Surface-blended Elo on Hard: Ena Koike p=0.318 vs Sara Sorribes Tormo. Executable ask 0.7700 (aec-wta-sartor-enakoi-2026-09-12).</t>
        </is>
      </c>
      <c r="AF1082" s="31" t="inlineStr">
        <is>
          <t>Surface-blended Elo model; singles only, WTA+ATP market coverage, not yet locked-holdout qualified -- promoted by explicit operator directive, not genuine walk-forward validation.</t>
        </is>
      </c>
      <c r="AG1082" s="24" t="inlineStr">
        <is>
          <t>not_applicable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PAPER_CALL_MODEL_UNVALIDATED</t>
        </is>
      </c>
      <c r="AP1082" s="24" t="inlineStr">
        <is>
          <t>Ena Koike</t>
        </is>
      </c>
      <c r="AQ1082" s="24" t="inlineStr">
        <is>
          <t>Ena Koike</t>
        </is>
      </c>
      <c r="AR1082" s="24" t="inlineStr">
        <is>
          <t>Ena Koike</t>
        </is>
      </c>
      <c r="AS1082" s="24" t="inlineStr">
        <is>
          <t>Sara Sorribes Tormo</t>
        </is>
      </c>
      <c r="AT1082" s="24" t="inlineStr">
        <is>
          <t>Sara Sorribes Tormo</t>
        </is>
      </c>
      <c r="AU1082" s="24" t="inlineStr">
        <is>
          <t>Sara Sorribes Tormo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shadow_qualified</t>
        </is>
      </c>
      <c r="BA1082" s="24" t="inlineStr">
        <is>
          <t>6c67e999d2a03612e30f4032c8e5e77e8becfbc79e05f4c8993e726b90d34d54</t>
        </is>
      </c>
      <c r="BB1082" s="24" t="inlineStr">
        <is>
          <t>surface_blended_elo</t>
        </is>
      </c>
      <c r="BC1082" s="24" t="inlineStr">
        <is>
          <t>tennis-surface-elo-v1</t>
        </is>
      </c>
      <c r="BD1082" s="24" t="inlineStr">
        <is>
          <t>6c67e999d2a03612e30f4032c8e5e77e8becfbc79e05f4c8993e726b90d34d54</t>
        </is>
      </c>
      <c r="BE1082" s="24" t="inlineStr">
        <is>
          <t>tennis-surface-elo-v1</t>
        </is>
      </c>
      <c r="BF1082" s="24" t="inlineStr">
        <is>
          <t>1</t>
        </is>
      </c>
      <c r="BG1082" s="24" t="inlineStr">
        <is>
          <t>6c67e999d2a03612e30f4032c8e5e77e8becfbc79e05f4c8993e726b90d34d54</t>
        </is>
      </c>
      <c r="BH1082" s="24" t="inlineStr">
        <is>
          <t>2026-09-12T16:06:17.489940Z</t>
        </is>
      </c>
      <c r="BI1082" s="24" t="inlineStr">
        <is>
          <t>["same_event","same_team_same_day","same_league_same_day"]</t>
        </is>
      </c>
      <c r="BJ1082" s="25" t="n"/>
      <c r="BK1082" s="26" t="n">
        <v>-335</v>
      </c>
      <c r="BL1082" s="27" t="n">
        <v>1.298507</v>
      </c>
      <c r="BM1082" s="28" t="n">
        <v>0.770115</v>
      </c>
      <c r="BN1082" s="28" t="n"/>
      <c r="BO1082" s="28" t="n"/>
      <c r="BP1082" s="25" t="n"/>
      <c r="BQ1082" s="27" t="n">
        <v>1.298507</v>
      </c>
      <c r="BR1082" s="28" t="n">
        <v>0.77</v>
      </c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False</t>
        </is>
      </c>
      <c r="CT1082" s="24" t="n"/>
      <c r="CU1082" s="24" t="n"/>
      <c r="CV1082" s="24" t="n"/>
      <c r="CW1082" s="24" t="n"/>
      <c r="CX1082" s="24" t="n"/>
      <c r="CY1082" s="24" t="n"/>
      <c r="CZ1082" s="24" t="n"/>
      <c r="DA1082" s="24" t="n"/>
      <c r="DB1082" s="24" t="n"/>
      <c r="DC1082" s="24" t="n"/>
      <c r="DD1082" s="24" t="inlineStr">
        <is>
          <t>c10ba8025ecd833bf9469fff34007c7df6e056551b21d6c4298b0a79ecc8f5f7</t>
        </is>
      </c>
      <c r="DE1082" s="24" t="inlineStr">
        <is>
          <t>/Users/vincentc9002/model-prediction/data/odds/tennis/2026-09-12/polymarket_snapshots.jsonl</t>
        </is>
      </c>
      <c r="DF1082" s="24" t="inlineStr">
        <is>
          <t>800260:2026-09-12T16:06:17.489940Z</t>
        </is>
      </c>
      <c r="DG1082" s="24" t="n"/>
      <c r="DH1082" s="24" t="n"/>
      <c r="DI1082" s="24" t="n"/>
      <c r="DJ1082" s="24" t="inlineStr">
        <is>
          <t>0.770115</t>
        </is>
      </c>
      <c r="DK1082" s="24" t="n"/>
      <c r="DL1082" s="24" t="n"/>
      <c r="DM1082" s="24" t="n"/>
      <c r="DN1082" s="24" t="n"/>
      <c r="DO1082" s="24" t="n"/>
      <c r="DP1082" s="24" t="n"/>
      <c r="DQ1082" s="24" t="inlineStr">
        <is>
          <t>{"artifact_hash": "6c67e999d2a03612e30f4032c8e5e77e8becfbc79e05f4c8993e726b90d34d54", "away_team": "Ena Koike", "event_id": "887-2026:185907", "event_start_utc": "2026-09-12T17:30Z", "features": {"elo_p1_surface": 1432.2, "elo_p2_surface": 1570.4, "expected_games_p1": 8.15, "expected_games_p2": 13.14, "expected_total_games": 21.29, "history_matches": 15953, "min_player_matches": 8, "surface": "Hard"}, "historical_source_observation_times_verified": false, "home_team": "Sara Sorribes Tormo", "inference_inputs": {"code_sha256": {"features/elo_ratings.py": "8525faf022a6343c452286dbfeb17dbb043744c6bdabbe448b6b371216da439b", "models/tennis.py": "6c67e999d2a03612e30f4032c8e5e77e8becfbc79e05f4c8993e726b90d34d54"}, "overall_ratings": [1433.7702611350662, 1553.946476215625], "players": ["Ena Koike", "Sara Sorribes Tormo"], "sport": "TENNIS", "surface": "Hard", "surface_counts": [8, 79], "surface_ratings": [1432.201340197414, 1570.3784283524044]}, "market_type": "moneyline", "model_version": "tennis-surface-elo-v1", "observed_at_utc": "2026-09-12T16:07:25.930483+00:00", "probabilities": {"away": 0.3182, "home": 0.6818}, "replay_scope": "Exact full-precision serving state and rounding; upstream historical observation times are not certified.", "schema": "coded-moneyline-replay-v1", "snapshot_hash": "2424da571be88cd12be7b52495ea5086c9be4135f5caa62cc68d9197629ac55a", "sport": "TENNIS"}</t>
        </is>
      </c>
    </row>
    <row r="1083" ht="36" customHeight="1">
      <c r="A1083" s="24" t="inlineStr">
        <is>
          <t>3fd9859750044c4f</t>
        </is>
      </c>
      <c r="B1083" s="24" t="inlineStr">
        <is>
          <t>2026-09-12T16:07:29.828938Z</t>
        </is>
      </c>
      <c r="C1083" s="24" t="inlineStr">
        <is>
          <t>2026-09-12T19:00Z</t>
        </is>
      </c>
      <c r="D1083" s="24" t="inlineStr">
        <is>
          <t>887-2026:185913</t>
        </is>
      </c>
      <c r="E1083" s="24" t="inlineStr">
        <is>
          <t>TENNIS</t>
        </is>
      </c>
      <c r="F1083" s="24" t="inlineStr">
        <is>
          <t>Katarina Zavatska</t>
        </is>
      </c>
      <c r="G1083" s="24" t="inlineStr">
        <is>
          <t>Lea Ma</t>
        </is>
      </c>
      <c r="H1083" s="24" t="inlineStr">
        <is>
          <t>moneyline</t>
        </is>
      </c>
      <c r="I1083" s="24" t="inlineStr">
        <is>
          <t>home</t>
        </is>
      </c>
      <c r="J1083" s="25" t="n"/>
      <c r="K1083" s="24" t="inlineStr">
        <is>
          <t>polymarket_us</t>
        </is>
      </c>
      <c r="L1083" s="26" t="n">
        <v>127</v>
      </c>
      <c r="M1083" s="27" t="n">
        <v>2.27</v>
      </c>
      <c r="N1083" s="28" t="n">
        <v>0.440529</v>
      </c>
      <c r="O1083" s="28" t="n">
        <v>0.5077</v>
      </c>
      <c r="P1083" s="28" t="n">
        <v>0.05</v>
      </c>
      <c r="Q1083" s="28" t="n">
        <v>0.06717099999999999</v>
      </c>
      <c r="R1083" s="26" t="n">
        <v>54</v>
      </c>
      <c r="S1083" s="29" t="n">
        <v>1</v>
      </c>
      <c r="T1083" s="24" t="inlineStr">
        <is>
          <t>tennis-surface-elo-v1</t>
        </is>
      </c>
      <c r="U1083" s="24" t="inlineStr">
        <is>
          <t>settled</t>
        </is>
      </c>
      <c r="V1083" s="24" t="inlineStr">
        <is>
          <t>win</t>
        </is>
      </c>
      <c r="W1083" s="26" t="n">
        <v>0</v>
      </c>
      <c r="X1083" s="26" t="n">
        <v>1</v>
      </c>
      <c r="Y1083" s="25" t="n"/>
      <c r="Z1083" s="26" t="n">
        <v>127</v>
      </c>
      <c r="AA1083" s="28" t="n">
        <v>0.44</v>
      </c>
      <c r="AB1083" s="28" t="n">
        <v>-0.000529</v>
      </c>
      <c r="AC1083" s="30" t="n">
        <v>1.27</v>
      </c>
      <c r="AD1083" s="24" t="inlineStr">
        <is>
          <t>2026-09-12T22:01:44.786758Z</t>
        </is>
      </c>
      <c r="AE1083" s="31" t="inlineStr">
        <is>
          <t>Surface-blended Elo on Hard: Katarina Zavatska p=0.492 vs Lea Ma. Executable ask 0.4400 (aec-wta-leama-katzav-2026-09-12).</t>
        </is>
      </c>
      <c r="AF1083" s="31" t="inlineStr">
        <is>
          <t>Surface-blended Elo model; singles only, WTA+ATP market coverage, not yet locked-holdout qualified -- promoted by explicit operator directive, not genuine walk-forward validation.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paper_call</t>
        </is>
      </c>
      <c r="AL1083" s="26" t="n">
        <v>4</v>
      </c>
      <c r="AM1083" s="24" t="inlineStr">
        <is>
          <t>RESEARCH_OBSERVATION</t>
        </is>
      </c>
      <c r="AN1083" s="24" t="inlineStr">
        <is>
          <t>CALL</t>
        </is>
      </c>
      <c r="AO1083" s="24" t="inlineStr">
        <is>
          <t>PAPER_CALL_LOW_EDGE</t>
        </is>
      </c>
      <c r="AP1083" s="24" t="inlineStr">
        <is>
          <t>Katarina Zavatska</t>
        </is>
      </c>
      <c r="AQ1083" s="24" t="inlineStr">
        <is>
          <t>Katarina Zavatska</t>
        </is>
      </c>
      <c r="AR1083" s="24" t="inlineStr">
        <is>
          <t>Katarina Zavatska</t>
        </is>
      </c>
      <c r="AS1083" s="24" t="inlineStr">
        <is>
          <t>Lea Ma</t>
        </is>
      </c>
      <c r="AT1083" s="24" t="inlineStr">
        <is>
          <t>Lea Ma</t>
        </is>
      </c>
      <c r="AU1083" s="24" t="inlineStr">
        <is>
          <t>Lea Ma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shadow_qualified</t>
        </is>
      </c>
      <c r="BA1083" s="24" t="inlineStr">
        <is>
          <t>6c67e999d2a03612e30f4032c8e5e77e8becfbc79e05f4c8993e726b90d34d54</t>
        </is>
      </c>
      <c r="BB1083" s="24" t="inlineStr">
        <is>
          <t>surface_blended_elo</t>
        </is>
      </c>
      <c r="BC1083" s="24" t="inlineStr">
        <is>
          <t>tennis-surface-elo-v1</t>
        </is>
      </c>
      <c r="BD1083" s="24" t="inlineStr">
        <is>
          <t>6c67e999d2a03612e30f4032c8e5e77e8becfbc79e05f4c8993e726b90d34d54</t>
        </is>
      </c>
      <c r="BE1083" s="24" t="inlineStr">
        <is>
          <t>tennis-surface-elo-v1</t>
        </is>
      </c>
      <c r="BF1083" s="24" t="inlineStr">
        <is>
          <t>1</t>
        </is>
      </c>
      <c r="BG1083" s="24" t="inlineStr">
        <is>
          <t>6c67e999d2a03612e30f4032c8e5e77e8becfbc79e05f4c8993e726b90d34d54</t>
        </is>
      </c>
      <c r="BH1083" s="24" t="inlineStr">
        <is>
          <t>2026-09-12T16:06:17.599948Z</t>
        </is>
      </c>
      <c r="BI1083" s="24" t="inlineStr">
        <is>
          <t>["same_event","same_team_same_day","same_league_same_day"]</t>
        </is>
      </c>
      <c r="BJ1083" s="25" t="n"/>
      <c r="BK1083" s="26" t="n">
        <v>127</v>
      </c>
      <c r="BL1083" s="27" t="n">
        <v>2.27</v>
      </c>
      <c r="BM1083" s="28" t="n">
        <v>0.440529</v>
      </c>
      <c r="BN1083" s="28" t="n"/>
      <c r="BO1083" s="28" t="n"/>
      <c r="BP1083" s="25" t="n"/>
      <c r="BQ1083" s="27" t="n">
        <v>2.27</v>
      </c>
      <c r="BR1083" s="28" t="n">
        <v>0.44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True</t>
        </is>
      </c>
      <c r="CT1083" s="24" t="n"/>
      <c r="CU1083" s="24" t="n"/>
      <c r="CV1083" s="24" t="n"/>
      <c r="CW1083" s="24" t="n"/>
      <c r="CX1083" s="24" t="n"/>
      <c r="CY1083" s="24" t="n"/>
      <c r="CZ1083" s="24" t="n"/>
      <c r="DA1083" s="24" t="n"/>
      <c r="DB1083" s="24" t="n"/>
      <c r="DC1083" s="24" t="n"/>
      <c r="DD1083" s="24" t="inlineStr">
        <is>
          <t>2802e7dcc9599098f6025238dddabcdbd0b89f22f758051d95fe201139848ce9</t>
        </is>
      </c>
      <c r="DE1083" s="24" t="inlineStr">
        <is>
          <t>/Users/vincentc9002/model-prediction/data/odds/tennis/2026-09-12/polymarket_snapshots.jsonl</t>
        </is>
      </c>
      <c r="DF1083" s="24" t="inlineStr">
        <is>
          <t>800263:2026-09-12T16:06:17.599948Z</t>
        </is>
      </c>
      <c r="DG1083" s="24" t="n"/>
      <c r="DH1083" s="24" t="n"/>
      <c r="DI1083" s="24" t="n"/>
      <c r="DJ1083" s="24" t="inlineStr">
        <is>
          <t>0.440529</t>
        </is>
      </c>
      <c r="DK1083" s="24" t="n"/>
      <c r="DL1083" s="24" t="n"/>
      <c r="DM1083" s="24" t="n"/>
      <c r="DN1083" s="24" t="n"/>
      <c r="DO1083" s="24" t="n"/>
      <c r="DP1083" s="24" t="n"/>
      <c r="DQ1083" s="24" t="inlineStr">
        <is>
          <t>{"artifact_hash": "6c67e999d2a03612e30f4032c8e5e77e8becfbc79e05f4c8993e726b90d34d54", "away_team": "Katarina Zavatska", "event_id": "887-2026:185913", "event_start_utc": "2026-09-12T19:00Z", "features": {"elo_p1_surface": 1471.6, "elo_p2_surface": 1480.5, "expected_games_p1": 12.35, "expected_games_p2": 12.43, "expected_total_games": 24.78, "history_matches": 15953, "min_player_matches": 15, "surface": "Hard"}, "historical_source_observation_times_verified": false, "home_team": "Lea Ma", "inference_inputs": {"code_sha256": {"features/elo_ratings.py": "8525faf022a6343c452286dbfeb17dbb043744c6bdabbe448b6b371216da439b", "models/tennis.py": "6c67e999d2a03612e30f4032c8e5e77e8becfbc79e05f4c8993e726b90d34d54"}, "overall_ratings": [1485.1469042208428, 1482.6114096139904], "players": ["Katarina Zavatska", "Lea Ma"], "sport": "TENNIS", "surface": "Hard", "surface_counts": [48, 15], "surface_ratings": [1471.600405370784, 1480.526312463609]}, "market_type": "moneyline", "model_version": "tennis-surface-elo-v1", "observed_at_utc": "2026-09-12T16:07:25.930483+00:00", "probabilities": {"away": 0.4923, "home": 0.5077}, "replay_scope": "Exact full-precision serving state and rounding; upstream historical observation times are not certified.", "schema": "coded-moneyline-replay-v1", "snapshot_hash": "8ce2ac0879ed4b9f05ba6564ec7abfd3497af074bdc531274024e4cba3511879", "sport": "TENNIS"}</t>
        </is>
      </c>
    </row>
    <row r="1084" ht="36" customHeight="1">
      <c r="A1084" s="24" t="inlineStr">
        <is>
          <t>7ea94b91bf334181</t>
        </is>
      </c>
      <c r="B1084" s="24" t="inlineStr">
        <is>
          <t>2026-09-12T16:07:29.828938Z</t>
        </is>
      </c>
      <c r="C1084" s="24" t="inlineStr">
        <is>
          <t>2026-09-12T19:00Z</t>
        </is>
      </c>
      <c r="D1084" s="24" t="inlineStr">
        <is>
          <t>887-2026:185911</t>
        </is>
      </c>
      <c r="E1084" s="24" t="inlineStr">
        <is>
          <t>TENNIS</t>
        </is>
      </c>
      <c r="F1084" s="24" t="inlineStr">
        <is>
          <t>Ana Sofia Sanchez</t>
        </is>
      </c>
      <c r="G1084" s="24" t="inlineStr">
        <is>
          <t>Iryna Shymanovich</t>
        </is>
      </c>
      <c r="H1084" s="24" t="inlineStr">
        <is>
          <t>moneyline</t>
        </is>
      </c>
      <c r="I1084" s="24" t="inlineStr">
        <is>
          <t>home</t>
        </is>
      </c>
      <c r="J1084" s="25" t="n"/>
      <c r="K1084" s="24" t="inlineStr">
        <is>
          <t>polymarket_us</t>
        </is>
      </c>
      <c r="L1084" s="26" t="n">
        <v>-245</v>
      </c>
      <c r="M1084" s="27" t="n">
        <v>1.408163</v>
      </c>
      <c r="N1084" s="28" t="n">
        <v>0.710145</v>
      </c>
      <c r="O1084" s="28" t="n">
        <v>0.7371</v>
      </c>
      <c r="P1084" s="28" t="n">
        <v>0.05</v>
      </c>
      <c r="Q1084" s="28" t="n">
        <v>0.026955</v>
      </c>
      <c r="R1084" s="26" t="n">
        <v>33</v>
      </c>
      <c r="S1084" s="29" t="n">
        <v>1</v>
      </c>
      <c r="T1084" s="24" t="inlineStr">
        <is>
          <t>tennis-surface-elo-v1</t>
        </is>
      </c>
      <c r="U1084" s="24" t="inlineStr">
        <is>
          <t>settled</t>
        </is>
      </c>
      <c r="V1084" s="24" t="inlineStr">
        <is>
          <t>win</t>
        </is>
      </c>
      <c r="W1084" s="26" t="n">
        <v>0</v>
      </c>
      <c r="X1084" s="26" t="n">
        <v>1</v>
      </c>
      <c r="Y1084" s="25" t="n"/>
      <c r="Z1084" s="26" t="n">
        <v>-245</v>
      </c>
      <c r="AA1084" s="28" t="n">
        <v>0.71</v>
      </c>
      <c r="AB1084" s="28" t="n">
        <v>-0.000145</v>
      </c>
      <c r="AC1084" s="30" t="n">
        <v>0.4082</v>
      </c>
      <c r="AD1084" s="24" t="inlineStr">
        <is>
          <t>2026-09-12T22:01:45.225346Z</t>
        </is>
      </c>
      <c r="AE1084" s="31" t="inlineStr">
        <is>
          <t>Surface-blended Elo on Hard: Ana Sofia Sanchez p=0.263 vs Iryna Shymanovich. Executable ask 0.7100 (aec-wta-iryshy-anasan-2026-09-12).</t>
        </is>
      </c>
      <c r="AF1084" s="31" t="inlineStr">
        <is>
          <t>Surface-blended Elo model; singles only, WTA+ATP market coverage, not yet locked-holdout qualified -- promoted by explicit operator directive, not genuine walk-forward validation.</t>
        </is>
      </c>
      <c r="AG1084" s="24" t="inlineStr">
        <is>
          <t>not_applicable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PAPER_CALL_LOW_EDGE</t>
        </is>
      </c>
      <c r="AP1084" s="24" t="inlineStr">
        <is>
          <t>Ana Sofia Sanchez</t>
        </is>
      </c>
      <c r="AQ1084" s="24" t="inlineStr">
        <is>
          <t>Ana Sofia Sanchez</t>
        </is>
      </c>
      <c r="AR1084" s="24" t="inlineStr">
        <is>
          <t>Ana Sofia Sanchez</t>
        </is>
      </c>
      <c r="AS1084" s="24" t="inlineStr">
        <is>
          <t>Iryna Shymanovich</t>
        </is>
      </c>
      <c r="AT1084" s="24" t="inlineStr">
        <is>
          <t>Iryna Shymanovich</t>
        </is>
      </c>
      <c r="AU1084" s="24" t="inlineStr">
        <is>
          <t>Iryna Shymanovich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inlineStr">
        <is>
          <t>6c67e999d2a03612e30f4032c8e5e77e8becfbc79e05f4c8993e726b90d34d54</t>
        </is>
      </c>
      <c r="BB1084" s="24" t="inlineStr">
        <is>
          <t>surface_blended_elo</t>
        </is>
      </c>
      <c r="BC1084" s="24" t="inlineStr">
        <is>
          <t>tennis-surface-elo-v1</t>
        </is>
      </c>
      <c r="BD1084" s="24" t="inlineStr">
        <is>
          <t>6c67e999d2a03612e30f4032c8e5e77e8becfbc79e05f4c8993e726b90d34d54</t>
        </is>
      </c>
      <c r="BE1084" s="24" t="inlineStr">
        <is>
          <t>tennis-surface-elo-v1</t>
        </is>
      </c>
      <c r="BF1084" s="24" t="inlineStr">
        <is>
          <t>1</t>
        </is>
      </c>
      <c r="BG1084" s="24" t="inlineStr">
        <is>
          <t>6c67e999d2a03612e30f4032c8e5e77e8becfbc79e05f4c8993e726b90d34d54</t>
        </is>
      </c>
      <c r="BH1084" s="24" t="inlineStr">
        <is>
          <t>2026-09-12T16:06:17.679937Z</t>
        </is>
      </c>
      <c r="BI1084" s="24" t="inlineStr">
        <is>
          <t>["same_event","same_team_same_day","same_league_same_day"]</t>
        </is>
      </c>
      <c r="BJ1084" s="25" t="n"/>
      <c r="BK1084" s="26" t="n">
        <v>-245</v>
      </c>
      <c r="BL1084" s="27" t="n">
        <v>1.408163</v>
      </c>
      <c r="BM1084" s="28" t="n">
        <v>0.710145</v>
      </c>
      <c r="BN1084" s="28" t="n"/>
      <c r="BO1084" s="28" t="n"/>
      <c r="BP1084" s="25" t="n"/>
      <c r="BQ1084" s="27" t="n">
        <v>1.408163</v>
      </c>
      <c r="BR1084" s="28" t="n">
        <v>0.71</v>
      </c>
      <c r="BS1084" s="28" t="n"/>
      <c r="BT1084" s="28" t="n"/>
      <c r="BU1084" s="25" t="n"/>
      <c r="BV1084" s="29" t="n"/>
      <c r="BW1084" s="24" t="n"/>
      <c r="BX1084" s="30" t="n"/>
      <c r="BY1084" s="27" t="n"/>
      <c r="BZ1084" s="24" t="n"/>
      <c r="CA1084" s="31" t="n"/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True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inlineStr">
        <is>
          <t>0270dc602cf2bb762225103ae9f39209f92991dae07900ab1bcc3260fe426585</t>
        </is>
      </c>
      <c r="DE1084" s="24" t="inlineStr">
        <is>
          <t>/Users/vincentc9002/model-prediction/data/odds/tennis/2026-09-12/polymarket_snapshots.jsonl</t>
        </is>
      </c>
      <c r="DF1084" s="24" t="inlineStr">
        <is>
          <t>800262:2026-09-12T16:06:17.679937Z</t>
        </is>
      </c>
      <c r="DG1084" s="24" t="n"/>
      <c r="DH1084" s="24" t="n"/>
      <c r="DI1084" s="24" t="n"/>
      <c r="DJ1084" s="24" t="inlineStr">
        <is>
          <t>0.710145</t>
        </is>
      </c>
      <c r="DK1084" s="24" t="n"/>
      <c r="DL1084" s="24" t="n"/>
      <c r="DM1084" s="24" t="n"/>
      <c r="DN1084" s="24" t="n"/>
      <c r="DO1084" s="24" t="n"/>
      <c r="DP1084" s="24" t="n"/>
      <c r="DQ1084" s="24" t="inlineStr">
        <is>
          <t>{"artifact_hash": "6c67e999d2a03612e30f4032c8e5e77e8becfbc79e05f4c8993e726b90d34d54", "away_team": "Ana Sofia Sanchez", "event_id": "887-2026:185911", "event_start_utc": "2026-09-12T19:00Z", "features": {"elo_p1_surface": 1370.6, "elo_p2_surface": 1538.1, "expected_games_p1": 7.22, "expected_games_p2": 12.94, "expected_total_games": 20.17, "history_matches": 15953, "min_player_matches": 22, "surface": "Hard"}, "historical_source_observation_times_verified": false, "home_team": "Iryna Shymanovich", "inference_inputs": {"code_sha256": {"features/elo_ratings.py": "8525faf022a6343c452286dbfeb17dbb043744c6bdabbe448b6b371216da439b", "models/tennis.py": "6c67e999d2a03612e30f4032c8e5e77e8becfbc79e05f4c8993e726b90d34d54"}, "overall_ratings": [1357.1486718630927, 1554.6868987099213], "players": ["Ana Sofia Sanchez", "Iryna Shymanovich"], "sport": "TENNIS", "surface": "Hard", "surface_counts": [21, 77], "surface_ratings": [1370.5566241907504, 1538.0608699597988]}, "market_type": "moneyline", "model_version": "tennis-surface-elo-v1", "observed_at_utc": "2026-09-12T16:07:25.930483+00:00", "probabilities": {"away": 0.2629, "home": 0.7371}, "replay_scope": "Exact full-precision serving state and rounding; upstream historical observation times are not certified.", "schema": "coded-moneyline-replay-v1", "snapshot_hash": "1524fbe7daefe7a676869d6e2c896e27fdf22db37dd5ecb1a58af058fe94d1fb", "sport": "TENNIS"}</t>
        </is>
      </c>
    </row>
    <row r="1085" ht="36" customHeight="1">
      <c r="A1085" s="24" t="inlineStr">
        <is>
          <t>dbffa0ce916c492f</t>
        </is>
      </c>
      <c r="B1085" s="24" t="inlineStr">
        <is>
          <t>2026-09-13T10:26:30.899798Z</t>
        </is>
      </c>
      <c r="C1085" s="24" t="inlineStr">
        <is>
          <t>2026-09-13T15:00Z</t>
        </is>
      </c>
      <c r="D1085" s="24" t="inlineStr">
        <is>
          <t>1005-2026:185902</t>
        </is>
      </c>
      <c r="E1085" s="24" t="inlineStr">
        <is>
          <t>TENNIS</t>
        </is>
      </c>
      <c r="F1085" s="24" t="inlineStr">
        <is>
          <t>Victoria Bosio</t>
        </is>
      </c>
      <c r="G1085" s="24" t="inlineStr">
        <is>
          <t>You Xiaodi</t>
        </is>
      </c>
      <c r="H1085" s="24" t="inlineStr">
        <is>
          <t>moneyline</t>
        </is>
      </c>
      <c r="I1085" s="24" t="inlineStr">
        <is>
          <t>away</t>
        </is>
      </c>
      <c r="J1085" s="25" t="n"/>
      <c r="K1085" s="24" t="inlineStr">
        <is>
          <t>polymarket_us</t>
        </is>
      </c>
      <c r="L1085" s="26" t="n">
        <v>317</v>
      </c>
      <c r="M1085" s="27" t="n">
        <v>4.17</v>
      </c>
      <c r="N1085" s="28" t="n">
        <v>0.239808</v>
      </c>
      <c r="O1085" s="28" t="n">
        <v>0.5881999999999999</v>
      </c>
      <c r="P1085" s="28" t="n">
        <v>0.05</v>
      </c>
      <c r="Q1085" s="28" t="n">
        <v>0.348392</v>
      </c>
      <c r="R1085" s="26" t="n">
        <v>100</v>
      </c>
      <c r="S1085" s="29" t="n">
        <v>2</v>
      </c>
      <c r="T1085" s="24" t="inlineStr">
        <is>
          <t>tennis-surface-elo-v1</t>
        </is>
      </c>
      <c r="U1085" s="24" t="inlineStr">
        <is>
          <t>settled</t>
        </is>
      </c>
      <c r="V1085" s="24" t="inlineStr">
        <is>
          <t>loss</t>
        </is>
      </c>
      <c r="W1085" s="26" t="n">
        <v>0</v>
      </c>
      <c r="X1085" s="26" t="n">
        <v>1</v>
      </c>
      <c r="Y1085" s="25" t="n"/>
      <c r="Z1085" s="26" t="n">
        <v>317</v>
      </c>
      <c r="AA1085" s="28" t="n">
        <v>0.24</v>
      </c>
      <c r="AB1085" s="28" t="n">
        <v>0.000192</v>
      </c>
      <c r="AC1085" s="30" t="n">
        <v>-2</v>
      </c>
      <c r="AD1085" s="24" t="inlineStr">
        <is>
          <t>2026-09-13T22:01:10.929912Z</t>
        </is>
      </c>
      <c r="AE1085" s="31" t="inlineStr">
        <is>
          <t>Surface-blended Elo on Hard: Victoria Bosio p=0.588 vs You Xiaodi. Executable ask 0.2400 (aec-wta-xiayou-vicbos-2026-09-13).</t>
        </is>
      </c>
      <c r="AF1085" s="31" t="inlineStr">
        <is>
          <t>Surface-blended Elo model; singles only, WTA+ATP market coverage, not yet locked-holdout qualified -- promoted by explicit operator directive, not genuine walk-forward validation.</t>
        </is>
      </c>
      <c r="AG1085" s="24" t="inlineStr">
        <is>
          <t>review_required</t>
        </is>
      </c>
      <c r="AH1085" s="24" t="n"/>
      <c r="AI1085" s="31" t="n"/>
      <c r="AJ1085" s="31" t="n"/>
      <c r="AK1085" s="24" t="inlineStr">
        <is>
          <t>model_qualified</t>
        </is>
      </c>
      <c r="AL1085" s="26" t="n">
        <v>4</v>
      </c>
      <c r="AM1085" s="24" t="inlineStr">
        <is>
          <t>QUALIFIED_SHADOW_CALL</t>
        </is>
      </c>
      <c r="AN1085" s="24" t="inlineStr">
        <is>
          <t>CALL</t>
        </is>
      </c>
      <c r="AO1085" s="24" t="inlineStr">
        <is>
          <t>QUALIFIED</t>
        </is>
      </c>
      <c r="AP1085" s="24" t="inlineStr">
        <is>
          <t>Victoria Bosio</t>
        </is>
      </c>
      <c r="AQ1085" s="24" t="inlineStr">
        <is>
          <t>Victoria Bosio</t>
        </is>
      </c>
      <c r="AR1085" s="24" t="inlineStr">
        <is>
          <t>Victoria Bosio</t>
        </is>
      </c>
      <c r="AS1085" s="24" t="inlineStr">
        <is>
          <t>You Xiaodi</t>
        </is>
      </c>
      <c r="AT1085" s="24" t="inlineStr">
        <is>
          <t>You Xiaodi</t>
        </is>
      </c>
      <c r="AU1085" s="24" t="inlineStr">
        <is>
          <t>You Xiaodi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inlineStr">
        <is>
          <t>6c67e999d2a03612e30f4032c8e5e77e8becfbc79e05f4c8993e726b90d34d54</t>
        </is>
      </c>
      <c r="BB1085" s="24" t="inlineStr">
        <is>
          <t>surface_blended_elo</t>
        </is>
      </c>
      <c r="BC1085" s="24" t="inlineStr">
        <is>
          <t>tennis-surface-elo-v1</t>
        </is>
      </c>
      <c r="BD1085" s="24" t="inlineStr">
        <is>
          <t>6c67e999d2a03612e30f4032c8e5e77e8becfbc79e05f4c8993e726b90d34d54</t>
        </is>
      </c>
      <c r="BE1085" s="24" t="inlineStr">
        <is>
          <t>tennis-surface-elo-v1</t>
        </is>
      </c>
      <c r="BF1085" s="24" t="inlineStr">
        <is>
          <t>1</t>
        </is>
      </c>
      <c r="BG1085" s="24" t="inlineStr">
        <is>
          <t>6c67e999d2a03612e30f4032c8e5e77e8becfbc79e05f4c8993e726b90d34d54</t>
        </is>
      </c>
      <c r="BH1085" s="24" t="inlineStr">
        <is>
          <t>2026-09-13T10:23:41.111107Z</t>
        </is>
      </c>
      <c r="BI1085" s="24" t="inlineStr">
        <is>
          <t>["same_event","same_team_same_day","same_league_same_day"]</t>
        </is>
      </c>
      <c r="BJ1085" s="25" t="n"/>
      <c r="BK1085" s="26" t="n">
        <v>317</v>
      </c>
      <c r="BL1085" s="27" t="n">
        <v>4.17</v>
      </c>
      <c r="BM1085" s="28" t="n">
        <v>0.239808</v>
      </c>
      <c r="BN1085" s="28" t="n"/>
      <c r="BO1085" s="28" t="n"/>
      <c r="BP1085" s="25" t="n"/>
      <c r="BQ1085" s="27" t="n">
        <v>4.17</v>
      </c>
      <c r="BR1085" s="28" t="n">
        <v>0.24</v>
      </c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inlineStr">
        <is>
          <t>e4d70a0d66dccd90f4046ad3858c652d245e1f0e9f9dc49fedeaec58b95c8515</t>
        </is>
      </c>
      <c r="DE1085" s="24" t="inlineStr">
        <is>
          <t>/Users/vincentc9002/model-prediction/data/odds/tennis/2026-09-13/polymarket_snapshots.jsonl</t>
        </is>
      </c>
      <c r="DF1085" s="24" t="inlineStr">
        <is>
          <t>818434:2026-09-13T10:23:41.111107Z</t>
        </is>
      </c>
      <c r="DG1085" s="24" t="n"/>
      <c r="DH1085" s="24" t="n"/>
      <c r="DI1085" s="24" t="n"/>
      <c r="DJ1085" s="24" t="inlineStr">
        <is>
          <t>0.239808</t>
        </is>
      </c>
      <c r="DK1085" s="24" t="n"/>
      <c r="DL1085" s="24" t="n"/>
      <c r="DM1085" s="24" t="n"/>
      <c r="DN1085" s="24" t="n"/>
      <c r="DO1085" s="24" t="n"/>
      <c r="DP1085" s="24" t="n"/>
      <c r="DQ1085" s="24" t="inlineStr">
        <is>
          <t>{"artifact_hash": "6c67e999d2a03612e30f4032c8e5e77e8becfbc79e05f4c8993e726b90d34d54", "away_team": "Victoria Bosio", "event_id": "1005-2026:185902", "event_start_utc": "2026-09-13T15:00Z", "features": {"elo_p1_surface": 1495.6, "elo_p2_surface": 1444.7, "expected_games_p1": 13.32, "expected_games_p2": 10.74, "expected_total_games": 24.06, "history_matches": 15974, "min_player_matches": 17,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[1492.9168029184839, 1409.2651505156166], "players": ["Victoria Bosio", "You Xiaodi"], "sport": "TENNIS", "surface": "Hard", "surface_counts": [15, 47], "surface_ratings": [1495.6488806971424, 1444.7240578468145]}, "market_type": "moneyline", "model_version": "tennis-surface-elo-v1", "observed_at_utc": "2026-09-13T10:26:29.599046+00:00", "probabilities": {"away": 0.5882, "home": 0.4118}, "replay_scope": "Exact full-precision serving state and rounding; upstream historical observation times are not certified.", "schema": "coded-moneyline-replay-v1", "snapshot_hash": "9f07dd84e7cef7bd35ac67a36ca8e263474785fd524b3dfa4f06da523c68251a", "sport": "TENNIS"}</t>
        </is>
      </c>
    </row>
    <row r="1086" ht="36" customHeight="1">
      <c r="A1086" s="24" t="inlineStr">
        <is>
          <t>5e74155767fe4710</t>
        </is>
      </c>
      <c r="B1086" s="24" t="inlineStr">
        <is>
          <t>2026-09-13T16:24:42.153489Z</t>
        </is>
      </c>
      <c r="C1086" s="24" t="inlineStr">
        <is>
          <t>2026-09-13T19:00Z</t>
        </is>
      </c>
      <c r="D1086" s="24" t="inlineStr">
        <is>
          <t>887-2026:183797</t>
        </is>
      </c>
      <c r="E1086" s="24" t="inlineStr">
        <is>
          <t>TENNIS</t>
        </is>
      </c>
      <c r="F1086" s="24" t="inlineStr">
        <is>
          <t>Emiliana Arango</t>
        </is>
      </c>
      <c r="G1086" s="24" t="inlineStr">
        <is>
          <t>Peyton Stearns</t>
        </is>
      </c>
      <c r="H1086" s="24" t="inlineStr">
        <is>
          <t>moneyline</t>
        </is>
      </c>
      <c r="I1086" s="24" t="inlineStr">
        <is>
          <t>home</t>
        </is>
      </c>
      <c r="J1086" s="25" t="n"/>
      <c r="K1086" s="24" t="inlineStr">
        <is>
          <t>polymarket_us</t>
        </is>
      </c>
      <c r="L1086" s="26" t="n">
        <v>-213</v>
      </c>
      <c r="M1086" s="27" t="n">
        <v>1.469484</v>
      </c>
      <c r="N1086" s="28" t="n">
        <v>0.680511</v>
      </c>
      <c r="O1086" s="28" t="n">
        <v>0.5988</v>
      </c>
      <c r="P1086" s="28" t="n">
        <v>0.05</v>
      </c>
      <c r="Q1086" s="28" t="n">
        <v>-0.08171100000000001</v>
      </c>
      <c r="R1086" s="26" t="n">
        <v>0</v>
      </c>
      <c r="S1086" s="29" t="n">
        <v>1</v>
      </c>
      <c r="T1086" s="24" t="inlineStr">
        <is>
          <t>tennis-surface-elo-v1</t>
        </is>
      </c>
      <c r="U1086" s="24" t="inlineStr">
        <is>
          <t>settled</t>
        </is>
      </c>
      <c r="V1086" s="24" t="inlineStr">
        <is>
          <t>win</t>
        </is>
      </c>
      <c r="W1086" s="26" t="n">
        <v>0</v>
      </c>
      <c r="X1086" s="26" t="n">
        <v>1</v>
      </c>
      <c r="Y1086" s="25" t="n"/>
      <c r="Z1086" s="26" t="n">
        <v>-213</v>
      </c>
      <c r="AA1086" s="28" t="n">
        <v>0.68</v>
      </c>
      <c r="AB1086" s="28" t="n">
        <v>-0.000511</v>
      </c>
      <c r="AC1086" s="30" t="n">
        <v>0.4695</v>
      </c>
      <c r="AD1086" s="24" t="inlineStr">
        <is>
          <t>2026-09-13T22:01:35.407547Z</t>
        </is>
      </c>
      <c r="AE1086" s="31" t="inlineStr">
        <is>
          <t>Surface-blended Elo on Hard: Emiliana Arango p=0.401 vs Peyton Stearns. Executable ask 0.6800 (aec-wta-peyste-emiara-2026-09-13).</t>
        </is>
      </c>
      <c r="AF1086" s="31" t="inlineStr">
        <is>
          <t>Surface-blended Elo model; singles only, WTA+ATP market coverage, not yet locked-holdout qualified -- promoted by explicit operator directive, not genuine walk-forward validation.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PAPER_CALL_LOW_EDGE</t>
        </is>
      </c>
      <c r="AP1086" s="24" t="inlineStr">
        <is>
          <t>Emiliana Arango</t>
        </is>
      </c>
      <c r="AQ1086" s="24" t="inlineStr">
        <is>
          <t>Emiliana Arango</t>
        </is>
      </c>
      <c r="AR1086" s="24" t="inlineStr">
        <is>
          <t>Emiliana Arango</t>
        </is>
      </c>
      <c r="AS1086" s="24" t="inlineStr">
        <is>
          <t>Peyton Stearns</t>
        </is>
      </c>
      <c r="AT1086" s="24" t="inlineStr">
        <is>
          <t>Peyton Stearns</t>
        </is>
      </c>
      <c r="AU1086" s="24" t="inlineStr">
        <is>
          <t>Peyton Stearns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inlineStr">
        <is>
          <t>6c67e999d2a03612e30f4032c8e5e77e8becfbc79e05f4c8993e726b90d34d54</t>
        </is>
      </c>
      <c r="BB1086" s="24" t="inlineStr">
        <is>
          <t>surface_blended_elo</t>
        </is>
      </c>
      <c r="BC1086" s="24" t="inlineStr">
        <is>
          <t>tennis-surface-elo-v1</t>
        </is>
      </c>
      <c r="BD1086" s="24" t="inlineStr">
        <is>
          <t>6c67e999d2a03612e30f4032c8e5e77e8becfbc79e05f4c8993e726b90d34d54</t>
        </is>
      </c>
      <c r="BE1086" s="24" t="inlineStr">
        <is>
          <t>tennis-surface-elo-v1</t>
        </is>
      </c>
      <c r="BF1086" s="24" t="inlineStr">
        <is>
          <t>1</t>
        </is>
      </c>
      <c r="BG1086" s="24" t="inlineStr">
        <is>
          <t>6c67e999d2a03612e30f4032c8e5e77e8becfbc79e05f4c8993e726b90d34d54</t>
        </is>
      </c>
      <c r="BH1086" s="24" t="inlineStr">
        <is>
          <t>2026-09-13T16:23:02.056826Z</t>
        </is>
      </c>
      <c r="BI1086" s="24" t="inlineStr">
        <is>
          <t>["same_event","same_team_same_day","same_league_same_day"]</t>
        </is>
      </c>
      <c r="BJ1086" s="25" t="n"/>
      <c r="BK1086" s="26" t="n">
        <v>-213</v>
      </c>
      <c r="BL1086" s="27" t="n">
        <v>1.469484</v>
      </c>
      <c r="BM1086" s="28" t="n">
        <v>0.680511</v>
      </c>
      <c r="BN1086" s="28" t="n"/>
      <c r="BO1086" s="28" t="n"/>
      <c r="BP1086" s="25" t="n"/>
      <c r="BQ1086" s="27" t="n">
        <v>1.469484</v>
      </c>
      <c r="BR1086" s="28" t="n">
        <v>0.68</v>
      </c>
      <c r="BS1086" s="28" t="n"/>
      <c r="BT1086" s="28" t="n"/>
      <c r="BU1086" s="25" t="n"/>
      <c r="BV1086" s="29" t="n"/>
      <c r="BW1086" s="24" t="n"/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False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inlineStr">
        <is>
          <t>e6896b021a01e1792853e283b44a0d6331366758100f00f3a94f9362e0d99ed6</t>
        </is>
      </c>
      <c r="DE1086" s="24" t="inlineStr">
        <is>
          <t>/Users/vincentc9002/model-prediction/data/odds/tennis/2026-09-13/polymarket_snapshots.jsonl</t>
        </is>
      </c>
      <c r="DF1086" s="24" t="inlineStr">
        <is>
          <t>803725:2026-09-13T16:23:02.056826Z</t>
        </is>
      </c>
      <c r="DG1086" s="24" t="n"/>
      <c r="DH1086" s="24" t="n"/>
      <c r="DI1086" s="24" t="n"/>
      <c r="DJ1086" s="24" t="inlineStr">
        <is>
          <t>0.680511</t>
        </is>
      </c>
      <c r="DK1086" s="24" t="n"/>
      <c r="DL1086" s="24" t="n"/>
      <c r="DM1086" s="24" t="n"/>
      <c r="DN1086" s="24" t="n"/>
      <c r="DO1086" s="24" t="n"/>
      <c r="DP1086" s="24" t="n"/>
      <c r="DQ1086" s="24" t="inlineStr">
        <is>
          <t>{"artifact_hash": "6c67e999d2a03612e30f4032c8e5e77e8becfbc79e05f4c8993e726b90d34d54", "away_team": "Emiliana Arango", "event_id": "887-2026:183797", "event_start_utc": "2026-09-13T19:00Z", "features": {"elo_p1_surface": 1510.5, "elo_p2_surface": 1573.8, "expected_games_p1": 10.74, "expected_games_p2": 13.19, "expected_total_games": 23.93, "history_matches": 15974, "min_player_matches": 126,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[1516.5316864087097, 1602.782224918941], "players": ["Emiliana Arango", "Peyton Stearns"], "sport": "TENNIS", "surface": "Hard", "surface_counts": [114, 94], "surface_ratings": [1510.5312776286594, 1573.8406564582726]}, "market_type": "moneyline", "model_version": "tennis-surface-elo-v1", "observed_at_utc": "2026-09-13T16:24:40.603836+00:00", "probabilities": {"away": 0.4012, "home": 0.5988}, "replay_scope": "Exact full-precision serving state and rounding; upstream historical observation times are not certified.", "schema": "coded-moneyline-replay-v1", "snapshot_hash": "01c67fdd45da406ffaab98c2b0a0fd7785a0a83529cfc9b5b86a1c3fe1a88532", "sport": "TENNIS"}</t>
        </is>
      </c>
    </row>
    <row r="1087" ht="36" customHeight="1">
      <c r="A1087" s="24" t="inlineStr">
        <is>
          <t>2a3ef88b0d1349aa</t>
        </is>
      </c>
      <c r="B1087" s="24" t="inlineStr">
        <is>
          <t>2026-09-13T16:24:42.153489Z</t>
        </is>
      </c>
      <c r="C1087" s="24" t="inlineStr">
        <is>
          <t>2026-09-13T19:30Z</t>
        </is>
      </c>
      <c r="D1087" s="24" t="inlineStr">
        <is>
          <t>1005-2026:185903</t>
        </is>
      </c>
      <c r="E1087" s="24" t="inlineStr">
        <is>
          <t>TENNIS</t>
        </is>
      </c>
      <c r="F1087" s="24" t="inlineStr">
        <is>
          <t>Cadence Brace</t>
        </is>
      </c>
      <c r="G1087" s="24" t="inlineStr">
        <is>
          <t>Hayu Kinoshita</t>
        </is>
      </c>
      <c r="H1087" s="24" t="inlineStr">
        <is>
          <t>moneyline</t>
        </is>
      </c>
      <c r="I1087" s="24" t="inlineStr">
        <is>
          <t>home</t>
        </is>
      </c>
      <c r="J1087" s="25" t="n"/>
      <c r="K1087" s="24" t="inlineStr">
        <is>
          <t>polymarket_us</t>
        </is>
      </c>
      <c r="L1087" s="26" t="n">
        <v>104</v>
      </c>
      <c r="M1087" s="27" t="n">
        <v>2.04</v>
      </c>
      <c r="N1087" s="28" t="n">
        <v>0.490196</v>
      </c>
      <c r="O1087" s="28" t="n">
        <v>0.5291</v>
      </c>
      <c r="P1087" s="28" t="n">
        <v>0.05</v>
      </c>
      <c r="Q1087" s="28" t="n">
        <v>0.038904</v>
      </c>
      <c r="R1087" s="26" t="n">
        <v>39</v>
      </c>
      <c r="S1087" s="29" t="n">
        <v>1</v>
      </c>
      <c r="T1087" s="24" t="inlineStr">
        <is>
          <t>tennis-surface-elo-v1</t>
        </is>
      </c>
      <c r="U1087" s="24" t="inlineStr">
        <is>
          <t>settled</t>
        </is>
      </c>
      <c r="V1087" s="24" t="inlineStr">
        <is>
          <t>loss</t>
        </is>
      </c>
      <c r="W1087" s="26" t="n">
        <v>1</v>
      </c>
      <c r="X1087" s="26" t="n">
        <v>0</v>
      </c>
      <c r="Y1087" s="25" t="n"/>
      <c r="Z1087" s="26" t="n">
        <v>104</v>
      </c>
      <c r="AA1087" s="28" t="n">
        <v>0.49</v>
      </c>
      <c r="AB1087" s="28" t="n">
        <v>-0.000196</v>
      </c>
      <c r="AC1087" s="30" t="n">
        <v>-1</v>
      </c>
      <c r="AD1087" s="24" t="inlineStr">
        <is>
          <t>2026-09-14T04:33:32.877647Z</t>
        </is>
      </c>
      <c r="AE1087" s="31" t="inlineStr">
        <is>
          <t>Surface-blended Elo on Hard: Cadence Brace p=0.471 vs Hayu Kinoshita. Executable ask 0.4900 (aec-wta-haykin-cadbra-2026-09-13).</t>
        </is>
      </c>
      <c r="AF1087" s="31" t="inlineStr">
        <is>
          <t>Surface-blended Elo model; singles only, WTA+ATP market coverage, not yet locked-holdout qualified -- promoted by explicit operator directive, not genuine walk-forward validation.</t>
        </is>
      </c>
      <c r="AG1087" s="24" t="inlineStr">
        <is>
          <t>review_required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PAPER_CALL_LOW_EDGE</t>
        </is>
      </c>
      <c r="AP1087" s="24" t="inlineStr">
        <is>
          <t>Cadence Brace</t>
        </is>
      </c>
      <c r="AQ1087" s="24" t="inlineStr">
        <is>
          <t>Cadence Brace</t>
        </is>
      </c>
      <c r="AR1087" s="24" t="inlineStr">
        <is>
          <t>Cadence Brace</t>
        </is>
      </c>
      <c r="AS1087" s="24" t="inlineStr">
        <is>
          <t>Hayu Kinoshita</t>
        </is>
      </c>
      <c r="AT1087" s="24" t="inlineStr">
        <is>
          <t>Hayu Kinoshita</t>
        </is>
      </c>
      <c r="AU1087" s="24" t="inlineStr">
        <is>
          <t>Hayu Kinoshita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inlineStr">
        <is>
          <t>6c67e999d2a03612e30f4032c8e5e77e8becfbc79e05f4c8993e726b90d34d54</t>
        </is>
      </c>
      <c r="BB1087" s="24" t="inlineStr">
        <is>
          <t>surface_blended_elo</t>
        </is>
      </c>
      <c r="BC1087" s="24" t="inlineStr">
        <is>
          <t>tennis-surface-elo-v1</t>
        </is>
      </c>
      <c r="BD1087" s="24" t="inlineStr">
        <is>
          <t>6c67e999d2a03612e30f4032c8e5e77e8becfbc79e05f4c8993e726b90d34d54</t>
        </is>
      </c>
      <c r="BE1087" s="24" t="inlineStr">
        <is>
          <t>tennis-surface-elo-v1</t>
        </is>
      </c>
      <c r="BF1087" s="24" t="inlineStr">
        <is>
          <t>1</t>
        </is>
      </c>
      <c r="BG1087" s="24" t="inlineStr">
        <is>
          <t>6c67e999d2a03612e30f4032c8e5e77e8becfbc79e05f4c8993e726b90d34d54</t>
        </is>
      </c>
      <c r="BH1087" s="24" t="inlineStr">
        <is>
          <t>2026-09-13T10:23:49.136366Z</t>
        </is>
      </c>
      <c r="BI1087" s="24" t="inlineStr">
        <is>
          <t>["same_event","same_team_same_day","same_league_same_day"]</t>
        </is>
      </c>
      <c r="BJ1087" s="25" t="n"/>
      <c r="BK1087" s="26" t="n">
        <v>104</v>
      </c>
      <c r="BL1087" s="27" t="n">
        <v>2.04</v>
      </c>
      <c r="BM1087" s="28" t="n">
        <v>0.490196</v>
      </c>
      <c r="BN1087" s="28" t="n"/>
      <c r="BO1087" s="28" t="n"/>
      <c r="BP1087" s="25" t="n"/>
      <c r="BQ1087" s="27" t="n">
        <v>2.04</v>
      </c>
      <c r="BR1087" s="28" t="n">
        <v>0.49</v>
      </c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inlineStr">
        <is>
          <t>273922a9be9a7bac9bd6df815674047617a113570a9a6757c0b3723188ed3ba6</t>
        </is>
      </c>
      <c r="DE1087" s="24" t="inlineStr">
        <is>
          <t>/Users/vincentc9002/model-prediction/data/odds/tennis/2026-09-13/polymarket_snapshots.jsonl</t>
        </is>
      </c>
      <c r="DF1087" s="24" t="inlineStr">
        <is>
          <t>820901:2026-09-13T10:23:49.136366Z</t>
        </is>
      </c>
      <c r="DG1087" s="24" t="n"/>
      <c r="DH1087" s="24" t="n"/>
      <c r="DI1087" s="24" t="n"/>
      <c r="DJ1087" s="24" t="inlineStr">
        <is>
          <t>0.490196</t>
        </is>
      </c>
      <c r="DK1087" s="24" t="n"/>
      <c r="DL1087" s="24" t="n"/>
      <c r="DM1087" s="24" t="n"/>
      <c r="DN1087" s="24" t="n"/>
      <c r="DO1087" s="24" t="n"/>
      <c r="DP1087" s="24" t="n"/>
      <c r="DQ1087" s="24" t="inlineStr">
        <is>
          <t>{"artifact_hash": "6c67e999d2a03612e30f4032c8e5e77e8becfbc79e05f4c8993e726b90d34d54", "away_team": "Cadence Brace", "event_id": "1005-2026:185903", "event_start_utc": "2026-09-13T19:30Z", "features": {"elo_p1_surface": 1470.0, "elo_p2_surface": 1477.3, "expected_games_p1": 12.39, "expected_games_p2": 12.4, "expected_total_games": 24.78, "history_matches": 15974, "min_player_matches": 10,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[1444.0227496007165, 1477.0085009940553], "players": ["Cadence Brace", "Hayu Kinoshita"], "sport": "TENNIS", "surface": "Hard", "surface_counts": [21, 8], "surface_ratings": [1469.9857489866215, 1477.3450169274192]}, "market_type": "moneyline", "model_version": "tennis-surface-elo-v1", "observed_at_utc": "2026-09-13T16:24:40.603836+00:00", "probabilities": {"away": 0.4709, "home": 0.5291}, "replay_scope": "Exact full-precision serving state and rounding; upstream historical observation times are not certified.", "schema": "coded-moneyline-replay-v1", "snapshot_hash": "240154fc1c9cf735121b2662f7dffe7fd8d6023900dc0a09fc1b23d20dc7778f", "sport": "TENNIS"}</t>
        </is>
      </c>
    </row>
    <row r="1088" ht="36" customHeight="1">
      <c r="A1088" s="24" t="inlineStr">
        <is>
          <t>d8651b167b1c4523</t>
        </is>
      </c>
      <c r="B1088" s="24" t="inlineStr">
        <is>
          <t>2026-09-13T16:24:42.153489Z</t>
        </is>
      </c>
      <c r="C1088" s="24" t="inlineStr">
        <is>
          <t>2026-09-13T18:00Z</t>
        </is>
      </c>
      <c r="D1088" s="24" t="inlineStr">
        <is>
          <t>189-2026:182677</t>
        </is>
      </c>
      <c r="E1088" s="24" t="inlineStr">
        <is>
          <t>TENNIS</t>
        </is>
      </c>
      <c r="F1088" s="24" t="inlineStr">
        <is>
          <t>Ben Shelton</t>
        </is>
      </c>
      <c r="G1088" s="24" t="inlineStr">
        <is>
          <t>Alexander Zverev</t>
        </is>
      </c>
      <c r="H1088" s="24" t="inlineStr">
        <is>
          <t>moneyline</t>
        </is>
      </c>
      <c r="I1088" s="24" t="inlineStr">
        <is>
          <t>away</t>
        </is>
      </c>
      <c r="J1088" s="25" t="n"/>
      <c r="K1088" s="24" t="inlineStr">
        <is>
          <t>polymarket_us</t>
        </is>
      </c>
      <c r="L1088" s="26" t="n">
        <v>133</v>
      </c>
      <c r="M1088" s="27" t="n">
        <v>2.33</v>
      </c>
      <c r="N1088" s="28" t="n">
        <v>0.429185</v>
      </c>
      <c r="O1088" s="28" t="n">
        <v>0.5078</v>
      </c>
      <c r="P1088" s="28" t="n">
        <v>0.05</v>
      </c>
      <c r="Q1088" s="28" t="n">
        <v>0.078615</v>
      </c>
      <c r="R1088" s="26" t="n">
        <v>59</v>
      </c>
      <c r="S1088" s="29" t="n">
        <v>1.25</v>
      </c>
      <c r="T1088" s="24" t="inlineStr">
        <is>
          <t>tennis-surface-elo-v1</t>
        </is>
      </c>
      <c r="U1088" s="24" t="inlineStr">
        <is>
          <t>settled</t>
        </is>
      </c>
      <c r="V1088" s="24" t="inlineStr">
        <is>
          <t>loss</t>
        </is>
      </c>
      <c r="W1088" s="26" t="n">
        <v>0</v>
      </c>
      <c r="X1088" s="26" t="n">
        <v>1</v>
      </c>
      <c r="Y1088" s="25" t="n"/>
      <c r="Z1088" s="26" t="n">
        <v>133</v>
      </c>
      <c r="AA1088" s="28" t="n">
        <v>0.43</v>
      </c>
      <c r="AB1088" s="28" t="n">
        <v>0.000815</v>
      </c>
      <c r="AC1088" s="30" t="n">
        <v>-1.25</v>
      </c>
      <c r="AD1088" s="24" t="inlineStr">
        <is>
          <t>2026-09-13T22:01:35.868065Z</t>
        </is>
      </c>
      <c r="AE1088" s="31" t="inlineStr">
        <is>
          <t>Surface-blended Elo on Hard: Ben Shelton p=0.508 vs Alexander Zverev. Executable ask 0.4300 (aec-atp-alezve-benshe-2026-09-13).</t>
        </is>
      </c>
      <c r="AF1088" s="31" t="inlineStr">
        <is>
          <t>Surface-blended Elo model; singles only, WTA+ATP market coverage, not yet locked-holdout qualified -- promoted by explicit operator directive, not genuine walk-forward validation.</t>
        </is>
      </c>
      <c r="AG1088" s="24" t="inlineStr">
        <is>
          <t>review_required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PAPER_CALL_LOW_EDGE</t>
        </is>
      </c>
      <c r="AP1088" s="24" t="inlineStr">
        <is>
          <t>Ben Shelton</t>
        </is>
      </c>
      <c r="AQ1088" s="24" t="inlineStr">
        <is>
          <t>Ben Shelton</t>
        </is>
      </c>
      <c r="AR1088" s="24" t="inlineStr">
        <is>
          <t>Ben Shelton</t>
        </is>
      </c>
      <c r="AS1088" s="24" t="inlineStr">
        <is>
          <t>Alexander Zverev</t>
        </is>
      </c>
      <c r="AT1088" s="24" t="inlineStr">
        <is>
          <t>Alexander Zverev</t>
        </is>
      </c>
      <c r="AU1088" s="24" t="inlineStr">
        <is>
          <t>Alexander Zverev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inlineStr">
        <is>
          <t>6c67e999d2a03612e30f4032c8e5e77e8becfbc79e05f4c8993e726b90d34d54</t>
        </is>
      </c>
      <c r="BB1088" s="24" t="inlineStr">
        <is>
          <t>surface_blended_elo</t>
        </is>
      </c>
      <c r="BC1088" s="24" t="inlineStr">
        <is>
          <t>tennis-surface-elo-v1</t>
        </is>
      </c>
      <c r="BD1088" s="24" t="inlineStr">
        <is>
          <t>6c67e999d2a03612e30f4032c8e5e77e8becfbc79e05f4c8993e726b90d34d54</t>
        </is>
      </c>
      <c r="BE1088" s="24" t="inlineStr">
        <is>
          <t>tennis-surface-elo-v1</t>
        </is>
      </c>
      <c r="BF1088" s="24" t="inlineStr">
        <is>
          <t>1</t>
        </is>
      </c>
      <c r="BG1088" s="24" t="inlineStr">
        <is>
          <t>6c67e999d2a03612e30f4032c8e5e77e8becfbc79e05f4c8993e726b90d34d54</t>
        </is>
      </c>
      <c r="BH1088" s="24" t="inlineStr">
        <is>
          <t>2026-09-13T04:57:41.624986Z</t>
        </is>
      </c>
      <c r="BI1088" s="24" t="inlineStr">
        <is>
          <t>["same_event","same_team_same_day","same_league_same_day"]</t>
        </is>
      </c>
      <c r="BJ1088" s="25" t="n"/>
      <c r="BK1088" s="26" t="n">
        <v>133</v>
      </c>
      <c r="BL1088" s="27" t="n">
        <v>2.33</v>
      </c>
      <c r="BM1088" s="28" t="n">
        <v>0.429185</v>
      </c>
      <c r="BN1088" s="28" t="n"/>
      <c r="BO1088" s="28" t="n"/>
      <c r="BP1088" s="25" t="n"/>
      <c r="BQ1088" s="27" t="n">
        <v>2.33</v>
      </c>
      <c r="BR1088" s="28" t="n">
        <v>0.43</v>
      </c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True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inlineStr">
        <is>
          <t>72afe3aa0ac7f3c523074b50f31ef6102e5d73ab0af330f729db0aa994eb4b5b</t>
        </is>
      </c>
      <c r="DE1088" s="24" t="inlineStr">
        <is>
          <t>/Users/vincentc9002/model-prediction/data/odds/tennis/2026-09-13/polymarket_snapshots.jsonl</t>
        </is>
      </c>
      <c r="DF1088" s="24" t="inlineStr">
        <is>
          <t>800258:2026-09-13T04:57:41.624986Z</t>
        </is>
      </c>
      <c r="DG1088" s="24" t="n"/>
      <c r="DH1088" s="24" t="n"/>
      <c r="DI1088" s="24" t="n"/>
      <c r="DJ1088" s="24" t="inlineStr">
        <is>
          <t>0.429185</t>
        </is>
      </c>
      <c r="DK1088" s="24" t="n"/>
      <c r="DL1088" s="24" t="n"/>
      <c r="DM1088" s="24" t="n"/>
      <c r="DN1088" s="24" t="n"/>
      <c r="DO1088" s="24" t="n"/>
      <c r="DP1088" s="24" t="n"/>
      <c r="DQ1088" s="24" t="inlineStr">
        <is>
          <t>{"artifact_hash": "6c67e999d2a03612e30f4032c8e5e77e8becfbc79e05f4c8993e726b90d34d54", "away_team": "Ben Shelton", "event_id": "189-2026:182677", "event_start_utc": "2026-09-13T18:00Z", "features": {"elo_p1_surface": 1911.3, "elo_p2_surface": 1878.8, "expected_games_p1": 13.49, "expected_games_p2": 11.76, "expected_total_games": 25.25, "history_matches": 11209, "min_player_matches": 178,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[1872.4351064903906, 1956.4503447136242], "players": ["Ben Shelton", "Alexander Zverev"], "sport": "TENNIS", "surface": "Hard", "surface_counts": [140, 141], "surface_ratings": [1911.2726420098716, 1878.8422702400292]}, "market_type": "moneyline", "model_version": "tennis-surface-elo-v1", "observed_at_utc": "2026-09-13T16:24:40.603836+00:00", "probabilities": {"away": 0.5078, "home": 0.4922}, "replay_scope": "Exact full-precision serving state and rounding; upstream historical observation times are not certified.", "schema": "coded-moneyline-replay-v1", "snapshot_hash": "b361f929e45d1e8ae12488b8b7e41c4590f549a56d853c00f70b527f5722778b", "sport": "TENNIS"}</t>
        </is>
      </c>
    </row>
    <row r="1089" ht="36" customHeight="1">
      <c r="A1089" s="24" t="inlineStr">
        <is>
          <t>fa793b20fe6e49b6</t>
        </is>
      </c>
      <c r="B1089" s="24" t="inlineStr">
        <is>
          <t>2026-09-14T10:05:53.728077Z</t>
        </is>
      </c>
      <c r="C1089" s="24" t="inlineStr">
        <is>
          <t>2026-09-14T16:00Z</t>
        </is>
      </c>
      <c r="D1089" s="24" t="inlineStr">
        <is>
          <t>871-2026:183749</t>
        </is>
      </c>
      <c r="E1089" s="24" t="inlineStr">
        <is>
          <t>TENNIS</t>
        </is>
      </c>
      <c r="F1089" s="24" t="inlineStr">
        <is>
          <t>Veronika Erjavec</t>
        </is>
      </c>
      <c r="G1089" s="24" t="inlineStr">
        <is>
          <t>Francesca Curmi</t>
        </is>
      </c>
      <c r="H1089" s="24" t="inlineStr">
        <is>
          <t>moneyline</t>
        </is>
      </c>
      <c r="I1089" s="24" t="inlineStr">
        <is>
          <t>away</t>
        </is>
      </c>
      <c r="J1089" s="25" t="n"/>
      <c r="K1089" s="24" t="inlineStr">
        <is>
          <t>polymarket_us</t>
        </is>
      </c>
      <c r="L1089" s="26" t="n">
        <v>-186</v>
      </c>
      <c r="M1089" s="27" t="n">
        <v>1.537634</v>
      </c>
      <c r="N1089" s="28" t="n">
        <v>0.65035</v>
      </c>
      <c r="O1089" s="28" t="n">
        <v>0.5823</v>
      </c>
      <c r="P1089" s="28" t="n">
        <v>0.05</v>
      </c>
      <c r="Q1089" s="28" t="n">
        <v>-0.06805</v>
      </c>
      <c r="R1089" s="26" t="n">
        <v>0</v>
      </c>
      <c r="S1089" s="29" t="n">
        <v>1</v>
      </c>
      <c r="T1089" s="24" t="inlineStr">
        <is>
          <t>tennis-surface-elo-v1</t>
        </is>
      </c>
      <c r="U1089" s="24" t="inlineStr">
        <is>
          <t>settled</t>
        </is>
      </c>
      <c r="V1089" s="24" t="inlineStr">
        <is>
          <t>loss</t>
        </is>
      </c>
      <c r="W1089" s="26" t="n">
        <v>0</v>
      </c>
      <c r="X1089" s="26" t="n">
        <v>1</v>
      </c>
      <c r="Y1089" s="25" t="n"/>
      <c r="Z1089" s="26" t="n">
        <v>-186</v>
      </c>
      <c r="AA1089" s="28" t="n">
        <v>0.65</v>
      </c>
      <c r="AB1089" s="28" t="n">
        <v>-0.00035</v>
      </c>
      <c r="AC1089" s="30" t="n">
        <v>-1</v>
      </c>
      <c r="AD1089" s="24" t="inlineStr">
        <is>
          <t>2026-09-14T22:00:30.419020Z</t>
        </is>
      </c>
      <c r="AE1089" s="31" t="inlineStr">
        <is>
          <t>Surface-blended Elo on Hard: Veronika Erjavec p=0.582 vs Francesca Curmi. Executable ask 0.6500 (aec-wta-fracur-vererj-2026-09-14).</t>
        </is>
      </c>
      <c r="AF1089" s="31" t="inlineStr">
        <is>
          <t>Surface-blended Elo model; singles only, WTA+ATP market coverage, not yet locked-holdout qualified -- promoted by explicit operator directive, not genuine walk-forward validation.</t>
        </is>
      </c>
      <c r="AG1089" s="24" t="inlineStr">
        <is>
          <t>review_required</t>
        </is>
      </c>
      <c r="AH1089" s="24" t="n"/>
      <c r="AI1089" s="31" t="n"/>
      <c r="AJ1089" s="31" t="n"/>
      <c r="AK1089" s="24" t="inlineStr">
        <is>
          <t>paper_call</t>
        </is>
      </c>
      <c r="AL1089" s="26" t="n">
        <v>4</v>
      </c>
      <c r="AM1089" s="24" t="inlineStr">
        <is>
          <t>RESEARCH_OBSERVATION</t>
        </is>
      </c>
      <c r="AN1089" s="24" t="inlineStr">
        <is>
          <t>CALL</t>
        </is>
      </c>
      <c r="AO1089" s="24" t="inlineStr">
        <is>
          <t>PAPER_CALL_LOW_EDGE</t>
        </is>
      </c>
      <c r="AP1089" s="24" t="inlineStr">
        <is>
          <t>Veronika Erjavec</t>
        </is>
      </c>
      <c r="AQ1089" s="24" t="inlineStr">
        <is>
          <t>Veronika Erjavec</t>
        </is>
      </c>
      <c r="AR1089" s="24" t="inlineStr">
        <is>
          <t>Veronika Erjavec</t>
        </is>
      </c>
      <c r="AS1089" s="24" t="inlineStr">
        <is>
          <t>Francesca Curmi</t>
        </is>
      </c>
      <c r="AT1089" s="24" t="inlineStr">
        <is>
          <t>Francesca Curmi</t>
        </is>
      </c>
      <c r="AU1089" s="24" t="inlineStr">
        <is>
          <t>Francesca Curmi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inlineStr">
        <is>
          <t>6c67e999d2a03612e30f4032c8e5e77e8becfbc79e05f4c8993e726b90d34d54</t>
        </is>
      </c>
      <c r="BB1089" s="24" t="inlineStr">
        <is>
          <t>surface_blended_elo</t>
        </is>
      </c>
      <c r="BC1089" s="24" t="inlineStr">
        <is>
          <t>tennis-surface-elo-v1</t>
        </is>
      </c>
      <c r="BD1089" s="24" t="inlineStr">
        <is>
          <t>6c67e999d2a03612e30f4032c8e5e77e8becfbc79e05f4c8993e726b90d34d54</t>
        </is>
      </c>
      <c r="BE1089" s="24" t="inlineStr">
        <is>
          <t>tennis-surface-elo-v1</t>
        </is>
      </c>
      <c r="BF1089" s="24" t="inlineStr">
        <is>
          <t>1</t>
        </is>
      </c>
      <c r="BG1089" s="24" t="inlineStr">
        <is>
          <t>6c67e999d2a03612e30f4032c8e5e77e8becfbc79e05f4c8993e726b90d34d54</t>
        </is>
      </c>
      <c r="BH1089" s="24" t="inlineStr">
        <is>
          <t>2026-09-14T04:47:37.566818Z</t>
        </is>
      </c>
      <c r="BI1089" s="24" t="inlineStr">
        <is>
          <t>["same_event","same_team_same_day","same_league_same_day"]</t>
        </is>
      </c>
      <c r="BJ1089" s="25" t="n"/>
      <c r="BK1089" s="26" t="n">
        <v>-186</v>
      </c>
      <c r="BL1089" s="27" t="n">
        <v>1.537634</v>
      </c>
      <c r="BM1089" s="28" t="n">
        <v>0.65035</v>
      </c>
      <c r="BN1089" s="28" t="n"/>
      <c r="BO1089" s="28" t="n"/>
      <c r="BP1089" s="25" t="n"/>
      <c r="BQ1089" s="27" t="n">
        <v>1.537634</v>
      </c>
      <c r="BR1089" s="28" t="n">
        <v>0.65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False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inlineStr">
        <is>
          <t>8a0191d2cea144974d01e1479626a02ab3a5f32c7859b9f23ce2908b11362fb1</t>
        </is>
      </c>
      <c r="DE1089" s="24" t="inlineStr">
        <is>
          <t>/Users/vincentc9002/model-prediction/data/odds/tennis/2026-09-14/polymarket_snapshots.jsonl</t>
        </is>
      </c>
      <c r="DF1089" s="24" t="inlineStr">
        <is>
          <t>839405:2026-09-14T04:47:37.566818Z</t>
        </is>
      </c>
      <c r="DG1089" s="24" t="n"/>
      <c r="DH1089" s="24" t="n"/>
      <c r="DI1089" s="24" t="n"/>
      <c r="DJ1089" s="24" t="inlineStr">
        <is>
          <t>0.65035</t>
        </is>
      </c>
      <c r="DK1089" s="24" t="n"/>
      <c r="DL1089" s="24" t="n"/>
      <c r="DM1089" s="24" t="n"/>
      <c r="DN1089" s="24" t="n"/>
      <c r="DO1089" s="24" t="n"/>
      <c r="DP1089" s="24" t="n"/>
      <c r="DQ1089" s="24" t="inlineStr">
        <is>
          <t>{"artifact_hash": "6c67e999d2a03612e30f4032c8e5e77e8becfbc79e05f4c8993e726b90d34d54", "away_team": "Veronika Erjavec", "event_id": "871-2026:183749", "event_start_utc": "2026-09-14T16:00Z", "features": {"elo_p1_surface": 1579.7, "elo_p2_surface": 1509.3, "expected_games_p1": 13.43, "expected_games_p2": 10.07, "expected_total_games": 23.5, "history_matches": 16003, "min_player_matches": 16, "surface": "Hard"}, "historical_source_observation_times_verified": false, "home_team": "Francesca Curmi", "inference_inputs": {"code_sha256": {"features/elo_ratings.py": "8525faf022a6343c452286dbfeb17dbb043744c6bdabbe448b6b371216da439b", "models/tennis.py": "6c67e999d2a03612e30f4032c8e5e77e8becfbc79e05f4c8993e726b90d34d54"}, "overall_ratings": [1532.7738019504604, 1509.8826597712975], "players": ["Veronika Erjavec", "Francesca Curmi"], "sport": "TENNIS", "surface": "Hard", "surface_counts": [98, 16], "surface_ratings": [1579.6909492992716, 1509.3255338924705]}, "market_type": "moneyline", "model_version": "tennis-surface-elo-v1", "observed_at_utc": "2026-09-14T10:05:52.520466+00:00", "probabilities": {"away": 0.5823, "home": 0.4177}, "replay_scope": "Exact full-precision serving state and rounding; upstream historical observation times are not certified.", "schema": "coded-moneyline-replay-v1", "snapshot_hash": "67695903c4a2b8b22b71798dd7500aa43130b6606de46c6355a0b8ca257df50b", "sport": "TENNIS"}</t>
        </is>
      </c>
    </row>
    <row r="1090" ht="36" customHeight="1">
      <c r="A1090" s="24" t="inlineStr">
        <is>
          <t>7a8126c8f34c4e8f</t>
        </is>
      </c>
      <c r="B1090" s="24" t="inlineStr">
        <is>
          <t>2026-09-14T16:13:42.433436Z</t>
        </is>
      </c>
      <c r="C1090" s="24" t="inlineStr">
        <is>
          <t>2026-09-14T19:30Z</t>
        </is>
      </c>
      <c r="D1090" s="24" t="inlineStr">
        <is>
          <t>887-2026:183794</t>
        </is>
      </c>
      <c r="E1090" s="24" t="inlineStr">
        <is>
          <t>TENNIS</t>
        </is>
      </c>
      <c r="F1090" s="24" t="inlineStr">
        <is>
          <t>Taylor Townsend</t>
        </is>
      </c>
      <c r="G1090" s="24" t="inlineStr">
        <is>
          <t>Tatjana Maria</t>
        </is>
      </c>
      <c r="H1090" s="24" t="inlineStr">
        <is>
          <t>moneyline</t>
        </is>
      </c>
      <c r="I1090" s="24" t="inlineStr">
        <is>
          <t>away</t>
        </is>
      </c>
      <c r="J1090" s="25" t="n"/>
      <c r="K1090" s="24" t="inlineStr">
        <is>
          <t>polymarket_us</t>
        </is>
      </c>
      <c r="L1090" s="26" t="n">
        <v>-245</v>
      </c>
      <c r="M1090" s="27" t="n">
        <v>1.408163</v>
      </c>
      <c r="N1090" s="28" t="n">
        <v>0.710145</v>
      </c>
      <c r="O1090" s="28" t="n">
        <v>0.6459</v>
      </c>
      <c r="P1090" s="28" t="n">
        <v>0.05</v>
      </c>
      <c r="Q1090" s="28" t="n">
        <v>-0.064245</v>
      </c>
      <c r="R1090" s="26" t="n">
        <v>0</v>
      </c>
      <c r="S1090" s="29" t="n">
        <v>1</v>
      </c>
      <c r="T1090" s="24" t="inlineStr">
        <is>
          <t>tennis-surface-elo-v1</t>
        </is>
      </c>
      <c r="U1090" s="24" t="inlineStr">
        <is>
          <t>settled</t>
        </is>
      </c>
      <c r="V1090" s="24" t="inlineStr">
        <is>
          <t>win</t>
        </is>
      </c>
      <c r="W1090" s="26" t="n">
        <v>1</v>
      </c>
      <c r="X1090" s="26" t="n">
        <v>0</v>
      </c>
      <c r="Y1090" s="25" t="n"/>
      <c r="Z1090" s="26" t="n">
        <v>-245</v>
      </c>
      <c r="AA1090" s="28" t="n">
        <v>0.71</v>
      </c>
      <c r="AB1090" s="28" t="n">
        <v>-0.000145</v>
      </c>
      <c r="AC1090" s="30" t="n">
        <v>0.4082</v>
      </c>
      <c r="AD1090" s="24" t="inlineStr">
        <is>
          <t>2026-09-15T01:09:15.947049Z</t>
        </is>
      </c>
      <c r="AE1090" s="31" t="inlineStr">
        <is>
          <t>Surface-blended Elo on Hard: Taylor Townsend p=0.646 vs Tatjana Maria. Executable ask 0.7100 (aec-wta-tatmar-taytow-2026-09-13).</t>
        </is>
      </c>
      <c r="AF1090" s="31" t="inlineStr">
        <is>
          <t>Surface-blended Elo model; singles only, WTA+ATP market coverage, not yet locked-holdout qualified -- promoted by explicit operator directive, not genuine walk-forward validation.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PAPER_CALL_LOW_EDGE</t>
        </is>
      </c>
      <c r="AP1090" s="24" t="inlineStr">
        <is>
          <t>Taylor Townsend</t>
        </is>
      </c>
      <c r="AQ1090" s="24" t="inlineStr">
        <is>
          <t>Taylor Townsend</t>
        </is>
      </c>
      <c r="AR1090" s="24" t="inlineStr">
        <is>
          <t>Taylor Townsend</t>
        </is>
      </c>
      <c r="AS1090" s="24" t="inlineStr">
        <is>
          <t>Tatjana Maria</t>
        </is>
      </c>
      <c r="AT1090" s="24" t="inlineStr">
        <is>
          <t>Tatjana Maria</t>
        </is>
      </c>
      <c r="AU1090" s="24" t="inlineStr">
        <is>
          <t>Tatjana Maria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inlineStr">
        <is>
          <t>6c67e999d2a03612e30f4032c8e5e77e8becfbc79e05f4c8993e726b90d34d54</t>
        </is>
      </c>
      <c r="BB1090" s="24" t="inlineStr">
        <is>
          <t>surface_blended_elo</t>
        </is>
      </c>
      <c r="BC1090" s="24" t="inlineStr">
        <is>
          <t>tennis-surface-elo-v1</t>
        </is>
      </c>
      <c r="BD1090" s="24" t="inlineStr">
        <is>
          <t>6c67e999d2a03612e30f4032c8e5e77e8becfbc79e05f4c8993e726b90d34d54</t>
        </is>
      </c>
      <c r="BE1090" s="24" t="inlineStr">
        <is>
          <t>tennis-surface-elo-v1</t>
        </is>
      </c>
      <c r="BF1090" s="24" t="inlineStr">
        <is>
          <t>1</t>
        </is>
      </c>
      <c r="BG1090" s="24" t="inlineStr">
        <is>
          <t>6c67e999d2a03612e30f4032c8e5e77e8becfbc79e05f4c8993e726b90d34d54</t>
        </is>
      </c>
      <c r="BH1090" s="24" t="inlineStr">
        <is>
          <t>2026-09-14T04:47:49.091474Z</t>
        </is>
      </c>
      <c r="BI1090" s="24" t="inlineStr">
        <is>
          <t>["same_event","same_team_same_day","same_league_same_day"]</t>
        </is>
      </c>
      <c r="BJ1090" s="25" t="n"/>
      <c r="BK1090" s="26" t="n">
        <v>-245</v>
      </c>
      <c r="BL1090" s="27" t="n">
        <v>1.408163</v>
      </c>
      <c r="BM1090" s="28" t="n">
        <v>0.710145</v>
      </c>
      <c r="BN1090" s="28" t="n"/>
      <c r="BO1090" s="28" t="n"/>
      <c r="BP1090" s="25" t="n"/>
      <c r="BQ1090" s="27" t="n">
        <v>1.408163</v>
      </c>
      <c r="BR1090" s="28" t="n">
        <v>0.71</v>
      </c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False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inlineStr">
        <is>
          <t>2f21c73af5308da217a92f3093c03f8028c739523f3dbb16f9367d5b77b048d6</t>
        </is>
      </c>
      <c r="DE1090" s="24" t="inlineStr">
        <is>
          <t>/Users/vincentc9002/model-prediction/data/odds/tennis/2026-09-14/polymarket_snapshots.jsonl</t>
        </is>
      </c>
      <c r="DF1090" s="24" t="inlineStr">
        <is>
          <t>803722:2026-09-14T04:47:49.091474Z</t>
        </is>
      </c>
      <c r="DG1090" s="24" t="n"/>
      <c r="DH1090" s="24" t="n"/>
      <c r="DI1090" s="24" t="n"/>
      <c r="DJ1090" s="24" t="inlineStr">
        <is>
          <t>0.710145</t>
        </is>
      </c>
      <c r="DK1090" s="24" t="n"/>
      <c r="DL1090" s="24" t="n"/>
      <c r="DM1090" s="24" t="n"/>
      <c r="DN1090" s="24" t="n"/>
      <c r="DO1090" s="24" t="n"/>
      <c r="DP1090" s="24" t="n"/>
      <c r="DQ1090" s="24" t="inlineStr">
        <is>
          <t>{"artifact_hash": "6c67e999d2a03612e30f4032c8e5e77e8becfbc79e05f4c8993e726b90d34d54", "away_team": "Taylor Townsend", "event_id": "887-2026:183794", "event_start_utc": "2026-09-14T19:30Z", "features": {"elo_p1_surface": 1745.1, "elo_p2_surface": 1623.8, "expected_games_p1": 13.35, "expected_games_p2": 8.26, "expected_total_games": 21.6, "history_matches": 16003, "min_player_matches": 108, "surface": "Hard"}, "historical_source_observation_times_verified": false, "home_team": "Tatjana Maria", "inference_inputs": {"code_sha256": {"features/elo_ratings.py": "8525faf022a6343c452286dbfeb17dbb043744c6bdabbe448b6b371216da439b", "models/tennis.py": "6c67e999d2a03612e30f4032c8e5e77e8becfbc79e05f4c8993e726b90d34d54"}, "overall_ratings": [1755.030564959922, 1707.1935585216268], "players": ["Taylor Townsend", "Tatjana Maria"], "sport": "TENNIS", "surface": "Hard", "surface_counts": [89, 136], "surface_ratings": [1745.0790741344986, 1623.8244054637382]}, "market_type": "moneyline", "model_version": "tennis-surface-elo-v1", "observed_at_utc": "2026-09-14T16:13:40.605349+00:00", "probabilities": {"away": 0.6459, "home": 0.3541}, "replay_scope": "Exact full-precision serving state and rounding; upstream historical observation times are not certified.", "schema": "coded-moneyline-replay-v1", "snapshot_hash": "d53ab2a7635c66cf43bca614424a05c055ab451a5bbfeafeed5ee48d54fda855", "sport": "TENNIS"}</t>
        </is>
      </c>
    </row>
    <row r="1091" ht="36" customHeight="1">
      <c r="A1091" s="24" t="inlineStr">
        <is>
          <t>875fee959d104121</t>
        </is>
      </c>
      <c r="B1091" s="24" t="inlineStr">
        <is>
          <t>2026-09-14T16:13:42.433436Z</t>
        </is>
      </c>
      <c r="C1091" s="24" t="inlineStr">
        <is>
          <t>2026-09-14T20:30Z</t>
        </is>
      </c>
      <c r="D1091" s="24" t="inlineStr">
        <is>
          <t>887-2026:183793</t>
        </is>
      </c>
      <c r="E1091" s="24" t="inlineStr">
        <is>
          <t>TENNIS</t>
        </is>
      </c>
      <c r="F1091" s="24" t="inlineStr">
        <is>
          <t>Caroline Dolehide</t>
        </is>
      </c>
      <c r="G1091" s="24" t="inlineStr">
        <is>
          <t>Renata Zarazua</t>
        </is>
      </c>
      <c r="H1091" s="24" t="inlineStr">
        <is>
          <t>moneyline</t>
        </is>
      </c>
      <c r="I1091" s="24" t="inlineStr">
        <is>
          <t>away</t>
        </is>
      </c>
      <c r="J1091" s="25" t="n"/>
      <c r="K1091" s="24" t="inlineStr">
        <is>
          <t>polymarket_us</t>
        </is>
      </c>
      <c r="L1091" s="26" t="n">
        <v>-122</v>
      </c>
      <c r="M1091" s="27" t="n">
        <v>1.819672</v>
      </c>
      <c r="N1091" s="28" t="n">
        <v>0.54955</v>
      </c>
      <c r="O1091" s="28" t="n">
        <v>0.57</v>
      </c>
      <c r="P1091" s="28" t="n">
        <v>0.05</v>
      </c>
      <c r="Q1091" s="28" t="n">
        <v>0.02045</v>
      </c>
      <c r="R1091" s="26" t="n">
        <v>30</v>
      </c>
      <c r="S1091" s="29" t="n">
        <v>1</v>
      </c>
      <c r="T1091" s="24" t="inlineStr">
        <is>
          <t>tennis-surface-elo-v1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0</v>
      </c>
      <c r="Y1091" s="25" t="n"/>
      <c r="Z1091" s="26" t="n">
        <v>-122</v>
      </c>
      <c r="AA1091" s="28" t="n">
        <v>0.55</v>
      </c>
      <c r="AB1091" s="28" t="n">
        <v>0.00045</v>
      </c>
      <c r="AC1091" s="30" t="n">
        <v>0.8197</v>
      </c>
      <c r="AD1091" s="24" t="inlineStr">
        <is>
          <t>2026-09-14T23:02:51.364362Z</t>
        </is>
      </c>
      <c r="AE1091" s="31" t="inlineStr">
        <is>
          <t>Surface-blended Elo on Hard: Caroline Dolehide p=0.570 vs Renata Zarazua. Executable ask 0.5500 (aec-wta-renzar-cardol-2026-09-14).</t>
        </is>
      </c>
      <c r="AF1091" s="31" t="inlineStr">
        <is>
          <t>Surface-blended Elo model; singles only, WTA+ATP market coverage, not yet locked-holdout qualified -- promoted by explicit operator directive, not genuine walk-forward validation.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paper_call</t>
        </is>
      </c>
      <c r="AL1091" s="26" t="n">
        <v>4</v>
      </c>
      <c r="AM1091" s="24" t="inlineStr">
        <is>
          <t>RESEARCH_OBSERVATION</t>
        </is>
      </c>
      <c r="AN1091" s="24" t="inlineStr">
        <is>
          <t>CALL</t>
        </is>
      </c>
      <c r="AO1091" s="24" t="inlineStr">
        <is>
          <t>PAPER_CALL_LOW_EDGE</t>
        </is>
      </c>
      <c r="AP1091" s="24" t="inlineStr">
        <is>
          <t>Caroline Dolehide</t>
        </is>
      </c>
      <c r="AQ1091" s="24" t="inlineStr">
        <is>
          <t>Caroline Dolehide</t>
        </is>
      </c>
      <c r="AR1091" s="24" t="inlineStr">
        <is>
          <t>Caroline Dolehide</t>
        </is>
      </c>
      <c r="AS1091" s="24" t="inlineStr">
        <is>
          <t>Renata Zarazua</t>
        </is>
      </c>
      <c r="AT1091" s="24" t="inlineStr">
        <is>
          <t>Renata Zarazua</t>
        </is>
      </c>
      <c r="AU1091" s="24" t="inlineStr">
        <is>
          <t>Renata Zarazua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inlineStr">
        <is>
          <t>6c67e999d2a03612e30f4032c8e5e77e8becfbc79e05f4c8993e726b90d34d54</t>
        </is>
      </c>
      <c r="BB1091" s="24" t="inlineStr">
        <is>
          <t>surface_blended_elo</t>
        </is>
      </c>
      <c r="BC1091" s="24" t="inlineStr">
        <is>
          <t>tennis-surface-elo-v1</t>
        </is>
      </c>
      <c r="BD1091" s="24" t="inlineStr">
        <is>
          <t>6c67e999d2a03612e30f4032c8e5e77e8becfbc79e05f4c8993e726b90d34d54</t>
        </is>
      </c>
      <c r="BE1091" s="24" t="inlineStr">
        <is>
          <t>tennis-surface-elo-v1</t>
        </is>
      </c>
      <c r="BF1091" s="24" t="inlineStr">
        <is>
          <t>1</t>
        </is>
      </c>
      <c r="BG1091" s="24" t="inlineStr">
        <is>
          <t>6c67e999d2a03612e30f4032c8e5e77e8becfbc79e05f4c8993e726b90d34d54</t>
        </is>
      </c>
      <c r="BH1091" s="24" t="inlineStr">
        <is>
          <t>2026-09-14T16:10:23.975919Z</t>
        </is>
      </c>
      <c r="BI1091" s="24" t="inlineStr">
        <is>
          <t>["same_event","same_team_same_day","same_league_same_day"]</t>
        </is>
      </c>
      <c r="BJ1091" s="25" t="n"/>
      <c r="BK1091" s="26" t="n">
        <v>-122</v>
      </c>
      <c r="BL1091" s="27" t="n">
        <v>1.819672</v>
      </c>
      <c r="BM1091" s="28" t="n">
        <v>0.54955</v>
      </c>
      <c r="BN1091" s="28" t="n"/>
      <c r="BO1091" s="28" t="n"/>
      <c r="BP1091" s="25" t="n"/>
      <c r="BQ1091" s="27" t="n">
        <v>1.819672</v>
      </c>
      <c r="BR1091" s="28" t="n">
        <v>0.55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inlineStr">
        <is>
          <t>c65e157e6ba65c19cb56cf72f5d5b20467016f65be0336b1a0252826fc46e4e7</t>
        </is>
      </c>
      <c r="DE1091" s="24" t="inlineStr">
        <is>
          <t>/Users/vincentc9002/model-prediction/data/odds/tennis/2026-09-14/polymarket_snapshots.jsonl</t>
        </is>
      </c>
      <c r="DF1091" s="24" t="inlineStr">
        <is>
          <t>845820:2026-09-14T16:10:23.975919Z</t>
        </is>
      </c>
      <c r="DG1091" s="24" t="n"/>
      <c r="DH1091" s="24" t="n"/>
      <c r="DI1091" s="24" t="n"/>
      <c r="DJ1091" s="24" t="inlineStr">
        <is>
          <t>0.54955</t>
        </is>
      </c>
      <c r="DK1091" s="24" t="n"/>
      <c r="DL1091" s="24" t="n"/>
      <c r="DM1091" s="24" t="n"/>
      <c r="DN1091" s="24" t="n"/>
      <c r="DO1091" s="24" t="n"/>
      <c r="DP1091" s="24" t="n"/>
      <c r="DQ1091" s="24" t="inlineStr">
        <is>
          <t>{"artifact_hash": "6c67e999d2a03612e30f4032c8e5e77e8becfbc79e05f4c8993e726b90d34d54", "away_team": "Caroline Dolehide", "event_id": "887-2026:183793", "event_start_utc": "2026-09-14T20:30Z", "features": {"elo_p1_surface": 1527.8, "elo_p2_surface": 1477.1, "expected_games_p1": 13.32, "expected_games_p2": 10.75, "expected_total_games": 24.07, "history_matches": 16003, "min_player_matches": 112,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[1531.027509099816, 1487.7551781448828], "players": ["Caroline Dolehide", "Renata Zarazua"], "sport": "TENNIS", "surface": "Hard", "surface_counts": [86, 112], "surface_ratings": [1527.8337823307736, 1477.0857579047388]}, "market_type": "moneyline", "model_version": "tennis-surface-elo-v1", "observed_at_utc": "2026-09-14T16:13:40.605349+00:00", "probabilities": {"away": 0.57, "home": 0.43}, "replay_scope": "Exact full-precision serving state and rounding; upstream historical observation times are not certified.", "schema": "coded-moneyline-replay-v1", "snapshot_hash": "4d86151cef46df6bfec76c8bc1d21a0e7c55c882498cfe2e57536d065d7bd286", "sport": "TENNIS"}</t>
        </is>
      </c>
    </row>
    <row r="1092" ht="36" customHeight="1">
      <c r="A1092" s="24" t="inlineStr">
        <is>
          <t>8f0bb6575de24c08</t>
        </is>
      </c>
      <c r="B1092" s="24" t="inlineStr">
        <is>
          <t>2026-09-14T16:13:42.433436Z</t>
        </is>
      </c>
      <c r="C1092" s="24" t="inlineStr">
        <is>
          <t>2026-09-14T17:00Z</t>
        </is>
      </c>
      <c r="D1092" s="24" t="inlineStr">
        <is>
          <t>1005-2026:183840</t>
        </is>
      </c>
      <c r="E1092" s="24" t="inlineStr">
        <is>
          <t>TENNIS</t>
        </is>
      </c>
      <c r="F1092" s="24" t="inlineStr">
        <is>
          <t>Solana Sierra</t>
        </is>
      </c>
      <c r="G1092" s="24" t="inlineStr">
        <is>
          <t>Cadence Brace</t>
        </is>
      </c>
      <c r="H1092" s="24" t="inlineStr">
        <is>
          <t>moneyline</t>
        </is>
      </c>
      <c r="I1092" s="24" t="inlineStr">
        <is>
          <t>away</t>
        </is>
      </c>
      <c r="J1092" s="25" t="n"/>
      <c r="K1092" s="24" t="inlineStr">
        <is>
          <t>polymarket_us</t>
        </is>
      </c>
      <c r="L1092" s="26" t="n">
        <v>-178</v>
      </c>
      <c r="M1092" s="27" t="n">
        <v>1.561798</v>
      </c>
      <c r="N1092" s="28" t="n">
        <v>0.640288</v>
      </c>
      <c r="O1092" s="28" t="n">
        <v>0.5988</v>
      </c>
      <c r="P1092" s="28" t="n">
        <v>0.05</v>
      </c>
      <c r="Q1092" s="28" t="n">
        <v>-0.041488</v>
      </c>
      <c r="R1092" s="26" t="n">
        <v>0</v>
      </c>
      <c r="S1092" s="29" t="n">
        <v>1</v>
      </c>
      <c r="T1092" s="24" t="inlineStr">
        <is>
          <t>tennis-surface-elo-v1</t>
        </is>
      </c>
      <c r="U1092" s="24" t="inlineStr">
        <is>
          <t>settled</t>
        </is>
      </c>
      <c r="V1092" s="24" t="inlineStr">
        <is>
          <t>win</t>
        </is>
      </c>
      <c r="W1092" s="26" t="n">
        <v>1</v>
      </c>
      <c r="X1092" s="26" t="n">
        <v>0</v>
      </c>
      <c r="Y1092" s="25" t="n"/>
      <c r="Z1092" s="26" t="n">
        <v>-178</v>
      </c>
      <c r="AA1092" s="28" t="n">
        <v>0.64</v>
      </c>
      <c r="AB1092" s="28" t="n">
        <v>-0.000288</v>
      </c>
      <c r="AC1092" s="30" t="n">
        <v>0.5618</v>
      </c>
      <c r="AD1092" s="24" t="inlineStr">
        <is>
          <t>2026-09-17T04:32:49.664102Z</t>
        </is>
      </c>
      <c r="AE1092" s="31" t="inlineStr">
        <is>
          <t>Surface-blended Elo on Hard: Solana Sierra p=0.599 vs Cadence Brace. Executable ask 0.6400 (aec-wta-cadbra-solsie-2026-09-14).</t>
        </is>
      </c>
      <c r="AF1092" s="31" t="inlineStr">
        <is>
          <t>Surface-blended Elo model; singles only, WTA+ATP market coverage, not yet locked-holdout qualified -- promoted by explicit operator directive, not genuine walk-forward validation.</t>
        </is>
      </c>
      <c r="AG1092" s="24" t="inlineStr">
        <is>
          <t>not_applicable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PAPER_CALL_LOW_EDGE</t>
        </is>
      </c>
      <c r="AP1092" s="24" t="inlineStr">
        <is>
          <t>Solana Sierra</t>
        </is>
      </c>
      <c r="AQ1092" s="24" t="inlineStr">
        <is>
          <t>Solana Sierra</t>
        </is>
      </c>
      <c r="AR1092" s="24" t="inlineStr">
        <is>
          <t>Solana Sierra</t>
        </is>
      </c>
      <c r="AS1092" s="24" t="inlineStr">
        <is>
          <t>Cadence Brace</t>
        </is>
      </c>
      <c r="AT1092" s="24" t="inlineStr">
        <is>
          <t>Cadence Brace</t>
        </is>
      </c>
      <c r="AU1092" s="24" t="inlineStr">
        <is>
          <t>Cadence Brace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inlineStr">
        <is>
          <t>6c67e999d2a03612e30f4032c8e5e77e8becfbc79e05f4c8993e726b90d34d54</t>
        </is>
      </c>
      <c r="BB1092" s="24" t="inlineStr">
        <is>
          <t>surface_blended_elo</t>
        </is>
      </c>
      <c r="BC1092" s="24" t="inlineStr">
        <is>
          <t>tennis-surface-elo-v1</t>
        </is>
      </c>
      <c r="BD1092" s="24" t="inlineStr">
        <is>
          <t>6c67e999d2a03612e30f4032c8e5e77e8becfbc79e05f4c8993e726b90d34d54</t>
        </is>
      </c>
      <c r="BE1092" s="24" t="inlineStr">
        <is>
          <t>tennis-surface-elo-v1</t>
        </is>
      </c>
      <c r="BF1092" s="24" t="inlineStr">
        <is>
          <t>1</t>
        </is>
      </c>
      <c r="BG1092" s="24" t="inlineStr">
        <is>
          <t>6c67e999d2a03612e30f4032c8e5e77e8becfbc79e05f4c8993e726b90d34d54</t>
        </is>
      </c>
      <c r="BH1092" s="24" t="inlineStr">
        <is>
          <t>2026-09-14T16:09:51.519746Z</t>
        </is>
      </c>
      <c r="BI1092" s="24" t="inlineStr">
        <is>
          <t>["same_event","same_team_same_day","same_league_same_day"]</t>
        </is>
      </c>
      <c r="BJ1092" s="25" t="n"/>
      <c r="BK1092" s="26" t="n">
        <v>-178</v>
      </c>
      <c r="BL1092" s="27" t="n">
        <v>1.561798</v>
      </c>
      <c r="BM1092" s="28" t="n">
        <v>0.640288</v>
      </c>
      <c r="BN1092" s="28" t="n"/>
      <c r="BO1092" s="28" t="n"/>
      <c r="BP1092" s="25" t="n"/>
      <c r="BQ1092" s="27" t="n">
        <v>1.561798</v>
      </c>
      <c r="BR1092" s="28" t="n">
        <v>0.64</v>
      </c>
      <c r="BS1092" s="28" t="n"/>
      <c r="BT1092" s="28" t="n"/>
      <c r="BU1092" s="25" t="n"/>
      <c r="BV1092" s="29" t="n"/>
      <c r="BW1092" s="24" t="n"/>
      <c r="BX1092" s="30" t="n"/>
      <c r="BY1092" s="27" t="n"/>
      <c r="BZ1092" s="24" t="n"/>
      <c r="CA1092" s="31" t="n"/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False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inlineStr">
        <is>
          <t>6e4979201d66d7ce841cba28780644ba87f82535555102ea499c28f3c0f6dc21</t>
        </is>
      </c>
      <c r="DE1092" s="24" t="inlineStr">
        <is>
          <t>/Users/vincentc9002/model-prediction/data/odds/tennis/2026-09-14/polymarket_snapshots.jsonl</t>
        </is>
      </c>
      <c r="DF1092" s="24" t="inlineStr">
        <is>
          <t>845817:2026-09-14T16:09:51.519746Z</t>
        </is>
      </c>
      <c r="DG1092" s="24" t="n"/>
      <c r="DH1092" s="24" t="n"/>
      <c r="DI1092" s="24" t="n"/>
      <c r="DJ1092" s="24" t="inlineStr">
        <is>
          <t>0.640288</t>
        </is>
      </c>
      <c r="DK1092" s="24" t="n"/>
      <c r="DL1092" s="24" t="n"/>
      <c r="DM1092" s="24" t="n"/>
      <c r="DN1092" s="24" t="n"/>
      <c r="DO1092" s="24" t="n"/>
      <c r="DP1092" s="24" t="n"/>
      <c r="DQ1092" s="24" t="inlineStr">
        <is>
          <t>{"artifact_hash": "6c67e999d2a03612e30f4032c8e5e77e8becfbc79e05f4c8993e726b90d34d54", "away_team": "Solana Sierra", "event_id": "1005-2026:183840", "event_start_utc": "2026-09-14T17:00Z", "features": {"elo_p1_surface": 1507.8, "elo_p2_surface": 1486.3, "expected_games_p1": 12.96, "expected_games_p2": 11.66, "expected_total_games": 24.63, "history_matches": 16003, "min_player_matches": 24, "surface": "Hard"}, "historical_source_observation_times_verified": false, "home_team": "Cadence Brace", "inference_inputs": {"code_sha256": {"features/elo_ratings.py": "8525faf022a6343c452286dbfeb17dbb043744c6bdabbe448b6b371216da439b", "models/tennis.py": "6c67e999d2a03612e30f4032c8e5e77e8becfbc79e05f4c8993e726b90d34d54"}, "overall_ratings": [1628.037681884181, 1461.5372518873196], "players": ["Solana Sierra", "Cadence Brace"], "sport": "TENNIS", "surface": "Hard", "surface_counts": [71, 22], "surface_ratings": [1507.8046545157897, 1486.3246051238061]}, "market_type": "moneyline", "model_version": "tennis-surface-elo-v1", "observed_at_utc": "2026-09-14T16:13:40.605349+00:00", "probabilities": {"away": 0.5988, "home": 0.4012}, "replay_scope": "Exact full-precision serving state and rounding; upstream historical observation times are not certified.", "schema": "coded-moneyline-replay-v1", "snapshot_hash": "c1cdf86256ff80bf6ade31202ef9a99a7de0664a3ff595ed66fa8f8651a06531", "sport": "TENNIS"}</t>
        </is>
      </c>
    </row>
    <row r="1093" ht="36" customHeight="1">
      <c r="A1093" s="24" t="inlineStr">
        <is>
          <t>168ea604b0d44687</t>
        </is>
      </c>
      <c r="B1093" s="24" t="inlineStr">
        <is>
          <t>2026-09-14T16:13:42.433436Z</t>
        </is>
      </c>
      <c r="C1093" s="24" t="inlineStr">
        <is>
          <t>2026-09-14T22:00Z</t>
        </is>
      </c>
      <c r="D1093" s="24" t="inlineStr">
        <is>
          <t>1005-2026:183846</t>
        </is>
      </c>
      <c r="E1093" s="24" t="inlineStr">
        <is>
          <t>TENNIS</t>
        </is>
      </c>
      <c r="F1093" s="24" t="inlineStr">
        <is>
          <t>Carolina Alves</t>
        </is>
      </c>
      <c r="G1093" s="24" t="inlineStr">
        <is>
          <t>Suzan Lamens</t>
        </is>
      </c>
      <c r="H1093" s="24" t="inlineStr">
        <is>
          <t>moneyline</t>
        </is>
      </c>
      <c r="I1093" s="24" t="inlineStr">
        <is>
          <t>home</t>
        </is>
      </c>
      <c r="J1093" s="25" t="n"/>
      <c r="K1093" s="24" t="inlineStr">
        <is>
          <t>polymarket_us</t>
        </is>
      </c>
      <c r="L1093" s="26" t="n">
        <v>-488</v>
      </c>
      <c r="M1093" s="27" t="n">
        <v>1.204918</v>
      </c>
      <c r="N1093" s="28" t="n">
        <v>0.829932</v>
      </c>
      <c r="O1093" s="28" t="n">
        <v>0.6643</v>
      </c>
      <c r="P1093" s="28" t="n">
        <v>0.05</v>
      </c>
      <c r="Q1093" s="28" t="n">
        <v>-0.165632</v>
      </c>
      <c r="R1093" s="26" t="n">
        <v>0</v>
      </c>
      <c r="S1093" s="29" t="n">
        <v>1</v>
      </c>
      <c r="T1093" s="24" t="inlineStr">
        <is>
          <t>tennis-surface-elo-v1</t>
        </is>
      </c>
      <c r="U1093" s="24" t="inlineStr">
        <is>
          <t>settled</t>
        </is>
      </c>
      <c r="V1093" s="24" t="inlineStr">
        <is>
          <t>win</t>
        </is>
      </c>
      <c r="W1093" s="26" t="n">
        <v>0</v>
      </c>
      <c r="X1093" s="26" t="n">
        <v>1</v>
      </c>
      <c r="Y1093" s="25" t="n"/>
      <c r="Z1093" s="26" t="n">
        <v>-488</v>
      </c>
      <c r="AA1093" s="28" t="n">
        <v>0.83</v>
      </c>
      <c r="AB1093" s="28" t="n">
        <v>6.8e-05</v>
      </c>
      <c r="AC1093" s="30" t="n">
        <v>0.2049</v>
      </c>
      <c r="AD1093" s="24" t="inlineStr">
        <is>
          <t>2026-09-17T04:32:50.601848Z</t>
        </is>
      </c>
      <c r="AE1093" s="31" t="inlineStr">
        <is>
          <t>Surface-blended Elo on Hard: Carolina Alves p=0.336 vs Suzan Lamens. Executable ask 0.8300 (aec-wta-suzlam-caralv-2026-09-14).</t>
        </is>
      </c>
      <c r="AF1093" s="31" t="inlineStr">
        <is>
          <t>Surface-blended Elo model; singles only, WTA+ATP market coverage, not yet locked-holdout qualified -- promoted by explicit operator directive, not genuine walk-forward validation.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paper_call</t>
        </is>
      </c>
      <c r="AL1093" s="26" t="n">
        <v>4</v>
      </c>
      <c r="AM1093" s="24" t="inlineStr">
        <is>
          <t>RESEARCH_OBSERVATION</t>
        </is>
      </c>
      <c r="AN1093" s="24" t="inlineStr">
        <is>
          <t>CALL</t>
        </is>
      </c>
      <c r="AO1093" s="24" t="inlineStr">
        <is>
          <t>PAPER_CALL_LOW_EDGE</t>
        </is>
      </c>
      <c r="AP1093" s="24" t="inlineStr">
        <is>
          <t>Carolina Alves</t>
        </is>
      </c>
      <c r="AQ1093" s="24" t="inlineStr">
        <is>
          <t>Carolina Alves</t>
        </is>
      </c>
      <c r="AR1093" s="24" t="inlineStr">
        <is>
          <t>Carolina Alves</t>
        </is>
      </c>
      <c r="AS1093" s="24" t="inlineStr">
        <is>
          <t>Suzan Lamens</t>
        </is>
      </c>
      <c r="AT1093" s="24" t="inlineStr">
        <is>
          <t>Suzan Lamens</t>
        </is>
      </c>
      <c r="AU1093" s="24" t="inlineStr">
        <is>
          <t>Suzan Lamens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inlineStr">
        <is>
          <t>6c67e999d2a03612e30f4032c8e5e77e8becfbc79e05f4c8993e726b90d34d54</t>
        </is>
      </c>
      <c r="BB1093" s="24" t="inlineStr">
        <is>
          <t>surface_blended_elo</t>
        </is>
      </c>
      <c r="BC1093" s="24" t="inlineStr">
        <is>
          <t>tennis-surface-elo-v1</t>
        </is>
      </c>
      <c r="BD1093" s="24" t="inlineStr">
        <is>
          <t>6c67e999d2a03612e30f4032c8e5e77e8becfbc79e05f4c8993e726b90d34d54</t>
        </is>
      </c>
      <c r="BE1093" s="24" t="inlineStr">
        <is>
          <t>tennis-surface-elo-v1</t>
        </is>
      </c>
      <c r="BF1093" s="24" t="inlineStr">
        <is>
          <t>1</t>
        </is>
      </c>
      <c r="BG1093" s="24" t="inlineStr">
        <is>
          <t>6c67e999d2a03612e30f4032c8e5e77e8becfbc79e05f4c8993e726b90d34d54</t>
        </is>
      </c>
      <c r="BH1093" s="24" t="inlineStr">
        <is>
          <t>2026-09-14T16:10:35.054330Z</t>
        </is>
      </c>
      <c r="BI1093" s="24" t="inlineStr">
        <is>
          <t>["same_event","same_team_same_day","same_league_same_day"]</t>
        </is>
      </c>
      <c r="BJ1093" s="25" t="n"/>
      <c r="BK1093" s="26" t="n">
        <v>-488</v>
      </c>
      <c r="BL1093" s="27" t="n">
        <v>1.204918</v>
      </c>
      <c r="BM1093" s="28" t="n">
        <v>0.829932</v>
      </c>
      <c r="BN1093" s="28" t="n"/>
      <c r="BO1093" s="28" t="n"/>
      <c r="BP1093" s="25" t="n"/>
      <c r="BQ1093" s="27" t="n">
        <v>1.204918</v>
      </c>
      <c r="BR1093" s="28" t="n">
        <v>0.83</v>
      </c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False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inlineStr">
        <is>
          <t>c7c73f067f8e94d87468fe5976eda010f0059ce9f4cf485d75bd0a4be8f3e6bc</t>
        </is>
      </c>
      <c r="DE1093" s="24" t="inlineStr">
        <is>
          <t>/Users/vincentc9002/model-prediction/data/odds/tennis/2026-09-14/polymarket_snapshots.jsonl</t>
        </is>
      </c>
      <c r="DF1093" s="24" t="inlineStr">
        <is>
          <t>825080:2026-09-14T16:10:35.054330Z</t>
        </is>
      </c>
      <c r="DG1093" s="24" t="n"/>
      <c r="DH1093" s="24" t="n"/>
      <c r="DI1093" s="24" t="n"/>
      <c r="DJ1093" s="24" t="inlineStr">
        <is>
          <t>0.829932</t>
        </is>
      </c>
      <c r="DK1093" s="24" t="n"/>
      <c r="DL1093" s="24" t="n"/>
      <c r="DM1093" s="24" t="n"/>
      <c r="DN1093" s="24" t="n"/>
      <c r="DO1093" s="24" t="n"/>
      <c r="DP1093" s="24" t="n"/>
      <c r="DQ1093" s="24" t="inlineStr">
        <is>
          <t>{"artifact_hash": "6c67e999d2a03612e30f4032c8e5e77e8becfbc79e05f4c8993e726b90d34d54", "away_team": "Carolina Alves", "event_id": "1005-2026:183846", "event_start_utc": "2026-09-14T22:00Z", "features": {"elo_p1_surface": 1382.8, "elo_p2_surface": 1497.3, "expected_games_p1": 8.96, "expected_games_p2": 13.25, "expected_total_games": 22.21, "history_matches": 16003, "min_player_matches": 31, "surface": "Hard"}, "historical_source_observation_times_verified": false, "home_team": "Suzan Lamens", "inference_inputs": {"code_sha256": {"features/elo_ratings.py": "8525faf022a6343c452286dbfeb17dbb043744c6bdabbe448b6b371216da439b", "models/tennis.py": "6c67e999d2a03612e30f4032c8e5e77e8becfbc79e05f4c8993e726b90d34d54"}, "overall_ratings": [1385.598198860933, 1518.629841494976], "players": ["Carolina Alves", "Suzan Lamens"], "sport": "TENNIS", "surface": "Hard", "surface_counts": [31, 116], "surface_ratings": [1382.7996432897605, 1497.3050451344106]}, "market_type": "moneyline", "model_version": "tennis-surface-elo-v1", "observed_at_utc": "2026-09-14T16:13:40.605349+00:00", "probabilities": {"away": 0.3357, "home": 0.6643}, "replay_scope": "Exact full-precision serving state and rounding; upstream historical observation times are not certified.", "schema": "coded-moneyline-replay-v1", "snapshot_hash": "8c48fe956e2104ce484530f67579192fc1347abbf70622948986a06791ab2e4a", "sport": "TENNIS"}</t>
        </is>
      </c>
    </row>
    <row r="1094" ht="36" customHeight="1">
      <c r="A1094" s="24" t="inlineStr">
        <is>
          <t>7d8060f0610e4ed6</t>
        </is>
      </c>
      <c r="B1094" s="24" t="inlineStr">
        <is>
          <t>2026-09-14T22:42:47.829795Z</t>
        </is>
      </c>
      <c r="C1094" s="24" t="inlineStr">
        <is>
          <t>2026-09-14T23:00Z</t>
        </is>
      </c>
      <c r="D1094" s="24" t="inlineStr">
        <is>
          <t>887-2026:183791</t>
        </is>
      </c>
      <c r="E1094" s="24" t="inlineStr">
        <is>
          <t>TENNIS</t>
        </is>
      </c>
      <c r="F1094" s="24" t="inlineStr">
        <is>
          <t>Iryna Shymanovich</t>
        </is>
      </c>
      <c r="G1094" s="24" t="inlineStr">
        <is>
          <t>Zeynep Sonmez</t>
        </is>
      </c>
      <c r="H1094" s="24" t="inlineStr">
        <is>
          <t>moneyline</t>
        </is>
      </c>
      <c r="I1094" s="24" t="inlineStr">
        <is>
          <t>home</t>
        </is>
      </c>
      <c r="J1094" s="25" t="n"/>
      <c r="K1094" s="24" t="inlineStr">
        <is>
          <t>polymarket_us</t>
        </is>
      </c>
      <c r="L1094" s="26" t="n">
        <v>-245</v>
      </c>
      <c r="M1094" s="27" t="n">
        <v>1.408163</v>
      </c>
      <c r="N1094" s="28" t="n">
        <v>0.710145</v>
      </c>
      <c r="O1094" s="28" t="n">
        <v>0.6375999999999999</v>
      </c>
      <c r="P1094" s="28" t="n">
        <v>0.05</v>
      </c>
      <c r="Q1094" s="28" t="n">
        <v>-0.072545</v>
      </c>
      <c r="R1094" s="26" t="n">
        <v>0</v>
      </c>
      <c r="S1094" s="29" t="n">
        <v>1</v>
      </c>
      <c r="T1094" s="24" t="inlineStr">
        <is>
          <t>tennis-surface-elo-v1</t>
        </is>
      </c>
      <c r="U1094" s="24" t="inlineStr">
        <is>
          <t>settled</t>
        </is>
      </c>
      <c r="V1094" s="24" t="inlineStr">
        <is>
          <t>win</t>
        </is>
      </c>
      <c r="W1094" s="26" t="n">
        <v>0</v>
      </c>
      <c r="X1094" s="26" t="n">
        <v>1</v>
      </c>
      <c r="Y1094" s="25" t="n"/>
      <c r="Z1094" s="26" t="n">
        <v>-245</v>
      </c>
      <c r="AA1094" s="28" t="n">
        <v>0.71</v>
      </c>
      <c r="AB1094" s="28" t="n">
        <v>-0.000145</v>
      </c>
      <c r="AC1094" s="30" t="n">
        <v>0.4082</v>
      </c>
      <c r="AD1094" s="24" t="inlineStr">
        <is>
          <t>2026-09-15T01:09:17.747325Z</t>
        </is>
      </c>
      <c r="AE1094" s="31" t="inlineStr">
        <is>
          <t>Surface-blended Elo on Hard: Iryna Shymanovich p=0.362 vs Zeynep Sonmez. Executable ask 0.7100 (aec-wta-zeyson-iryshy-2026-09-14).</t>
        </is>
      </c>
      <c r="AF1094" s="31" t="inlineStr">
        <is>
          <t>Surface-blended Elo model; singles only, WTA+ATP market coverage, not yet locked-holdout qualified -- promoted by explicit operator directive, not genuine walk-forward validation.</t>
        </is>
      </c>
      <c r="AG1094" s="24" t="inlineStr">
        <is>
          <t>not_applicable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PAPER_CALL_LOW_EDGE</t>
        </is>
      </c>
      <c r="AP1094" s="24" t="inlineStr">
        <is>
          <t>Iryna Shymanovich</t>
        </is>
      </c>
      <c r="AQ1094" s="24" t="inlineStr">
        <is>
          <t>Iryna Shymanovich</t>
        </is>
      </c>
      <c r="AR1094" s="24" t="inlineStr">
        <is>
          <t>Iryna Shymanovich</t>
        </is>
      </c>
      <c r="AS1094" s="24" t="inlineStr">
        <is>
          <t>Zeynep Sonmez</t>
        </is>
      </c>
      <c r="AT1094" s="24" t="inlineStr">
        <is>
          <t>Zeynep Sonmez</t>
        </is>
      </c>
      <c r="AU1094" s="24" t="inlineStr">
        <is>
          <t>Zeynep Sonmez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inlineStr">
        <is>
          <t>6c67e999d2a03612e30f4032c8e5e77e8becfbc79e05f4c8993e726b90d34d54</t>
        </is>
      </c>
      <c r="BB1094" s="24" t="inlineStr">
        <is>
          <t>surface_blended_elo</t>
        </is>
      </c>
      <c r="BC1094" s="24" t="inlineStr">
        <is>
          <t>tennis-surface-elo-v1</t>
        </is>
      </c>
      <c r="BD1094" s="24" t="inlineStr">
        <is>
          <t>6c67e999d2a03612e30f4032c8e5e77e8becfbc79e05f4c8993e726b90d34d54</t>
        </is>
      </c>
      <c r="BE1094" s="24" t="inlineStr">
        <is>
          <t>tennis-surface-elo-v1</t>
        </is>
      </c>
      <c r="BF1094" s="24" t="inlineStr">
        <is>
          <t>1</t>
        </is>
      </c>
      <c r="BG1094" s="24" t="inlineStr">
        <is>
          <t>6c67e999d2a03612e30f4032c8e5e77e8becfbc79e05f4c8993e726b90d34d54</t>
        </is>
      </c>
      <c r="BH1094" s="24" t="inlineStr">
        <is>
          <t>2026-09-14T22:38:42.463483Z</t>
        </is>
      </c>
      <c r="BI1094" s="24" t="inlineStr">
        <is>
          <t>["same_event","same_team_same_day","same_league_same_day"]</t>
        </is>
      </c>
      <c r="BJ1094" s="25" t="n"/>
      <c r="BK1094" s="26" t="n">
        <v>-245</v>
      </c>
      <c r="BL1094" s="27" t="n">
        <v>1.408163</v>
      </c>
      <c r="BM1094" s="28" t="n">
        <v>0.710145</v>
      </c>
      <c r="BN1094" s="28" t="n"/>
      <c r="BO1094" s="28" t="n"/>
      <c r="BP1094" s="25" t="n"/>
      <c r="BQ1094" s="27" t="n">
        <v>1.408163</v>
      </c>
      <c r="BR1094" s="28" t="n">
        <v>0.71</v>
      </c>
      <c r="BS1094" s="28" t="n"/>
      <c r="BT1094" s="28" t="n"/>
      <c r="BU1094" s="25" t="n"/>
      <c r="BV1094" s="29" t="n"/>
      <c r="BW1094" s="24" t="n"/>
      <c r="BX1094" s="30" t="n"/>
      <c r="BY1094" s="27" t="n"/>
      <c r="BZ1094" s="24" t="n"/>
      <c r="CA1094" s="31" t="n"/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False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inlineStr">
        <is>
          <t>eb91c18a3289e1e75eb3840d2e06d921770db46cd810e2b7b4f3a6a9add907e0</t>
        </is>
      </c>
      <c r="DE1094" s="24" t="inlineStr">
        <is>
          <t>/Users/vincentc9002/model-prediction/data/odds/tennis/2026-09-14/polymarket_snapshots.jsonl</t>
        </is>
      </c>
      <c r="DF1094" s="24" t="inlineStr">
        <is>
          <t>845822:2026-09-14T22:38:42.463483Z</t>
        </is>
      </c>
      <c r="DG1094" s="24" t="n"/>
      <c r="DH1094" s="24" t="n"/>
      <c r="DI1094" s="24" t="n"/>
      <c r="DJ1094" s="24" t="inlineStr">
        <is>
          <t>0.710145</t>
        </is>
      </c>
      <c r="DK1094" s="24" t="n"/>
      <c r="DL1094" s="24" t="n"/>
      <c r="DM1094" s="24" t="n"/>
      <c r="DN1094" s="24" t="n"/>
      <c r="DO1094" s="24" t="n"/>
      <c r="DP1094" s="24" t="n"/>
      <c r="DQ1094" s="24" t="inlineStr">
        <is>
          <t>{"artifact_hash": "6c67e999d2a03612e30f4032c8e5e77e8becfbc79e05f4c8993e726b90d34d54", "away_team": "Iryna Shymanovich", "event_id": "887-2026:183791", "event_start_utc": "2026-09-14T23:00Z", "features": {"elo_p1_surface": 1560.6, "elo_p2_surface": 1651.6, "expected_games_p1": 9.78, "expected_games_p2": 13.29, "expected_total_games": 23.07, "history_matches": 16003, "min_player_matches": 89,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[1575.5556833455341, 1696.122775047302], "players": ["Iryna Shymanovich", "Zeynep Sonmez"], "sport": "TENNIS", "surface": "Hard", "surface_counts": [79, 106], "surface_ratings": [1560.5719551172544, 1651.5953509493304]}, "market_type": "moneyline", "model_version": "tennis-surface-elo-v1", "observed_at_utc": "2026-09-14T22:42:44.688489+00:00", "probabilities": {"away": 0.3624, "home": 0.6376}, "replay_scope": "Exact full-precision serving state and rounding; upstream historical observation times are not certified.", "schema": "coded-moneyline-replay-v1", "snapshot_hash": "13af3f996d05ff6ccf9b67c16c50d96626f5777162dae5102c6bc9858b1d80ad", "sport": "TENNIS"}</t>
        </is>
      </c>
    </row>
    <row r="1095" ht="36" customHeight="1">
      <c r="A1095" s="24" t="inlineStr">
        <is>
          <t>0ee4160a9b1446e8</t>
        </is>
      </c>
      <c r="B1095" s="24" t="inlineStr">
        <is>
          <t>2026-09-15T00:16:40.442222Z</t>
        </is>
      </c>
      <c r="C1095" s="24" t="inlineStr">
        <is>
          <t>2026-09-15T00:30Z</t>
        </is>
      </c>
      <c r="D1095" s="24" t="inlineStr">
        <is>
          <t>887-2026:183790</t>
        </is>
      </c>
      <c r="E1095" s="24" t="inlineStr">
        <is>
          <t>TENNIS</t>
        </is>
      </c>
      <c r="F1095" s="24" t="inlineStr">
        <is>
          <t>Liudmila Samsonova</t>
        </is>
      </c>
      <c r="G1095" s="24" t="inlineStr">
        <is>
          <t>Elsa Jacquemot</t>
        </is>
      </c>
      <c r="H1095" s="24" t="inlineStr">
        <is>
          <t>moneyline</t>
        </is>
      </c>
      <c r="I1095" s="24" t="inlineStr">
        <is>
          <t>away</t>
        </is>
      </c>
      <c r="J1095" s="25" t="n"/>
      <c r="K1095" s="24" t="inlineStr">
        <is>
          <t>polymarket_us</t>
        </is>
      </c>
      <c r="L1095" s="26" t="n">
        <v>-456</v>
      </c>
      <c r="M1095" s="27" t="n">
        <v>1.219298</v>
      </c>
      <c r="N1095" s="28" t="n">
        <v>0.820144</v>
      </c>
      <c r="O1095" s="28" t="n">
        <v>0.6526</v>
      </c>
      <c r="P1095" s="28" t="n">
        <v>0.05</v>
      </c>
      <c r="Q1095" s="28" t="n">
        <v>-0.167544</v>
      </c>
      <c r="R1095" s="26" t="n">
        <v>0</v>
      </c>
      <c r="S1095" s="29" t="n">
        <v>1</v>
      </c>
      <c r="T1095" s="24" t="inlineStr">
        <is>
          <t>tennis-surface-elo-v1</t>
        </is>
      </c>
      <c r="U1095" s="24" t="inlineStr">
        <is>
          <t>settled</t>
        </is>
      </c>
      <c r="V1095" s="24" t="inlineStr">
        <is>
          <t>win</t>
        </is>
      </c>
      <c r="W1095" s="26" t="n">
        <v>1</v>
      </c>
      <c r="X1095" s="26" t="n">
        <v>0</v>
      </c>
      <c r="Y1095" s="25" t="n"/>
      <c r="Z1095" s="26" t="n">
        <v>-456</v>
      </c>
      <c r="AA1095" s="28" t="n">
        <v>0.82</v>
      </c>
      <c r="AB1095" s="28" t="n">
        <v>-0.000144</v>
      </c>
      <c r="AC1095" s="30" t="n">
        <v>0.2193</v>
      </c>
      <c r="AD1095" s="24" t="inlineStr">
        <is>
          <t>2026-09-15T04:31:03.834574Z</t>
        </is>
      </c>
      <c r="AE1095" s="31" t="inlineStr">
        <is>
          <t>Surface-blended Elo on Hard: Liudmila Samsonova p=0.653 vs Elsa Jacquemot. Executable ask 0.8200 (aec-wta-elsjac-liusam-2026-09-13).</t>
        </is>
      </c>
      <c r="AF1095" s="31" t="inlineStr">
        <is>
          <t>Surface-blended Elo model; singles only, WTA+ATP market coverage, not yet locked-holdout qualified -- promoted by explicit operator directive, not genuine walk-forward validation.</t>
        </is>
      </c>
      <c r="AG1095" s="24" t="inlineStr">
        <is>
          <t>not_applicable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PAPER_CALL_LOW_EDGE</t>
        </is>
      </c>
      <c r="AP1095" s="24" t="inlineStr">
        <is>
          <t>Liudmila Samsonova</t>
        </is>
      </c>
      <c r="AQ1095" s="24" t="inlineStr">
        <is>
          <t>Liudmila Samsonova</t>
        </is>
      </c>
      <c r="AR1095" s="24" t="inlineStr">
        <is>
          <t>Liudmila Samsonova</t>
        </is>
      </c>
      <c r="AS1095" s="24" t="inlineStr">
        <is>
          <t>Elsa Jacquemot</t>
        </is>
      </c>
      <c r="AT1095" s="24" t="inlineStr">
        <is>
          <t>Elsa Jacquemot</t>
        </is>
      </c>
      <c r="AU1095" s="24" t="inlineStr">
        <is>
          <t>Elsa Jacquemot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inlineStr">
        <is>
          <t>6c67e999d2a03612e30f4032c8e5e77e8becfbc79e05f4c8993e726b90d34d54</t>
        </is>
      </c>
      <c r="BB1095" s="24" t="inlineStr">
        <is>
          <t>surface_blended_elo</t>
        </is>
      </c>
      <c r="BC1095" s="24" t="inlineStr">
        <is>
          <t>tennis-surface-elo-v1</t>
        </is>
      </c>
      <c r="BD1095" s="24" t="inlineStr">
        <is>
          <t>6c67e999d2a03612e30f4032c8e5e77e8becfbc79e05f4c8993e726b90d34d54</t>
        </is>
      </c>
      <c r="BE1095" s="24" t="inlineStr">
        <is>
          <t>tennis-surface-elo-v1</t>
        </is>
      </c>
      <c r="BF1095" s="24" t="inlineStr">
        <is>
          <t>1</t>
        </is>
      </c>
      <c r="BG1095" s="24" t="inlineStr">
        <is>
          <t>6c67e999d2a03612e30f4032c8e5e77e8becfbc79e05f4c8993e726b90d34d54</t>
        </is>
      </c>
      <c r="BH1095" s="24" t="inlineStr">
        <is>
          <t>2026-09-14T22:27:56.210847Z</t>
        </is>
      </c>
      <c r="BI1095" s="24" t="inlineStr">
        <is>
          <t>["same_event","same_team_same_day","same_league_same_day"]</t>
        </is>
      </c>
      <c r="BJ1095" s="25" t="n"/>
      <c r="BK1095" s="26" t="n">
        <v>-456</v>
      </c>
      <c r="BL1095" s="27" t="n">
        <v>1.219298</v>
      </c>
      <c r="BM1095" s="28" t="n">
        <v>0.820144</v>
      </c>
      <c r="BN1095" s="28" t="n"/>
      <c r="BO1095" s="28" t="n"/>
      <c r="BP1095" s="25" t="n"/>
      <c r="BQ1095" s="27" t="n">
        <v>1.219298</v>
      </c>
      <c r="BR1095" s="28" t="n">
        <v>0.82</v>
      </c>
      <c r="BS1095" s="28" t="n"/>
      <c r="BT1095" s="28" t="n"/>
      <c r="BU1095" s="25" t="n"/>
      <c r="BV1095" s="29" t="n"/>
      <c r="BW1095" s="24" t="n"/>
      <c r="BX1095" s="30" t="n"/>
      <c r="BY1095" s="27" t="n"/>
      <c r="BZ1095" s="24" t="n"/>
      <c r="CA1095" s="31" t="n"/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False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inlineStr">
        <is>
          <t>c9b7ea81afd86a3aaf1d39fc1eba1f86b9bcd12988cd05a38b56f793382d1e9e</t>
        </is>
      </c>
      <c r="DE1095" s="24" t="inlineStr">
        <is>
          <t>/Users/vincentc9002/model-prediction/data/odds/tennis/2026-09-14/polymarket_snapshots.jsonl</t>
        </is>
      </c>
      <c r="DF1095" s="24" t="inlineStr">
        <is>
          <t>803724:2026-09-14T22:27:56.210847Z</t>
        </is>
      </c>
      <c r="DG1095" s="24" t="n"/>
      <c r="DH1095" s="24" t="n"/>
      <c r="DI1095" s="24" t="n"/>
      <c r="DJ1095" s="24" t="inlineStr">
        <is>
          <t>0.820144</t>
        </is>
      </c>
      <c r="DK1095" s="24" t="n"/>
      <c r="DL1095" s="24" t="n"/>
      <c r="DM1095" s="24" t="n"/>
      <c r="DN1095" s="24" t="n"/>
      <c r="DO1095" s="24" t="n"/>
      <c r="DP1095" s="24" t="n"/>
      <c r="DQ1095" s="24" t="inlineStr">
        <is>
          <t>{"artifact_hash": "6c67e999d2a03612e30f4032c8e5e77e8becfbc79e05f4c8993e726b90d34d54", "away_team": "Liudmila Samsonova", "event_id": "887-2026:183790", "event_start_utc": "2026-09-15T00:30Z", "features": {"elo_p1_surface": 1598.5, "elo_p2_surface": 1498.5, "expected_games_p1": 13.44, "expected_games_p2": 9.01, "expected_total_games": 22.44, "history_matches": 16003, "min_player_matches": 138,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[1650.2211799835259, 1513.8659867908511], "players": ["Liudmila Samsonova", "Elsa Jacquemot"], "sport": "TENNIS", "surface": "Hard", "surface_counts": [103, 116], "surface_ratings": [1598.4774866990167, 1498.490316615503]}, "market_type": "moneyline", "model_version": "tennis-surface-elo-v1", "observed_at_utc": "2026-09-15T00:16:38.773235+00:00", "probabilities": {"away": 0.6526, "home": 0.3474}, "replay_scope": "Exact full-precision serving state and rounding; upstream historical observation times are not certified.", "schema": "coded-moneyline-replay-v1", "snapshot_hash": "936bb75fb7d8233252403a86f12968cc63ae189bb7c80290b54d22fb0a89d9cb", "sport": "TENNIS"}</t>
        </is>
      </c>
    </row>
    <row r="1096" ht="36" customHeight="1">
      <c r="A1096" s="24" t="inlineStr">
        <is>
          <t>8151a7b0c9a64dd8</t>
        </is>
      </c>
      <c r="B1096" s="24" t="inlineStr">
        <is>
          <t>2026-09-15T10:08:54.021826Z</t>
        </is>
      </c>
      <c r="C1096" s="24" t="inlineStr">
        <is>
          <t>2026-09-15T13:30Z</t>
        </is>
      </c>
      <c r="D1096" s="24" t="inlineStr">
        <is>
          <t>1005-2026:183834</t>
        </is>
      </c>
      <c r="E1096" s="24" t="inlineStr">
        <is>
          <t>TENNIS</t>
        </is>
      </c>
      <c r="F1096" s="24" t="inlineStr">
        <is>
          <t>Victoria Luiza Barros</t>
        </is>
      </c>
      <c r="G1096" s="24" t="inlineStr">
        <is>
          <t>Teodora Kostovic</t>
        </is>
      </c>
      <c r="H1096" s="24" t="inlineStr">
        <is>
          <t>moneyline</t>
        </is>
      </c>
      <c r="I1096" s="24" t="inlineStr">
        <is>
          <t>home</t>
        </is>
      </c>
      <c r="J1096" s="25" t="n"/>
      <c r="K1096" s="24" t="inlineStr">
        <is>
          <t>polymarket_us</t>
        </is>
      </c>
      <c r="L1096" s="26" t="n">
        <v>-376</v>
      </c>
      <c r="M1096" s="27" t="n">
        <v>1.265957</v>
      </c>
      <c r="N1096" s="28" t="n">
        <v>0.789916</v>
      </c>
      <c r="O1096" s="28" t="n">
        <v>0.5469000000000001</v>
      </c>
      <c r="P1096" s="28" t="n">
        <v>0.05</v>
      </c>
      <c r="Q1096" s="28" t="n">
        <v>-0.243016</v>
      </c>
      <c r="R1096" s="26" t="n">
        <v>0</v>
      </c>
      <c r="S1096" s="29" t="n">
        <v>1</v>
      </c>
      <c r="T1096" s="24" t="inlineStr">
        <is>
          <t>tennis-surface-elo-v1</t>
        </is>
      </c>
      <c r="U1096" s="24" t="inlineStr">
        <is>
          <t>settled</t>
        </is>
      </c>
      <c r="V1096" s="24" t="inlineStr">
        <is>
          <t>win</t>
        </is>
      </c>
      <c r="W1096" s="26" t="n">
        <v>0</v>
      </c>
      <c r="X1096" s="26" t="n">
        <v>1</v>
      </c>
      <c r="Y1096" s="25" t="n"/>
      <c r="Z1096" s="26" t="n">
        <v>-376</v>
      </c>
      <c r="AA1096" s="28" t="n">
        <v>0.79</v>
      </c>
      <c r="AB1096" s="28" t="n">
        <v>8.4e-05</v>
      </c>
      <c r="AC1096" s="30" t="n">
        <v>0.266</v>
      </c>
      <c r="AD1096" s="24" t="inlineStr">
        <is>
          <t>2026-09-15T16:03:08.990193Z</t>
        </is>
      </c>
      <c r="AE1096" s="31" t="inlineStr">
        <is>
          <t>Surface-blended Elo on Hard: Victoria Luiza Barros p=0.453 vs Teodora Kostovic. Executable ask 0.7900 (aec-wta-teokos-vicbar-2026-09-14).</t>
        </is>
      </c>
      <c r="AF1096" s="31" t="inlineStr">
        <is>
          <t>Surface-blended Elo model; singles only, WTA+ATP market coverage, not yet locked-holdout qualified -- promoted by explicit operator directive, not genuine walk-forward validation.</t>
        </is>
      </c>
      <c r="AG1096" s="24" t="inlineStr">
        <is>
          <t>not_applicable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Victoria Luiza Barros</t>
        </is>
      </c>
      <c r="AQ1096" s="24" t="inlineStr">
        <is>
          <t>Victoria Luiza Barros</t>
        </is>
      </c>
      <c r="AR1096" s="24" t="inlineStr">
        <is>
          <t>Victoria Luiza Barros</t>
        </is>
      </c>
      <c r="AS1096" s="24" t="inlineStr">
        <is>
          <t>Teodora Kostovic</t>
        </is>
      </c>
      <c r="AT1096" s="24" t="inlineStr">
        <is>
          <t>Teodora Kostovic</t>
        </is>
      </c>
      <c r="AU1096" s="24" t="inlineStr">
        <is>
          <t>Teodora Kostovic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inlineStr">
        <is>
          <t>6c67e999d2a03612e30f4032c8e5e77e8becfbc79e05f4c8993e726b90d34d54</t>
        </is>
      </c>
      <c r="BB1096" s="24" t="inlineStr">
        <is>
          <t>surface_blended_elo</t>
        </is>
      </c>
      <c r="BC1096" s="24" t="inlineStr">
        <is>
          <t>tennis-surface-elo-v1</t>
        </is>
      </c>
      <c r="BD1096" s="24" t="inlineStr">
        <is>
          <t>6c67e999d2a03612e30f4032c8e5e77e8becfbc79e05f4c8993e726b90d34d54</t>
        </is>
      </c>
      <c r="BE1096" s="24" t="inlineStr">
        <is>
          <t>tennis-surface-elo-v1</t>
        </is>
      </c>
      <c r="BF1096" s="24" t="inlineStr">
        <is>
          <t>1</t>
        </is>
      </c>
      <c r="BG1096" s="24" t="inlineStr">
        <is>
          <t>6c67e999d2a03612e30f4032c8e5e77e8becfbc79e05f4c8993e726b90d34d54</t>
        </is>
      </c>
      <c r="BH1096" s="24" t="inlineStr">
        <is>
          <t>2026-09-15T04:35:22.329050Z</t>
        </is>
      </c>
      <c r="BI1096" s="24" t="inlineStr">
        <is>
          <t>["same_event","same_team_same_day","same_league_same_day"]</t>
        </is>
      </c>
      <c r="BJ1096" s="25" t="n"/>
      <c r="BK1096" s="26" t="n">
        <v>-376</v>
      </c>
      <c r="BL1096" s="27" t="n">
        <v>1.265957</v>
      </c>
      <c r="BM1096" s="28" t="n">
        <v>0.789916</v>
      </c>
      <c r="BN1096" s="28" t="n"/>
      <c r="BO1096" s="28" t="n"/>
      <c r="BP1096" s="25" t="n"/>
      <c r="BQ1096" s="27" t="n">
        <v>1.265957</v>
      </c>
      <c r="BR1096" s="28" t="n">
        <v>0.79</v>
      </c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inlineStr">
        <is>
          <t>00d2dee190908d759d1b400cb88ce85641e39f8db8a5eacf386ef5306e8fd25b</t>
        </is>
      </c>
      <c r="DE1096" s="24" t="inlineStr">
        <is>
          <t>/Users/vincentc9002/model-prediction/data/odds/tennis/2026-09-15/polymarket_snapshots.jsonl</t>
        </is>
      </c>
      <c r="DF1096" s="24" t="inlineStr">
        <is>
          <t>825071:2026-09-15T04:35:22.329050Z</t>
        </is>
      </c>
      <c r="DG1096" s="24" t="n"/>
      <c r="DH1096" s="24" t="n"/>
      <c r="DI1096" s="24" t="n"/>
      <c r="DJ1096" s="24" t="inlineStr">
        <is>
          <t>0.789916</t>
        </is>
      </c>
      <c r="DK1096" s="24" t="n"/>
      <c r="DL1096" s="24" t="n"/>
      <c r="DM1096" s="24" t="n"/>
      <c r="DN1096" s="24" t="n"/>
      <c r="DO1096" s="24" t="n"/>
      <c r="DP1096" s="24" t="n"/>
      <c r="DQ1096" s="24" t="inlineStr">
        <is>
          <t>{"artifact_hash": "6c67e999d2a03612e30f4032c8e5e77e8becfbc79e05f4c8993e726b90d34d54", "away_team": "Victoria Luiza Barros", "event_id": "1005-2026:183834", "event_start_utc": "2026-09-15T13:30Z", "features": {"elo_p1_surface": 1483.0, "elo_p2_surface": 1489.3, "expected_games_p1": 12.41, "expected_games_p2": 12.38, "expected_total_games": 24.78, "history_matches": 16038, "min_player_matches": 1,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[1482.2899305075362, 1550.3279460051037], "players": ["Victoria Luiza Barros", "Teodora Kostovic"], "sport": "TENNIS", "surface": "Hard", "surface_counts": [1, 32], "surface_ratings": [1482.9512711565956, 1489.3384568050483]}, "market_type": "moneyline", "model_version": "tennis-surface-elo-v1", "observed_at_utc": "2026-09-15T10:08:52.800265+00:00", "probabilities": {"away": 0.4531, "home": 0.5469}, "replay_scope": "Exact full-precision serving state and rounding; upstream historical observation times are not certified.", "schema": "coded-moneyline-replay-v1", "snapshot_hash": "5b7d8a4918db33dc042046a7c2d2cf003a2582fb293b589edddf131948b27868", "sport": "TENNIS"}</t>
        </is>
      </c>
    </row>
    <row r="1097" ht="36" customHeight="1">
      <c r="A1097" s="24" t="inlineStr">
        <is>
          <t>04b9104fd64d4dd5</t>
        </is>
      </c>
      <c r="B1097" s="24" t="inlineStr">
        <is>
          <t>2026-09-15T10:08:54.021826Z</t>
        </is>
      </c>
      <c r="C1097" s="24" t="inlineStr">
        <is>
          <t>2026-09-15T15:00Z</t>
        </is>
      </c>
      <c r="D1097" s="24" t="inlineStr">
        <is>
          <t>1005-2026:183849</t>
        </is>
      </c>
      <c r="E1097" s="24" t="inlineStr">
        <is>
          <t>TENNIS</t>
        </is>
      </c>
      <c r="F1097" s="24" t="inlineStr">
        <is>
          <t>Alina Charaeva</t>
        </is>
      </c>
      <c r="G1097" s="24" t="inlineStr">
        <is>
          <t>You Xiaodi</t>
        </is>
      </c>
      <c r="H1097" s="24" t="inlineStr">
        <is>
          <t>moneyline</t>
        </is>
      </c>
      <c r="I1097" s="24" t="inlineStr">
        <is>
          <t>away</t>
        </is>
      </c>
      <c r="J1097" s="25" t="n"/>
      <c r="K1097" s="24" t="inlineStr">
        <is>
          <t>polymarket_us</t>
        </is>
      </c>
      <c r="L1097" s="26" t="n">
        <v>-233</v>
      </c>
      <c r="M1097" s="27" t="n">
        <v>1.429185</v>
      </c>
      <c r="N1097" s="28" t="n">
        <v>0.6997</v>
      </c>
      <c r="O1097" s="28" t="n">
        <v>0.7295</v>
      </c>
      <c r="P1097" s="28" t="n">
        <v>0.05</v>
      </c>
      <c r="Q1097" s="28" t="n">
        <v>0.0298</v>
      </c>
      <c r="R1097" s="26" t="n">
        <v>35</v>
      </c>
      <c r="S1097" s="29" t="n">
        <v>1</v>
      </c>
      <c r="T1097" s="24" t="inlineStr">
        <is>
          <t>tennis-surface-elo-v1</t>
        </is>
      </c>
      <c r="U1097" s="24" t="inlineStr">
        <is>
          <t>settled</t>
        </is>
      </c>
      <c r="V1097" s="24" t="inlineStr">
        <is>
          <t>win</t>
        </is>
      </c>
      <c r="W1097" s="26" t="n">
        <v>1</v>
      </c>
      <c r="X1097" s="26" t="n">
        <v>0</v>
      </c>
      <c r="Y1097" s="25" t="n"/>
      <c r="Z1097" s="26" t="n">
        <v>-233</v>
      </c>
      <c r="AA1097" s="28" t="n">
        <v>0.7</v>
      </c>
      <c r="AB1097" s="28" t="n">
        <v>0.0003</v>
      </c>
      <c r="AC1097" s="30" t="n">
        <v>0.4292</v>
      </c>
      <c r="AD1097" s="24" t="inlineStr">
        <is>
          <t>2026-09-17T04:32:51.536900Z</t>
        </is>
      </c>
      <c r="AE1097" s="31" t="inlineStr">
        <is>
          <t>Surface-blended Elo on Hard: Alina Charaeva p=0.729 vs You Xiaodi. Executable ask 0.7000 (aec-wta-xiayou-alicha-2026-09-14).</t>
        </is>
      </c>
      <c r="AF1097" s="31" t="inlineStr">
        <is>
          <t>Surface-blended Elo model; singles only, WTA+ATP market coverage, not yet locked-holdout qualified -- promoted by explicit operator directive, not genuine walk-forward validation.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PAPER_CALL_LOW_EDGE</t>
        </is>
      </c>
      <c r="AP1097" s="24" t="inlineStr">
        <is>
          <t>Alina Charaeva</t>
        </is>
      </c>
      <c r="AQ1097" s="24" t="inlineStr">
        <is>
          <t>Alina Charaeva</t>
        </is>
      </c>
      <c r="AR1097" s="24" t="inlineStr">
        <is>
          <t>Alina Charaeva</t>
        </is>
      </c>
      <c r="AS1097" s="24" t="inlineStr">
        <is>
          <t>You Xiaodi</t>
        </is>
      </c>
      <c r="AT1097" s="24" t="inlineStr">
        <is>
          <t>You Xiaodi</t>
        </is>
      </c>
      <c r="AU1097" s="24" t="inlineStr">
        <is>
          <t>You Xiaodi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inlineStr">
        <is>
          <t>6c67e999d2a03612e30f4032c8e5e77e8becfbc79e05f4c8993e726b90d34d54</t>
        </is>
      </c>
      <c r="BB1097" s="24" t="inlineStr">
        <is>
          <t>surface_blended_elo</t>
        </is>
      </c>
      <c r="BC1097" s="24" t="inlineStr">
        <is>
          <t>tennis-surface-elo-v1</t>
        </is>
      </c>
      <c r="BD1097" s="24" t="inlineStr">
        <is>
          <t>6c67e999d2a03612e30f4032c8e5e77e8becfbc79e05f4c8993e726b90d34d54</t>
        </is>
      </c>
      <c r="BE1097" s="24" t="inlineStr">
        <is>
          <t>tennis-surface-elo-v1</t>
        </is>
      </c>
      <c r="BF1097" s="24" t="inlineStr">
        <is>
          <t>1</t>
        </is>
      </c>
      <c r="BG1097" s="24" t="inlineStr">
        <is>
          <t>6c67e999d2a03612e30f4032c8e5e77e8becfbc79e05f4c8993e726b90d34d54</t>
        </is>
      </c>
      <c r="BH1097" s="24" t="inlineStr">
        <is>
          <t>2026-09-15T04:35:33.085714Z</t>
        </is>
      </c>
      <c r="BI1097" s="24" t="inlineStr">
        <is>
          <t>["same_event","same_team_same_day","same_league_same_day"]</t>
        </is>
      </c>
      <c r="BJ1097" s="25" t="n"/>
      <c r="BK1097" s="26" t="n">
        <v>-233</v>
      </c>
      <c r="BL1097" s="27" t="n">
        <v>1.429185</v>
      </c>
      <c r="BM1097" s="28" t="n">
        <v>0.6997</v>
      </c>
      <c r="BN1097" s="28" t="n"/>
      <c r="BO1097" s="28" t="n"/>
      <c r="BP1097" s="25" t="n"/>
      <c r="BQ1097" s="27" t="n">
        <v>1.429185</v>
      </c>
      <c r="BR1097" s="28" t="n">
        <v>0.7</v>
      </c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inlineStr">
        <is>
          <t>0a8fe34bb0f22f25bfd903fce4b1b5dd6389b60f04e2df7671e65d1d5003ba2c</t>
        </is>
      </c>
      <c r="DE1097" s="24" t="inlineStr">
        <is>
          <t>/Users/vincentc9002/model-prediction/data/odds/tennis/2026-09-15/polymarket_snapshots.jsonl</t>
        </is>
      </c>
      <c r="DF1097" s="24" t="inlineStr">
        <is>
          <t>845816:2026-09-15T04:35:33.085714Z</t>
        </is>
      </c>
      <c r="DG1097" s="24" t="n"/>
      <c r="DH1097" s="24" t="n"/>
      <c r="DI1097" s="24" t="n"/>
      <c r="DJ1097" s="24" t="inlineStr">
        <is>
          <t>0.6997</t>
        </is>
      </c>
      <c r="DK1097" s="24" t="n"/>
      <c r="DL1097" s="24" t="n"/>
      <c r="DM1097" s="24" t="n"/>
      <c r="DN1097" s="24" t="n"/>
      <c r="DO1097" s="24" t="n"/>
      <c r="DP1097" s="24" t="n"/>
      <c r="DQ1097" s="24" t="inlineStr">
        <is>
          <t>{"artifact_hash": "6c67e999d2a03612e30f4032c8e5e77e8becfbc79e05f4c8993e726b90d34d54", "away_team": "Alina Charaeva", "event_id": "1005-2026:183849", "event_start_utc": "2026-09-15T15:00Z", "features": {"elo_p1_surface": 1617.8, "elo_p2_surface": 1463.1, "expected_games_p1": 13.12, "expected_games_p2": 7.14, "expected_total_games": 20.26, "history_matches": 16038, "min_player_matches": 54,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[1637.5075171200124, 1429.0446991697745], "players": ["Alina Charaeva", "You Xiaodi"], "sport": "TENNIS", "surface": "Hard", "surface_counts": [80, 48], "surface_ratings": [1617.7544179219058, 1463.0525812876388]}, "market_type": "moneyline", "model_version": "tennis-surface-elo-v1", "observed_at_utc": "2026-09-15T10:08:52.800265+00:00", "probabilities": {"away": 0.7295, "home": 0.2706}, "replay_scope": "Exact full-precision serving state and rounding; upstream historical observation times are not certified.", "schema": "coded-moneyline-replay-v1", "snapshot_hash": "7ff97785fb372753a6c7d8db046db38a2d5154da9f4d5cda69285099be0f96e7", "sport": "TENNIS"}</t>
        </is>
      </c>
    </row>
    <row r="1098" ht="36" customHeight="1">
      <c r="A1098" s="24" t="inlineStr">
        <is>
          <t>67bb0053e7184d46</t>
        </is>
      </c>
      <c r="B1098" s="24" t="inlineStr">
        <is>
          <t>2026-09-15T10:08:54.021826Z</t>
        </is>
      </c>
      <c r="C1098" s="24" t="inlineStr">
        <is>
          <t>2026-09-15T12:30Z</t>
        </is>
      </c>
      <c r="D1098" s="24" t="inlineStr">
        <is>
          <t>871-2026:183751</t>
        </is>
      </c>
      <c r="E1098" s="24" t="inlineStr">
        <is>
          <t>TENNIS</t>
        </is>
      </c>
      <c r="F1098" s="24" t="inlineStr">
        <is>
          <t>Martina Trevisan</t>
        </is>
      </c>
      <c r="G1098" s="24" t="inlineStr">
        <is>
          <t>Leyre Romero Gormaz</t>
        </is>
      </c>
      <c r="H1098" s="24" t="inlineStr">
        <is>
          <t>moneyline</t>
        </is>
      </c>
      <c r="I1098" s="24" t="inlineStr">
        <is>
          <t>home</t>
        </is>
      </c>
      <c r="J1098" s="25" t="n"/>
      <c r="K1098" s="24" t="inlineStr">
        <is>
          <t>polymarket_us</t>
        </is>
      </c>
      <c r="L1098" s="26" t="n">
        <v>-104</v>
      </c>
      <c r="M1098" s="27" t="n">
        <v>1.961538</v>
      </c>
      <c r="N1098" s="28" t="n">
        <v>0.509804</v>
      </c>
      <c r="O1098" s="28" t="n">
        <v>0.6415</v>
      </c>
      <c r="P1098" s="28" t="n">
        <v>0.05</v>
      </c>
      <c r="Q1098" s="28" t="n">
        <v>0.131696</v>
      </c>
      <c r="R1098" s="26" t="n">
        <v>86</v>
      </c>
      <c r="S1098" s="29" t="n">
        <v>1.5</v>
      </c>
      <c r="T1098" s="24" t="inlineStr">
        <is>
          <t>tennis-surface-elo-v1</t>
        </is>
      </c>
      <c r="U1098" s="24" t="inlineStr">
        <is>
          <t>settled</t>
        </is>
      </c>
      <c r="V1098" s="24" t="inlineStr">
        <is>
          <t>loss</t>
        </is>
      </c>
      <c r="W1098" s="26" t="n">
        <v>1</v>
      </c>
      <c r="X1098" s="26" t="n">
        <v>0</v>
      </c>
      <c r="Y1098" s="25" t="n"/>
      <c r="Z1098" s="26" t="n">
        <v>-104</v>
      </c>
      <c r="AA1098" s="28" t="n">
        <v>0.51</v>
      </c>
      <c r="AB1098" s="28" t="n">
        <v>0.000196</v>
      </c>
      <c r="AC1098" s="30" t="n">
        <v>-1.5</v>
      </c>
      <c r="AD1098" s="24" t="inlineStr">
        <is>
          <t>2026-09-15T22:07:21.340187Z</t>
        </is>
      </c>
      <c r="AE1098" s="31" t="inlineStr">
        <is>
          <t>Surface-blended Elo on Hard: Martina Trevisan p=0.359 vs Leyre Romero Gormaz. Executable ask 0.5100 (aec-wta-leygor-martre-2026-09-14).</t>
        </is>
      </c>
      <c r="AF1098" s="31" t="inlineStr">
        <is>
          <t>Surface-blended Elo model; singles only, WTA+ATP market coverage, not yet locked-holdout qualified -- promoted by explicit operator directive, not genuine walk-forward validation.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model_qualified</t>
        </is>
      </c>
      <c r="AL1098" s="26" t="n">
        <v>4</v>
      </c>
      <c r="AM1098" s="24" t="inlineStr">
        <is>
          <t>QUALIFIED_SHADOW_CALL</t>
        </is>
      </c>
      <c r="AN1098" s="24" t="inlineStr">
        <is>
          <t>CALL</t>
        </is>
      </c>
      <c r="AO1098" s="24" t="inlineStr">
        <is>
          <t>QUALIFIED</t>
        </is>
      </c>
      <c r="AP1098" s="24" t="inlineStr">
        <is>
          <t>Martina Trevisan</t>
        </is>
      </c>
      <c r="AQ1098" s="24" t="inlineStr">
        <is>
          <t>Martina Trevisan</t>
        </is>
      </c>
      <c r="AR1098" s="24" t="inlineStr">
        <is>
          <t>Martina Trevisan</t>
        </is>
      </c>
      <c r="AS1098" s="24" t="inlineStr">
        <is>
          <t>Leyre Romero Gormaz</t>
        </is>
      </c>
      <c r="AT1098" s="24" t="inlineStr">
        <is>
          <t>Leyre Romero Gormaz</t>
        </is>
      </c>
      <c r="AU1098" s="24" t="inlineStr">
        <is>
          <t>Leyre Romero Gormaz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inlineStr">
        <is>
          <t>6c67e999d2a03612e30f4032c8e5e77e8becfbc79e05f4c8993e726b90d34d54</t>
        </is>
      </c>
      <c r="BB1098" s="24" t="inlineStr">
        <is>
          <t>surface_blended_elo</t>
        </is>
      </c>
      <c r="BC1098" s="24" t="inlineStr">
        <is>
          <t>tennis-surface-elo-v1</t>
        </is>
      </c>
      <c r="BD1098" s="24" t="inlineStr">
        <is>
          <t>6c67e999d2a03612e30f4032c8e5e77e8becfbc79e05f4c8993e726b90d34d54</t>
        </is>
      </c>
      <c r="BE1098" s="24" t="inlineStr">
        <is>
          <t>tennis-surface-elo-v1</t>
        </is>
      </c>
      <c r="BF1098" s="24" t="inlineStr">
        <is>
          <t>1</t>
        </is>
      </c>
      <c r="BG1098" s="24" t="inlineStr">
        <is>
          <t>6c67e999d2a03612e30f4032c8e5e77e8becfbc79e05f4c8993e726b90d34d54</t>
        </is>
      </c>
      <c r="BH1098" s="24" t="inlineStr">
        <is>
          <t>2026-09-15T10:05:00.596076Z</t>
        </is>
      </c>
      <c r="BI1098" s="24" t="inlineStr">
        <is>
          <t>["same_event","same_team_same_day","same_league_same_day"]</t>
        </is>
      </c>
      <c r="BJ1098" s="25" t="n"/>
      <c r="BK1098" s="26" t="n">
        <v>-104</v>
      </c>
      <c r="BL1098" s="27" t="n">
        <v>1.961538</v>
      </c>
      <c r="BM1098" s="28" t="n">
        <v>0.509804</v>
      </c>
      <c r="BN1098" s="28" t="n"/>
      <c r="BO1098" s="28" t="n"/>
      <c r="BP1098" s="25" t="n"/>
      <c r="BQ1098" s="27" t="n">
        <v>1.961538</v>
      </c>
      <c r="BR1098" s="28" t="n">
        <v>0.51</v>
      </c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True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inlineStr">
        <is>
          <t>a86a597bfe19d43e18e5ea1ae8e37ac0efb4bb292ee8e06cff912b1b494e4557</t>
        </is>
      </c>
      <c r="DE1098" s="24" t="inlineStr">
        <is>
          <t>/Users/vincentc9002/model-prediction/data/odds/tennis/2026-09-15/polymarket_snapshots.jsonl</t>
        </is>
      </c>
      <c r="DF1098" s="24" t="inlineStr">
        <is>
          <t>839398:2026-09-15T10:05:00.596076Z</t>
        </is>
      </c>
      <c r="DG1098" s="24" t="n"/>
      <c r="DH1098" s="24" t="n"/>
      <c r="DI1098" s="24" t="n"/>
      <c r="DJ1098" s="24" t="inlineStr">
        <is>
          <t>0.509804</t>
        </is>
      </c>
      <c r="DK1098" s="24" t="n"/>
      <c r="DL1098" s="24" t="n"/>
      <c r="DM1098" s="24" t="n"/>
      <c r="DN1098" s="24" t="n"/>
      <c r="DO1098" s="24" t="n"/>
      <c r="DP1098" s="24" t="n"/>
      <c r="DQ1098" s="24" t="inlineStr">
        <is>
          <t>{"artifact_hash": "6c67e999d2a03612e30f4032c8e5e77e8becfbc79e05f4c8993e726b90d34d54", "away_team": "Martina Trevisan", "event_id": "871-2026:183751", "event_start_utc": "2026-09-15T12:30Z", "features": {"elo_p1_surface": 1481.2, "elo_p2_surface": 1582.5, "expected_games_p1": 9.42, "expected_games_p2": 13.28, "expected_total_games": 22.7, "history_matches": 16038, "min_player_matches": 85, "surface": "Hard"}, "historical_source_observation_times_verified": false, "home_team": "Leyre Romero Gormaz", "inference_inputs": {"code_sha256": {"features/elo_ratings.py": "8525faf022a6343c452286dbfeb17dbb043744c6bdabbe448b6b371216da439b", "models/tennis.py": "6c67e999d2a03612e30f4032c8e5e77e8becfbc79e05f4c8993e726b90d34d54"}, "overall_ratings": [1466.259387052144, 1565.823080818931], "players": ["Martina Trevisan", "Leyre Romero Gormaz"], "sport": "TENNIS", "surface": "Hard", "surface_counts": [74, 87], "surface_ratings": [1481.196373907871, 1582.466900914177]}, "market_type": "moneyline", "model_version": "tennis-surface-elo-v1", "observed_at_utc": "2026-09-15T10:08:52.800265+00:00", "probabilities": {"away": 0.3585, "home": 0.6415}, "replay_scope": "Exact full-precision serving state and rounding; upstream historical observation times are not certified.", "schema": "coded-moneyline-replay-v1", "snapshot_hash": "a1cd39f699f4440cbf758ad86e45f7c04776398366c46f9c6b4914fbdd8becd9", "sport": "TENNIS"}</t>
        </is>
      </c>
    </row>
    <row r="1099" ht="36" customHeight="1">
      <c r="A1099" s="24" t="inlineStr">
        <is>
          <t>86ade139aad74187</t>
        </is>
      </c>
      <c r="B1099" s="24" t="inlineStr">
        <is>
          <t>2026-09-15T10:08:54.021826Z</t>
        </is>
      </c>
      <c r="C1099" s="24" t="inlineStr">
        <is>
          <t>2026-09-15T11:00Z</t>
        </is>
      </c>
      <c r="D1099" s="24" t="inlineStr">
        <is>
          <t>786-2026:183653</t>
        </is>
      </c>
      <c r="E1099" s="24" t="inlineStr">
        <is>
          <t>TENNIS</t>
        </is>
      </c>
      <c r="F1099" s="24" t="inlineStr">
        <is>
          <t>Vivian Wolff</t>
        </is>
      </c>
      <c r="G1099" s="24" t="inlineStr">
        <is>
          <t>Alice Tubello</t>
        </is>
      </c>
      <c r="H1099" s="24" t="inlineStr">
        <is>
          <t>moneyline</t>
        </is>
      </c>
      <c r="I1099" s="24" t="inlineStr">
        <is>
          <t>away</t>
        </is>
      </c>
      <c r="J1099" s="25" t="n"/>
      <c r="K1099" s="24" t="inlineStr">
        <is>
          <t>polymarket_us</t>
        </is>
      </c>
      <c r="L1099" s="26" t="n">
        <v>203</v>
      </c>
      <c r="M1099" s="27" t="n">
        <v>3.03</v>
      </c>
      <c r="N1099" s="28" t="n">
        <v>0.330033</v>
      </c>
      <c r="O1099" s="28" t="n">
        <v>0.5375</v>
      </c>
      <c r="P1099" s="28" t="n">
        <v>0.05</v>
      </c>
      <c r="Q1099" s="28" t="n">
        <v>0.207467</v>
      </c>
      <c r="R1099" s="26" t="n">
        <v>100</v>
      </c>
      <c r="S1099" s="29" t="n">
        <v>2</v>
      </c>
      <c r="T1099" s="24" t="inlineStr">
        <is>
          <t>tennis-surface-elo-v1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1</v>
      </c>
      <c r="Y1099" s="25" t="n"/>
      <c r="Z1099" s="26" t="n">
        <v>203</v>
      </c>
      <c r="AA1099" s="28" t="n">
        <v>0.33</v>
      </c>
      <c r="AB1099" s="28" t="n">
        <v>-3.3e-05</v>
      </c>
      <c r="AC1099" s="30" t="n">
        <v>-2</v>
      </c>
      <c r="AD1099" s="24" t="inlineStr">
        <is>
          <t>2026-09-15T16:03:09.927453Z</t>
        </is>
      </c>
      <c r="AE1099" s="31" t="inlineStr">
        <is>
          <t>Surface-blended Elo on Hard: Vivian Wolff p=0.537 vs Alice Tubello. Executable ask 0.3300 (aec-wta-alitub-vivwol-2026-09-15).</t>
        </is>
      </c>
      <c r="AF1099" s="31" t="inlineStr">
        <is>
          <t>Surface-blended Elo model; singles only, WTA+ATP market coverage, not yet locked-holdout qualified -- promoted by explicit operator directive, not genuine walk-forward validation.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PAPER_CALL_MODEL_UNVALIDATED</t>
        </is>
      </c>
      <c r="AP1099" s="24" t="inlineStr">
        <is>
          <t>Vivian Wolff</t>
        </is>
      </c>
      <c r="AQ1099" s="24" t="inlineStr">
        <is>
          <t>Vivian Wolff</t>
        </is>
      </c>
      <c r="AR1099" s="24" t="inlineStr">
        <is>
          <t>Vivian Wolff</t>
        </is>
      </c>
      <c r="AS1099" s="24" t="inlineStr">
        <is>
          <t>Alice Tubello</t>
        </is>
      </c>
      <c r="AT1099" s="24" t="inlineStr">
        <is>
          <t>Alice Tubello</t>
        </is>
      </c>
      <c r="AU1099" s="24" t="inlineStr">
        <is>
          <t>Alice Tubello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6c67e999d2a03612e30f4032c8e5e77e8becfbc79e05f4c8993e726b90d34d54</t>
        </is>
      </c>
      <c r="BB1099" s="24" t="inlineStr">
        <is>
          <t>surface_blended_elo</t>
        </is>
      </c>
      <c r="BC1099" s="24" t="inlineStr">
        <is>
          <t>tennis-surface-elo-v1</t>
        </is>
      </c>
      <c r="BD1099" s="24" t="inlineStr">
        <is>
          <t>6c67e999d2a03612e30f4032c8e5e77e8becfbc79e05f4c8993e726b90d34d54</t>
        </is>
      </c>
      <c r="BE1099" s="24" t="inlineStr">
        <is>
          <t>tennis-surface-elo-v1</t>
        </is>
      </c>
      <c r="BF1099" s="24" t="inlineStr">
        <is>
          <t>1</t>
        </is>
      </c>
      <c r="BG1099" s="24" t="inlineStr">
        <is>
          <t>6c67e999d2a03612e30f4032c8e5e77e8becfbc79e05f4c8993e726b90d34d54</t>
        </is>
      </c>
      <c r="BH1099" s="24" t="inlineStr">
        <is>
          <t>2026-09-15T10:05:00.583331Z</t>
        </is>
      </c>
      <c r="BI1099" s="24" t="inlineStr">
        <is>
          <t>["same_event","same_team_same_day","same_league_same_day"]</t>
        </is>
      </c>
      <c r="BJ1099" s="25" t="n"/>
      <c r="BK1099" s="26" t="n">
        <v>203</v>
      </c>
      <c r="BL1099" s="27" t="n">
        <v>3.03</v>
      </c>
      <c r="BM1099" s="28" t="n">
        <v>0.330033</v>
      </c>
      <c r="BN1099" s="28" t="n"/>
      <c r="BO1099" s="28" t="n"/>
      <c r="BP1099" s="25" t="n"/>
      <c r="BQ1099" s="27" t="n">
        <v>3.03</v>
      </c>
      <c r="BR1099" s="28" t="n">
        <v>0.33</v>
      </c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True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inlineStr">
        <is>
          <t>2e0fa4f36188d2cb7f909a692b3bccf29b901a3d8872f7727716f1a02346d054</t>
        </is>
      </c>
      <c r="DE1099" s="24" t="inlineStr">
        <is>
          <t>/Users/vincentc9002/model-prediction/data/odds/tennis/2026-09-15/polymarket_snapshots.jsonl</t>
        </is>
      </c>
      <c r="DF1099" s="24" t="inlineStr">
        <is>
          <t>842556:2026-09-15T10:05:00.583331Z</t>
        </is>
      </c>
      <c r="DG1099" s="24" t="n"/>
      <c r="DH1099" s="24" t="n"/>
      <c r="DI1099" s="24" t="n"/>
      <c r="DJ1099" s="24" t="inlineStr">
        <is>
          <t>0.330033</t>
        </is>
      </c>
      <c r="DK1099" s="24" t="n"/>
      <c r="DL1099" s="24" t="n"/>
      <c r="DM1099" s="24" t="n"/>
      <c r="DN1099" s="24" t="n"/>
      <c r="DO1099" s="24" t="n"/>
      <c r="DP1099" s="24" t="n"/>
      <c r="DQ1099" s="24" t="inlineStr">
        <is>
          <t>{"artifact_hash": "6c67e999d2a03612e30f4032c8e5e77e8becfbc79e05f4c8993e726b90d34d54", "away_team": "Vivian Wolff", "event_id": "786-2026:183653", "event_start_utc": "2026-09-15T11:00Z", "features": {"elo_p1_surface": 1456.8, "elo_p2_surface": 1435.5, "expected_games_p1": 12.96, "expected_games_p2": 11.67, "expected_total_games": 24.63, "history_matches": 16038, "min_player_matches": 5,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[1456.2030746232472, 1426.3477488050155], "players": ["Vivian Wolff", "Alice Tubello"], "sport": "TENNIS", "surface": "Hard", "surface_counts": [5, 15], "surface_ratings": [1456.7635151170855, 1435.4670345069849]}, "market_type": "moneyline", "model_version": "tennis-surface-elo-v1", "observed_at_utc": "2026-09-15T10:08:52.800265+00:00", "probabilities": {"away": 0.5375, "home": 0.4625}, "replay_scope": "Exact full-precision serving state and rounding; upstream historical observation times are not certified.", "schema": "coded-moneyline-replay-v1", "snapshot_hash": "f9c7c6bea3076f2571c6eab4f9a2510b6fb88ed38ead22f16b2d72e8ea010def", "sport": "TENNIS"}</t>
        </is>
      </c>
    </row>
    <row r="1100" ht="36" customHeight="1">
      <c r="A1100" s="24" t="inlineStr">
        <is>
          <t>3261d611b5584279</t>
        </is>
      </c>
      <c r="B1100" s="24" t="inlineStr">
        <is>
          <t>2026-09-15T10:08:54.021826Z</t>
        </is>
      </c>
      <c r="C1100" s="24" t="inlineStr">
        <is>
          <t>2026-09-15T11:00Z</t>
        </is>
      </c>
      <c r="D1100" s="24" t="inlineStr">
        <is>
          <t>786-2026:183662</t>
        </is>
      </c>
      <c r="E1100" s="24" t="inlineStr">
        <is>
          <t>TENNIS</t>
        </is>
      </c>
      <c r="F1100" s="24" t="inlineStr">
        <is>
          <t>Kristina Novak</t>
        </is>
      </c>
      <c r="G1100" s="24" t="inlineStr">
        <is>
          <t>Weronika Falkowska</t>
        </is>
      </c>
      <c r="H1100" s="24" t="inlineStr">
        <is>
          <t>moneyline</t>
        </is>
      </c>
      <c r="I1100" s="24" t="inlineStr">
        <is>
          <t>away</t>
        </is>
      </c>
      <c r="J1100" s="25" t="n"/>
      <c r="K1100" s="24" t="inlineStr">
        <is>
          <t>polymarket_us</t>
        </is>
      </c>
      <c r="L1100" s="26" t="n">
        <v>900</v>
      </c>
      <c r="M1100" s="27" t="n">
        <v>10</v>
      </c>
      <c r="N1100" s="28" t="n">
        <v>0.1</v>
      </c>
      <c r="O1100" s="28" t="n">
        <v>0.5208</v>
      </c>
      <c r="P1100" s="28" t="n">
        <v>0.05</v>
      </c>
      <c r="Q1100" s="28" t="n">
        <v>0.4208</v>
      </c>
      <c r="R1100" s="26" t="n">
        <v>100</v>
      </c>
      <c r="S1100" s="29" t="n">
        <v>2</v>
      </c>
      <c r="T1100" s="24" t="inlineStr">
        <is>
          <t>tennis-surface-elo-v1</t>
        </is>
      </c>
      <c r="U1100" s="24" t="inlineStr">
        <is>
          <t>settled</t>
        </is>
      </c>
      <c r="V1100" s="24" t="inlineStr">
        <is>
          <t>loss</t>
        </is>
      </c>
      <c r="W1100" s="26" t="n">
        <v>0</v>
      </c>
      <c r="X1100" s="26" t="n">
        <v>1</v>
      </c>
      <c r="Y1100" s="25" t="n"/>
      <c r="Z1100" s="26" t="n">
        <v>900</v>
      </c>
      <c r="AA1100" s="28" t="n">
        <v>0.1</v>
      </c>
      <c r="AB1100" s="28" t="n">
        <v>0</v>
      </c>
      <c r="AC1100" s="30" t="n">
        <v>-2</v>
      </c>
      <c r="AD1100" s="24" t="inlineStr">
        <is>
          <t>2026-09-15T16:03:10.830507Z</t>
        </is>
      </c>
      <c r="AE1100" s="31" t="inlineStr">
        <is>
          <t>Surface-blended Elo on Hard: Kristina Novak p=0.521 vs Weronika Falkowska. Executable ask 0.1000 (aec-wta-werfal-krinov-2026-09-15).</t>
        </is>
      </c>
      <c r="AF1100" s="31" t="inlineStr">
        <is>
          <t>Surface-blended Elo model; singles only, WTA+ATP market coverage, not yet locked-holdout qualified -- promoted by explicit operator directive, not genuine walk-forward validation.</t>
        </is>
      </c>
      <c r="AG1100" s="24" t="inlineStr">
        <is>
          <t>review_required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PAPER_CALL_MODEL_UNVALIDATED</t>
        </is>
      </c>
      <c r="AP1100" s="24" t="inlineStr">
        <is>
          <t>Kristina Novak</t>
        </is>
      </c>
      <c r="AQ1100" s="24" t="inlineStr">
        <is>
          <t>Kristina Novak</t>
        </is>
      </c>
      <c r="AR1100" s="24" t="inlineStr">
        <is>
          <t>Kristina Novak</t>
        </is>
      </c>
      <c r="AS1100" s="24" t="inlineStr">
        <is>
          <t>Weronika Falkowska</t>
        </is>
      </c>
      <c r="AT1100" s="24" t="inlineStr">
        <is>
          <t>Weronika Falkowska</t>
        </is>
      </c>
      <c r="AU1100" s="24" t="inlineStr">
        <is>
          <t>Weronika Falkowska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6c67e999d2a03612e30f4032c8e5e77e8becfbc79e05f4c8993e726b90d34d54</t>
        </is>
      </c>
      <c r="BB1100" s="24" t="inlineStr">
        <is>
          <t>surface_blended_elo</t>
        </is>
      </c>
      <c r="BC1100" s="24" t="inlineStr">
        <is>
          <t>tennis-surface-elo-v1</t>
        </is>
      </c>
      <c r="BD1100" s="24" t="inlineStr">
        <is>
          <t>6c67e999d2a03612e30f4032c8e5e77e8becfbc79e05f4c8993e726b90d34d54</t>
        </is>
      </c>
      <c r="BE1100" s="24" t="inlineStr">
        <is>
          <t>tennis-surface-elo-v1</t>
        </is>
      </c>
      <c r="BF1100" s="24" t="inlineStr">
        <is>
          <t>1</t>
        </is>
      </c>
      <c r="BG1100" s="24" t="inlineStr">
        <is>
          <t>6c67e999d2a03612e30f4032c8e5e77e8becfbc79e05f4c8993e726b90d34d54</t>
        </is>
      </c>
      <c r="BH1100" s="24" t="inlineStr">
        <is>
          <t>2026-09-15T10:05:00.465975Z</t>
        </is>
      </c>
      <c r="BI1100" s="24" t="inlineStr">
        <is>
          <t>["same_event","same_team_same_day","same_league_same_day"]</t>
        </is>
      </c>
      <c r="BJ1100" s="25" t="n"/>
      <c r="BK1100" s="26" t="n">
        <v>900</v>
      </c>
      <c r="BL1100" s="27" t="n">
        <v>10</v>
      </c>
      <c r="BM1100" s="28" t="n">
        <v>0.1</v>
      </c>
      <c r="BN1100" s="28" t="n"/>
      <c r="BO1100" s="28" t="n"/>
      <c r="BP1100" s="25" t="n"/>
      <c r="BQ1100" s="27" t="n">
        <v>10</v>
      </c>
      <c r="BR1100" s="28" t="n">
        <v>0.1</v>
      </c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inlineStr">
        <is>
          <t>d8cbb02a11a8766a49284215f46e1fb806a695af0017a4b391a96597aa081419</t>
        </is>
      </c>
      <c r="DE1100" s="24" t="inlineStr">
        <is>
          <t>/Users/vincentc9002/model-prediction/data/odds/tennis/2026-09-15/polymarket_snapshots.jsonl</t>
        </is>
      </c>
      <c r="DF1100" s="24" t="inlineStr">
        <is>
          <t>844367:2026-09-15T10:05:00.465975Z</t>
        </is>
      </c>
      <c r="DG1100" s="24" t="n"/>
      <c r="DH1100" s="24" t="n"/>
      <c r="DI1100" s="24" t="n"/>
      <c r="DJ1100" s="24" t="inlineStr">
        <is>
          <t>0.1</t>
        </is>
      </c>
      <c r="DK1100" s="24" t="n"/>
      <c r="DL1100" s="24" t="n"/>
      <c r="DM1100" s="24" t="n"/>
      <c r="DN1100" s="24" t="n"/>
      <c r="DO1100" s="24" t="n"/>
      <c r="DP1100" s="24" t="n"/>
      <c r="DQ1100" s="24" t="inlineStr">
        <is>
          <t>{"artifact_hash": "6c67e999d2a03612e30f4032c8e5e77e8becfbc79e05f4c8993e726b90d34d54", "away_team": "Kristina Novak", "event_id": "786-2026:183662", "event_start_utc": "2026-09-15T11:00Z", "features": {"elo_p1_surface": 1488.6, "elo_p2_surface": 1475.9, "expected_games_p1": 12.81, "expected_games_p2": 11.91, "expected_total_games": 24.72, "history_matches": 16038, "min_player_matches": 6, "surface": "Hard"}, "historical_source_observation_times_verified": false, "home_team": "Weronika Falkowska", "inference_inputs": {"code_sha256": {"features/elo_ratings.py": "8525faf022a6343c452286dbfeb17dbb043744c6bdabbe448b6b371216da439b", "models/tennis.py": "6c67e999d2a03612e30f4032c8e5e77e8becfbc79e05f4c8993e726b90d34d54"}, "overall_ratings": [1488.5912057209136, 1472.8766434430145], "players": ["Kristina Novak", "Weronika Falkowska"], "sport": "TENNIS", "surface": "Hard", "surface_counts": [6, 14], "surface_ratings": [1488.5861049738137, 1475.8744055859727]}, "market_type": "moneyline", "model_version": "tennis-surface-elo-v1", "observed_at_utc": "2026-09-15T10:08:52.800265+00:00", "probabilities": {"away": 0.5208, "home": 0.4792}, "replay_scope": "Exact full-precision serving state and rounding; upstream historical observation times are not certified.", "schema": "coded-moneyline-replay-v1", "snapshot_hash": "4de9f0d26e6dbc5b31d92a41e0615990cfc6c53d3f731ec14920807ceb724db1", "sport": "TENNIS"}</t>
        </is>
      </c>
    </row>
    <row r="1101" ht="36" customHeight="1">
      <c r="A1101" s="24" t="inlineStr">
        <is>
          <t>5626249011c347ba</t>
        </is>
      </c>
      <c r="B1101" s="24" t="inlineStr">
        <is>
          <t>2026-09-15T16:12:41.118758Z</t>
        </is>
      </c>
      <c r="C1101" s="24" t="inlineStr">
        <is>
          <t>2026-09-15T19:00Z</t>
        </is>
      </c>
      <c r="D1101" s="24" t="inlineStr">
        <is>
          <t>887-2026:183802</t>
        </is>
      </c>
      <c r="E1101" s="24" t="inlineStr">
        <is>
          <t>TENNIS</t>
        </is>
      </c>
      <c r="F1101" s="24" t="inlineStr">
        <is>
          <t>Panna Udvardy</t>
        </is>
      </c>
      <c r="G1101" s="24" t="inlineStr">
        <is>
          <t>Cristina Bucsa</t>
        </is>
      </c>
      <c r="H1101" s="24" t="inlineStr">
        <is>
          <t>moneyline</t>
        </is>
      </c>
      <c r="I1101" s="24" t="inlineStr">
        <is>
          <t>home</t>
        </is>
      </c>
      <c r="J1101" s="25" t="n"/>
      <c r="K1101" s="24" t="inlineStr">
        <is>
          <t>polymarket_us</t>
        </is>
      </c>
      <c r="L1101" s="26" t="n">
        <v>-233</v>
      </c>
      <c r="M1101" s="27" t="n">
        <v>1.429185</v>
      </c>
      <c r="N1101" s="28" t="n">
        <v>0.6997</v>
      </c>
      <c r="O1101" s="28" t="n">
        <v>0.5486</v>
      </c>
      <c r="P1101" s="28" t="n">
        <v>0.05</v>
      </c>
      <c r="Q1101" s="28" t="n">
        <v>-0.1511</v>
      </c>
      <c r="R1101" s="26" t="n">
        <v>0</v>
      </c>
      <c r="S1101" s="29" t="n">
        <v>1</v>
      </c>
      <c r="T1101" s="24" t="inlineStr">
        <is>
          <t>tennis-surface-elo-v1</t>
        </is>
      </c>
      <c r="U1101" s="24" t="inlineStr">
        <is>
          <t>settled</t>
        </is>
      </c>
      <c r="V1101" s="24" t="inlineStr">
        <is>
          <t>win</t>
        </is>
      </c>
      <c r="W1101" s="26" t="n">
        <v>0</v>
      </c>
      <c r="X1101" s="26" t="n">
        <v>1</v>
      </c>
      <c r="Y1101" s="25" t="n"/>
      <c r="Z1101" s="26" t="n">
        <v>-233</v>
      </c>
      <c r="AA1101" s="28" t="n">
        <v>0.7</v>
      </c>
      <c r="AB1101" s="28" t="n">
        <v>0.0003</v>
      </c>
      <c r="AC1101" s="30" t="n">
        <v>0.4292</v>
      </c>
      <c r="AD1101" s="24" t="inlineStr">
        <is>
          <t>2026-09-15T22:07:24.666772Z</t>
        </is>
      </c>
      <c r="AE1101" s="31" t="inlineStr">
        <is>
          <t>Surface-blended Elo on Hard: Panna Udvardy p=0.451 vs Cristina Bucsa. Executable ask 0.7000 (aec-wta-cribuc-panudv-2026-09-15).</t>
        </is>
      </c>
      <c r="AF1101" s="31" t="inlineStr">
        <is>
          <t>Surface-blended Elo model; singles only, WTA+ATP market coverage, not yet locked-holdout qualified -- promoted by explicit operator directive, not genuine walk-forward validation.</t>
        </is>
      </c>
      <c r="AG1101" s="24" t="inlineStr">
        <is>
          <t>not_applicable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PAPER_CALL_LOW_EDGE</t>
        </is>
      </c>
      <c r="AP1101" s="24" t="inlineStr">
        <is>
          <t>Panna Udvardy</t>
        </is>
      </c>
      <c r="AQ1101" s="24" t="inlineStr">
        <is>
          <t>Panna Udvardy</t>
        </is>
      </c>
      <c r="AR1101" s="24" t="inlineStr">
        <is>
          <t>Panna Udvardy</t>
        </is>
      </c>
      <c r="AS1101" s="24" t="inlineStr">
        <is>
          <t>Cristina Bucsa</t>
        </is>
      </c>
      <c r="AT1101" s="24" t="inlineStr">
        <is>
          <t>Cristina Bucsa</t>
        </is>
      </c>
      <c r="AU1101" s="24" t="inlineStr">
        <is>
          <t>Cristina Bucsa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inlineStr">
        <is>
          <t>6c67e999d2a03612e30f4032c8e5e77e8becfbc79e05f4c8993e726b90d34d54</t>
        </is>
      </c>
      <c r="BB1101" s="24" t="inlineStr">
        <is>
          <t>surface_blended_elo</t>
        </is>
      </c>
      <c r="BC1101" s="24" t="inlineStr">
        <is>
          <t>tennis-surface-elo-v1</t>
        </is>
      </c>
      <c r="BD1101" s="24" t="inlineStr">
        <is>
          <t>6c67e999d2a03612e30f4032c8e5e77e8becfbc79e05f4c8993e726b90d34d54</t>
        </is>
      </c>
      <c r="BE1101" s="24" t="inlineStr">
        <is>
          <t>tennis-surface-elo-v1</t>
        </is>
      </c>
      <c r="BF1101" s="24" t="inlineStr">
        <is>
          <t>1</t>
        </is>
      </c>
      <c r="BG1101" s="24" t="inlineStr">
        <is>
          <t>6c67e999d2a03612e30f4032c8e5e77e8becfbc79e05f4c8993e726b90d34d54</t>
        </is>
      </c>
      <c r="BH1101" s="24" t="inlineStr">
        <is>
          <t>2026-09-15T04:36:17.126332Z</t>
        </is>
      </c>
      <c r="BI1101" s="24" t="inlineStr">
        <is>
          <t>["same_event","same_team_same_day","same_league_same_day"]</t>
        </is>
      </c>
      <c r="BJ1101" s="25" t="n"/>
      <c r="BK1101" s="26" t="n">
        <v>-233</v>
      </c>
      <c r="BL1101" s="27" t="n">
        <v>1.429185</v>
      </c>
      <c r="BM1101" s="28" t="n">
        <v>0.6997</v>
      </c>
      <c r="BN1101" s="28" t="n"/>
      <c r="BO1101" s="28" t="n"/>
      <c r="BP1101" s="25" t="n"/>
      <c r="BQ1101" s="27" t="n">
        <v>1.429185</v>
      </c>
      <c r="BR1101" s="28" t="n">
        <v>0.7</v>
      </c>
      <c r="BS1101" s="28" t="n"/>
      <c r="BT1101" s="28" t="n"/>
      <c r="BU1101" s="25" t="n"/>
      <c r="BV1101" s="29" t="n"/>
      <c r="BW1101" s="24" t="n"/>
      <c r="BX1101" s="30" t="n"/>
      <c r="BY1101" s="27" t="n"/>
      <c r="BZ1101" s="24" t="n"/>
      <c r="CA1101" s="31" t="n"/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False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inlineStr">
        <is>
          <t>61b925a4dd8a558c3843df9e1858a4faf1a1556f478023ad72f4b6e2f0b56a63</t>
        </is>
      </c>
      <c r="DE1101" s="24" t="inlineStr">
        <is>
          <t>/Users/vincentc9002/model-prediction/data/odds/tennis/2026-09-15/polymarket_snapshots.jsonl</t>
        </is>
      </c>
      <c r="DF1101" s="24" t="inlineStr">
        <is>
          <t>845661:2026-09-15T04:36:17.126332Z</t>
        </is>
      </c>
      <c r="DG1101" s="24" t="n"/>
      <c r="DH1101" s="24" t="n"/>
      <c r="DI1101" s="24" t="n"/>
      <c r="DJ1101" s="24" t="inlineStr">
        <is>
          <t>0.6997</t>
        </is>
      </c>
      <c r="DK1101" s="24" t="n"/>
      <c r="DL1101" s="24" t="n"/>
      <c r="DM1101" s="24" t="n"/>
      <c r="DN1101" s="24" t="n"/>
      <c r="DO1101" s="24" t="n"/>
      <c r="DP1101" s="24" t="n"/>
      <c r="DQ1101" s="24" t="inlineStr">
        <is>
          <t>{"artifact_hash": "6c67e999d2a03612e30f4032c8e5e77e8becfbc79e05f4c8993e726b90d34d54", "away_team": "Panna Udvardy", "event_id": "887-2026:183802", "event_start_utc": "2026-09-15T19:00Z", "features": {"elo_p1_surface": 1628.9, "elo_p2_surface": 1664.8, "expected_games_p1": 11.62, "expected_games_p2": 12.91, "expected_total_games": 24.52, "history_matches": 16038, "min_player_matches": 137, "surface": "Hard"}, "historical_source_observation_times_verified": false, "home_team": "Cristina Bucsa", "inference_inputs": {"code_sha256": {"features/elo_ratings.py": "8525faf022a6343c452286dbfeb17dbb043744c6bdabbe448b6b371216da439b", "models/tennis.py": "6c67e999d2a03612e30f4032c8e5e77e8becfbc79e05f4c8993e726b90d34d54"}, "overall_ratings": [1623.1218289284327, 1650.6705295357524], "players": ["Panna Udvardy", "Cristina Bucsa"], "sport": "TENNIS", "surface": "Hard", "surface_counts": [106, 120], "surface_ratings": [1628.9003468029575, 1664.7793166011118]}, "market_type": "moneyline", "model_version": "tennis-surface-elo-v1", "observed_at_utc": "2026-09-15T16:12:39.118624+00:00", "probabilities": {"away": 0.4514, "home": 0.5486}, "replay_scope": "Exact full-precision serving state and rounding; upstream historical observation times are not certified.", "schema": "coded-moneyline-replay-v1", "snapshot_hash": "38d66bc39caa9a20b3d4bbd6b06e384e9458a9892b56c792b578339c753cfd53", "sport": "TENNIS"}</t>
        </is>
      </c>
    </row>
    <row r="1102" ht="36" customHeight="1">
      <c r="A1102" s="24" t="inlineStr">
        <is>
          <t>a0f421906bbe44d2</t>
        </is>
      </c>
      <c r="B1102" s="24" t="inlineStr">
        <is>
          <t>2026-09-15T16:12:41.118758Z</t>
        </is>
      </c>
      <c r="C1102" s="24" t="inlineStr">
        <is>
          <t>2026-09-15T20:30Z</t>
        </is>
      </c>
      <c r="D1102" s="24" t="inlineStr">
        <is>
          <t>887-2026:183801</t>
        </is>
      </c>
      <c r="E1102" s="24" t="inlineStr">
        <is>
          <t>TENNIS</t>
        </is>
      </c>
      <c r="F1102" s="24" t="inlineStr">
        <is>
          <t>Sara Bejlek</t>
        </is>
      </c>
      <c r="G1102" s="24" t="inlineStr">
        <is>
          <t>Alycia Parks</t>
        </is>
      </c>
      <c r="H1102" s="24" t="inlineStr">
        <is>
          <t>moneyline</t>
        </is>
      </c>
      <c r="I1102" s="24" t="inlineStr">
        <is>
          <t>away</t>
        </is>
      </c>
      <c r="J1102" s="25" t="n"/>
      <c r="K1102" s="24" t="inlineStr">
        <is>
          <t>polymarket_us</t>
        </is>
      </c>
      <c r="L1102" s="26" t="n">
        <v>-335</v>
      </c>
      <c r="M1102" s="27" t="n">
        <v>1.298507</v>
      </c>
      <c r="N1102" s="28" t="n">
        <v>0.770115</v>
      </c>
      <c r="O1102" s="28" t="n">
        <v>0.7065</v>
      </c>
      <c r="P1102" s="28" t="n">
        <v>0.05</v>
      </c>
      <c r="Q1102" s="28" t="n">
        <v>-0.063615</v>
      </c>
      <c r="R1102" s="26" t="n">
        <v>0</v>
      </c>
      <c r="S1102" s="29" t="n">
        <v>1</v>
      </c>
      <c r="T1102" s="24" t="inlineStr">
        <is>
          <t>tennis-surface-elo-v1</t>
        </is>
      </c>
      <c r="U1102" s="24" t="inlineStr">
        <is>
          <t>settled</t>
        </is>
      </c>
      <c r="V1102" s="24" t="inlineStr">
        <is>
          <t>win</t>
        </is>
      </c>
      <c r="W1102" s="26" t="n">
        <v>1</v>
      </c>
      <c r="X1102" s="26" t="n">
        <v>0</v>
      </c>
      <c r="Y1102" s="25" t="n"/>
      <c r="Z1102" s="26" t="n">
        <v>-335</v>
      </c>
      <c r="AA1102" s="28" t="n">
        <v>0.77</v>
      </c>
      <c r="AB1102" s="28" t="n">
        <v>-0.000115</v>
      </c>
      <c r="AC1102" s="30" t="n">
        <v>0.2985</v>
      </c>
      <c r="AD1102" s="24" t="inlineStr">
        <is>
          <t>2026-09-16T04:42:27.086072Z</t>
        </is>
      </c>
      <c r="AE1102" s="31" t="inlineStr">
        <is>
          <t>Surface-blended Elo on Hard: Sara Bejlek p=0.707 vs Alycia Parks. Executable ask 0.7700 (aec-wta-alypar-sarbej-2026-09-15).</t>
        </is>
      </c>
      <c r="AF1102" s="31" t="inlineStr">
        <is>
          <t>Surface-blended Elo model; singles only, WTA+ATP market coverage, not yet locked-holdout qualified -- promoted by explicit operator directive, not genuine walk-forward validation.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PAPER_CALL_LOW_EDGE</t>
        </is>
      </c>
      <c r="AP1102" s="24" t="inlineStr">
        <is>
          <t>Sara Bejlek</t>
        </is>
      </c>
      <c r="AQ1102" s="24" t="inlineStr">
        <is>
          <t>Sara Bejlek</t>
        </is>
      </c>
      <c r="AR1102" s="24" t="inlineStr">
        <is>
          <t>Sara Bejlek</t>
        </is>
      </c>
      <c r="AS1102" s="24" t="inlineStr">
        <is>
          <t>Alycia Parks</t>
        </is>
      </c>
      <c r="AT1102" s="24" t="inlineStr">
        <is>
          <t>Alycia Parks</t>
        </is>
      </c>
      <c r="AU1102" s="24" t="inlineStr">
        <is>
          <t>Alycia Parks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inlineStr">
        <is>
          <t>6c67e999d2a03612e30f4032c8e5e77e8becfbc79e05f4c8993e726b90d34d54</t>
        </is>
      </c>
      <c r="BB1102" s="24" t="inlineStr">
        <is>
          <t>surface_blended_elo</t>
        </is>
      </c>
      <c r="BC1102" s="24" t="inlineStr">
        <is>
          <t>tennis-surface-elo-v1</t>
        </is>
      </c>
      <c r="BD1102" s="24" t="inlineStr">
        <is>
          <t>6c67e999d2a03612e30f4032c8e5e77e8becfbc79e05f4c8993e726b90d34d54</t>
        </is>
      </c>
      <c r="BE1102" s="24" t="inlineStr">
        <is>
          <t>tennis-surface-elo-v1</t>
        </is>
      </c>
      <c r="BF1102" s="24" t="inlineStr">
        <is>
          <t>1</t>
        </is>
      </c>
      <c r="BG1102" s="24" t="inlineStr">
        <is>
          <t>6c67e999d2a03612e30f4032c8e5e77e8becfbc79e05f4c8993e726b90d34d54</t>
        </is>
      </c>
      <c r="BH1102" s="24" t="inlineStr">
        <is>
          <t>2026-09-15T04:36:39.399033Z</t>
        </is>
      </c>
      <c r="BI1102" s="24" t="inlineStr">
        <is>
          <t>["same_event","same_team_same_day","same_league_same_day"]</t>
        </is>
      </c>
      <c r="BJ1102" s="25" t="n"/>
      <c r="BK1102" s="26" t="n">
        <v>-335</v>
      </c>
      <c r="BL1102" s="27" t="n">
        <v>1.298507</v>
      </c>
      <c r="BM1102" s="28" t="n">
        <v>0.770115</v>
      </c>
      <c r="BN1102" s="28" t="n"/>
      <c r="BO1102" s="28" t="n"/>
      <c r="BP1102" s="25" t="n"/>
      <c r="BQ1102" s="27" t="n">
        <v>1.298507</v>
      </c>
      <c r="BR1102" s="28" t="n">
        <v>0.77</v>
      </c>
      <c r="BS1102" s="28" t="n"/>
      <c r="BT1102" s="28" t="n"/>
      <c r="BU1102" s="25" t="n"/>
      <c r="BV1102" s="29" t="n"/>
      <c r="BW1102" s="24" t="n"/>
      <c r="BX1102" s="30" t="n"/>
      <c r="BY1102" s="27" t="n"/>
      <c r="BZ1102" s="24" t="n"/>
      <c r="CA1102" s="31" t="n"/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False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inlineStr">
        <is>
          <t>0cdf376ea56bda8f57e86c0485b6b79999594933c01b72d6b7e260bbbfd84550</t>
        </is>
      </c>
      <c r="DE1102" s="24" t="inlineStr">
        <is>
          <t>/Users/vincentc9002/model-prediction/data/odds/tennis/2026-09-15/polymarket_snapshots.jsonl</t>
        </is>
      </c>
      <c r="DF1102" s="24" t="inlineStr">
        <is>
          <t>845039:2026-09-15T04:36:39.399033Z</t>
        </is>
      </c>
      <c r="DG1102" s="24" t="n"/>
      <c r="DH1102" s="24" t="n"/>
      <c r="DI1102" s="24" t="n"/>
      <c r="DJ1102" s="24" t="inlineStr">
        <is>
          <t>0.770115</t>
        </is>
      </c>
      <c r="DK1102" s="24" t="n"/>
      <c r="DL1102" s="24" t="n"/>
      <c r="DM1102" s="24" t="n"/>
      <c r="DN1102" s="24" t="n"/>
      <c r="DO1102" s="24" t="n"/>
      <c r="DP1102" s="24" t="n"/>
      <c r="DQ1102" s="24" t="inlineStr">
        <is>
          <t>{"artifact_hash": "6c67e999d2a03612e30f4032c8e5e77e8becfbc79e05f4c8993e726b90d34d54", "away_team": "Sara Bejlek", "event_id": "887-2026:183801", "event_start_utc": "2026-09-15T20:30Z", "features": {"elo_p1_surface": 1722.7, "elo_p2_surface": 1577.4, "expected_games_p1": 13.19, "expected_games_p2": 7.45, "expected_total_games": 20.64, "history_matches": 16038, "min_player_matches": 121,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[1737.823933659506, 1563.2485007198254], "players": ["Sara Bejlek", "Alycia Parks"], "sport": "TENNIS", "surface": "Hard", "surface_counts": [90, 141], "surface_ratings": [1722.6823635296753, 1577.4469938697453]}, "market_type": "moneyline", "model_version": "tennis-surface-elo-v1", "observed_at_utc": "2026-09-15T16:12:39.118624+00:00", "probabilities": {"away": 0.7065, "home": 0.2935}, "replay_scope": "Exact full-precision serving state and rounding; upstream historical observation times are not certified.", "schema": "coded-moneyline-replay-v1", "snapshot_hash": "e1268771d9e91666d1c8094b7f17ebd0e8038d27ebd7d434d2ad9731321db207", "sport": "TENNIS"}</t>
        </is>
      </c>
    </row>
    <row r="1103" ht="36" customHeight="1">
      <c r="A1103" s="24" t="inlineStr">
        <is>
          <t>802c31856d0c49f1</t>
        </is>
      </c>
      <c r="B1103" s="24" t="inlineStr">
        <is>
          <t>2026-09-15T16:12:41.118758Z</t>
        </is>
      </c>
      <c r="C1103" s="24" t="inlineStr">
        <is>
          <t>2026-09-15T16:30Z</t>
        </is>
      </c>
      <c r="D1103" s="24" t="inlineStr">
        <is>
          <t>1005-2026:183851</t>
        </is>
      </c>
      <c r="E1103" s="24" t="inlineStr">
        <is>
          <t>TENNIS</t>
        </is>
      </c>
      <c r="F1103" s="24" t="inlineStr">
        <is>
          <t>Dominika Salkova</t>
        </is>
      </c>
      <c r="G1103" s="24" t="inlineStr">
        <is>
          <t>Jessica Bouzas Maneiro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-317</v>
      </c>
      <c r="M1103" s="27" t="n">
        <v>1.315457</v>
      </c>
      <c r="N1103" s="28" t="n">
        <v>0.760192</v>
      </c>
      <c r="O1103" s="28" t="n">
        <v>0.5833</v>
      </c>
      <c r="P1103" s="28" t="n">
        <v>0.05</v>
      </c>
      <c r="Q1103" s="28" t="n">
        <v>-0.176892</v>
      </c>
      <c r="R1103" s="26" t="n">
        <v>0</v>
      </c>
      <c r="S1103" s="29" t="n">
        <v>1</v>
      </c>
      <c r="T1103" s="24" t="inlineStr">
        <is>
          <t>tennis-surface-elo-v1</t>
        </is>
      </c>
      <c r="U1103" s="24" t="inlineStr">
        <is>
          <t>settled</t>
        </is>
      </c>
      <c r="V1103" s="24" t="inlineStr">
        <is>
          <t>loss</t>
        </is>
      </c>
      <c r="W1103" s="26" t="n">
        <v>1</v>
      </c>
      <c r="X1103" s="26" t="n">
        <v>0</v>
      </c>
      <c r="Y1103" s="25" t="n"/>
      <c r="Z1103" s="26" t="n">
        <v>-317</v>
      </c>
      <c r="AA1103" s="28" t="n">
        <v>0.76</v>
      </c>
      <c r="AB1103" s="28" t="n">
        <v>-0.000192</v>
      </c>
      <c r="AC1103" s="30" t="n">
        <v>-1</v>
      </c>
      <c r="AD1103" s="24" t="inlineStr">
        <is>
          <t>2026-09-16T16:01:56.265046Z</t>
        </is>
      </c>
      <c r="AE1103" s="31" t="inlineStr">
        <is>
          <t>Surface-blended Elo on Hard: Dominika Salkova p=0.417 vs Jessica Bouzas Maneiro. Executable ask 0.7600 (aec-wta-jesman-domsal-2026-09-14).</t>
        </is>
      </c>
      <c r="AF1103" s="31" t="inlineStr">
        <is>
          <t>Surface-blended Elo model; singles only, WTA+ATP market coverage, not yet locked-holdout qualified -- promoted by explicit operator directive, not genuine walk-forward validation.</t>
        </is>
      </c>
      <c r="AG1103" s="24" t="inlineStr">
        <is>
          <t>review_required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PAPER_CALL_LOW_EDGE</t>
        </is>
      </c>
      <c r="AP1103" s="24" t="inlineStr">
        <is>
          <t>Dominika Salkova</t>
        </is>
      </c>
      <c r="AQ1103" s="24" t="inlineStr">
        <is>
          <t>Dominika Salkova</t>
        </is>
      </c>
      <c r="AR1103" s="24" t="inlineStr">
        <is>
          <t>Dominika Salkova</t>
        </is>
      </c>
      <c r="AS1103" s="24" t="inlineStr">
        <is>
          <t>Jessica Bouzas Maneiro</t>
        </is>
      </c>
      <c r="AT1103" s="24" t="inlineStr">
        <is>
          <t>Jessica Bouzas Maneiro</t>
        </is>
      </c>
      <c r="AU1103" s="24" t="inlineStr">
        <is>
          <t>Jessica Bouzas Maneiro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6c67e999d2a03612e30f4032c8e5e77e8becfbc79e05f4c8993e726b90d34d54</t>
        </is>
      </c>
      <c r="BB1103" s="24" t="inlineStr">
        <is>
          <t>surface_blended_elo</t>
        </is>
      </c>
      <c r="BC1103" s="24" t="inlineStr">
        <is>
          <t>tennis-surface-elo-v1</t>
        </is>
      </c>
      <c r="BD1103" s="24" t="inlineStr">
        <is>
          <t>6c67e999d2a03612e30f4032c8e5e77e8becfbc79e05f4c8993e726b90d34d54</t>
        </is>
      </c>
      <c r="BE1103" s="24" t="inlineStr">
        <is>
          <t>tennis-surface-elo-v1</t>
        </is>
      </c>
      <c r="BF1103" s="24" t="inlineStr">
        <is>
          <t>1</t>
        </is>
      </c>
      <c r="BG1103" s="24" t="inlineStr">
        <is>
          <t>6c67e999d2a03612e30f4032c8e5e77e8becfbc79e05f4c8993e726b90d34d54</t>
        </is>
      </c>
      <c r="BH1103" s="24" t="inlineStr">
        <is>
          <t>2026-09-15T10:05:35.069229Z</t>
        </is>
      </c>
      <c r="BI1103" s="24" t="inlineStr">
        <is>
          <t>["same_event","same_team_same_day","same_league_same_day"]</t>
        </is>
      </c>
      <c r="BJ1103" s="25" t="n"/>
      <c r="BK1103" s="26" t="n">
        <v>-317</v>
      </c>
      <c r="BL1103" s="27" t="n">
        <v>1.315457</v>
      </c>
      <c r="BM1103" s="28" t="n">
        <v>0.760192</v>
      </c>
      <c r="BN1103" s="28" t="n"/>
      <c r="BO1103" s="28" t="n"/>
      <c r="BP1103" s="25" t="n"/>
      <c r="BQ1103" s="27" t="n">
        <v>1.315457</v>
      </c>
      <c r="BR1103" s="28" t="n">
        <v>0.76</v>
      </c>
      <c r="BS1103" s="28" t="n"/>
      <c r="BT1103" s="28" t="n"/>
      <c r="BU1103" s="25" t="n"/>
      <c r="BV1103" s="29" t="n"/>
      <c r="BW1103" s="24" t="n"/>
      <c r="BX1103" s="30" t="n"/>
      <c r="BY1103" s="27" t="n"/>
      <c r="BZ1103" s="24" t="n"/>
      <c r="CA1103" s="31" t="n"/>
      <c r="CB1103" s="24" t="n"/>
      <c r="CC1103" s="24" t="n"/>
      <c r="CD1103" s="24" t="n"/>
      <c r="CE1103" s="24" t="n"/>
      <c r="CF1103" s="24" t="n"/>
      <c r="CG1103" s="24" t="n"/>
      <c r="CH1103" s="24" t="n"/>
      <c r="CI1103" s="24" t="n"/>
      <c r="CJ1103" s="24" t="n"/>
      <c r="CK1103" s="24" t="n"/>
      <c r="CL1103" s="24" t="n"/>
      <c r="CM1103" s="24" t="n"/>
      <c r="CN1103" s="24" t="n"/>
      <c r="CO1103" s="24" t="n"/>
      <c r="CP1103" s="24" t="n"/>
      <c r="CQ1103" s="24" t="n"/>
      <c r="CR1103" s="24" t="n"/>
      <c r="CS1103" s="24" t="inlineStr">
        <is>
          <t>False</t>
        </is>
      </c>
      <c r="CT1103" s="24" t="n"/>
      <c r="CU1103" s="24" t="n"/>
      <c r="CV1103" s="24" t="n"/>
      <c r="CW1103" s="24" t="n"/>
      <c r="CX1103" s="24" t="n"/>
      <c r="CY1103" s="24" t="n"/>
      <c r="CZ1103" s="24" t="n"/>
      <c r="DA1103" s="24" t="n"/>
      <c r="DB1103" s="24" t="n"/>
      <c r="DC1103" s="24" t="n"/>
      <c r="DD1103" s="24" t="inlineStr">
        <is>
          <t>6d290bef37c8ea8ae22f55620b8ce09e6e5830ab4732bd8acbaedceb929a7625</t>
        </is>
      </c>
      <c r="DE1103" s="24" t="inlineStr">
        <is>
          <t>/Users/vincentc9002/model-prediction/data/odds/tennis/2026-09-15/polymarket_snapshots.jsonl</t>
        </is>
      </c>
      <c r="DF1103" s="24" t="inlineStr">
        <is>
          <t>825081:2026-09-15T10:05:35.069229Z</t>
        </is>
      </c>
      <c r="DG1103" s="24" t="n"/>
      <c r="DH1103" s="24" t="n"/>
      <c r="DI1103" s="24" t="n"/>
      <c r="DJ1103" s="24" t="inlineStr">
        <is>
          <t>0.760192</t>
        </is>
      </c>
      <c r="DK1103" s="24" t="n"/>
      <c r="DL1103" s="24" t="n"/>
      <c r="DM1103" s="24" t="n"/>
      <c r="DN1103" s="24" t="n"/>
      <c r="DO1103" s="24" t="n"/>
      <c r="DP1103" s="24" t="n"/>
      <c r="DQ1103" s="24" t="inlineStr">
        <is>
          <t>{"artifact_hash": "6c67e999d2a03612e30f4032c8e5e77e8becfbc79e05f4c8993e726b90d34d54", "away_team": "Dominika Salkova", "event_id": "1005-2026:183851", "event_start_utc": "2026-09-15T16:30Z", "features": {"elo_p1_surface": 1518.2, "elo_p2_surface": 1556.1, "expected_games_p1": 11.55, "expected_games_p2": 12.94, "expected_total_games": 24.49, "history_matches": 16038, "min_player_matches": 100, "surface": "Hard"}, "historical_source_observation_times_verified": false, "home_team": "Jessica Bouzas Maneiro", "inference_inputs": {"code_sha256": {"features/elo_ratings.py": "8525faf022a6343c452286dbfeb17dbb043744c6bdabbe448b6b371216da439b", "models/tennis.py": "6c67e999d2a03612e30f4032c8e5e77e8becfbc79e05f4c8993e726b90d34d54"}, "overall_ratings": [1515.4562297535654, 1631.9002701890074], "players": ["Dominika Salkova", "Jessica Bouzas Maneiro"], "sport": "TENNIS", "surface": "Hard", "surface_counts": [86, 101], "surface_ratings": [1518.15380774292, 1556.103665266151]}, "market_type": "moneyline", "model_version": "tennis-surface-elo-v1", "observed_at_utc": "2026-09-15T16:12:39.118624+00:00", "probabilities": {"away": 0.4167, "home": 0.5833}, "replay_scope": "Exact full-precision serving state and rounding; upstream historical observation times are not certified.", "schema": "coded-moneyline-replay-v1", "snapshot_hash": "e566bca926fd569db8409161d1999fd4c02f0907e5851c4ce34c811e191730b8", "sport": "TENNIS"}</t>
        </is>
      </c>
    </row>
    <row r="1104" ht="36" customHeight="1">
      <c r="A1104" s="24" t="inlineStr">
        <is>
          <t>13806177b5144015</t>
        </is>
      </c>
      <c r="B1104" s="24" t="inlineStr">
        <is>
          <t>2026-09-15T16:12:41.118758Z</t>
        </is>
      </c>
      <c r="C1104" s="24" t="inlineStr">
        <is>
          <t>2026-09-15T20:30Z</t>
        </is>
      </c>
      <c r="D1104" s="24" t="inlineStr">
        <is>
          <t>1005-2026:183854</t>
        </is>
      </c>
      <c r="E1104" s="24" t="inlineStr">
        <is>
          <t>TENNIS</t>
        </is>
      </c>
      <c r="F1104" s="24" t="inlineStr">
        <is>
          <t>Paula Badosa</t>
        </is>
      </c>
      <c r="G1104" s="24" t="inlineStr">
        <is>
          <t>Justina Mikulskyte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-1567</v>
      </c>
      <c r="M1104" s="27" t="n">
        <v>1.063816</v>
      </c>
      <c r="N1104" s="28" t="n">
        <v>0.940012</v>
      </c>
      <c r="O1104" s="28" t="n">
        <v>0.8666</v>
      </c>
      <c r="P1104" s="28" t="n">
        <v>0.05</v>
      </c>
      <c r="Q1104" s="28" t="n">
        <v>-0.07341200000000001</v>
      </c>
      <c r="R1104" s="26" t="n">
        <v>0</v>
      </c>
      <c r="S1104" s="29" t="n">
        <v>1</v>
      </c>
      <c r="T1104" s="24" t="inlineStr">
        <is>
          <t>tennis-surface-elo-v1</t>
        </is>
      </c>
      <c r="U1104" s="24" t="inlineStr">
        <is>
          <t>settled</t>
        </is>
      </c>
      <c r="V1104" s="24" t="inlineStr">
        <is>
          <t>win</t>
        </is>
      </c>
      <c r="W1104" s="26" t="n">
        <v>1</v>
      </c>
      <c r="X1104" s="26" t="n">
        <v>0</v>
      </c>
      <c r="Y1104" s="25" t="n"/>
      <c r="Z1104" s="26" t="n">
        <v>-1567</v>
      </c>
      <c r="AA1104" s="28" t="n">
        <v>0.9399999999999999</v>
      </c>
      <c r="AB1104" s="28" t="n">
        <v>-1.2e-05</v>
      </c>
      <c r="AC1104" s="30" t="n">
        <v>0.0638</v>
      </c>
      <c r="AD1104" s="24" t="inlineStr">
        <is>
          <t>2026-09-17T04:32:52.494752Z</t>
        </is>
      </c>
      <c r="AE1104" s="31" t="inlineStr">
        <is>
          <t>Surface-blended Elo on Hard: Paula Badosa p=0.867 vs Justina Mikulskyte. Executable ask 0.9400 (aec-wta-jusmik-paubad-2026-09-14).</t>
        </is>
      </c>
      <c r="AF1104" s="31" t="inlineStr">
        <is>
          <t>Surface-blended Elo model; singles only, WTA+ATP market coverage, not yet locked-holdout qualified -- promoted by explicit operator directive, not genuine walk-forward validation.</t>
        </is>
      </c>
      <c r="AG1104" s="24" t="inlineStr">
        <is>
          <t>not_applicable</t>
        </is>
      </c>
      <c r="AH1104" s="24" t="n"/>
      <c r="AI1104" s="31" t="n"/>
      <c r="AJ1104" s="31" t="n"/>
      <c r="AK1104" s="24" t="inlineStr">
        <is>
          <t>paper_call</t>
        </is>
      </c>
      <c r="AL1104" s="26" t="n">
        <v>4</v>
      </c>
      <c r="AM1104" s="24" t="inlineStr">
        <is>
          <t>RESEARCH_OBSERVATION</t>
        </is>
      </c>
      <c r="AN1104" s="24" t="inlineStr">
        <is>
          <t>CALL</t>
        </is>
      </c>
      <c r="AO1104" s="24" t="inlineStr">
        <is>
          <t>PAPER_CALL_LOW_EDGE</t>
        </is>
      </c>
      <c r="AP1104" s="24" t="inlineStr">
        <is>
          <t>Paula Badosa</t>
        </is>
      </c>
      <c r="AQ1104" s="24" t="inlineStr">
        <is>
          <t>Paula Badosa</t>
        </is>
      </c>
      <c r="AR1104" s="24" t="inlineStr">
        <is>
          <t>Paula Badosa</t>
        </is>
      </c>
      <c r="AS1104" s="24" t="inlineStr">
        <is>
          <t>Justina Mikulskyte</t>
        </is>
      </c>
      <c r="AT1104" s="24" t="inlineStr">
        <is>
          <t>Justina Mikulskyte</t>
        </is>
      </c>
      <c r="AU1104" s="24" t="inlineStr">
        <is>
          <t>Justina Mikulskyte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6c67e999d2a03612e30f4032c8e5e77e8becfbc79e05f4c8993e726b90d34d54</t>
        </is>
      </c>
      <c r="BB1104" s="24" t="inlineStr">
        <is>
          <t>surface_blended_elo</t>
        </is>
      </c>
      <c r="BC1104" s="24" t="inlineStr">
        <is>
          <t>tennis-surface-elo-v1</t>
        </is>
      </c>
      <c r="BD1104" s="24" t="inlineStr">
        <is>
          <t>6c67e999d2a03612e30f4032c8e5e77e8becfbc79e05f4c8993e726b90d34d54</t>
        </is>
      </c>
      <c r="BE1104" s="24" t="inlineStr">
        <is>
          <t>tennis-surface-elo-v1</t>
        </is>
      </c>
      <c r="BF1104" s="24" t="inlineStr">
        <is>
          <t>1</t>
        </is>
      </c>
      <c r="BG1104" s="24" t="inlineStr">
        <is>
          <t>6c67e999d2a03612e30f4032c8e5e77e8becfbc79e05f4c8993e726b90d34d54</t>
        </is>
      </c>
      <c r="BH1104" s="24" t="inlineStr">
        <is>
          <t>2026-09-15T16:09:37.243206Z</t>
        </is>
      </c>
      <c r="BI1104" s="24" t="inlineStr">
        <is>
          <t>["same_event","same_team_same_day","same_league_same_day"]</t>
        </is>
      </c>
      <c r="BJ1104" s="25" t="n"/>
      <c r="BK1104" s="26" t="n">
        <v>-1567</v>
      </c>
      <c r="BL1104" s="27" t="n">
        <v>1.063816</v>
      </c>
      <c r="BM1104" s="28" t="n">
        <v>0.940012</v>
      </c>
      <c r="BN1104" s="28" t="n"/>
      <c r="BO1104" s="28" t="n"/>
      <c r="BP1104" s="25" t="n"/>
      <c r="BQ1104" s="27" t="n">
        <v>1.063816</v>
      </c>
      <c r="BR1104" s="28" t="n">
        <v>0.9399999999999999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n"/>
      <c r="CD1104" s="24" t="n"/>
      <c r="CE1104" s="24" t="n"/>
      <c r="CF1104" s="24" t="n"/>
      <c r="CG1104" s="24" t="n"/>
      <c r="CH1104" s="24" t="n"/>
      <c r="CI1104" s="24" t="n"/>
      <c r="CJ1104" s="24" t="n"/>
      <c r="CK1104" s="24" t="n"/>
      <c r="CL1104" s="24" t="n"/>
      <c r="CM1104" s="24" t="n"/>
      <c r="CN1104" s="24" t="n"/>
      <c r="CO1104" s="24" t="n"/>
      <c r="CP1104" s="24" t="n"/>
      <c r="CQ1104" s="24" t="n"/>
      <c r="CR1104" s="24" t="n"/>
      <c r="CS1104" s="24" t="inlineStr">
        <is>
          <t>False</t>
        </is>
      </c>
      <c r="CT1104" s="24" t="n"/>
      <c r="CU1104" s="24" t="n"/>
      <c r="CV1104" s="24" t="n"/>
      <c r="CW1104" s="24" t="n"/>
      <c r="CX1104" s="24" t="n"/>
      <c r="CY1104" s="24" t="n"/>
      <c r="CZ1104" s="24" t="n"/>
      <c r="DA1104" s="24" t="n"/>
      <c r="DB1104" s="24" t="n"/>
      <c r="DC1104" s="24" t="n"/>
      <c r="DD1104" s="24" t="inlineStr">
        <is>
          <t>fd371fe6033bdac93d8e2f0966664ddea8f18185198cf9925262d494e0058d72</t>
        </is>
      </c>
      <c r="DE1104" s="24" t="inlineStr">
        <is>
          <t>/Users/vincentc9002/model-prediction/data/odds/tennis/2026-09-15/polymarket_snapshots.jsonl</t>
        </is>
      </c>
      <c r="DF1104" s="24" t="inlineStr">
        <is>
          <t>854618:2026-09-15T16:09:37.243206Z</t>
        </is>
      </c>
      <c r="DG1104" s="24" t="n"/>
      <c r="DH1104" s="24" t="n"/>
      <c r="DI1104" s="24" t="n"/>
      <c r="DJ1104" s="24" t="inlineStr">
        <is>
          <t>0.940012</t>
        </is>
      </c>
      <c r="DK1104" s="24" t="n"/>
      <c r="DL1104" s="24" t="n"/>
      <c r="DM1104" s="24" t="n"/>
      <c r="DN1104" s="24" t="n"/>
      <c r="DO1104" s="24" t="n"/>
      <c r="DP1104" s="24" t="n"/>
      <c r="DQ1104" s="24" t="inlineStr">
        <is>
          <t>{"artifact_hash": "6c67e999d2a03612e30f4032c8e5e77e8becfbc79e05f4c8993e726b90d34d54", "away_team": "Paula Badosa", "event_id": "1005-2026:183854", "event_start_utc": "2026-09-15T20:30Z", "features": {"elo_p1_surface": 1730.4, "elo_p2_surface": 1408.9, "expected_games_p1": 12.15, "expected_games_p2": 3.45, "expected_total_games": 15.6, "history_matches": 16038, "min_player_matches": 24, "surface": "Hard"}, "historical_source_observation_times_verified": false, "home_team": "Justina Mikulskyte", "inference_inputs": {"code_sha256": {"features/elo_ratings.py": "8525faf022a6343c452286dbfeb17dbb043744c6bdabbe448b6b371216da439b", "models/tennis.py": "6c67e999d2a03612e30f4032c8e5e77e8becfbc79e05f4c8993e726b90d34d54"}, "overall_ratings": [1746.3702400089242, 1409.9701548741866], "players": ["Paula Badosa", "Justina Mikulskyte"], "sport": "TENNIS", "surface": "Hard", "surface_counts": [100, 16], "surface_ratings": [1730.372717818264, 1408.9089177350756]}, "market_type": "moneyline", "model_version": "tennis-surface-elo-v1", "observed_at_utc": "2026-09-15T16:12:39.118624+00:00", "probabilities": {"away": 0.8666, "home": 0.1334}, "replay_scope": "Exact full-precision serving state and rounding; upstream historical observation times are not certified.", "schema": "coded-moneyline-replay-v1", "snapshot_hash": "9493ee21bfd7349eb5712bb5cb6553b68879c27d55360d3a744a11a959f185dd", "sport": "TENNIS"}</t>
        </is>
      </c>
    </row>
    <row r="1105" ht="36" customHeight="1">
      <c r="A1105" s="24" t="inlineStr">
        <is>
          <t>356019454859416a</t>
        </is>
      </c>
      <c r="B1105" s="24" t="inlineStr">
        <is>
          <t>2026-09-15T16:12:41.118758Z</t>
        </is>
      </c>
      <c r="C1105" s="24" t="inlineStr">
        <is>
          <t>2026-09-15T22:00Z</t>
        </is>
      </c>
      <c r="D1105" s="24" t="inlineStr">
        <is>
          <t>1005-2026:183839</t>
        </is>
      </c>
      <c r="E1105" s="24" t="inlineStr">
        <is>
          <t>TENNIS</t>
        </is>
      </c>
      <c r="F1105" s="24" t="inlineStr">
        <is>
          <t>Laura Pigossi</t>
        </is>
      </c>
      <c r="G1105" s="24" t="inlineStr">
        <is>
          <t>Vendula Valdmannova</t>
        </is>
      </c>
      <c r="H1105" s="24" t="inlineStr">
        <is>
          <t>moneyline</t>
        </is>
      </c>
      <c r="I1105" s="24" t="inlineStr">
        <is>
          <t>home</t>
        </is>
      </c>
      <c r="J1105" s="25" t="n"/>
      <c r="K1105" s="24" t="inlineStr">
        <is>
          <t>polymarket_us</t>
        </is>
      </c>
      <c r="L1105" s="26" t="n">
        <v>-355</v>
      </c>
      <c r="M1105" s="27" t="n">
        <v>1.28169</v>
      </c>
      <c r="N1105" s="28" t="n">
        <v>0.78022</v>
      </c>
      <c r="O1105" s="28" t="n">
        <v>0.6868</v>
      </c>
      <c r="P1105" s="28" t="n">
        <v>0.05</v>
      </c>
      <c r="Q1105" s="28" t="n">
        <v>-0.09342</v>
      </c>
      <c r="R1105" s="26" t="n">
        <v>0</v>
      </c>
      <c r="S1105" s="29" t="n">
        <v>1</v>
      </c>
      <c r="T1105" s="24" t="inlineStr">
        <is>
          <t>tennis-surface-elo-v1</t>
        </is>
      </c>
      <c r="U1105" s="24" t="inlineStr">
        <is>
          <t>settled</t>
        </is>
      </c>
      <c r="V1105" s="24" t="inlineStr">
        <is>
          <t>win</t>
        </is>
      </c>
      <c r="W1105" s="26" t="n">
        <v>0</v>
      </c>
      <c r="X1105" s="26" t="n">
        <v>1</v>
      </c>
      <c r="Y1105" s="25" t="n"/>
      <c r="Z1105" s="26" t="n">
        <v>-355</v>
      </c>
      <c r="AA1105" s="28" t="n">
        <v>0.78</v>
      </c>
      <c r="AB1105" s="28" t="n">
        <v>-0.00022</v>
      </c>
      <c r="AC1105" s="30" t="n">
        <v>0.2817</v>
      </c>
      <c r="AD1105" s="24" t="inlineStr">
        <is>
          <t>2026-09-17T04:32:53.354640Z</t>
        </is>
      </c>
      <c r="AE1105" s="31" t="inlineStr">
        <is>
          <t>Surface-blended Elo on Hard: Laura Pigossi p=0.313 vs Vendula Valdmannova. Executable ask 0.7800 (aec-wta-venval-laupig-2026-09-14).</t>
        </is>
      </c>
      <c r="AF1105" s="31" t="inlineStr">
        <is>
          <t>Surface-blended Elo model; singles only, WTA+ATP market coverage, not yet locked-holdout qualified -- promoted by explicit operator directive, not genuine walk-forward validation.</t>
        </is>
      </c>
      <c r="AG1105" s="24" t="inlineStr">
        <is>
          <t>not_applicable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PAPER_CALL_LOW_EDGE</t>
        </is>
      </c>
      <c r="AP1105" s="24" t="inlineStr">
        <is>
          <t>Laura Pigossi</t>
        </is>
      </c>
      <c r="AQ1105" s="24" t="inlineStr">
        <is>
          <t>Laura Pigossi</t>
        </is>
      </c>
      <c r="AR1105" s="24" t="inlineStr">
        <is>
          <t>Laura Pigossi</t>
        </is>
      </c>
      <c r="AS1105" s="24" t="inlineStr">
        <is>
          <t>Vendula Valdmannova</t>
        </is>
      </c>
      <c r="AT1105" s="24" t="inlineStr">
        <is>
          <t>Vendula Valdmannova</t>
        </is>
      </c>
      <c r="AU1105" s="24" t="inlineStr">
        <is>
          <t>Vendula Valdmannova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6c67e999d2a03612e30f4032c8e5e77e8becfbc79e05f4c8993e726b90d34d54</t>
        </is>
      </c>
      <c r="BB1105" s="24" t="inlineStr">
        <is>
          <t>surface_blended_elo</t>
        </is>
      </c>
      <c r="BC1105" s="24" t="inlineStr">
        <is>
          <t>tennis-surface-elo-v1</t>
        </is>
      </c>
      <c r="BD1105" s="24" t="inlineStr">
        <is>
          <t>6c67e999d2a03612e30f4032c8e5e77e8becfbc79e05f4c8993e726b90d34d54</t>
        </is>
      </c>
      <c r="BE1105" s="24" t="inlineStr">
        <is>
          <t>tennis-surface-elo-v1</t>
        </is>
      </c>
      <c r="BF1105" s="24" t="inlineStr">
        <is>
          <t>1</t>
        </is>
      </c>
      <c r="BG1105" s="24" t="inlineStr">
        <is>
          <t>6c67e999d2a03612e30f4032c8e5e77e8becfbc79e05f4c8993e726b90d34d54</t>
        </is>
      </c>
      <c r="BH1105" s="24" t="inlineStr">
        <is>
          <t>2026-09-15T04:36:39.675248Z</t>
        </is>
      </c>
      <c r="BI1105" s="24" t="inlineStr">
        <is>
          <t>["same_event","same_team_same_day","same_league_same_day"]</t>
        </is>
      </c>
      <c r="BJ1105" s="25" t="n"/>
      <c r="BK1105" s="26" t="n">
        <v>-355</v>
      </c>
      <c r="BL1105" s="27" t="n">
        <v>1.28169</v>
      </c>
      <c r="BM1105" s="28" t="n">
        <v>0.78022</v>
      </c>
      <c r="BN1105" s="28" t="n"/>
      <c r="BO1105" s="28" t="n"/>
      <c r="BP1105" s="25" t="n"/>
      <c r="BQ1105" s="27" t="n">
        <v>1.28169</v>
      </c>
      <c r="BR1105" s="28" t="n">
        <v>0.78</v>
      </c>
      <c r="BS1105" s="28" t="n"/>
      <c r="BT1105" s="28" t="n"/>
      <c r="BU1105" s="25" t="n"/>
      <c r="BV1105" s="29" t="n"/>
      <c r="BW1105" s="24" t="n"/>
      <c r="BX1105" s="30" t="n"/>
      <c r="BY1105" s="27" t="n"/>
      <c r="BZ1105" s="24" t="n"/>
      <c r="CA1105" s="31" t="n"/>
      <c r="CB1105" s="24" t="n"/>
      <c r="CC1105" s="24" t="n"/>
      <c r="CD1105" s="24" t="n"/>
      <c r="CE1105" s="24" t="n"/>
      <c r="CF1105" s="24" t="n"/>
      <c r="CG1105" s="24" t="n"/>
      <c r="CH1105" s="24" t="n"/>
      <c r="CI1105" s="24" t="n"/>
      <c r="CJ1105" s="24" t="n"/>
      <c r="CK1105" s="24" t="n"/>
      <c r="CL1105" s="24" t="n"/>
      <c r="CM1105" s="24" t="n"/>
      <c r="CN1105" s="24" t="n"/>
      <c r="CO1105" s="24" t="n"/>
      <c r="CP1105" s="24" t="n"/>
      <c r="CQ1105" s="24" t="n"/>
      <c r="CR1105" s="24" t="n"/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n"/>
      <c r="CZ1105" s="24" t="n"/>
      <c r="DA1105" s="24" t="n"/>
      <c r="DB1105" s="24" t="n"/>
      <c r="DC1105" s="24" t="n"/>
      <c r="DD1105" s="24" t="inlineStr">
        <is>
          <t>eaae8a05285dbb4e967102cb55b813424c3a2023008d3c2f2c30b3bb57decf72</t>
        </is>
      </c>
      <c r="DE1105" s="24" t="inlineStr">
        <is>
          <t>/Users/vincentc9002/model-prediction/data/odds/tennis/2026-09-15/polymarket_snapshots.jsonl</t>
        </is>
      </c>
      <c r="DF1105" s="24" t="inlineStr">
        <is>
          <t>825075:2026-09-15T04:36:39.675248Z</t>
        </is>
      </c>
      <c r="DG1105" s="24" t="n"/>
      <c r="DH1105" s="24" t="n"/>
      <c r="DI1105" s="24" t="n"/>
      <c r="DJ1105" s="24" t="inlineStr">
        <is>
          <t>0.78022</t>
        </is>
      </c>
      <c r="DK1105" s="24" t="n"/>
      <c r="DL1105" s="24" t="n"/>
      <c r="DM1105" s="24" t="n"/>
      <c r="DN1105" s="24" t="n"/>
      <c r="DO1105" s="24" t="n"/>
      <c r="DP1105" s="24" t="n"/>
      <c r="DQ1105" s="24" t="inlineStr">
        <is>
          <t>{"artifact_hash": "6c67e999d2a03612e30f4032c8e5e77e8becfbc79e05f4c8993e726b90d34d54", "away_team": "Laura Pigossi", "event_id": "1005-2026:183839", "event_start_utc": "2026-09-15T22:00Z", "features": {"elo_p1_surface": 1419.4, "elo_p2_surface": 1559.2, "expected_games_p1": 8.1, "expected_games_p2": 13.13, "expected_total_games": 21.23, "history_matches": 16038, "min_player_matches": 17, "surface": "Hard"}, "historical_source_observation_times_verified": false, "home_team": "Vendula Valdmannova", "inference_inputs": {"code_sha256": {"features/elo_ratings.py": "8525faf022a6343c452286dbfeb17dbb043744c6bdabbe448b6b371216da439b", "models/tennis.py": "6c67e999d2a03612e30f4032c8e5e77e8becfbc79e05f4c8993e726b90d34d54"}, "overall_ratings": [1392.187665896159, 1540.1403421105101], "players": ["Laura Pigossi", "Vendula Valdmannova"], "sport": "TENNIS", "surface": "Hard", "surface_counts": [77, 14], "surface_ratings": [1419.383082194714, 1559.1518467851827]}, "market_type": "moneyline", "model_version": "tennis-surface-elo-v1", "observed_at_utc": "2026-09-15T16:12:39.118624+00:00", "probabilities": {"away": 0.3132, "home": 0.6868}, "replay_scope": "Exact full-precision serving state and rounding; upstream historical observation times are not certified.", "schema": "coded-moneyline-replay-v1", "snapshot_hash": "a2b0f645eb01c52dce3b6ef11f90e8fc4a3f77d90729ae89bddcb52f8f46883d", "sport": "TENNIS"}</t>
        </is>
      </c>
    </row>
    <row r="1106" ht="36" customHeight="1">
      <c r="A1106" s="24" t="inlineStr">
        <is>
          <t>02cab63775454163</t>
        </is>
      </c>
      <c r="B1106" s="24" t="inlineStr">
        <is>
          <t>2026-09-16T10:09:37.024610Z</t>
        </is>
      </c>
      <c r="C1106" s="24" t="inlineStr">
        <is>
          <t>2026-09-16T14:30Z</t>
        </is>
      </c>
      <c r="D1106" s="24" t="inlineStr">
        <is>
          <t>871-2026:183766</t>
        </is>
      </c>
      <c r="E1106" s="24" t="inlineStr">
        <is>
          <t>TENNIS</t>
        </is>
      </c>
      <c r="F1106" s="24" t="inlineStr">
        <is>
          <t>Ane Mintegi Del Olmo</t>
        </is>
      </c>
      <c r="G1106" s="24" t="inlineStr">
        <is>
          <t>Andrea Lazaro Garcia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-133</v>
      </c>
      <c r="M1106" s="27" t="n">
        <v>1.75188</v>
      </c>
      <c r="N1106" s="28" t="n">
        <v>0.570815</v>
      </c>
      <c r="O1106" s="28" t="n">
        <v>0.5528</v>
      </c>
      <c r="P1106" s="28" t="n">
        <v>0.05</v>
      </c>
      <c r="Q1106" s="28" t="n">
        <v>-0.018015</v>
      </c>
      <c r="R1106" s="26" t="n">
        <v>11</v>
      </c>
      <c r="S1106" s="29" t="n">
        <v>1</v>
      </c>
      <c r="T1106" s="24" t="inlineStr">
        <is>
          <t>tennis-surface-elo-v1</t>
        </is>
      </c>
      <c r="U1106" s="24" t="inlineStr">
        <is>
          <t>settled</t>
        </is>
      </c>
      <c r="V1106" s="24" t="inlineStr">
        <is>
          <t>win</t>
        </is>
      </c>
      <c r="W1106" s="26" t="n">
        <v>0</v>
      </c>
      <c r="X1106" s="26" t="n">
        <v>1</v>
      </c>
      <c r="Y1106" s="25" t="n"/>
      <c r="Z1106" s="26" t="n">
        <v>-133</v>
      </c>
      <c r="AA1106" s="28" t="n">
        <v>0.57</v>
      </c>
      <c r="AB1106" s="28" t="n">
        <v>-0.000815</v>
      </c>
      <c r="AC1106" s="30" t="n">
        <v>0.7519</v>
      </c>
      <c r="AD1106" s="24" t="inlineStr">
        <is>
          <t>2026-09-17T04:32:54.286665Z</t>
        </is>
      </c>
      <c r="AE1106" s="31" t="inlineStr">
        <is>
          <t>Surface-blended Elo on Hard: Ane Mintegi Del Olmo p=0.447 vs Andrea Lazaro Garcia. Executable ask 0.5700 (aec-wta-andgar-aneolm-2026-09-16).</t>
        </is>
      </c>
      <c r="AF1106" s="31" t="inlineStr">
        <is>
          <t>Surface-blended Elo model; singles only, WTA+ATP market coverage, not yet locked-holdout qualified -- promoted by explicit operator directive, not genuine walk-forward validation.</t>
        </is>
      </c>
      <c r="AG1106" s="24" t="inlineStr">
        <is>
          <t>not_applicable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PAPER_CALL_LOW_EDGE</t>
        </is>
      </c>
      <c r="AP1106" s="24" t="inlineStr">
        <is>
          <t>Ane Mintegi Del Olmo</t>
        </is>
      </c>
      <c r="AQ1106" s="24" t="inlineStr">
        <is>
          <t>Ane Mintegi Del Olmo</t>
        </is>
      </c>
      <c r="AR1106" s="24" t="inlineStr">
        <is>
          <t>Ane Mintegi Del Olmo</t>
        </is>
      </c>
      <c r="AS1106" s="24" t="inlineStr">
        <is>
          <t>Andrea Lazaro Garcia</t>
        </is>
      </c>
      <c r="AT1106" s="24" t="inlineStr">
        <is>
          <t>Andrea Lazaro Garcia</t>
        </is>
      </c>
      <c r="AU1106" s="24" t="inlineStr">
        <is>
          <t>Andrea Lazaro Garcia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6c67e999d2a03612e30f4032c8e5e77e8becfbc79e05f4c8993e726b90d34d54</t>
        </is>
      </c>
      <c r="BB1106" s="24" t="inlineStr">
        <is>
          <t>surface_blended_elo</t>
        </is>
      </c>
      <c r="BC1106" s="24" t="inlineStr">
        <is>
          <t>tennis-surface-elo-v1</t>
        </is>
      </c>
      <c r="BD1106" s="24" t="inlineStr">
        <is>
          <t>6c67e999d2a03612e30f4032c8e5e77e8becfbc79e05f4c8993e726b90d34d54</t>
        </is>
      </c>
      <c r="BE1106" s="24" t="inlineStr">
        <is>
          <t>tennis-surface-elo-v1</t>
        </is>
      </c>
      <c r="BF1106" s="24" t="inlineStr">
        <is>
          <t>1</t>
        </is>
      </c>
      <c r="BG1106" s="24" t="inlineStr">
        <is>
          <t>6c67e999d2a03612e30f4032c8e5e77e8becfbc79e05f4c8993e726b90d34d54</t>
        </is>
      </c>
      <c r="BH1106" s="24" t="inlineStr">
        <is>
          <t>2026-09-16T10:06:12.022915Z</t>
        </is>
      </c>
      <c r="BI1106" s="24" t="inlineStr">
        <is>
          <t>["same_event","same_team_same_day","same_league_same_day"]</t>
        </is>
      </c>
      <c r="BJ1106" s="25" t="n"/>
      <c r="BK1106" s="26" t="n">
        <v>-133</v>
      </c>
      <c r="BL1106" s="27" t="n">
        <v>1.75188</v>
      </c>
      <c r="BM1106" s="28" t="n">
        <v>0.570815</v>
      </c>
      <c r="BN1106" s="28" t="n"/>
      <c r="BO1106" s="28" t="n"/>
      <c r="BP1106" s="25" t="n"/>
      <c r="BQ1106" s="27" t="n">
        <v>1.75188</v>
      </c>
      <c r="BR1106" s="28" t="n">
        <v>0.57</v>
      </c>
      <c r="BS1106" s="28" t="n"/>
      <c r="BT1106" s="28" t="n"/>
      <c r="BU1106" s="25" t="n"/>
      <c r="BV1106" s="29" t="n"/>
      <c r="BW1106" s="24" t="n"/>
      <c r="BX1106" s="30" t="n"/>
      <c r="BY1106" s="27" t="n"/>
      <c r="BZ1106" s="24" t="n"/>
      <c r="CA1106" s="31" t="n"/>
      <c r="CB1106" s="24" t="n"/>
      <c r="CC1106" s="24" t="n"/>
      <c r="CD1106" s="24" t="n"/>
      <c r="CE1106" s="24" t="n"/>
      <c r="CF1106" s="24" t="n"/>
      <c r="CG1106" s="24" t="n"/>
      <c r="CH1106" s="24" t="n"/>
      <c r="CI1106" s="24" t="n"/>
      <c r="CJ1106" s="24" t="n"/>
      <c r="CK1106" s="24" t="n"/>
      <c r="CL1106" s="24" t="n"/>
      <c r="CM1106" s="24" t="n"/>
      <c r="CN1106" s="24" t="n"/>
      <c r="CO1106" s="24" t="n"/>
      <c r="CP1106" s="24" t="n"/>
      <c r="CQ1106" s="24" t="n"/>
      <c r="CR1106" s="24" t="n"/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n"/>
      <c r="CZ1106" s="24" t="n"/>
      <c r="DA1106" s="24" t="n"/>
      <c r="DB1106" s="24" t="n"/>
      <c r="DC1106" s="24" t="n"/>
      <c r="DD1106" s="24" t="inlineStr">
        <is>
          <t>102b8a4701f30ea47c95f59cad26173dd887249f0f1229b5ad200c2f64315b77</t>
        </is>
      </c>
      <c r="DE1106" s="24" t="inlineStr">
        <is>
          <t>/Users/vincentc9002/model-prediction/data/odds/tennis/2026-09-16/polymarket_snapshots.jsonl</t>
        </is>
      </c>
      <c r="DF1106" s="24" t="inlineStr">
        <is>
          <t>893379:2026-09-16T10:06:12.022915Z</t>
        </is>
      </c>
      <c r="DG1106" s="24" t="n"/>
      <c r="DH1106" s="24" t="n"/>
      <c r="DI1106" s="24" t="n"/>
      <c r="DJ1106" s="24" t="inlineStr">
        <is>
          <t>0.570815</t>
        </is>
      </c>
      <c r="DK1106" s="24" t="n"/>
      <c r="DL1106" s="24" t="n"/>
      <c r="DM1106" s="24" t="n"/>
      <c r="DN1106" s="24" t="n"/>
      <c r="DO1106" s="24" t="n"/>
      <c r="DP1106" s="24" t="n"/>
      <c r="DQ1106" s="24" t="inlineStr">
        <is>
          <t>{"artifact_hash": "6c67e999d2a03612e30f4032c8e5e77e8becfbc79e05f4c8993e726b90d34d54", "away_team": "Ane Mintegi Del Olmo", "event_id": "871-2026:183766", "event_start_utc": "2026-09-16T14:30Z", "features": {"elo_p1_surface": 1505.9, "elo_p2_surface": 1562.1, "expected_games_p1": 10.98, "expected_games_p2": 13.14, "expected_total_games": 24.12, "history_matches": 16078, "min_player_matches": 21, "surface": "Hard"}, "historical_source_observation_times_verified": false, "home_team": "Andrea Lazaro Garcia", "inference_inputs": {"code_sha256": {"features/elo_ratings.py": "8525faf022a6343c452286dbfeb17dbb043744c6bdabbe448b6b371216da439b", "models/tennis.py": "6c67e999d2a03612e30f4032c8e5e77e8becfbc79e05f4c8993e726b90d34d54"}, "overall_ratings": [1529.8264124258942, 1549.3532508842266], "players": ["Ane Mintegi Del Olmo", "Andrea Lazaro Garcia"], "sport": "TENNIS", "surface": "Hard", "surface_counts": [14, 34], "surface_ratings": [1505.9452194671446, 1562.05750118783]}, "market_type": "moneyline", "model_version": "tennis-surface-elo-v1", "observed_at_utc": "2026-09-16T10:09:36.005460+00:00", "probabilities": {"away": 0.4472, "home": 0.5528}, "replay_scope": "Exact full-precision serving state and rounding; upstream historical observation times are not certified.", "schema": "coded-moneyline-replay-v1", "snapshot_hash": "f5c14eb6eba2722abad05529378e3600b9af5152d066e16ca08bdae1442e63cd", "sport": "TENNIS"}</t>
        </is>
      </c>
    </row>
    <row r="1107" ht="36" customHeight="1">
      <c r="A1107" s="24" t="inlineStr">
        <is>
          <t>645f0c376810469e</t>
        </is>
      </c>
      <c r="B1107" s="24" t="inlineStr">
        <is>
          <t>2026-09-16T16:24:05.233343Z</t>
        </is>
      </c>
      <c r="C1107" s="24" t="inlineStr">
        <is>
          <t>2026-09-16T20:30Z</t>
        </is>
      </c>
      <c r="D1107" s="24" t="inlineStr">
        <is>
          <t>887-2026:183804</t>
        </is>
      </c>
      <c r="E1107" s="24" t="inlineStr">
        <is>
          <t>TENNIS</t>
        </is>
      </c>
      <c r="F1107" s="24" t="inlineStr">
        <is>
          <t>Iva Jovic</t>
        </is>
      </c>
      <c r="G1107" s="24" t="inlineStr">
        <is>
          <t>Zeynep Sonmez</t>
        </is>
      </c>
      <c r="H1107" s="24" t="inlineStr">
        <is>
          <t>moneyline</t>
        </is>
      </c>
      <c r="I1107" s="24" t="inlineStr">
        <is>
          <t>away</t>
        </is>
      </c>
      <c r="J1107" s="25" t="n"/>
      <c r="K1107" s="24" t="inlineStr">
        <is>
          <t>polymarket_us</t>
        </is>
      </c>
      <c r="L1107" s="26" t="n">
        <v>-376</v>
      </c>
      <c r="M1107" s="27" t="n">
        <v>1.265957</v>
      </c>
      <c r="N1107" s="28" t="n">
        <v>0.789916</v>
      </c>
      <c r="O1107" s="28" t="n">
        <v>0.6452</v>
      </c>
      <c r="P1107" s="28" t="n">
        <v>0.05</v>
      </c>
      <c r="Q1107" s="28" t="n">
        <v>-0.144716</v>
      </c>
      <c r="R1107" s="26" t="n">
        <v>0</v>
      </c>
      <c r="S1107" s="29" t="n">
        <v>1</v>
      </c>
      <c r="T1107" s="24" t="inlineStr">
        <is>
          <t>tennis-surface-elo-v1</t>
        </is>
      </c>
      <c r="U1107" s="24" t="inlineStr">
        <is>
          <t>settled</t>
        </is>
      </c>
      <c r="V1107" s="24" t="inlineStr">
        <is>
          <t>win</t>
        </is>
      </c>
      <c r="W1107" s="26" t="n">
        <v>1</v>
      </c>
      <c r="X1107" s="26" t="n">
        <v>0</v>
      </c>
      <c r="Y1107" s="25" t="n"/>
      <c r="Z1107" s="26" t="n">
        <v>-376</v>
      </c>
      <c r="AA1107" s="28" t="n">
        <v>0.79</v>
      </c>
      <c r="AB1107" s="28" t="n">
        <v>8.4e-05</v>
      </c>
      <c r="AC1107" s="30" t="n">
        <v>0.266</v>
      </c>
      <c r="AD1107" s="24" t="inlineStr">
        <is>
          <t>2026-09-17T04:33:31.025173Z</t>
        </is>
      </c>
      <c r="AE1107" s="31" t="inlineStr">
        <is>
          <t>Surface-blended Elo on Hard: Iva Jovic p=0.645 vs Zeynep Sonmez. Executable ask 0.7900 (aec-wta-zeyson-ivajov-2026-09-16).</t>
        </is>
      </c>
      <c r="AF1107" s="31" t="inlineStr">
        <is>
          <t>Surface-blended Elo model; singles only, WTA+ATP market coverage, not yet locked-holdout qualified -- promoted by explicit operator directive, not genuine walk-forward validation.</t>
        </is>
      </c>
      <c r="AG1107" s="24" t="inlineStr">
        <is>
          <t>not_applicable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PAPER_CALL_LOW_EDGE</t>
        </is>
      </c>
      <c r="AP1107" s="24" t="inlineStr">
        <is>
          <t>Iva Jovic</t>
        </is>
      </c>
      <c r="AQ1107" s="24" t="inlineStr">
        <is>
          <t>Iva Jovic</t>
        </is>
      </c>
      <c r="AR1107" s="24" t="inlineStr">
        <is>
          <t>Iva Jovic</t>
        </is>
      </c>
      <c r="AS1107" s="24" t="inlineStr">
        <is>
          <t>Zeynep Sonmez</t>
        </is>
      </c>
      <c r="AT1107" s="24" t="inlineStr">
        <is>
          <t>Zeynep Sonmez</t>
        </is>
      </c>
      <c r="AU1107" s="24" t="inlineStr">
        <is>
          <t>Zeynep Sonmez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6c67e999d2a03612e30f4032c8e5e77e8becfbc79e05f4c8993e726b90d34d54</t>
        </is>
      </c>
      <c r="BB1107" s="24" t="inlineStr">
        <is>
          <t>surface_blended_elo</t>
        </is>
      </c>
      <c r="BC1107" s="24" t="inlineStr">
        <is>
          <t>tennis-surface-elo-v1</t>
        </is>
      </c>
      <c r="BD1107" s="24" t="inlineStr">
        <is>
          <t>6c67e999d2a03612e30f4032c8e5e77e8becfbc79e05f4c8993e726b90d34d54</t>
        </is>
      </c>
      <c r="BE1107" s="24" t="inlineStr">
        <is>
          <t>tennis-surface-elo-v1</t>
        </is>
      </c>
      <c r="BF1107" s="24" t="inlineStr">
        <is>
          <t>1</t>
        </is>
      </c>
      <c r="BG1107" s="24" t="inlineStr">
        <is>
          <t>6c67e999d2a03612e30f4032c8e5e77e8becfbc79e05f4c8993e726b90d34d54</t>
        </is>
      </c>
      <c r="BH1107" s="24" t="inlineStr">
        <is>
          <t>2026-09-16T10:07:10.086262Z</t>
        </is>
      </c>
      <c r="BI1107" s="24" t="inlineStr">
        <is>
          <t>["same_event","same_team_same_day","same_league_same_day"]</t>
        </is>
      </c>
      <c r="BJ1107" s="25" t="n"/>
      <c r="BK1107" s="26" t="n">
        <v>-376</v>
      </c>
      <c r="BL1107" s="27" t="n">
        <v>1.265957</v>
      </c>
      <c r="BM1107" s="28" t="n">
        <v>0.789916</v>
      </c>
      <c r="BN1107" s="28" t="n"/>
      <c r="BO1107" s="28" t="n"/>
      <c r="BP1107" s="25" t="n"/>
      <c r="BQ1107" s="27" t="n">
        <v>1.265957</v>
      </c>
      <c r="BR1107" s="28" t="n">
        <v>0.79</v>
      </c>
      <c r="BS1107" s="28" t="n"/>
      <c r="BT1107" s="28" t="n"/>
      <c r="BU1107" s="25" t="n"/>
      <c r="BV1107" s="29" t="n"/>
      <c r="BW1107" s="24" t="n"/>
      <c r="BX1107" s="30" t="n"/>
      <c r="BY1107" s="27" t="n"/>
      <c r="BZ1107" s="24" t="n"/>
      <c r="CA1107" s="31" t="n"/>
      <c r="CB1107" s="24" t="n"/>
      <c r="CC1107" s="24" t="n"/>
      <c r="CD1107" s="24" t="n"/>
      <c r="CE1107" s="24" t="n"/>
      <c r="CF1107" s="24" t="n"/>
      <c r="CG1107" s="24" t="n"/>
      <c r="CH1107" s="24" t="n"/>
      <c r="CI1107" s="24" t="n"/>
      <c r="CJ1107" s="24" t="n"/>
      <c r="CK1107" s="24" t="n"/>
      <c r="CL1107" s="24" t="n"/>
      <c r="CM1107" s="24" t="n"/>
      <c r="CN1107" s="24" t="n"/>
      <c r="CO1107" s="24" t="n"/>
      <c r="CP1107" s="24" t="n"/>
      <c r="CQ1107" s="24" t="n"/>
      <c r="CR1107" s="24" t="n"/>
      <c r="CS1107" s="24" t="inlineStr">
        <is>
          <t>False</t>
        </is>
      </c>
      <c r="CT1107" s="24" t="n"/>
      <c r="CU1107" s="24" t="n"/>
      <c r="CV1107" s="24" t="n"/>
      <c r="CW1107" s="24" t="n"/>
      <c r="CX1107" s="24" t="n"/>
      <c r="CY1107" s="24" t="n"/>
      <c r="CZ1107" s="24" t="n"/>
      <c r="DA1107" s="24" t="n"/>
      <c r="DB1107" s="24" t="n"/>
      <c r="DC1107" s="24" t="n"/>
      <c r="DD1107" s="24" t="inlineStr">
        <is>
          <t>11e5a4fbfd48f1b547cfb967250c2d2cb0e14956def9356e688878b60a0ae16d</t>
        </is>
      </c>
      <c r="DE1107" s="24" t="inlineStr">
        <is>
          <t>/Users/vincentc9002/model-prediction/data/odds/tennis/2026-09-16/polymarket_snapshots.jsonl</t>
        </is>
      </c>
      <c r="DF1107" s="24" t="inlineStr">
        <is>
          <t>881850:2026-09-16T10:07:10.086262Z</t>
        </is>
      </c>
      <c r="DG1107" s="24" t="n"/>
      <c r="DH1107" s="24" t="n"/>
      <c r="DI1107" s="24" t="n"/>
      <c r="DJ1107" s="24" t="inlineStr">
        <is>
          <t>0.789916</t>
        </is>
      </c>
      <c r="DK1107" s="24" t="n"/>
      <c r="DL1107" s="24" t="n"/>
      <c r="DM1107" s="24" t="n"/>
      <c r="DN1107" s="24" t="n"/>
      <c r="DO1107" s="24" t="n"/>
      <c r="DP1107" s="24" t="n"/>
      <c r="DQ1107" s="24" t="inlineStr">
        <is>
          <t>{"artifact_hash": "6c67e999d2a03612e30f4032c8e5e77e8becfbc79e05f4c8993e726b90d34d54", "away_team": "Iva Jovic", "event_id": "887-2026:183804", "event_start_utc": "2026-09-16T20:30Z", "features": {"elo_p1_surface": 1762.0, "elo_p2_surface": 1663.5, "expected_games_p1": 13.44, "expected_games_p2": 9.06, "expected_total_games": 22.5, "history_matches": 16078, "min_player_matches": 98,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[1819.8318516032666, 1706.7830939329885], "players": ["Iva Jovic", "Zeynep Sonmez"], "sport": "TENNIS", "surface": "Hard", "surface_counts": [80, 107], "surface_ratings": [1761.983306537278, 1663.4969104280074]}, "market_type": "moneyline", "model_version": "tennis-surface-elo-v1", "observed_at_utc": "2026-09-16T16:24:03.598331+00:00", "probabilities": {"away": 0.6452, "home": 0.3548}, "replay_scope": "Exact full-precision serving state and rounding; upstream historical observation times are not certified.", "schema": "coded-moneyline-replay-v1", "snapshot_hash": "46844bde4d0ba9e2c0ae5505076f2c3a4d7961fe27fd73b06c6964354edac5f9", "sport": "TENNIS"}</t>
        </is>
      </c>
    </row>
    <row r="1108" ht="36" customHeight="1">
      <c r="A1108" s="24" t="inlineStr">
        <is>
          <t>0ee9a80b172c4919</t>
        </is>
      </c>
      <c r="B1108" s="24" t="inlineStr">
        <is>
          <t>2026-09-17T04:45:24.984654Z</t>
        </is>
      </c>
      <c r="C1108" s="24" t="inlineStr">
        <is>
          <t>2026-09-17T09:30Z</t>
        </is>
      </c>
      <c r="D1108" s="24" t="inlineStr">
        <is>
          <t>786-2026:183676</t>
        </is>
      </c>
      <c r="E1108" s="24" t="inlineStr">
        <is>
          <t>TENNIS</t>
        </is>
      </c>
      <c r="F1108" s="24" t="inlineStr">
        <is>
          <t>Ekaterine Gorgodze</t>
        </is>
      </c>
      <c r="G1108" s="24" t="inlineStr">
        <is>
          <t>Noemi Basiletti</t>
        </is>
      </c>
      <c r="H1108" s="24" t="inlineStr">
        <is>
          <t>moneyline</t>
        </is>
      </c>
      <c r="I1108" s="24" t="inlineStr">
        <is>
          <t>home</t>
        </is>
      </c>
      <c r="J1108" s="25" t="n"/>
      <c r="K1108" s="24" t="inlineStr">
        <is>
          <t>polymarket_us</t>
        </is>
      </c>
      <c r="L1108" s="26" t="n">
        <v>-144</v>
      </c>
      <c r="M1108" s="27" t="n">
        <v>1.694444</v>
      </c>
      <c r="N1108" s="28" t="n">
        <v>0.590164</v>
      </c>
      <c r="O1108" s="28" t="n">
        <v>0.533</v>
      </c>
      <c r="P1108" s="28" t="n">
        <v>0.05</v>
      </c>
      <c r="Q1108" s="28" t="n">
        <v>-0.057164</v>
      </c>
      <c r="R1108" s="26" t="n">
        <v>0</v>
      </c>
      <c r="S1108" s="29" t="n">
        <v>1</v>
      </c>
      <c r="T1108" s="24" t="inlineStr">
        <is>
          <t>tennis-surface-elo-v1</t>
        </is>
      </c>
      <c r="U1108" s="24" t="inlineStr">
        <is>
          <t>settled</t>
        </is>
      </c>
      <c r="V1108" s="24" t="inlineStr">
        <is>
          <t>win</t>
        </is>
      </c>
      <c r="W1108" s="26" t="n">
        <v>0</v>
      </c>
      <c r="X1108" s="26" t="n">
        <v>1</v>
      </c>
      <c r="Y1108" s="25" t="n"/>
      <c r="Z1108" s="26" t="n">
        <v>-144</v>
      </c>
      <c r="AA1108" s="28" t="n">
        <v>0.59</v>
      </c>
      <c r="AB1108" s="28" t="n">
        <v>-0.000164</v>
      </c>
      <c r="AC1108" s="30" t="n">
        <v>0.6944</v>
      </c>
      <c r="AD1108" s="24" t="inlineStr">
        <is>
          <t>2026-09-18T10:12:46.103793Z</t>
        </is>
      </c>
      <c r="AE1108" s="31" t="inlineStr">
        <is>
          <t>Surface-blended Elo on Hard: Ekaterine Gorgodze p=0.467 vs Noemi Basiletti. Executable ask 0.5900 (aec-wta-noebas-ekagor-2026-09-17).</t>
        </is>
      </c>
      <c r="AF1108" s="31" t="inlineStr">
        <is>
          <t>Surface-blended Elo model; singles only, WTA+ATP market coverage, not yet locked-holdout qualified -- promoted by explicit operator directive, not genuine walk-forward validation.</t>
        </is>
      </c>
      <c r="AG1108" s="24" t="inlineStr">
        <is>
          <t>not_applicable</t>
        </is>
      </c>
      <c r="AH1108" s="24" t="n"/>
      <c r="AI1108" s="31" t="n"/>
      <c r="AJ1108" s="31" t="n"/>
      <c r="AK1108" s="24" t="inlineStr">
        <is>
          <t>paper_call</t>
        </is>
      </c>
      <c r="AL1108" s="26" t="n">
        <v>4</v>
      </c>
      <c r="AM1108" s="24" t="inlineStr">
        <is>
          <t>RESEARCH_OBSERVATION</t>
        </is>
      </c>
      <c r="AN1108" s="24" t="inlineStr">
        <is>
          <t>CALL</t>
        </is>
      </c>
      <c r="AO1108" s="24" t="inlineStr">
        <is>
          <t>PAPER_CALL_LOW_EDGE</t>
        </is>
      </c>
      <c r="AP1108" s="24" t="inlineStr">
        <is>
          <t>Ekaterine Gorgodze</t>
        </is>
      </c>
      <c r="AQ1108" s="24" t="inlineStr">
        <is>
          <t>Ekaterine Gorgodze</t>
        </is>
      </c>
      <c r="AR1108" s="24" t="inlineStr">
        <is>
          <t>Ekaterine Gorgodze</t>
        </is>
      </c>
      <c r="AS1108" s="24" t="inlineStr">
        <is>
          <t>Noemi Basiletti</t>
        </is>
      </c>
      <c r="AT1108" s="24" t="inlineStr">
        <is>
          <t>Noemi Basiletti</t>
        </is>
      </c>
      <c r="AU1108" s="24" t="inlineStr">
        <is>
          <t>Noemi Basiletti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shadow_qualified</t>
        </is>
      </c>
      <c r="BA1108" s="24" t="inlineStr">
        <is>
          <t>6c67e999d2a03612e30f4032c8e5e77e8becfbc79e05f4c8993e726b90d34d54</t>
        </is>
      </c>
      <c r="BB1108" s="24" t="inlineStr">
        <is>
          <t>surface_blended_elo</t>
        </is>
      </c>
      <c r="BC1108" s="24" t="inlineStr">
        <is>
          <t>tennis-surface-elo-v1</t>
        </is>
      </c>
      <c r="BD1108" s="24" t="inlineStr">
        <is>
          <t>6c67e999d2a03612e30f4032c8e5e77e8becfbc79e05f4c8993e726b90d34d54</t>
        </is>
      </c>
      <c r="BE1108" s="24" t="inlineStr">
        <is>
          <t>tennis-surface-elo-v1</t>
        </is>
      </c>
      <c r="BF1108" s="24" t="inlineStr">
        <is>
          <t>1</t>
        </is>
      </c>
      <c r="BG1108" s="24" t="inlineStr">
        <is>
          <t>6c67e999d2a03612e30f4032c8e5e77e8becfbc79e05f4c8993e726b90d34d54</t>
        </is>
      </c>
      <c r="BH1108" s="24" t="inlineStr">
        <is>
          <t>2026-09-17T04:41:41.294273Z</t>
        </is>
      </c>
      <c r="BI1108" s="24" t="inlineStr">
        <is>
          <t>["same_event","same_team_same_day","same_league_same_day"]</t>
        </is>
      </c>
      <c r="BJ1108" s="25" t="n"/>
      <c r="BK1108" s="26" t="n">
        <v>-144</v>
      </c>
      <c r="BL1108" s="27" t="n">
        <v>1.694444</v>
      </c>
      <c r="BM1108" s="28" t="n">
        <v>0.590164</v>
      </c>
      <c r="BN1108" s="28" t="n"/>
      <c r="BO1108" s="28" t="n"/>
      <c r="BP1108" s="25" t="n"/>
      <c r="BQ1108" s="27" t="n">
        <v>1.694444</v>
      </c>
      <c r="BR1108" s="28" t="n">
        <v>0.59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n"/>
      <c r="CU1108" s="24" t="n"/>
      <c r="CV1108" s="24" t="n"/>
      <c r="CW1108" s="24" t="n"/>
      <c r="CX1108" s="24" t="n"/>
      <c r="CY1108" s="24" t="n"/>
      <c r="CZ1108" s="24" t="n"/>
      <c r="DA1108" s="24" t="n"/>
      <c r="DB1108" s="24" t="n"/>
      <c r="DC1108" s="24" t="n"/>
      <c r="DD1108" s="24" t="inlineStr">
        <is>
          <t>9ddd995073ddc35529c1fcdfeac011307fdc701d9150936344e0c7753ddd4c22</t>
        </is>
      </c>
      <c r="DE1108" s="24" t="inlineStr">
        <is>
          <t>/Users/vincentc9002/model-prediction/data/odds/tennis/2026-09-17/polymarket_snapshots.jsonl</t>
        </is>
      </c>
      <c r="DF1108" s="24" t="inlineStr">
        <is>
          <t>910655:2026-09-17T04:41:41.294273Z</t>
        </is>
      </c>
      <c r="DG1108" s="24" t="n"/>
      <c r="DH1108" s="24" t="n"/>
      <c r="DI1108" s="24" t="n"/>
      <c r="DJ1108" s="24" t="inlineStr">
        <is>
          <t>0.590164</t>
        </is>
      </c>
      <c r="DK1108" s="24" t="n"/>
      <c r="DL1108" s="24" t="n"/>
      <c r="DM1108" s="24" t="n"/>
      <c r="DN1108" s="24" t="n"/>
      <c r="DO1108" s="24" t="n"/>
      <c r="DP1108" s="24" t="n"/>
      <c r="DQ1108" s="24" t="inlineStr">
        <is>
          <t>{"artifact_hash": "6c67e999d2a03612e30f4032c8e5e77e8becfbc79e05f4c8993e726b90d34d54", "away_team": "Ekaterine Gorgodze", "event_id": "786-2026:183676", "event_start_utc": "2026-09-17T09:30Z", "features": {"elo_p1_surface": 1510.6, "elo_p2_surface": 1531.6, "expected_games_p1": 12.04, "expected_games_p2": 12.67, "expected_total_games": 24.71, "history_matches": 16111, "min_player_matches": 20,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[1529.3795379729786, 1544.3781021650343], "players": ["Ekaterine Gorgodze", "Noemi Basiletti"], "sport": "TENNIS", "surface": "Hard", "surface_counts": [61, 12], "surface_ratings": [1510.5839468396296, 1531.6083159651664]}, "market_type": "moneyline", "model_version": "tennis-surface-elo-v1", "observed_at_utc": "2026-09-17T04:45:23.875403+00:00", "probabilities": {"away": 0.467, "home": 0.533}, "replay_scope": "Exact full-precision serving state and rounding; upstream historical observation times are not certified.", "schema": "coded-moneyline-replay-v1", "snapshot_hash": "68619af6eb682443e01dacf023622749e5ca359b61e8559395fab4234a0c7266", "sport": "TENNIS"}</t>
        </is>
      </c>
    </row>
    <row r="1109" ht="36" customHeight="1">
      <c r="A1109" s="24" t="inlineStr">
        <is>
          <t>b383ce5d3acd468c</t>
        </is>
      </c>
      <c r="B1109" s="24" t="inlineStr">
        <is>
          <t>2026-09-17T10:10:34.406250Z</t>
        </is>
      </c>
      <c r="C1109" s="24" t="inlineStr">
        <is>
          <t>2026-09-17T15:00Z</t>
        </is>
      </c>
      <c r="D1109" s="24" t="inlineStr">
        <is>
          <t>1005-2026:183829</t>
        </is>
      </c>
      <c r="E1109" s="24" t="inlineStr">
        <is>
          <t>TENNIS</t>
        </is>
      </c>
      <c r="F1109" s="24" t="inlineStr">
        <is>
          <t>Alina Charaeva</t>
        </is>
      </c>
      <c r="G1109" s="24" t="inlineStr">
        <is>
          <t>Elina Avanesyan</t>
        </is>
      </c>
      <c r="H1109" s="24" t="inlineStr">
        <is>
          <t>moneyline</t>
        </is>
      </c>
      <c r="I1109" s="24" t="inlineStr">
        <is>
          <t>away</t>
        </is>
      </c>
      <c r="J1109" s="25" t="n"/>
      <c r="K1109" s="24" t="inlineStr">
        <is>
          <t>polymarket_us</t>
        </is>
      </c>
      <c r="L1109" s="26" t="n">
        <v>122</v>
      </c>
      <c r="M1109" s="27" t="n">
        <v>2.22</v>
      </c>
      <c r="N1109" s="28" t="n">
        <v>0.45045</v>
      </c>
      <c r="O1109" s="28" t="n">
        <v>0.5974</v>
      </c>
      <c r="P1109" s="28" t="n">
        <v>0.05</v>
      </c>
      <c r="Q1109" s="28" t="n">
        <v>0.14695</v>
      </c>
      <c r="R1109" s="26" t="n">
        <v>93</v>
      </c>
      <c r="S1109" s="29" t="n">
        <v>1.75</v>
      </c>
      <c r="T1109" s="24" t="inlineStr">
        <is>
          <t>tennis-surface-elo-v1</t>
        </is>
      </c>
      <c r="U1109" s="24" t="inlineStr">
        <is>
          <t>settled</t>
        </is>
      </c>
      <c r="V1109" s="24" t="inlineStr">
        <is>
          <t>win</t>
        </is>
      </c>
      <c r="W1109" s="26" t="n">
        <v>1</v>
      </c>
      <c r="X1109" s="26" t="n">
        <v>0</v>
      </c>
      <c r="Y1109" s="25" t="n"/>
      <c r="Z1109" s="26" t="n">
        <v>122</v>
      </c>
      <c r="AA1109" s="28" t="n">
        <v>0.45</v>
      </c>
      <c r="AB1109" s="28" t="n">
        <v>-0.00045</v>
      </c>
      <c r="AC1109" s="30" t="n">
        <v>2.135</v>
      </c>
      <c r="AD1109" s="24" t="inlineStr">
        <is>
          <t>2026-09-17T22:00:33.713793Z</t>
        </is>
      </c>
      <c r="AE1109" s="31" t="inlineStr">
        <is>
          <t>Surface-blended Elo on Hard: Alina Charaeva p=0.597 vs Elina Avanesyan. Executable ask 0.4500 (aec-wta-eliava-alicha-2026-09-17).</t>
        </is>
      </c>
      <c r="AF1109" s="31" t="inlineStr">
        <is>
          <t>Surface-blended Elo model; singles only, WTA+ATP market coverage, not yet locked-holdout qualified -- promoted by explicit operator directive, not genuine walk-forward validation.</t>
        </is>
      </c>
      <c r="AG1109" s="24" t="inlineStr">
        <is>
          <t>not_applicable</t>
        </is>
      </c>
      <c r="AH1109" s="24" t="n"/>
      <c r="AI1109" s="31" t="n"/>
      <c r="AJ1109" s="31" t="n"/>
      <c r="AK1109" s="24" t="inlineStr">
        <is>
          <t>model_qualified</t>
        </is>
      </c>
      <c r="AL1109" s="26" t="n">
        <v>4</v>
      </c>
      <c r="AM1109" s="24" t="inlineStr">
        <is>
          <t>QUALIFIED_SHADOW_CALL</t>
        </is>
      </c>
      <c r="AN1109" s="24" t="inlineStr">
        <is>
          <t>CALL</t>
        </is>
      </c>
      <c r="AO1109" s="24" t="inlineStr">
        <is>
          <t>QUALIFIED</t>
        </is>
      </c>
      <c r="AP1109" s="24" t="inlineStr">
        <is>
          <t>Alina Charaeva</t>
        </is>
      </c>
      <c r="AQ1109" s="24" t="inlineStr">
        <is>
          <t>Alina Charaeva</t>
        </is>
      </c>
      <c r="AR1109" s="24" t="inlineStr">
        <is>
          <t>Alina Charaeva</t>
        </is>
      </c>
      <c r="AS1109" s="24" t="inlineStr">
        <is>
          <t>Elina Avanesyan</t>
        </is>
      </c>
      <c r="AT1109" s="24" t="inlineStr">
        <is>
          <t>Elina Avanesyan</t>
        </is>
      </c>
      <c r="AU1109" s="24" t="inlineStr">
        <is>
          <t>Elina Avanesyan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shadow_qualified</t>
        </is>
      </c>
      <c r="BA1109" s="24" t="inlineStr">
        <is>
          <t>6c67e999d2a03612e30f4032c8e5e77e8becfbc79e05f4c8993e726b90d34d54</t>
        </is>
      </c>
      <c r="BB1109" s="24" t="inlineStr">
        <is>
          <t>surface_blended_elo</t>
        </is>
      </c>
      <c r="BC1109" s="24" t="inlineStr">
        <is>
          <t>tennis-surface-elo-v1</t>
        </is>
      </c>
      <c r="BD1109" s="24" t="inlineStr">
        <is>
          <t>6c67e999d2a03612e30f4032c8e5e77e8becfbc79e05f4c8993e726b90d34d54</t>
        </is>
      </c>
      <c r="BE1109" s="24" t="inlineStr">
        <is>
          <t>tennis-surface-elo-v1</t>
        </is>
      </c>
      <c r="BF1109" s="24" t="inlineStr">
        <is>
          <t>1</t>
        </is>
      </c>
      <c r="BG1109" s="24" t="inlineStr">
        <is>
          <t>6c67e999d2a03612e30f4032c8e5e77e8becfbc79e05f4c8993e726b90d34d54</t>
        </is>
      </c>
      <c r="BH1109" s="24" t="inlineStr">
        <is>
          <t>2026-09-17T10:07:26.172929Z</t>
        </is>
      </c>
      <c r="BI1109" s="24" t="inlineStr">
        <is>
          <t>["same_event","same_team_same_day","same_league_same_day"]</t>
        </is>
      </c>
      <c r="BJ1109" s="25" t="n"/>
      <c r="BK1109" s="26" t="n">
        <v>122</v>
      </c>
      <c r="BL1109" s="27" t="n">
        <v>2.22</v>
      </c>
      <c r="BM1109" s="28" t="n">
        <v>0.45045</v>
      </c>
      <c r="BN1109" s="28" t="n"/>
      <c r="BO1109" s="28" t="n"/>
      <c r="BP1109" s="25" t="n"/>
      <c r="BQ1109" s="27" t="n">
        <v>2.22</v>
      </c>
      <c r="BR1109" s="28" t="n">
        <v>0.45</v>
      </c>
      <c r="BS1109" s="28" t="n"/>
      <c r="BT1109" s="28" t="n"/>
      <c r="BU1109" s="25" t="n"/>
      <c r="BV1109" s="29" t="n"/>
      <c r="BW1109" s="24" t="n"/>
      <c r="BX1109" s="30" t="n"/>
      <c r="BY1109" s="27" t="n"/>
      <c r="BZ1109" s="24" t="n"/>
      <c r="CA1109" s="31" t="n"/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True</t>
        </is>
      </c>
      <c r="CT1109" s="24" t="n"/>
      <c r="CU1109" s="24" t="n"/>
      <c r="CV1109" s="24" t="n"/>
      <c r="CW1109" s="24" t="n"/>
      <c r="CX1109" s="24" t="n"/>
      <c r="CY1109" s="24" t="n"/>
      <c r="CZ1109" s="24" t="n"/>
      <c r="DA1109" s="24" t="n"/>
      <c r="DB1109" s="24" t="n"/>
      <c r="DC1109" s="24" t="n"/>
      <c r="DD1109" s="24" t="inlineStr">
        <is>
          <t>5eaa8f0b8ba8f74971dc7932635ce74ae39a33fef2a297302fed2bd09c79a400</t>
        </is>
      </c>
      <c r="DE1109" s="24" t="inlineStr">
        <is>
          <t>/Users/vincentc9002/model-prediction/data/odds/tennis/2026-09-17/polymarket_snapshots.jsonl</t>
        </is>
      </c>
      <c r="DF1109" s="24" t="inlineStr">
        <is>
          <t>916235:2026-09-17T10:07:26.172929Z</t>
        </is>
      </c>
      <c r="DG1109" s="24" t="n"/>
      <c r="DH1109" s="24" t="n"/>
      <c r="DI1109" s="24" t="n"/>
      <c r="DJ1109" s="24" t="inlineStr">
        <is>
          <t>0.45045</t>
        </is>
      </c>
      <c r="DK1109" s="24" t="n"/>
      <c r="DL1109" s="24" t="n"/>
      <c r="DM1109" s="24" t="n"/>
      <c r="DN1109" s="24" t="n"/>
      <c r="DO1109" s="24" t="n"/>
      <c r="DP1109" s="24" t="n"/>
      <c r="DQ1109" s="24" t="inlineStr">
        <is>
          <t>{"artifact_hash": "6c67e999d2a03612e30f4032c8e5e77e8becfbc79e05f4c8993e726b90d34d54", "away_team": "Alina Charaeva", "event_id": "1005-2026:183829", "event_start_utc": "2026-09-17T15:00Z", "features": {"elo_p1_surface": 1627.1, "elo_p2_surface": 1553.2, "expected_games_p1": 13.44, "expected_games_p2": 9.95, "expected_total_games": 23.39, "history_matches": 16111, "min_player_matches": 95, "surface": "Hard"}, "historical_source_observation_times_verified": false, "home_team": "Elina Avanesyan", "inference_inputs": {"code_sha256": {"features/elo_ratings.py": "8525faf022a6343c452286dbfeb17dbb043744c6bdabbe448b6b371216da439b", "models/tennis.py": "6c67e999d2a03612e30f4032c8e5e77e8becfbc79e05f4c8993e726b90d34d54"}, "overall_ratings": [1644.9146759873972, 1591.0578698096513], "players": ["Alina Charaeva", "Elina Avanesyan"], "sport": "TENNIS", "surface": "Hard", "surface_counts": [81, 89], "surface_ratings": [1627.066397469127, 1553.237598105374]}, "market_type": "moneyline", "model_version": "tennis-surface-elo-v1", "observed_at_utc": "2026-09-17T10:10:33.619879+00:00", "probabilities": {"away": 0.5974, "home": 0.4026}, "replay_scope": "Exact full-precision serving state and rounding; upstream historical observation times are not certified.", "schema": "coded-moneyline-replay-v1", "snapshot_hash": "f36c7e69b31a5888495639d847a7ff1b8638830134c3c42c994797c1cbe37e7b", "sport": "TENNIS"}</t>
        </is>
      </c>
    </row>
    <row r="1110" ht="36" customHeight="1">
      <c r="A1110" s="24" t="inlineStr">
        <is>
          <t>cb394ecb06be49bd</t>
        </is>
      </c>
      <c r="B1110" s="24" t="inlineStr">
        <is>
          <t>2026-09-17T10:10:34.406250Z</t>
        </is>
      </c>
      <c r="C1110" s="24" t="inlineStr">
        <is>
          <t>2026-09-17T11:00Z</t>
        </is>
      </c>
      <c r="D1110" s="24" t="inlineStr">
        <is>
          <t>1024-2026:183719</t>
        </is>
      </c>
      <c r="E1110" s="24" t="inlineStr">
        <is>
          <t>TENNIS</t>
        </is>
      </c>
      <c r="F1110" s="24" t="inlineStr">
        <is>
          <t>Elena Malygina</t>
        </is>
      </c>
      <c r="G1110" s="24" t="inlineStr">
        <is>
          <t>Jeline Vandromme</t>
        </is>
      </c>
      <c r="H1110" s="24" t="inlineStr">
        <is>
          <t>moneyline</t>
        </is>
      </c>
      <c r="I1110" s="24" t="inlineStr">
        <is>
          <t>home</t>
        </is>
      </c>
      <c r="J1110" s="25" t="n"/>
      <c r="K1110" s="24" t="inlineStr">
        <is>
          <t>polymarket_us</t>
        </is>
      </c>
      <c r="L1110" s="26" t="n">
        <v>-809</v>
      </c>
      <c r="M1110" s="27" t="n">
        <v>1.123609</v>
      </c>
      <c r="N1110" s="28" t="n">
        <v>0.889989</v>
      </c>
      <c r="O1110" s="28" t="n">
        <v>0.6157</v>
      </c>
      <c r="P1110" s="28" t="n">
        <v>0.05</v>
      </c>
      <c r="Q1110" s="28" t="n">
        <v>-0.274289</v>
      </c>
      <c r="R1110" s="26" t="n">
        <v>0</v>
      </c>
      <c r="S1110" s="29" t="n">
        <v>1</v>
      </c>
      <c r="T1110" s="24" t="inlineStr">
        <is>
          <t>tennis-surface-elo-v1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1</v>
      </c>
      <c r="Y1110" s="25" t="n"/>
      <c r="Z1110" s="26" t="n">
        <v>-809</v>
      </c>
      <c r="AA1110" s="28" t="n">
        <v>0.89</v>
      </c>
      <c r="AB1110" s="28" t="n">
        <v>1.1e-05</v>
      </c>
      <c r="AC1110" s="30" t="n">
        <v>0.1236</v>
      </c>
      <c r="AD1110" s="24" t="inlineStr">
        <is>
          <t>2026-09-17T22:00:34.199309Z</t>
        </is>
      </c>
      <c r="AE1110" s="31" t="inlineStr">
        <is>
          <t>Surface-blended Elo on Hard: Elena Malygina p=0.384 vs Jeline Vandromme. Executable ask 0.8900 (aec-wta-jelvan-elemal-2026-09-16).</t>
        </is>
      </c>
      <c r="AF1110" s="31" t="inlineStr">
        <is>
          <t>Surface-blended Elo model; singles only, WTA+ATP market coverage, not yet locked-holdout qualified -- promoted by explicit operator directive, not genuine walk-forward validation.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paper_call</t>
        </is>
      </c>
      <c r="AL1110" s="26" t="n">
        <v>4</v>
      </c>
      <c r="AM1110" s="24" t="inlineStr">
        <is>
          <t>RESEARCH_OBSERVATION</t>
        </is>
      </c>
      <c r="AN1110" s="24" t="inlineStr">
        <is>
          <t>CALL</t>
        </is>
      </c>
      <c r="AO1110" s="24" t="inlineStr">
        <is>
          <t>PAPER_CALL_LOW_EDGE</t>
        </is>
      </c>
      <c r="AP1110" s="24" t="inlineStr">
        <is>
          <t>Elena Malygina</t>
        </is>
      </c>
      <c r="AQ1110" s="24" t="inlineStr">
        <is>
          <t>Elena Malygina</t>
        </is>
      </c>
      <c r="AR1110" s="24" t="inlineStr">
        <is>
          <t>Elena Malygina</t>
        </is>
      </c>
      <c r="AS1110" s="24" t="inlineStr">
        <is>
          <t>Jeline Vandromme</t>
        </is>
      </c>
      <c r="AT1110" s="24" t="inlineStr">
        <is>
          <t>Jeline Vandromme</t>
        </is>
      </c>
      <c r="AU1110" s="24" t="inlineStr">
        <is>
          <t>Jeline Vandromme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shadow_qualified</t>
        </is>
      </c>
      <c r="BA1110" s="24" t="inlineStr">
        <is>
          <t>6c67e999d2a03612e30f4032c8e5e77e8becfbc79e05f4c8993e726b90d34d54</t>
        </is>
      </c>
      <c r="BB1110" s="24" t="inlineStr">
        <is>
          <t>surface_blended_elo</t>
        </is>
      </c>
      <c r="BC1110" s="24" t="inlineStr">
        <is>
          <t>tennis-surface-elo-v1</t>
        </is>
      </c>
      <c r="BD1110" s="24" t="inlineStr">
        <is>
          <t>6c67e999d2a03612e30f4032c8e5e77e8becfbc79e05f4c8993e726b90d34d54</t>
        </is>
      </c>
      <c r="BE1110" s="24" t="inlineStr">
        <is>
          <t>tennis-surface-elo-v1</t>
        </is>
      </c>
      <c r="BF1110" s="24" t="inlineStr">
        <is>
          <t>1</t>
        </is>
      </c>
      <c r="BG1110" s="24" t="inlineStr">
        <is>
          <t>6c67e999d2a03612e30f4032c8e5e77e8becfbc79e05f4c8993e726b90d34d54</t>
        </is>
      </c>
      <c r="BH1110" s="24" t="inlineStr">
        <is>
          <t>2026-09-17T04:41:41.363642Z</t>
        </is>
      </c>
      <c r="BI1110" s="24" t="inlineStr">
        <is>
          <t>["same_event","same_team_same_day","same_league_same_day"]</t>
        </is>
      </c>
      <c r="BJ1110" s="25" t="n"/>
      <c r="BK1110" s="26" t="n">
        <v>-809</v>
      </c>
      <c r="BL1110" s="27" t="n">
        <v>1.123609</v>
      </c>
      <c r="BM1110" s="28" t="n">
        <v>0.889989</v>
      </c>
      <c r="BN1110" s="28" t="n"/>
      <c r="BO1110" s="28" t="n"/>
      <c r="BP1110" s="25" t="n"/>
      <c r="BQ1110" s="27" t="n">
        <v>1.123609</v>
      </c>
      <c r="BR1110" s="28" t="n">
        <v>0.89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False</t>
        </is>
      </c>
      <c r="CT1110" s="24" t="n"/>
      <c r="CU1110" s="24" t="n"/>
      <c r="CV1110" s="24" t="n"/>
      <c r="CW1110" s="24" t="n"/>
      <c r="CX1110" s="24" t="n"/>
      <c r="CY1110" s="24" t="n"/>
      <c r="CZ1110" s="24" t="n"/>
      <c r="DA1110" s="24" t="n"/>
      <c r="DB1110" s="24" t="n"/>
      <c r="DC1110" s="24" t="n"/>
      <c r="DD1110" s="24" t="inlineStr">
        <is>
          <t>2d6e484cda74ae3852c01702f59490ba8ff9e7d37b3581e6183c544f27a765ba</t>
        </is>
      </c>
      <c r="DE1110" s="24" t="inlineStr">
        <is>
          <t>/Users/vincentc9002/model-prediction/data/odds/tennis/2026-09-17/polymarket_snapshots.jsonl</t>
        </is>
      </c>
      <c r="DF1110" s="24" t="inlineStr">
        <is>
          <t>900024:2026-09-17T04:41:41.363642Z</t>
        </is>
      </c>
      <c r="DG1110" s="24" t="n"/>
      <c r="DH1110" s="24" t="n"/>
      <c r="DI1110" s="24" t="n"/>
      <c r="DJ1110" s="24" t="inlineStr">
        <is>
          <t>0.889989</t>
        </is>
      </c>
      <c r="DK1110" s="24" t="n"/>
      <c r="DL1110" s="24" t="n"/>
      <c r="DM1110" s="24" t="n"/>
      <c r="DN1110" s="24" t="n"/>
      <c r="DO1110" s="24" t="n"/>
      <c r="DP1110" s="24" t="n"/>
      <c r="DQ1110" s="24" t="inlineStr">
        <is>
          <t>{"artifact_hash": "6c67e999d2a03612e30f4032c8e5e77e8becfbc79e05f4c8993e726b90d34d54", "away_team": "Elena Malygina", "event_id": "1024-2026:183719", "event_start_utc": "2026-09-17T11:00Z", "features": {"elo_p1_surface": 1504.1, "elo_p2_surface": 1578.7, "expected_games_p1": 10.35, "expected_games_p2": 13.25, "expected_total_games": 23.61, "history_matches": 16111, "min_player_matches": 12, "surface": "Hard"}, "historical_source_observation_times_verified": false, "home_team": "Jeline Vandromme", "inference_inputs": {"code_sha256": {"features/elo_ratings.py": "8525faf022a6343c452286dbfeb17dbb043744c6bdabbe448b6b371216da439b", "models/tennis.py": "6c67e999d2a03612e30f4032c8e5e77e8becfbc79e05f4c8993e726b90d34d54"}, "overall_ratings": [1500.5236722979291, 1587.375242361053], "players": ["Elena Malygina", "Jeline Vandromme"], "sport": "TENNIS", "surface": "Hard", "surface_counts": [8, 17], "surface_ratings": [1504.1161664832184, 1578.7340927717078]}, "market_type": "moneyline", "model_version": "tennis-surface-elo-v1", "observed_at_utc": "2026-09-17T10:10:33.619879+00:00", "probabilities": {"away": 0.3843, "home": 0.6157}, "replay_scope": "Exact full-precision serving state and rounding; upstream historical observation times are not certified.", "schema": "coded-moneyline-replay-v1", "snapshot_hash": "50d67b5fc4b51db97c7f5dbee555d1c71b25980a01a8658fb1590f5373445d22", "sport": "TENNIS"}</t>
        </is>
      </c>
    </row>
    <row r="1111" ht="36" customHeight="1">
      <c r="A1111" s="24" t="inlineStr">
        <is>
          <t>2b864a4d77ec4ca8</t>
        </is>
      </c>
      <c r="B1111" s="24" t="inlineStr">
        <is>
          <t>2026-09-18T10:34:42.554769Z</t>
        </is>
      </c>
      <c r="C1111" s="24" t="inlineStr">
        <is>
          <t>2026-09-18T15:00Z</t>
        </is>
      </c>
      <c r="D1111" s="24" t="inlineStr">
        <is>
          <t>1024-2026:183725</t>
        </is>
      </c>
      <c r="E1111" s="24" t="inlineStr">
        <is>
          <t>TENNIS</t>
        </is>
      </c>
      <c r="F1111" s="24" t="inlineStr">
        <is>
          <t>Lisa Pigato</t>
        </is>
      </c>
      <c r="G1111" s="24" t="inlineStr">
        <is>
          <t>Susan Bandecchi</t>
        </is>
      </c>
      <c r="H1111" s="24" t="inlineStr">
        <is>
          <t>moneyline</t>
        </is>
      </c>
      <c r="I1111" s="24" t="inlineStr">
        <is>
          <t>home</t>
        </is>
      </c>
      <c r="J1111" s="25" t="n"/>
      <c r="K1111" s="24" t="inlineStr">
        <is>
          <t>polymarket_us</t>
        </is>
      </c>
      <c r="L1111" s="26" t="n">
        <v>-186</v>
      </c>
      <c r="M1111" s="27" t="n">
        <v>1.537634</v>
      </c>
      <c r="N1111" s="28" t="n">
        <v>0.65035</v>
      </c>
      <c r="O1111" s="28" t="n">
        <v>0.5394</v>
      </c>
      <c r="P1111" s="28" t="n">
        <v>0.05</v>
      </c>
      <c r="Q1111" s="28" t="n">
        <v>-0.11095</v>
      </c>
      <c r="R1111" s="26" t="n">
        <v>0</v>
      </c>
      <c r="S1111" s="29" t="n">
        <v>1</v>
      </c>
      <c r="T1111" s="24" t="inlineStr">
        <is>
          <t>tennis-surface-elo-v1</t>
        </is>
      </c>
      <c r="U1111" s="24" t="inlineStr">
        <is>
          <t>settled</t>
        </is>
      </c>
      <c r="V1111" s="24" t="inlineStr">
        <is>
          <t>loss</t>
        </is>
      </c>
      <c r="W1111" s="26" t="n">
        <v>1</v>
      </c>
      <c r="X1111" s="26" t="n">
        <v>0</v>
      </c>
      <c r="Y1111" s="25" t="n"/>
      <c r="Z1111" s="26" t="n">
        <v>-186</v>
      </c>
      <c r="AA1111" s="28" t="n">
        <v>0.65</v>
      </c>
      <c r="AB1111" s="28" t="n">
        <v>-0.00035</v>
      </c>
      <c r="AC1111" s="30" t="n">
        <v>-1</v>
      </c>
      <c r="AD1111" s="24" t="inlineStr">
        <is>
          <t>2026-09-18T22:00:14.052596Z</t>
        </is>
      </c>
      <c r="AE1111" s="31" t="inlineStr">
        <is>
          <t>Surface-blended Elo on Hard: Lisa Pigato p=0.461 vs Susan Bandecchi. Executable ask 0.6500 (aec-wta-susban-lispig-2026-09-17).</t>
        </is>
      </c>
      <c r="AF1111" s="31" t="inlineStr">
        <is>
          <t>Surface-blended Elo model; singles only, WTA+ATP market coverage, not yet locked-holdout qualified -- promoted by explicit operator directive, not genuine walk-forward validation.</t>
        </is>
      </c>
      <c r="AG1111" s="24" t="inlineStr">
        <is>
          <t>review_required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PAPER_CALL_LOW_EDGE</t>
        </is>
      </c>
      <c r="AP1111" s="24" t="inlineStr">
        <is>
          <t>Lisa Pigato</t>
        </is>
      </c>
      <c r="AQ1111" s="24" t="inlineStr">
        <is>
          <t>Lisa Pigato</t>
        </is>
      </c>
      <c r="AR1111" s="24" t="inlineStr">
        <is>
          <t>Lisa Pigato</t>
        </is>
      </c>
      <c r="AS1111" s="24" t="inlineStr">
        <is>
          <t>Susan Bandecchi</t>
        </is>
      </c>
      <c r="AT1111" s="24" t="inlineStr">
        <is>
          <t>Susan Bandecchi</t>
        </is>
      </c>
      <c r="AU1111" s="24" t="inlineStr">
        <is>
          <t>Susan Bandecchi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shadow_qualified</t>
        </is>
      </c>
      <c r="BA1111" s="24" t="inlineStr">
        <is>
          <t>6c67e999d2a03612e30f4032c8e5e77e8becfbc79e05f4c8993e726b90d34d54</t>
        </is>
      </c>
      <c r="BB1111" s="24" t="inlineStr">
        <is>
          <t>surface_blended_elo</t>
        </is>
      </c>
      <c r="BC1111" s="24" t="inlineStr">
        <is>
          <t>tennis-surface-elo-v1</t>
        </is>
      </c>
      <c r="BD1111" s="24" t="inlineStr">
        <is>
          <t>6c67e999d2a03612e30f4032c8e5e77e8becfbc79e05f4c8993e726b90d34d54</t>
        </is>
      </c>
      <c r="BE1111" s="24" t="inlineStr">
        <is>
          <t>tennis-surface-elo-v1</t>
        </is>
      </c>
      <c r="BF1111" s="24" t="inlineStr">
        <is>
          <t>1</t>
        </is>
      </c>
      <c r="BG1111" s="24" t="inlineStr">
        <is>
          <t>6c67e999d2a03612e30f4032c8e5e77e8becfbc79e05f4c8993e726b90d34d54</t>
        </is>
      </c>
      <c r="BH1111" s="24" t="inlineStr">
        <is>
          <t>2026-09-18T07:23:33.911852Z</t>
        </is>
      </c>
      <c r="BI1111" s="24" t="inlineStr">
        <is>
          <t>["same_event","same_team_same_day","same_league_same_day"]</t>
        </is>
      </c>
      <c r="BJ1111" s="25" t="n"/>
      <c r="BK1111" s="26" t="n">
        <v>-186</v>
      </c>
      <c r="BL1111" s="27" t="n">
        <v>1.537634</v>
      </c>
      <c r="BM1111" s="28" t="n">
        <v>0.65035</v>
      </c>
      <c r="BN1111" s="28" t="n"/>
      <c r="BO1111" s="28" t="n"/>
      <c r="BP1111" s="25" t="n"/>
      <c r="BQ1111" s="27" t="n">
        <v>1.537634</v>
      </c>
      <c r="BR1111" s="28" t="n">
        <v>0.65</v>
      </c>
      <c r="BS1111" s="28" t="n"/>
      <c r="BT1111" s="28" t="n"/>
      <c r="BU1111" s="25" t="n"/>
      <c r="BV1111" s="29" t="n"/>
      <c r="BW1111" s="24" t="n"/>
      <c r="BX1111" s="30" t="n"/>
      <c r="BY1111" s="27" t="n"/>
      <c r="BZ1111" s="24" t="n"/>
      <c r="CA1111" s="31" t="n"/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n"/>
      <c r="CU1111" s="24" t="n"/>
      <c r="CV1111" s="24" t="n"/>
      <c r="CW1111" s="24" t="n"/>
      <c r="CX1111" s="24" t="n"/>
      <c r="CY1111" s="24" t="n"/>
      <c r="CZ1111" s="24" t="n"/>
      <c r="DA1111" s="24" t="n"/>
      <c r="DB1111" s="24" t="n"/>
      <c r="DC1111" s="24" t="n"/>
      <c r="DD1111" s="24" t="inlineStr">
        <is>
          <t>6b823490d0ea15391714dae0def9dce2f5ee9fb30e0454f50d1bd766711733c5</t>
        </is>
      </c>
      <c r="DE1111" s="24" t="inlineStr">
        <is>
          <t>/Users/vincentc9002/model-prediction/data/odds/tennis/2026-09-18/polymarket_snapshots.jsonl</t>
        </is>
      </c>
      <c r="DF1111" s="24" t="inlineStr">
        <is>
          <t>912177:2026-09-18T07:23:33.911852Z</t>
        </is>
      </c>
      <c r="DG1111" s="24" t="n"/>
      <c r="DH1111" s="24" t="n"/>
      <c r="DI1111" s="24" t="n"/>
      <c r="DJ1111" s="24" t="inlineStr">
        <is>
          <t>0.65035</t>
        </is>
      </c>
      <c r="DK1111" s="24" t="n"/>
      <c r="DL1111" s="24" t="n"/>
      <c r="DM1111" s="24" t="n"/>
      <c r="DN1111" s="24" t="n"/>
      <c r="DO1111" s="24" t="n"/>
      <c r="DP1111" s="24" t="n"/>
      <c r="DQ1111" s="24" t="inlineStr">
        <is>
          <t>{"artifact_hash": "6c67e999d2a03612e30f4032c8e5e77e8becfbc79e05f4c8993e726b90d34d54", "away_team": "Lisa Pigato", "event_id": "1024-2026:183725", "event_start_utc": "2026-09-18T15:00Z", "features": {"elo_p1_surface": 1485.8, "elo_p2_surface": 1491.3, "expected_games_p1": 12.43, "expected_games_p2": 12.36, "expected_total_games": 24.79, "history_matches": 16130, "min_player_matches": 30, "surface": "Hard"}, "historical_source_observation_times_verified": false, "home_team": "Susan Bandecchi", "inference_inputs": {"code_sha256": {"features/elo_ratings.py": "8525faf022a6343c452286dbfeb17dbb043744c6bdabbe448b6b371216da439b", "models/tennis.py": "6c67e999d2a03612e30f4032c8e5e77e8becfbc79e05f4c8993e726b90d34d54"}, "overall_ratings": [1485.762120077996, 1543.977920762475], "players": ["Lisa Pigato", "Susan Bandecchi"], "sport": "TENNIS", "surface": "Hard", "surface_counts": [17, 33], "surface_ratings": [1485.763124593129, 1491.3230616706821]}, "market_type": "moneyline", "model_version": "tennis-surface-elo-v1", "observed_at_utc": "2026-09-18T10:34:41.439327+00:00", "probabilities": {"away": 0.4606, "home": 0.5394}, "replay_scope": "Exact full-precision serving state and rounding; upstream historical observation times are not certified.", "schema": "coded-moneyline-replay-v1", "snapshot_hash": "fe65f50a5972e874707533e79bbe1549853552bd35a8bd9a7eee3f1cbc20c025", "sport": "TENNIS"}</t>
        </is>
      </c>
    </row>
    <row r="1112" ht="36" customHeight="1">
      <c r="A1112" s="24" t="inlineStr">
        <is>
          <t>23af3bf0d26d41d6</t>
        </is>
      </c>
      <c r="B1112" s="24" t="inlineStr">
        <is>
          <t>2026-09-18T17:55:01.240103Z</t>
        </is>
      </c>
      <c r="C1112" s="24" t="inlineStr">
        <is>
          <t>2026-09-18T22:00Z</t>
        </is>
      </c>
      <c r="D1112" s="24" t="inlineStr">
        <is>
          <t>1005-2026:183843</t>
        </is>
      </c>
      <c r="E1112" s="24" t="inlineStr">
        <is>
          <t>TENNIS</t>
        </is>
      </c>
      <c r="F1112" s="24" t="inlineStr">
        <is>
          <t>Suzan Lamens</t>
        </is>
      </c>
      <c r="G1112" s="24" t="inlineStr">
        <is>
          <t>Nadia Podoroska</t>
        </is>
      </c>
      <c r="H1112" s="24" t="inlineStr">
        <is>
          <t>moneyline</t>
        </is>
      </c>
      <c r="I1112" s="24" t="inlineStr">
        <is>
          <t>home</t>
        </is>
      </c>
      <c r="J1112" s="25" t="n"/>
      <c r="K1112" s="24" t="inlineStr">
        <is>
          <t>polymarket_us</t>
        </is>
      </c>
      <c r="L1112" s="26" t="n">
        <v>-113</v>
      </c>
      <c r="M1112" s="27" t="n">
        <v>1.884956</v>
      </c>
      <c r="N1112" s="28" t="n">
        <v>0.530516</v>
      </c>
      <c r="O1112" s="28" t="n">
        <v>0.5365</v>
      </c>
      <c r="P1112" s="28" t="n">
        <v>0.05</v>
      </c>
      <c r="Q1112" s="28" t="n">
        <v>0.005984</v>
      </c>
      <c r="R1112" s="26" t="n">
        <v>23</v>
      </c>
      <c r="S1112" s="29" t="n">
        <v>1</v>
      </c>
      <c r="T1112" s="24" t="inlineStr">
        <is>
          <t>tennis-surface-elo-v1</t>
        </is>
      </c>
      <c r="U1112" s="24" t="inlineStr">
        <is>
          <t>settled</t>
        </is>
      </c>
      <c r="V1112" s="24" t="inlineStr">
        <is>
          <t>win</t>
        </is>
      </c>
      <c r="W1112" s="26" t="n">
        <v>0</v>
      </c>
      <c r="X1112" s="26" t="n">
        <v>1</v>
      </c>
      <c r="Y1112" s="25" t="n"/>
      <c r="Z1112" s="26" t="n">
        <v>-113</v>
      </c>
      <c r="AA1112" s="28" t="n">
        <v>0.53</v>
      </c>
      <c r="AB1112" s="28" t="n">
        <v>-0.000516</v>
      </c>
      <c r="AC1112" s="30" t="n">
        <v>0.885</v>
      </c>
      <c r="AD1112" s="24" t="inlineStr">
        <is>
          <t>2026-09-19T04:31:11.944108Z</t>
        </is>
      </c>
      <c r="AE1112" s="31" t="inlineStr">
        <is>
          <t>Surface-blended Elo on Hard: Suzan Lamens p=0.464 vs Nadia Podoroska. Executable ask 0.5300 (aec-wta-nadpod-suzlam-2026-09-18).</t>
        </is>
      </c>
      <c r="AF1112" s="31" t="inlineStr">
        <is>
          <t>Surface-blended Elo model; singles only, WTA+ATP market coverage, not yet locked-holdout qualified -- promoted by explicit operator directive, not genuine walk-forward validation.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paper_call</t>
        </is>
      </c>
      <c r="AL1112" s="26" t="n">
        <v>4</v>
      </c>
      <c r="AM1112" s="24" t="inlineStr">
        <is>
          <t>RESEARCH_OBSERVATION</t>
        </is>
      </c>
      <c r="AN1112" s="24" t="inlineStr">
        <is>
          <t>CALL</t>
        </is>
      </c>
      <c r="AO1112" s="24" t="inlineStr">
        <is>
          <t>PAPER_CALL_LOW_EDGE</t>
        </is>
      </c>
      <c r="AP1112" s="24" t="inlineStr">
        <is>
          <t>Suzan Lamens</t>
        </is>
      </c>
      <c r="AQ1112" s="24" t="inlineStr">
        <is>
          <t>Suzan Lamens</t>
        </is>
      </c>
      <c r="AR1112" s="24" t="inlineStr">
        <is>
          <t>Suzan Lamens</t>
        </is>
      </c>
      <c r="AS1112" s="24" t="inlineStr">
        <is>
          <t>Nadia Podoroska</t>
        </is>
      </c>
      <c r="AT1112" s="24" t="inlineStr">
        <is>
          <t>Nadia Podoroska</t>
        </is>
      </c>
      <c r="AU1112" s="24" t="inlineStr">
        <is>
          <t>Nadia Podoroska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shadow_qualified</t>
        </is>
      </c>
      <c r="BA1112" s="24" t="inlineStr">
        <is>
          <t>6c67e999d2a03612e30f4032c8e5e77e8becfbc79e05f4c8993e726b90d34d54</t>
        </is>
      </c>
      <c r="BB1112" s="24" t="inlineStr">
        <is>
          <t>surface_blended_elo</t>
        </is>
      </c>
      <c r="BC1112" s="24" t="inlineStr">
        <is>
          <t>tennis-surface-elo-v1</t>
        </is>
      </c>
      <c r="BD1112" s="24" t="inlineStr">
        <is>
          <t>6c67e999d2a03612e30f4032c8e5e77e8becfbc79e05f4c8993e726b90d34d54</t>
        </is>
      </c>
      <c r="BE1112" s="24" t="inlineStr">
        <is>
          <t>tennis-surface-elo-v1</t>
        </is>
      </c>
      <c r="BF1112" s="24" t="inlineStr">
        <is>
          <t>1</t>
        </is>
      </c>
      <c r="BG1112" s="24" t="inlineStr">
        <is>
          <t>6c67e999d2a03612e30f4032c8e5e77e8becfbc79e05f4c8993e726b90d34d54</t>
        </is>
      </c>
      <c r="BH1112" s="24" t="inlineStr">
        <is>
          <t>2026-09-18T17:26:14.063530Z</t>
        </is>
      </c>
      <c r="BI1112" s="24" t="inlineStr">
        <is>
          <t>["same_event","same_team_same_day","same_league_same_day"]</t>
        </is>
      </c>
      <c r="BJ1112" s="25" t="n"/>
      <c r="BK1112" s="26" t="n">
        <v>-113</v>
      </c>
      <c r="BL1112" s="27" t="n">
        <v>1.884956</v>
      </c>
      <c r="BM1112" s="28" t="n">
        <v>0.530516</v>
      </c>
      <c r="BN1112" s="28" t="n"/>
      <c r="BO1112" s="28" t="n"/>
      <c r="BP1112" s="25" t="n"/>
      <c r="BQ1112" s="27" t="n">
        <v>1.884956</v>
      </c>
      <c r="BR1112" s="28" t="n">
        <v>0.53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True</t>
        </is>
      </c>
      <c r="CT1112" s="24" t="n"/>
      <c r="CU1112" s="24" t="n"/>
      <c r="CV1112" s="24" t="n"/>
      <c r="CW1112" s="24" t="n"/>
      <c r="CX1112" s="24" t="n"/>
      <c r="CY1112" s="24" t="n"/>
      <c r="CZ1112" s="24" t="n"/>
      <c r="DA1112" s="24" t="n"/>
      <c r="DB1112" s="24" t="n"/>
      <c r="DC1112" s="24" t="n"/>
      <c r="DD1112" s="24" t="inlineStr">
        <is>
          <t>b2e75834606dc746849a715c5716583a6eb8040b1bd1c3683e0af1d4882f4c54</t>
        </is>
      </c>
      <c r="DE1112" s="24" t="inlineStr">
        <is>
          <t>/Users/vincentc9002/model-prediction/data/odds/tennis/2026-09-18/polymarket_snapshots.jsonl</t>
        </is>
      </c>
      <c r="DF1112" s="24" t="inlineStr">
        <is>
          <t>929084:2026-09-18T17:26:14.063530Z</t>
        </is>
      </c>
      <c r="DG1112" s="24" t="n"/>
      <c r="DH1112" s="24" t="n"/>
      <c r="DI1112" s="24" t="n"/>
      <c r="DJ1112" s="24" t="inlineStr">
        <is>
          <t>0.530516</t>
        </is>
      </c>
      <c r="DK1112" s="24" t="n"/>
      <c r="DL1112" s="24" t="n"/>
      <c r="DM1112" s="24" t="n"/>
      <c r="DN1112" s="24" t="n"/>
      <c r="DO1112" s="24" t="n"/>
      <c r="DP1112" s="24" t="n"/>
      <c r="DQ1112" s="24" t="inlineStr">
        <is>
          <t>{"artifact_hash": "6c67e999d2a03612e30f4032c8e5e77e8becfbc79e05f4c8993e726b90d34d54", "away_team": "Suzan Lamens", "event_id": "1005-2026:183843", "event_start_utc": "2026-09-18T22:00Z", "features": {"elo_p1_surface": 1524.9, "elo_p2_surface": 1563.0, "expected_games_p1": 11.55, "expected_games_p2": 12.94, "expected_total_games": 24.49, "history_matches": 16130, "min_player_matches": 68, "surface": "Hard"}, "historical_source_observation_times_verified": false, "home_team": "Nadia Podoroska", "inference_inputs": {"code_sha256": {"features/elo_ratings.py": "8525faf022a6343c452286dbfeb17dbb043744c6bdabbe448b6b371216da439b", "models/tennis.py": "6c67e999d2a03612e30f4032c8e5e77e8becfbc79e05f4c8993e726b90d34d54"}, "overall_ratings": [1549.6107560200792, 1542.0263047476778], "players": ["Suzan Lamens", "Nadia Podoroska"], "sport": "TENNIS", "surface": "Hard", "surface_counts": [118, 61], "surface_ratings": [1524.886897079801, 1563.0079693139141]}, "market_type": "moneyline", "model_version": "tennis-surface-elo-v1", "observed_at_utc": "2026-09-18T17:55:00.248352+00:00", "probabilities": {"away": 0.4635, "home": 0.5365}, "replay_scope": "Exact full-precision serving state and rounding; upstream historical observation times are not certified.", "schema": "coded-moneyline-replay-v1", "snapshot_hash": "df1a885d022627a89eb870635433be0172bd2649203da02a06b9838fd41ab790", "sport": "TENNIS"}</t>
        </is>
      </c>
    </row>
    <row r="1113" ht="36" customHeight="1">
      <c r="A1113" s="24" t="inlineStr">
        <is>
          <t>ec2314350683412a</t>
        </is>
      </c>
      <c r="B1113" s="24" t="inlineStr">
        <is>
          <t>2026-09-19T05:44:34.724823Z</t>
        </is>
      </c>
      <c r="C1113" s="24" t="inlineStr">
        <is>
          <t>2026-09-19T06:30Z</t>
        </is>
      </c>
      <c r="D1113" s="24" t="inlineStr">
        <is>
          <t>811-2026:186070</t>
        </is>
      </c>
      <c r="E1113" s="24" t="inlineStr">
        <is>
          <t>TENNIS</t>
        </is>
      </c>
      <c r="F1113" s="24" t="inlineStr">
        <is>
          <t>Priscilla Hon</t>
        </is>
      </c>
      <c r="G1113" s="24" t="inlineStr">
        <is>
          <t>Yao Xinxin</t>
        </is>
      </c>
      <c r="H1113" s="24" t="inlineStr">
        <is>
          <t>moneyline</t>
        </is>
      </c>
      <c r="I1113" s="24" t="inlineStr">
        <is>
          <t>away</t>
        </is>
      </c>
      <c r="J1113" s="25" t="n"/>
      <c r="K1113" s="24" t="inlineStr">
        <is>
          <t>polymarket_us</t>
        </is>
      </c>
      <c r="L1113" s="26" t="n">
        <v>-163</v>
      </c>
      <c r="M1113" s="27" t="n">
        <v>1.613497</v>
      </c>
      <c r="N1113" s="28" t="n">
        <v>0.619772</v>
      </c>
      <c r="O1113" s="28" t="n">
        <v>0.551</v>
      </c>
      <c r="P1113" s="28" t="n">
        <v>0.05</v>
      </c>
      <c r="Q1113" s="28" t="n">
        <v>-0.068772</v>
      </c>
      <c r="R1113" s="26" t="n">
        <v>0</v>
      </c>
      <c r="S1113" s="29" t="n">
        <v>1</v>
      </c>
      <c r="T1113" s="24" t="inlineStr">
        <is>
          <t>tennis-surface-elo-v1</t>
        </is>
      </c>
      <c r="U1113" s="24" t="inlineStr">
        <is>
          <t>settled</t>
        </is>
      </c>
      <c r="V1113" s="24" t="inlineStr">
        <is>
          <t>loss</t>
        </is>
      </c>
      <c r="W1113" s="26" t="n">
        <v>0</v>
      </c>
      <c r="X1113" s="26" t="n">
        <v>1</v>
      </c>
      <c r="Y1113" s="25" t="n"/>
      <c r="Z1113" s="26" t="n">
        <v>-163</v>
      </c>
      <c r="AA1113" s="28" t="n">
        <v>0.62</v>
      </c>
      <c r="AB1113" s="28" t="n">
        <v>0.000228</v>
      </c>
      <c r="AC1113" s="30" t="n">
        <v>-1</v>
      </c>
      <c r="AD1113" s="24" t="inlineStr">
        <is>
          <t>2026-09-19T10:00:25.442351Z</t>
        </is>
      </c>
      <c r="AE1113" s="31" t="inlineStr">
        <is>
          <t>Surface-blended Elo on Hard: Priscilla Hon p=0.551 vs Yao Xinxin. Executable ask 0.6200 (aec-wta-xinyao-prihon-2026-09-19).</t>
        </is>
      </c>
      <c r="AF1113" s="31" t="inlineStr">
        <is>
          <t>Surface-blended Elo model; singles only, WTA+ATP market coverage, not yet locked-holdout qualified -- promoted by explicit operator directive, not genuine walk-forward validation.</t>
        </is>
      </c>
      <c r="AG1113" s="24" t="inlineStr">
        <is>
          <t>review_required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PAPER_CALL_LOW_EDGE</t>
        </is>
      </c>
      <c r="AP1113" s="24" t="inlineStr">
        <is>
          <t>Priscilla Hon</t>
        </is>
      </c>
      <c r="AQ1113" s="24" t="inlineStr">
        <is>
          <t>Priscilla Hon</t>
        </is>
      </c>
      <c r="AR1113" s="24" t="inlineStr">
        <is>
          <t>Priscilla Hon</t>
        </is>
      </c>
      <c r="AS1113" s="24" t="inlineStr">
        <is>
          <t>Yao Xinxin</t>
        </is>
      </c>
      <c r="AT1113" s="24" t="inlineStr">
        <is>
          <t>Yao Xinxin</t>
        </is>
      </c>
      <c r="AU1113" s="24" t="inlineStr">
        <is>
          <t>Yao Xinxin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shadow_qualified</t>
        </is>
      </c>
      <c r="BA1113" s="24" t="inlineStr">
        <is>
          <t>6c67e999d2a03612e30f4032c8e5e77e8becfbc79e05f4c8993e726b90d34d54</t>
        </is>
      </c>
      <c r="BB1113" s="24" t="inlineStr">
        <is>
          <t>surface_blended_elo</t>
        </is>
      </c>
      <c r="BC1113" s="24" t="inlineStr">
        <is>
          <t>tennis-surface-elo-v1</t>
        </is>
      </c>
      <c r="BD1113" s="24" t="inlineStr">
        <is>
          <t>6c67e999d2a03612e30f4032c8e5e77e8becfbc79e05f4c8993e726b90d34d54</t>
        </is>
      </c>
      <c r="BE1113" s="24" t="inlineStr">
        <is>
          <t>tennis-surface-elo-v1</t>
        </is>
      </c>
      <c r="BF1113" s="24" t="inlineStr">
        <is>
          <t>1</t>
        </is>
      </c>
      <c r="BG1113" s="24" t="inlineStr">
        <is>
          <t>6c67e999d2a03612e30f4032c8e5e77e8becfbc79e05f4c8993e726b90d34d54</t>
        </is>
      </c>
      <c r="BH1113" s="24" t="inlineStr">
        <is>
          <t>2026-09-19T05:41:18.102469Z</t>
        </is>
      </c>
      <c r="BI1113" s="24" t="inlineStr">
        <is>
          <t>["same_event","same_team_same_day","same_league_same_day"]</t>
        </is>
      </c>
      <c r="BJ1113" s="25" t="n"/>
      <c r="BK1113" s="26" t="n">
        <v>-163</v>
      </c>
      <c r="BL1113" s="27" t="n">
        <v>1.613497</v>
      </c>
      <c r="BM1113" s="28" t="n">
        <v>0.619772</v>
      </c>
      <c r="BN1113" s="28" t="n"/>
      <c r="BO1113" s="28" t="n"/>
      <c r="BP1113" s="25" t="n"/>
      <c r="BQ1113" s="27" t="n">
        <v>1.613497</v>
      </c>
      <c r="BR1113" s="28" t="n">
        <v>0.62</v>
      </c>
      <c r="BS1113" s="28" t="n"/>
      <c r="BT1113" s="28" t="n"/>
      <c r="BU1113" s="25" t="n"/>
      <c r="BV1113" s="29" t="n"/>
      <c r="BW1113" s="24" t="n"/>
      <c r="BX1113" s="30" t="n"/>
      <c r="BY1113" s="27" t="n"/>
      <c r="BZ1113" s="24" t="n"/>
      <c r="CA1113" s="31" t="n"/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False</t>
        </is>
      </c>
      <c r="CT1113" s="24" t="n"/>
      <c r="CU1113" s="24" t="n"/>
      <c r="CV1113" s="24" t="n"/>
      <c r="CW1113" s="24" t="n"/>
      <c r="CX1113" s="24" t="n"/>
      <c r="CY1113" s="24" t="n"/>
      <c r="CZ1113" s="24" t="n"/>
      <c r="DA1113" s="24" t="n"/>
      <c r="DB1113" s="24" t="n"/>
      <c r="DC1113" s="24" t="n"/>
      <c r="DD1113" s="24" t="inlineStr">
        <is>
          <t>1379d22bd057221f262252f133522ec360e5badd6c5b06430455ddc84166b3e0</t>
        </is>
      </c>
      <c r="DE1113" s="24" t="inlineStr">
        <is>
          <t>/Users/vincentc9002/model-prediction/data/odds/tennis/2026-09-19/polymarket_snapshots.jsonl</t>
        </is>
      </c>
      <c r="DF1113" s="24" t="inlineStr">
        <is>
          <t>934605:2026-09-19T05:41:18.102469Z</t>
        </is>
      </c>
      <c r="DG1113" s="24" t="n"/>
      <c r="DH1113" s="24" t="n"/>
      <c r="DI1113" s="24" t="n"/>
      <c r="DJ1113" s="24" t="inlineStr">
        <is>
          <t>0.619772</t>
        </is>
      </c>
      <c r="DK1113" s="24" t="n"/>
      <c r="DL1113" s="24" t="n"/>
      <c r="DM1113" s="24" t="n"/>
      <c r="DN1113" s="24" t="n"/>
      <c r="DO1113" s="24" t="n"/>
      <c r="DP1113" s="24" t="n"/>
      <c r="DQ1113" s="24" t="inlineStr">
        <is>
          <t>{"artifact_hash": "6c67e999d2a03612e30f4032c8e5e77e8becfbc79e05f4c8993e726b90d34d54", "away_team": "Priscilla Hon", "event_id": "811-2026:186070", "event_start_utc": "2026-09-19T06:30Z", "features": {"elo_p1_surface": 1509.4, "elo_p2_surface": 1462.8, "expected_games_p1": 13.28, "expected_games_p2": 10.88, "expected_total_games": 24.17, "history_matches": 16150, "min_player_matches": 20,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[1463.3470603096544, 1457.281385830099], "players": ["Priscilla Hon", "Yao Xinxin"], "sport": "TENNIS", "surface": "Hard", "surface_counts": [69, 19], "surface_ratings": [1509.3711408070608, 1462.7652705158769]}, "market_type": "moneyline", "model_version": "tennis-surface-elo-v1", "observed_at_utc": "2026-09-19T05:44:33.752440+00:00", "probabilities": {"away": 0.551, "home": 0.449}, "replay_scope": "Exact full-precision serving state and rounding; upstream historical observation times are not certified.", "schema": "coded-moneyline-replay-v1", "snapshot_hash": "71736c0603b60f68e009dd58d78e94da0f7b74128b870071285e5a4da8a48372", "sport": "TENNIS"}</t>
        </is>
      </c>
    </row>
    <row r="1114" ht="36" customHeight="1">
      <c r="A1114" s="24" t="inlineStr">
        <is>
          <t>777d9a38f9164410</t>
        </is>
      </c>
      <c r="B1114" s="24" t="inlineStr">
        <is>
          <t>2026-09-19T05:44:34.724823Z</t>
        </is>
      </c>
      <c r="C1114" s="24" t="inlineStr">
        <is>
          <t>2026-09-19T08:00Z</t>
        </is>
      </c>
      <c r="D1114" s="24" t="inlineStr">
        <is>
          <t>811-2026:186067</t>
        </is>
      </c>
      <c r="E1114" s="24" t="inlineStr">
        <is>
          <t>TENNIS</t>
        </is>
      </c>
      <c r="F1114" s="24" t="inlineStr">
        <is>
          <t>Sara Saito</t>
        </is>
      </c>
      <c r="G1114" s="24" t="inlineStr">
        <is>
          <t>En-Shuo Liang</t>
        </is>
      </c>
      <c r="H1114" s="24" t="inlineStr">
        <is>
          <t>moneyline</t>
        </is>
      </c>
      <c r="I1114" s="24" t="inlineStr">
        <is>
          <t>home</t>
        </is>
      </c>
      <c r="J1114" s="25" t="n"/>
      <c r="K1114" s="24" t="inlineStr">
        <is>
          <t>polymarket_us</t>
        </is>
      </c>
      <c r="L1114" s="26" t="n">
        <v>-233</v>
      </c>
      <c r="M1114" s="27" t="n">
        <v>1.429185</v>
      </c>
      <c r="N1114" s="28" t="n">
        <v>0.6997</v>
      </c>
      <c r="O1114" s="28" t="n">
        <v>0.7426</v>
      </c>
      <c r="P1114" s="28" t="n">
        <v>0.05</v>
      </c>
      <c r="Q1114" s="28" t="n">
        <v>0.0429</v>
      </c>
      <c r="R1114" s="26" t="n">
        <v>41</v>
      </c>
      <c r="S1114" s="29" t="n">
        <v>1</v>
      </c>
      <c r="T1114" s="24" t="inlineStr">
        <is>
          <t>tennis-surface-elo-v1</t>
        </is>
      </c>
      <c r="U1114" s="24" t="inlineStr">
        <is>
          <t>settled</t>
        </is>
      </c>
      <c r="V1114" s="24" t="inlineStr">
        <is>
          <t>loss</t>
        </is>
      </c>
      <c r="W1114" s="26" t="n">
        <v>1</v>
      </c>
      <c r="X1114" s="26" t="n">
        <v>0</v>
      </c>
      <c r="Y1114" s="25" t="n"/>
      <c r="Z1114" s="26" t="n">
        <v>-233</v>
      </c>
      <c r="AA1114" s="28" t="n">
        <v>0.7</v>
      </c>
      <c r="AB1114" s="28" t="n">
        <v>0.0003</v>
      </c>
      <c r="AC1114" s="30" t="n">
        <v>-1</v>
      </c>
      <c r="AD1114" s="24" t="inlineStr">
        <is>
          <t>2026-09-19T16:00:18.881545Z</t>
        </is>
      </c>
      <c r="AE1114" s="31" t="inlineStr">
        <is>
          <t>Surface-blended Elo on Hard: Sara Saito p=0.257 vs En-Shuo Liang. Executable ask 0.7000 (aec-wta-enslia-sarsai-2026-09-19).</t>
        </is>
      </c>
      <c r="AF1114" s="31" t="inlineStr">
        <is>
          <t>Surface-blended Elo model; singles only, WTA+ATP market coverage, not yet locked-holdout qualified -- promoted by explicit operator directive, not genuine walk-forward validation.</t>
        </is>
      </c>
      <c r="AG1114" s="24" t="inlineStr">
        <is>
          <t>review_required</t>
        </is>
      </c>
      <c r="AH1114" s="24" t="n"/>
      <c r="AI1114" s="31" t="n"/>
      <c r="AJ1114" s="31" t="n"/>
      <c r="AK1114" s="24" t="inlineStr">
        <is>
          <t>paper_call</t>
        </is>
      </c>
      <c r="AL1114" s="26" t="n">
        <v>4</v>
      </c>
      <c r="AM1114" s="24" t="inlineStr">
        <is>
          <t>RESEARCH_OBSERVATION</t>
        </is>
      </c>
      <c r="AN1114" s="24" t="inlineStr">
        <is>
          <t>CALL</t>
        </is>
      </c>
      <c r="AO1114" s="24" t="inlineStr">
        <is>
          <t>PAPER_CALL_LOW_EDGE</t>
        </is>
      </c>
      <c r="AP1114" s="24" t="inlineStr">
        <is>
          <t>Sara Saito</t>
        </is>
      </c>
      <c r="AQ1114" s="24" t="inlineStr">
        <is>
          <t>Sara Saito</t>
        </is>
      </c>
      <c r="AR1114" s="24" t="inlineStr">
        <is>
          <t>Sara Saito</t>
        </is>
      </c>
      <c r="AS1114" s="24" t="inlineStr">
        <is>
          <t>En-Shuo Liang</t>
        </is>
      </c>
      <c r="AT1114" s="24" t="inlineStr">
        <is>
          <t>En-Shuo Liang</t>
        </is>
      </c>
      <c r="AU1114" s="24" t="inlineStr">
        <is>
          <t>En-Shuo Liang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shadow_qualified</t>
        </is>
      </c>
      <c r="BA1114" s="24" t="inlineStr">
        <is>
          <t>6c67e999d2a03612e30f4032c8e5e77e8becfbc79e05f4c8993e726b90d34d54</t>
        </is>
      </c>
      <c r="BB1114" s="24" t="inlineStr">
        <is>
          <t>surface_blended_elo</t>
        </is>
      </c>
      <c r="BC1114" s="24" t="inlineStr">
        <is>
          <t>tennis-surface-elo-v1</t>
        </is>
      </c>
      <c r="BD1114" s="24" t="inlineStr">
        <is>
          <t>6c67e999d2a03612e30f4032c8e5e77e8becfbc79e05f4c8993e726b90d34d54</t>
        </is>
      </c>
      <c r="BE1114" s="24" t="inlineStr">
        <is>
          <t>tennis-surface-elo-v1</t>
        </is>
      </c>
      <c r="BF1114" s="24" t="inlineStr">
        <is>
          <t>1</t>
        </is>
      </c>
      <c r="BG1114" s="24" t="inlineStr">
        <is>
          <t>6c67e999d2a03612e30f4032c8e5e77e8becfbc79e05f4c8993e726b90d34d54</t>
        </is>
      </c>
      <c r="BH1114" s="24" t="inlineStr">
        <is>
          <t>2026-09-19T05:41:39.941784Z</t>
        </is>
      </c>
      <c r="BI1114" s="24" t="inlineStr">
        <is>
          <t>["same_event","same_team_same_day","same_league_same_day"]</t>
        </is>
      </c>
      <c r="BJ1114" s="25" t="n"/>
      <c r="BK1114" s="26" t="n">
        <v>-233</v>
      </c>
      <c r="BL1114" s="27" t="n">
        <v>1.429185</v>
      </c>
      <c r="BM1114" s="28" t="n">
        <v>0.6997</v>
      </c>
      <c r="BN1114" s="28" t="n"/>
      <c r="BO1114" s="28" t="n"/>
      <c r="BP1114" s="25" t="n"/>
      <c r="BQ1114" s="27" t="n">
        <v>1.429185</v>
      </c>
      <c r="BR1114" s="28" t="n">
        <v>0.7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True</t>
        </is>
      </c>
      <c r="CT1114" s="24" t="n"/>
      <c r="CU1114" s="24" t="n"/>
      <c r="CV1114" s="24" t="n"/>
      <c r="CW1114" s="24" t="n"/>
      <c r="CX1114" s="24" t="n"/>
      <c r="CY1114" s="24" t="n"/>
      <c r="CZ1114" s="24" t="n"/>
      <c r="DA1114" s="24" t="n"/>
      <c r="DB1114" s="24" t="n"/>
      <c r="DC1114" s="24" t="n"/>
      <c r="DD1114" s="24" t="inlineStr">
        <is>
          <t>b3fd6b5a262dedfd7f61e931ac1f5aa01b50feb032ea2df2f78ffdf66320a51f</t>
        </is>
      </c>
      <c r="DE1114" s="24" t="inlineStr">
        <is>
          <t>/Users/vincentc9002/model-prediction/data/odds/tennis/2026-09-19/polymarket_snapshots.jsonl</t>
        </is>
      </c>
      <c r="DF1114" s="24" t="inlineStr">
        <is>
          <t>934608:2026-09-19T05:41:39.941784Z</t>
        </is>
      </c>
      <c r="DG1114" s="24" t="n"/>
      <c r="DH1114" s="24" t="n"/>
      <c r="DI1114" s="24" t="n"/>
      <c r="DJ1114" s="24" t="inlineStr">
        <is>
          <t>0.6997</t>
        </is>
      </c>
      <c r="DK1114" s="24" t="n"/>
      <c r="DL1114" s="24" t="n"/>
      <c r="DM1114" s="24" t="n"/>
      <c r="DN1114" s="24" t="n"/>
      <c r="DO1114" s="24" t="n"/>
      <c r="DP1114" s="24" t="n"/>
      <c r="DQ1114" s="24" t="inlineStr">
        <is>
          <t>{"artifact_hash": "6c67e999d2a03612e30f4032c8e5e77e8becfbc79e05f4c8993e726b90d34d54", "away_team": "Sara Saito", "event_id": "811-2026:186067", "event_start_utc": "2026-09-19T08:00Z", "features": {"elo_p1_surface": 1393.4, "elo_p2_surface": 1576.0, "expected_games_p1": 6.78, "expected_games_p2": 12.83, "expected_total_games": 19.61, "history_matches": 16150, "min_player_matches": 39, "surface": "Hard"}, "historical_source_observation_times_verified": false, "home_team": "En-Shuo Liang", "inference_inputs": {"code_sha256": {"features/elo_ratings.py": "8525faf022a6343c452286dbfeb17dbb043744c6bdabbe448b6b371216da439b", "models/tennis.py": "6c67e999d2a03612e30f4032c8e5e77e8becfbc79e05f4c8993e726b90d34d54"}, "overall_ratings": [1393.2000157539417, 1579.641046101865], "players": ["Sara Saito", "En-Shuo Liang"], "sport": "TENNIS", "surface": "Hard", "surface_counts": [30, 43], "surface_ratings": [1393.3846706542543, 1575.9753579189405]}, "market_type": "moneyline", "model_version": "tennis-surface-elo-v1", "observed_at_utc": "2026-09-19T05:44:33.752440+00:00", "probabilities": {"away": 0.2574, "home": 0.7426}, "replay_scope": "Exact full-precision serving state and rounding; upstream historical observation times are not certified.", "schema": "coded-moneyline-replay-v1", "snapshot_hash": "d808dc0d6960d23c68b042a7506b6ba857b057da90ad91d403b38cd207d40e72", "sport": "TENNIS"}</t>
        </is>
      </c>
    </row>
    <row r="1115" ht="36" customHeight="1">
      <c r="A1115" s="24" t="inlineStr">
        <is>
          <t>fd8813bf876c4638</t>
        </is>
      </c>
      <c r="B1115" s="24" t="inlineStr">
        <is>
          <t>2026-09-19T22:46:24.477785Z</t>
        </is>
      </c>
      <c r="C1115" s="24" t="inlineStr">
        <is>
          <t>2026-09-19T23:00Z</t>
        </is>
      </c>
      <c r="D1115" s="24" t="inlineStr">
        <is>
          <t>887-2026:183812</t>
        </is>
      </c>
      <c r="E1115" s="24" t="inlineStr">
        <is>
          <t>TENNIS</t>
        </is>
      </c>
      <c r="F1115" s="24" t="inlineStr">
        <is>
          <t>Iva Jovic</t>
        </is>
      </c>
      <c r="G1115" s="24" t="inlineStr">
        <is>
          <t>Peyton Stearns</t>
        </is>
      </c>
      <c r="H1115" s="24" t="inlineStr">
        <is>
          <t>moneyline</t>
        </is>
      </c>
      <c r="I1115" s="24" t="inlineStr">
        <is>
          <t>away</t>
        </is>
      </c>
      <c r="J1115" s="25" t="n"/>
      <c r="K1115" s="24" t="inlineStr">
        <is>
          <t>polymarket_us</t>
        </is>
      </c>
      <c r="L1115" s="26" t="n">
        <v>-300</v>
      </c>
      <c r="M1115" s="27" t="n">
        <v>1.333333</v>
      </c>
      <c r="N1115" s="28" t="n">
        <v>0.75</v>
      </c>
      <c r="O1115" s="28" t="n">
        <v>0.7198</v>
      </c>
      <c r="P1115" s="28" t="n">
        <v>0.05</v>
      </c>
      <c r="Q1115" s="28" t="n">
        <v>-0.0302</v>
      </c>
      <c r="R1115" s="26" t="n">
        <v>5</v>
      </c>
      <c r="S1115" s="29" t="n">
        <v>1</v>
      </c>
      <c r="T1115" s="24" t="inlineStr">
        <is>
          <t>tennis-surface-elo-v1</t>
        </is>
      </c>
      <c r="U1115" s="24" t="inlineStr">
        <is>
          <t>settled</t>
        </is>
      </c>
      <c r="V1115" s="24" t="inlineStr">
        <is>
          <t>win</t>
        </is>
      </c>
      <c r="W1115" s="26" t="n">
        <v>1</v>
      </c>
      <c r="X1115" s="26" t="n">
        <v>0</v>
      </c>
      <c r="Y1115" s="25" t="n"/>
      <c r="Z1115" s="26" t="n">
        <v>-300</v>
      </c>
      <c r="AA1115" s="28" t="n">
        <v>0.75</v>
      </c>
      <c r="AB1115" s="28" t="n">
        <v>0</v>
      </c>
      <c r="AC1115" s="30" t="n">
        <v>0.3333</v>
      </c>
      <c r="AD1115" s="24" t="inlineStr">
        <is>
          <t>2026-09-20T04:33:12.160449Z</t>
        </is>
      </c>
      <c r="AE1115" s="31" t="inlineStr">
        <is>
          <t>Surface-blended Elo on Hard: Iva Jovic p=0.720 vs Peyton Stearns. Executable ask 0.7500 (aec-wta-peyste-ivajov-2026-09-19).</t>
        </is>
      </c>
      <c r="AF1115" s="31" t="inlineStr">
        <is>
          <t>Surface-blended Elo model; singles only, WTA+ATP market coverage, not yet locked-holdout qualified -- promoted by explicit operator directive, not genuine walk-forward validation.</t>
        </is>
      </c>
      <c r="AG1115" s="24" t="inlineStr">
        <is>
          <t>not_applicable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PAPER_CALL_LOW_EDGE</t>
        </is>
      </c>
      <c r="AP1115" s="24" t="inlineStr">
        <is>
          <t>Iva Jovic</t>
        </is>
      </c>
      <c r="AQ1115" s="24" t="inlineStr">
        <is>
          <t>Iva Jovic</t>
        </is>
      </c>
      <c r="AR1115" s="24" t="inlineStr">
        <is>
          <t>Iva Jovic</t>
        </is>
      </c>
      <c r="AS1115" s="24" t="inlineStr">
        <is>
          <t>Peyton Stearns</t>
        </is>
      </c>
      <c r="AT1115" s="24" t="inlineStr">
        <is>
          <t>Peyton Stearns</t>
        </is>
      </c>
      <c r="AU1115" s="24" t="inlineStr">
        <is>
          <t>Peyton Stearns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shadow_qualified</t>
        </is>
      </c>
      <c r="BA1115" s="24" t="inlineStr">
        <is>
          <t>6c67e999d2a03612e30f4032c8e5e77e8becfbc79e05f4c8993e726b90d34d54</t>
        </is>
      </c>
      <c r="BB1115" s="24" t="inlineStr">
        <is>
          <t>surface_blended_elo</t>
        </is>
      </c>
      <c r="BC1115" s="24" t="inlineStr">
        <is>
          <t>tennis-surface-elo-v1</t>
        </is>
      </c>
      <c r="BD1115" s="24" t="inlineStr">
        <is>
          <t>6c67e999d2a03612e30f4032c8e5e77e8becfbc79e05f4c8993e726b90d34d54</t>
        </is>
      </c>
      <c r="BE1115" s="24" t="inlineStr">
        <is>
          <t>tennis-surface-elo-v1</t>
        </is>
      </c>
      <c r="BF1115" s="24" t="inlineStr">
        <is>
          <t>1</t>
        </is>
      </c>
      <c r="BG1115" s="24" t="inlineStr">
        <is>
          <t>6c67e999d2a03612e30f4032c8e5e77e8becfbc79e05f4c8993e726b90d34d54</t>
        </is>
      </c>
      <c r="BH1115" s="24" t="inlineStr">
        <is>
          <t>2026-09-19T05:42:14.949996Z</t>
        </is>
      </c>
      <c r="BI1115" s="24" t="inlineStr">
        <is>
          <t>["same_event","same_team_same_day","same_league_same_day"]</t>
        </is>
      </c>
      <c r="BJ1115" s="25" t="n"/>
      <c r="BK1115" s="26" t="n">
        <v>-300</v>
      </c>
      <c r="BL1115" s="27" t="n">
        <v>1.333333</v>
      </c>
      <c r="BM1115" s="28" t="n">
        <v>0.75</v>
      </c>
      <c r="BN1115" s="28" t="n"/>
      <c r="BO1115" s="28" t="n"/>
      <c r="BP1115" s="25" t="n"/>
      <c r="BQ1115" s="27" t="n">
        <v>1.333333</v>
      </c>
      <c r="BR1115" s="28" t="n">
        <v>0.75</v>
      </c>
      <c r="BS1115" s="28" t="n"/>
      <c r="BT1115" s="28" t="n"/>
      <c r="BU1115" s="25" t="n"/>
      <c r="BV1115" s="29" t="n"/>
      <c r="BW1115" s="24" t="n"/>
      <c r="BX1115" s="30" t="n"/>
      <c r="BY1115" s="27" t="n"/>
      <c r="BZ1115" s="24" t="n"/>
      <c r="CA1115" s="31" t="n"/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False</t>
        </is>
      </c>
      <c r="CT1115" s="24" t="n"/>
      <c r="CU1115" s="24" t="n"/>
      <c r="CV1115" s="24" t="n"/>
      <c r="CW1115" s="24" t="n"/>
      <c r="CX1115" s="24" t="n"/>
      <c r="CY1115" s="24" t="n"/>
      <c r="CZ1115" s="24" t="n"/>
      <c r="DA1115" s="24" t="n"/>
      <c r="DB1115" s="24" t="n"/>
      <c r="DC1115" s="24" t="n"/>
      <c r="DD1115" s="24" t="inlineStr">
        <is>
          <t>f806d7abfae7e371d740103f0d13281ecc6c4af861251c4bef6f6f0fc7dbc929</t>
        </is>
      </c>
      <c r="DE1115" s="24" t="inlineStr">
        <is>
          <t>/Users/vincentc9002/model-prediction/data/odds/tennis/2026-09-19/polymarket_snapshots.jsonl</t>
        </is>
      </c>
      <c r="DF1115" s="24" t="inlineStr">
        <is>
          <t>944893:2026-09-19T05:42:14.949996Z</t>
        </is>
      </c>
      <c r="DG1115" s="24" t="n"/>
      <c r="DH1115" s="24" t="n"/>
      <c r="DI1115" s="24" t="n"/>
      <c r="DJ1115" s="24" t="inlineStr">
        <is>
          <t>0.75</t>
        </is>
      </c>
      <c r="DK1115" s="24" t="n"/>
      <c r="DL1115" s="24" t="n"/>
      <c r="DM1115" s="24" t="n"/>
      <c r="DN1115" s="24" t="n"/>
      <c r="DO1115" s="24" t="n"/>
      <c r="DP1115" s="24" t="n"/>
      <c r="DQ1115" s="24" t="inlineStr">
        <is>
          <t>{"artifact_hash": "6c67e999d2a03612e30f4032c8e5e77e8becfbc79e05f4c8993e726b90d34d54", "away_team": "Iva Jovic", "event_id": "887-2026:183812", "event_start_utc": "2026-09-19T23:00Z", "features": {"elo_p1_surface": 1795.2, "elo_p2_surface": 1637.9, "expected_games_p1": 13.1, "expected_games_p2": 7.06, "expected_total_games": 20.16, "history_matches": 16150, "min_player_matches": 101,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[1847.6157142229215, 1668.643480359372], "players": ["Iva Jovic", "Peyton Stearns"], "sport": "TENNIS", "surface": "Hard", "surface_counts": [83, 98], "surface_ratings": [1795.228386865929, 1637.9316008857732]}, "market_type": "moneyline", "model_version": "tennis-surface-elo-v1", "observed_at_utc": "2026-09-19T22:46:22.989788+00:00", "probabilities": {"away": 0.7198, "home": 0.2802}, "replay_scope": "Exact full-precision serving state and rounding; upstream historical observation times are not certified.", "schema": "coded-moneyline-replay-v1", "snapshot_hash": "409b9c2d0755880d97b29a791f4cd3c9cebaa223691dc672666359e74350ae29", "sport": "TENNIS"}</t>
        </is>
      </c>
    </row>
    <row r="1116" ht="36" customHeight="1">
      <c r="A1116" s="24" t="inlineStr">
        <is>
          <t>fb0c73647d0d4e6b</t>
        </is>
      </c>
      <c r="B1116" s="24" t="inlineStr">
        <is>
          <t>2026-09-20T10:29:39.220740Z</t>
        </is>
      </c>
      <c r="C1116" s="24" t="inlineStr">
        <is>
          <t>2026-09-20T15:30Z</t>
        </is>
      </c>
      <c r="D1116" s="24" t="inlineStr">
        <is>
          <t>871-2026:183774</t>
        </is>
      </c>
      <c r="E1116" s="24" t="inlineStr">
        <is>
          <t>TENNIS</t>
        </is>
      </c>
      <c r="F1116" s="24" t="inlineStr">
        <is>
          <t>Clara Burel</t>
        </is>
      </c>
      <c r="G1116" s="24" t="inlineStr">
        <is>
          <t>Alicia Herrero Linana</t>
        </is>
      </c>
      <c r="H1116" s="24" t="inlineStr">
        <is>
          <t>moneyline</t>
        </is>
      </c>
      <c r="I1116" s="24" t="inlineStr">
        <is>
          <t>away</t>
        </is>
      </c>
      <c r="J1116" s="25" t="n"/>
      <c r="K1116" s="24" t="inlineStr">
        <is>
          <t>polymarket_us</t>
        </is>
      </c>
      <c r="L1116" s="26" t="n">
        <v>-245</v>
      </c>
      <c r="M1116" s="27" t="n">
        <v>1.408163</v>
      </c>
      <c r="N1116" s="28" t="n">
        <v>0.710145</v>
      </c>
      <c r="O1116" s="28" t="n">
        <v>0.5019</v>
      </c>
      <c r="P1116" s="28" t="n">
        <v>0.05</v>
      </c>
      <c r="Q1116" s="28" t="n">
        <v>-0.208245</v>
      </c>
      <c r="R1116" s="26" t="n">
        <v>0</v>
      </c>
      <c r="S1116" s="29" t="n">
        <v>1</v>
      </c>
      <c r="T1116" s="24" t="inlineStr">
        <is>
          <t>tennis-surface-elo-v1</t>
        </is>
      </c>
      <c r="U1116" s="24" t="inlineStr">
        <is>
          <t>settled</t>
        </is>
      </c>
      <c r="V1116" s="24" t="inlineStr">
        <is>
          <t>win</t>
        </is>
      </c>
      <c r="W1116" s="26" t="n">
        <v>1</v>
      </c>
      <c r="X1116" s="26" t="n">
        <v>0</v>
      </c>
      <c r="Y1116" s="25" t="n"/>
      <c r="Z1116" s="26" t="n">
        <v>-245</v>
      </c>
      <c r="AA1116" s="28" t="n">
        <v>0.71</v>
      </c>
      <c r="AB1116" s="28" t="n">
        <v>-0.000145</v>
      </c>
      <c r="AC1116" s="30" t="n">
        <v>0.4082</v>
      </c>
      <c r="AD1116" s="24" t="inlineStr">
        <is>
          <t>2026-09-20T22:16:45.314353Z</t>
        </is>
      </c>
      <c r="AE1116" s="31" t="inlineStr">
        <is>
          <t>Surface-blended Elo on Hard: Clara Burel p=0.502 vs Alicia Herrero Linana. Executable ask 0.7100 (aec-wta-alilin-clabur-2026-09-20).</t>
        </is>
      </c>
      <c r="AF1116" s="31" t="inlineStr">
        <is>
          <t>Surface-blended Elo model; singles only, WTA+ATP market coverage, not yet locked-holdout qualified -- promoted by explicit operator directive, not genuine walk-forward validation.</t>
        </is>
      </c>
      <c r="AG1116" s="24" t="inlineStr">
        <is>
          <t>not_applicable</t>
        </is>
      </c>
      <c r="AH1116" s="24" t="n"/>
      <c r="AI1116" s="31" t="n"/>
      <c r="AJ1116" s="31" t="n"/>
      <c r="AK1116" s="24" t="inlineStr">
        <is>
          <t>paper_call</t>
        </is>
      </c>
      <c r="AL1116" s="26" t="n">
        <v>4</v>
      </c>
      <c r="AM1116" s="24" t="inlineStr">
        <is>
          <t>RESEARCH_OBSERVATION</t>
        </is>
      </c>
      <c r="AN1116" s="24" t="inlineStr">
        <is>
          <t>CALL</t>
        </is>
      </c>
      <c r="AO1116" s="24" t="inlineStr">
        <is>
          <t>PAPER_CALL_LOW_EDGE</t>
        </is>
      </c>
      <c r="AP1116" s="24" t="inlineStr">
        <is>
          <t>Clara Burel</t>
        </is>
      </c>
      <c r="AQ1116" s="24" t="inlineStr">
        <is>
          <t>Clara Burel</t>
        </is>
      </c>
      <c r="AR1116" s="24" t="inlineStr">
        <is>
          <t>Clara Burel</t>
        </is>
      </c>
      <c r="AS1116" s="24" t="inlineStr">
        <is>
          <t>Alicia Herrero Linana</t>
        </is>
      </c>
      <c r="AT1116" s="24" t="inlineStr">
        <is>
          <t>Alicia Herrero Linana</t>
        </is>
      </c>
      <c r="AU1116" s="24" t="inlineStr">
        <is>
          <t>Alicia Herrero Linana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shadow_qualified</t>
        </is>
      </c>
      <c r="BA1116" s="24" t="inlineStr">
        <is>
          <t>6c67e999d2a03612e30f4032c8e5e77e8becfbc79e05f4c8993e726b90d34d54</t>
        </is>
      </c>
      <c r="BB1116" s="24" t="inlineStr">
        <is>
          <t>surface_blended_elo</t>
        </is>
      </c>
      <c r="BC1116" s="24" t="inlineStr">
        <is>
          <t>tennis-surface-elo-v1</t>
        </is>
      </c>
      <c r="BD1116" s="24" t="inlineStr">
        <is>
          <t>6c67e999d2a03612e30f4032c8e5e77e8becfbc79e05f4c8993e726b90d34d54</t>
        </is>
      </c>
      <c r="BE1116" s="24" t="inlineStr">
        <is>
          <t>tennis-surface-elo-v1</t>
        </is>
      </c>
      <c r="BF1116" s="24" t="inlineStr">
        <is>
          <t>1</t>
        </is>
      </c>
      <c r="BG1116" s="24" t="inlineStr">
        <is>
          <t>6c67e999d2a03612e30f4032c8e5e77e8becfbc79e05f4c8993e726b90d34d54</t>
        </is>
      </c>
      <c r="BH1116" s="24" t="inlineStr">
        <is>
          <t>2026-09-20T10:26:48.053307Z</t>
        </is>
      </c>
      <c r="BI1116" s="24" t="inlineStr">
        <is>
          <t>["same_event","same_team_same_day","same_league_same_day"]</t>
        </is>
      </c>
      <c r="BJ1116" s="25" t="n"/>
      <c r="BK1116" s="26" t="n">
        <v>-245</v>
      </c>
      <c r="BL1116" s="27" t="n">
        <v>1.408163</v>
      </c>
      <c r="BM1116" s="28" t="n">
        <v>0.710145</v>
      </c>
      <c r="BN1116" s="28" t="n"/>
      <c r="BO1116" s="28" t="n"/>
      <c r="BP1116" s="25" t="n"/>
      <c r="BQ1116" s="27" t="n">
        <v>1.408163</v>
      </c>
      <c r="BR1116" s="28" t="n">
        <v>0.71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False</t>
        </is>
      </c>
      <c r="CT1116" s="24" t="n"/>
      <c r="CU1116" s="24" t="n"/>
      <c r="CV1116" s="24" t="n"/>
      <c r="CW1116" s="24" t="n"/>
      <c r="CX1116" s="24" t="n"/>
      <c r="CY1116" s="24" t="n"/>
      <c r="CZ1116" s="24" t="n"/>
      <c r="DA1116" s="24" t="n"/>
      <c r="DB1116" s="24" t="n"/>
      <c r="DC1116" s="24" t="n"/>
      <c r="DD1116" s="24" t="inlineStr">
        <is>
          <t>99e641785015d57edcb45eeaf5e6f7c29dfff3a9e3d479d6ac1c80e5a1b27622</t>
        </is>
      </c>
      <c r="DE1116" s="24" t="inlineStr">
        <is>
          <t>/Users/vincentc9002/model-prediction/data/odds/tennis/2026-09-20/polymarket_snapshots.jsonl</t>
        </is>
      </c>
      <c r="DF1116" s="24" t="inlineStr">
        <is>
          <t>951496:2026-09-20T10:26:48.053307Z</t>
        </is>
      </c>
      <c r="DG1116" s="24" t="n"/>
      <c r="DH1116" s="24" t="n"/>
      <c r="DI1116" s="24" t="n"/>
      <c r="DJ1116" s="24" t="inlineStr">
        <is>
          <t>0.710145</t>
        </is>
      </c>
      <c r="DK1116" s="24" t="n"/>
      <c r="DL1116" s="24" t="n"/>
      <c r="DM1116" s="24" t="n"/>
      <c r="DN1116" s="24" t="n"/>
      <c r="DO1116" s="24" t="n"/>
      <c r="DP1116" s="24" t="n"/>
      <c r="DQ1116" s="24" t="inlineStr">
        <is>
          <t>{"artifact_hash": "6c67e999d2a03612e30f4032c8e5e77e8becfbc79e05f4c8993e726b90d34d54", "away_team": "Clara Burel", "event_id": "871-2026:183774", "event_start_utc": "2026-09-20T15:30Z", "features": {"elo_p1_surface": 1621.2, "elo_p2_surface": 1613.7, "expected_games_p1": 12.71, "expected_games_p2": 12.04, "expected_total_games": 24.76, "history_matches": 16174, "min_player_matches": 39,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[1604.1839017584412, 1616.0878234327972], "players": ["Clara Burel", "Alicia Herrero Linana"], "sport": "TENNIS", "surface": "Hard", "surface_counts": [66, 39], "surface_ratings": [1621.1837672789472, 1613.7221963617699]}, "market_type": "moneyline", "model_version": "tennis-surface-elo-v1", "observed_at_utc": "2026-09-20T10:29:38.195321+00:00", "probabilities": {"away": 0.5019, "home": 0.4981}, "replay_scope": "Exact full-precision serving state and rounding; upstream historical observation times are not certified.", "schema": "coded-moneyline-replay-v1", "snapshot_hash": "4a78d84e49164bc34d83a83bc594866c7fbb6411797fd20019913de3050ab0a6", "sport": "TENNIS"}</t>
        </is>
      </c>
    </row>
    <row r="1117" ht="36" customHeight="1">
      <c r="A1117" s="24" t="inlineStr">
        <is>
          <t>3287751ab12c45e2</t>
        </is>
      </c>
      <c r="B1117" s="24" t="inlineStr">
        <is>
          <t>2026-09-20T23:09:09.190392Z</t>
        </is>
      </c>
      <c r="C1117" s="24" t="inlineStr">
        <is>
          <t>2026-09-21T03:00Z</t>
        </is>
      </c>
      <c r="D1117" s="24" t="inlineStr">
        <is>
          <t>811-2026:184031</t>
        </is>
      </c>
      <c r="E1117" s="24" t="inlineStr">
        <is>
          <t>TENNIS</t>
        </is>
      </c>
      <c r="F1117" s="24" t="inlineStr">
        <is>
          <t>Maya Joint</t>
        </is>
      </c>
      <c r="G1117" s="24" t="inlineStr">
        <is>
          <t>Yao Xinxin</t>
        </is>
      </c>
      <c r="H1117" s="24" t="inlineStr">
        <is>
          <t>moneyline</t>
        </is>
      </c>
      <c r="I1117" s="24" t="inlineStr">
        <is>
          <t>away</t>
        </is>
      </c>
      <c r="J1117" s="25" t="n"/>
      <c r="K1117" s="24" t="inlineStr">
        <is>
          <t>polymarket_us</t>
        </is>
      </c>
      <c r="L1117" s="26" t="n">
        <v>-669</v>
      </c>
      <c r="M1117" s="27" t="n">
        <v>1.149477</v>
      </c>
      <c r="N1117" s="28" t="n">
        <v>0.869961</v>
      </c>
      <c r="O1117" s="28" t="n">
        <v>0.6898</v>
      </c>
      <c r="P1117" s="28" t="n">
        <v>0.05</v>
      </c>
      <c r="Q1117" s="28" t="n">
        <v>-0.180161</v>
      </c>
      <c r="R1117" s="26" t="n">
        <v>0</v>
      </c>
      <c r="S1117" s="29" t="n">
        <v>1</v>
      </c>
      <c r="T1117" s="24" t="inlineStr">
        <is>
          <t>tennis-surface-elo-v1</t>
        </is>
      </c>
      <c r="U1117" s="24" t="inlineStr">
        <is>
          <t>settled</t>
        </is>
      </c>
      <c r="V1117" s="24" t="inlineStr">
        <is>
          <t>win</t>
        </is>
      </c>
      <c r="W1117" s="26" t="n">
        <v>1</v>
      </c>
      <c r="X1117" s="26" t="n">
        <v>0</v>
      </c>
      <c r="Y1117" s="25" t="n"/>
      <c r="Z1117" s="26" t="n">
        <v>-669</v>
      </c>
      <c r="AA1117" s="28" t="n">
        <v>0.87</v>
      </c>
      <c r="AB1117" s="28" t="n">
        <v>3.9e-05</v>
      </c>
      <c r="AC1117" s="30" t="n">
        <v>0.1495</v>
      </c>
      <c r="AD1117" s="24" t="inlineStr">
        <is>
          <t>2026-09-21T10:00:14.526509Z</t>
        </is>
      </c>
      <c r="AE1117" s="31" t="inlineStr">
        <is>
          <t>Surface-blended Elo on Hard: Maya Joint p=0.690 vs Yao Xinxin. Executable ask 0.8700 (aec-wta-xinyao-mayjoi-2026-09-20).</t>
        </is>
      </c>
      <c r="AF1117" s="31" t="inlineStr">
        <is>
          <t>Surface-blended Elo model; singles only, WTA+ATP market coverage, not yet locked-holdout qualified -- promoted by explicit operator directive, not genuine walk-forward validation.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PAPER_CALL_LOW_EDGE</t>
        </is>
      </c>
      <c r="AP1117" s="24" t="inlineStr">
        <is>
          <t>Maya Joint</t>
        </is>
      </c>
      <c r="AQ1117" s="24" t="inlineStr">
        <is>
          <t>Maya Joint</t>
        </is>
      </c>
      <c r="AR1117" s="24" t="inlineStr">
        <is>
          <t>Maya Joint</t>
        </is>
      </c>
      <c r="AS1117" s="24" t="inlineStr">
        <is>
          <t>Yao Xinxin</t>
        </is>
      </c>
      <c r="AT1117" s="24" t="inlineStr">
        <is>
          <t>Yao Xinxin</t>
        </is>
      </c>
      <c r="AU1117" s="24" t="inlineStr">
        <is>
          <t>Yao Xinxin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shadow_qualified</t>
        </is>
      </c>
      <c r="BA1117" s="24" t="inlineStr">
        <is>
          <t>6c67e999d2a03612e30f4032c8e5e77e8becfbc79e05f4c8993e726b90d34d54</t>
        </is>
      </c>
      <c r="BB1117" s="24" t="inlineStr">
        <is>
          <t>surface_blended_elo</t>
        </is>
      </c>
      <c r="BC1117" s="24" t="inlineStr">
        <is>
          <t>tennis-surface-elo-v1</t>
        </is>
      </c>
      <c r="BD1117" s="24" t="inlineStr">
        <is>
          <t>6c67e999d2a03612e30f4032c8e5e77e8becfbc79e05f4c8993e726b90d34d54</t>
        </is>
      </c>
      <c r="BE1117" s="24" t="inlineStr">
        <is>
          <t>tennis-surface-elo-v1</t>
        </is>
      </c>
      <c r="BF1117" s="24" t="inlineStr">
        <is>
          <t>1</t>
        </is>
      </c>
      <c r="BG1117" s="24" t="inlineStr">
        <is>
          <t>6c67e999d2a03612e30f4032c8e5e77e8becfbc79e05f4c8993e726b90d34d54</t>
        </is>
      </c>
      <c r="BH1117" s="24" t="inlineStr">
        <is>
          <t>2026-09-20T23:08:35.190935Z</t>
        </is>
      </c>
      <c r="BI1117" s="24" t="inlineStr">
        <is>
          <t>["same_event","same_team_same_day","same_league_same_day"]</t>
        </is>
      </c>
      <c r="BJ1117" s="25" t="n"/>
      <c r="BK1117" s="26" t="n">
        <v>-669</v>
      </c>
      <c r="BL1117" s="27" t="n">
        <v>1.149477</v>
      </c>
      <c r="BM1117" s="28" t="n">
        <v>0.869961</v>
      </c>
      <c r="BN1117" s="28" t="n"/>
      <c r="BO1117" s="28" t="n"/>
      <c r="BP1117" s="25" t="n"/>
      <c r="BQ1117" s="27" t="n">
        <v>1.149477</v>
      </c>
      <c r="BR1117" s="28" t="n">
        <v>0.87</v>
      </c>
      <c r="BS1117" s="28" t="n"/>
      <c r="BT1117" s="28" t="n"/>
      <c r="BU1117" s="25" t="n"/>
      <c r="BV1117" s="29" t="n"/>
      <c r="BW1117" s="24" t="n"/>
      <c r="BX1117" s="30" t="n"/>
      <c r="BY1117" s="27" t="n"/>
      <c r="BZ1117" s="24" t="n"/>
      <c r="CA1117" s="31" t="n"/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False</t>
        </is>
      </c>
      <c r="CT1117" s="24" t="n"/>
      <c r="CU1117" s="24" t="n"/>
      <c r="CV1117" s="24" t="n"/>
      <c r="CW1117" s="24" t="n"/>
      <c r="CX1117" s="24" t="n"/>
      <c r="CY1117" s="24" t="n"/>
      <c r="CZ1117" s="24" t="n"/>
      <c r="DA1117" s="24" t="n"/>
      <c r="DB1117" s="24" t="n"/>
      <c r="DC1117" s="24" t="n"/>
      <c r="DD1117" s="24" t="inlineStr">
        <is>
          <t>733a94f84d4b5995f049581663654c1435e3b97e8ad52949a9b0d19dda1d9fd9</t>
        </is>
      </c>
      <c r="DE1117" s="24" t="inlineStr">
        <is>
          <t>/Users/vincentc9002/model-prediction/data/odds/tennis/2026-09-20/polymarket_snapshots.jsonl</t>
        </is>
      </c>
      <c r="DF1117" s="24" t="inlineStr">
        <is>
          <t>966680:2026-09-20T23:08:35.190935Z</t>
        </is>
      </c>
      <c r="DG1117" s="24" t="n"/>
      <c r="DH1117" s="24" t="n"/>
      <c r="DI1117" s="24" t="n"/>
      <c r="DJ1117" s="24" t="inlineStr">
        <is>
          <t>0.869961</t>
        </is>
      </c>
      <c r="DK1117" s="24" t="n"/>
      <c r="DL1117" s="24" t="n"/>
      <c r="DM1117" s="24" t="n"/>
      <c r="DN1117" s="24" t="n"/>
      <c r="DO1117" s="24" t="n"/>
      <c r="DP1117" s="24" t="n"/>
      <c r="DQ1117" s="24" t="inlineStr">
        <is>
          <t>{"artifact_hash": "6c67e999d2a03612e30f4032c8e5e77e8becfbc79e05f4c8993e726b90d34d54", "away_team": "Maya Joint", "event_id": "811-2026:184031", "event_start_utc": "2026-09-21T03:00Z", "features": {"elo_p1_surface": 1617.5, "elo_p2_surface": 1480.9, "expected_games_p1": 13.25, "expected_games_p2": 7.73, "expected_total_games": 20.99, "history_matches": 16174, "min_player_matches": 21,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[1611.446283515253, 1473.5606920862217], "players": ["Maya Joint", "Yao Xinxin"], "sport": "TENNIS", "surface": "Hard", "surface_counts": [114, 20], "surface_ratings": [1617.4617784740958, 1480.8987686175556]}, "market_type": "moneyline", "model_version": "tennis-surface-elo-v1", "observed_at_utc": "2026-09-20T23:09:07.820600+00:00", "probabilities": {"away": 0.6898, "home": 0.3102}, "replay_scope": "Exact full-precision serving state and rounding; upstream historical observation times are not certified.", "schema": "coded-moneyline-replay-v1", "snapshot_hash": "7de3d8123479c0fc95563cf5d3aeb97ff8ab42606d23a0d5087fb29e419cbb7f", "sport": "TENNIS"}</t>
        </is>
      </c>
    </row>
    <row r="1118" ht="36" customHeight="1">
      <c r="A1118" s="24" t="inlineStr">
        <is>
          <t>d030cf405cc74bd0</t>
        </is>
      </c>
      <c r="B1118" s="24" t="inlineStr">
        <is>
          <t>2026-09-20T23:09:09.190392Z</t>
        </is>
      </c>
      <c r="C1118" s="24" t="inlineStr">
        <is>
          <t>2026-09-22T04:00Z</t>
        </is>
      </c>
      <c r="D1118" s="24" t="inlineStr">
        <is>
          <t>811-2026:184033</t>
        </is>
      </c>
      <c r="E1118" s="24" t="inlineStr">
        <is>
          <t>TENNIS</t>
        </is>
      </c>
      <c r="F1118" s="24" t="inlineStr">
        <is>
          <t>Renata Zarazua</t>
        </is>
      </c>
      <c r="G1118" s="24" t="inlineStr">
        <is>
          <t>Anna Bondar</t>
        </is>
      </c>
      <c r="H1118" s="24" t="inlineStr">
        <is>
          <t>moneyline</t>
        </is>
      </c>
      <c r="I1118" s="24" t="inlineStr">
        <is>
          <t>home</t>
        </is>
      </c>
      <c r="J1118" s="25" t="n"/>
      <c r="K1118" s="24" t="inlineStr">
        <is>
          <t>polymarket_us</t>
        </is>
      </c>
      <c r="L1118" s="26" t="n">
        <v>-186</v>
      </c>
      <c r="M1118" s="27" t="n">
        <v>1.537634</v>
      </c>
      <c r="N1118" s="28" t="n">
        <v>0.65035</v>
      </c>
      <c r="O1118" s="28" t="n">
        <v>0.7211</v>
      </c>
      <c r="P1118" s="28" t="n">
        <v>0.05</v>
      </c>
      <c r="Q1118" s="28" t="n">
        <v>0.07074999999999999</v>
      </c>
      <c r="R1118" s="26" t="n">
        <v>55</v>
      </c>
      <c r="S1118" s="29" t="n">
        <v>1.25</v>
      </c>
      <c r="T1118" s="24" t="inlineStr">
        <is>
          <t>tennis-surface-elo-v1</t>
        </is>
      </c>
      <c r="U1118" s="24" t="inlineStr">
        <is>
          <t>settled</t>
        </is>
      </c>
      <c r="V1118" s="24" t="inlineStr">
        <is>
          <t>win</t>
        </is>
      </c>
      <c r="W1118" s="26" t="n">
        <v>0</v>
      </c>
      <c r="X1118" s="26" t="n">
        <v>1</v>
      </c>
      <c r="Y1118" s="25" t="n"/>
      <c r="Z1118" s="26" t="n"/>
      <c r="AA1118" s="28" t="n"/>
      <c r="AB1118" s="28" t="n"/>
      <c r="AC1118" s="30" t="n">
        <v>0.672</v>
      </c>
      <c r="AD1118" s="24" t="inlineStr">
        <is>
          <t>2026-09-22T10:00:13.118426Z</t>
        </is>
      </c>
      <c r="AE1118" s="31" t="inlineStr">
        <is>
          <t>Surface-blended Elo on Hard: Renata Zarazua p=0.279 vs Anna Bondar. Executable ask 0.6500 (aec-wta-annbon-renzar-2026-09-20).</t>
        </is>
      </c>
      <c r="AF1118" s="31" t="inlineStr">
        <is>
          <t>Surface-blended Elo model; singles only, WTA+ATP market coverage, not yet locked-holdout qualified -- promoted by explicit operator directive, not genuine walk-forward validation.</t>
        </is>
      </c>
      <c r="AG1118" s="24" t="inlineStr">
        <is>
          <t>not_applicable</t>
        </is>
      </c>
      <c r="AH1118" s="24" t="n"/>
      <c r="AI1118" s="31" t="n"/>
      <c r="AJ1118" s="31" t="n"/>
      <c r="AK1118" s="24" t="inlineStr">
        <is>
          <t>model_qualified</t>
        </is>
      </c>
      <c r="AL1118" s="26" t="n">
        <v>4</v>
      </c>
      <c r="AM1118" s="24" t="inlineStr">
        <is>
          <t>QUALIFIED_SHADOW_CALL</t>
        </is>
      </c>
      <c r="AN1118" s="24" t="inlineStr">
        <is>
          <t>CALL</t>
        </is>
      </c>
      <c r="AO1118" s="24" t="inlineStr">
        <is>
          <t>QUALIFIED</t>
        </is>
      </c>
      <c r="AP1118" s="24" t="inlineStr">
        <is>
          <t>Renata Zarazua</t>
        </is>
      </c>
      <c r="AQ1118" s="24" t="inlineStr">
        <is>
          <t>Renata Zarazua</t>
        </is>
      </c>
      <c r="AR1118" s="24" t="inlineStr">
        <is>
          <t>Renata Zarazua</t>
        </is>
      </c>
      <c r="AS1118" s="24" t="inlineStr">
        <is>
          <t>Anna Bondar</t>
        </is>
      </c>
      <c r="AT1118" s="24" t="inlineStr">
        <is>
          <t>Anna Bondar</t>
        </is>
      </c>
      <c r="AU1118" s="24" t="inlineStr">
        <is>
          <t>Anna Bondar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inlineStr">
        <is>
          <t>6c67e999d2a03612e30f4032c8e5e77e8becfbc79e05f4c8993e726b90d34d54</t>
        </is>
      </c>
      <c r="BB1118" s="24" t="inlineStr">
        <is>
          <t>surface_blended_elo</t>
        </is>
      </c>
      <c r="BC1118" s="24" t="inlineStr">
        <is>
          <t>tennis-surface-elo-v1</t>
        </is>
      </c>
      <c r="BD1118" s="24" t="inlineStr">
        <is>
          <t>6c67e999d2a03612e30f4032c8e5e77e8becfbc79e05f4c8993e726b90d34d54</t>
        </is>
      </c>
      <c r="BE1118" s="24" t="inlineStr">
        <is>
          <t>tennis-surface-elo-v1</t>
        </is>
      </c>
      <c r="BF1118" s="24" t="inlineStr">
        <is>
          <t>1</t>
        </is>
      </c>
      <c r="BG1118" s="24" t="inlineStr">
        <is>
          <t>6c67e999d2a03612e30f4032c8e5e77e8becfbc79e05f4c8993e726b90d34d54</t>
        </is>
      </c>
      <c r="BH1118" s="24" t="inlineStr">
        <is>
          <t>2026-09-20T23:07:51.044386Z</t>
        </is>
      </c>
      <c r="BI1118" s="24" t="inlineStr">
        <is>
          <t>["same_event","same_team_same_day","same_league_same_day"]</t>
        </is>
      </c>
      <c r="BJ1118" s="25" t="n"/>
      <c r="BK1118" s="26" t="n">
        <v>-186</v>
      </c>
      <c r="BL1118" s="27" t="n">
        <v>1.537634</v>
      </c>
      <c r="BM1118" s="28" t="n">
        <v>0.65035</v>
      </c>
      <c r="BN1118" s="28" t="n"/>
      <c r="BO1118" s="28" t="n"/>
      <c r="BP1118" s="25" t="n"/>
      <c r="BQ1118" s="27" t="n"/>
      <c r="BR1118" s="28" t="n"/>
      <c r="BS1118" s="28" t="n"/>
      <c r="BT1118" s="28" t="n"/>
      <c r="BU1118" s="25" t="n"/>
      <c r="BV1118" s="29" t="n"/>
      <c r="BW1118" s="24" t="n"/>
      <c r="BX1118" s="30" t="n"/>
      <c r="BY1118" s="27" t="n"/>
      <c r="BZ1118" s="24" t="n"/>
      <c r="CA1118" s="31" t="n"/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True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inlineStr">
        <is>
          <t>09674f92b825efa8a66f8edd037c59ba893786582ed25c3ca8649a5b21f90ac7</t>
        </is>
      </c>
      <c r="DE1118" s="24" t="inlineStr">
        <is>
          <t>/Users/vincentc9002/model-prediction/data/odds/tennis/2026-09-20/polymarket_snapshots.jsonl</t>
        </is>
      </c>
      <c r="DF1118" s="24" t="inlineStr">
        <is>
          <t>948083:2026-09-20T23:07:51.044386Z</t>
        </is>
      </c>
      <c r="DG1118" s="24" t="n"/>
      <c r="DH1118" s="24" t="n"/>
      <c r="DI1118" s="24" t="n"/>
      <c r="DJ1118" s="24" t="inlineStr">
        <is>
          <t>0.65035</t>
        </is>
      </c>
      <c r="DK1118" s="24" t="n"/>
      <c r="DL1118" s="24" t="n"/>
      <c r="DM1118" s="24" t="n"/>
      <c r="DN1118" s="24" t="n"/>
      <c r="DO1118" s="24" t="n"/>
      <c r="DP1118" s="24" t="n"/>
      <c r="DQ1118" s="24" t="inlineStr">
        <is>
          <t>{"artifact_hash": "6c67e999d2a03612e30f4032c8e5e77e8becfbc79e05f4c8993e726b90d34d54", "away_team": "Renata Zarazua", "event_id": "811-2026:184033", "event_start_utc": "2026-09-22T04:00Z", "features": {"elo_p1_surface": 1463.4, "elo_p2_surface": 1623.2, "expected_games_p1": 7.46, "expected_games_p2": 13.0, "expected_total_games": 20.46, "history_matches": 16174, "min_player_matches": 142, "surface": "Hard"}, "historical_source_observation_times_verified": false, "home_team": "Anna Bondar", "inference_inputs": {"code_sha256": {"features/elo_ratings.py": "8525faf022a6343c452286dbfeb17dbb043744c6bdabbe448b6b371216da439b", "models/tennis.py": "6c67e999d2a03612e30f4032c8e5e77e8becfbc79e05f4c8993e726b90d34d54"}, "overall_ratings": [1473.7377021446398, 1654.6339871597968], "players": ["Renata Zarazua", "Anna Bondar"], "sport": "TENNIS", "surface": "Hard", "surface_counts": [113, 115], "surface_ratings": [1463.4063113306004, 1623.2142433728454]}, "market_type": "moneyline", "model_version": "tennis-surface-elo-v1", "observed_at_utc": "2026-09-20T23:09:07.820600+00:00", "probabilities": {"away": 0.2789, "home": 0.7211}, "replay_scope": "Exact full-precision serving state and rounding; upstream historical observation times are not certified.", "schema": "coded-moneyline-replay-v1", "snapshot_hash": "e10941c8adead3715d2cbc97cae8843de58cdef03a4c88f5929d076233b0e83b", "sport": "TENNIS"}</t>
        </is>
      </c>
    </row>
    <row r="1119" ht="36" customHeight="1">
      <c r="A1119" s="24" t="inlineStr">
        <is>
          <t>3cc8105f16014ef0</t>
        </is>
      </c>
      <c r="B1119" s="24" t="inlineStr">
        <is>
          <t>2026-09-21T04:38:44.829672Z</t>
        </is>
      </c>
      <c r="C1119" s="24" t="inlineStr">
        <is>
          <t>2026-09-21T06:30Z</t>
        </is>
      </c>
      <c r="D1119" s="24" t="inlineStr">
        <is>
          <t>811-2026:184043</t>
        </is>
      </c>
      <c r="E1119" s="24" t="inlineStr">
        <is>
          <t>TENNIS</t>
        </is>
      </c>
      <c r="F1119" s="24" t="inlineStr">
        <is>
          <t>Magda Linette</t>
        </is>
      </c>
      <c r="G1119" s="24" t="inlineStr">
        <is>
          <t>Darya Astakhova</t>
        </is>
      </c>
      <c r="H1119" s="24" t="inlineStr">
        <is>
          <t>moneyline</t>
        </is>
      </c>
      <c r="I1119" s="24" t="inlineStr">
        <is>
          <t>away</t>
        </is>
      </c>
      <c r="J1119" s="25" t="n"/>
      <c r="K1119" s="24" t="inlineStr">
        <is>
          <t>polymarket_us</t>
        </is>
      </c>
      <c r="L1119" s="26" t="n">
        <v>-203</v>
      </c>
      <c r="M1119" s="27" t="n">
        <v>1.492611</v>
      </c>
      <c r="N1119" s="28" t="n">
        <v>0.669967</v>
      </c>
      <c r="O1119" s="28" t="n">
        <v>0.7043</v>
      </c>
      <c r="P1119" s="28" t="n">
        <v>0.05</v>
      </c>
      <c r="Q1119" s="28" t="n">
        <v>0.034333</v>
      </c>
      <c r="R1119" s="26" t="n">
        <v>37</v>
      </c>
      <c r="S1119" s="29" t="n">
        <v>1</v>
      </c>
      <c r="T1119" s="24" t="inlineStr">
        <is>
          <t>tennis-surface-elo-v1</t>
        </is>
      </c>
      <c r="U1119" s="24" t="inlineStr">
        <is>
          <t>settled</t>
        </is>
      </c>
      <c r="V1119" s="24" t="inlineStr">
        <is>
          <t>loss</t>
        </is>
      </c>
      <c r="W1119" s="26" t="n">
        <v>0</v>
      </c>
      <c r="X1119" s="26" t="n">
        <v>1</v>
      </c>
      <c r="Y1119" s="25" t="n"/>
      <c r="Z1119" s="26" t="n">
        <v>-203</v>
      </c>
      <c r="AA1119" s="28" t="n">
        <v>0.67</v>
      </c>
      <c r="AB1119" s="28" t="n">
        <v>3.3e-05</v>
      </c>
      <c r="AC1119" s="30" t="n">
        <v>-1</v>
      </c>
      <c r="AD1119" s="24" t="inlineStr">
        <is>
          <t>2026-09-21T16:08:36.834965Z</t>
        </is>
      </c>
      <c r="AE1119" s="31" t="inlineStr">
        <is>
          <t>Surface-blended Elo on Hard: Magda Linette p=0.704 vs Darya Astakhova. Executable ask 0.6700 (aec-wta-darast-maglin-2026-09-21).</t>
        </is>
      </c>
      <c r="AF1119" s="31" t="inlineStr">
        <is>
          <t>Surface-blended Elo model; singles only, WTA+ATP market coverage, not yet locked-holdout qualified -- promoted by explicit operator directive, not genuine walk-forward validation.</t>
        </is>
      </c>
      <c r="AG1119" s="24" t="inlineStr">
        <is>
          <t>review_required</t>
        </is>
      </c>
      <c r="AH1119" s="24" t="n"/>
      <c r="AI1119" s="31" t="n"/>
      <c r="AJ1119" s="31" t="n"/>
      <c r="AK1119" s="24" t="inlineStr">
        <is>
          <t>paper_call</t>
        </is>
      </c>
      <c r="AL1119" s="26" t="n">
        <v>4</v>
      </c>
      <c r="AM1119" s="24" t="inlineStr">
        <is>
          <t>RESEARCH_OBSERVATION</t>
        </is>
      </c>
      <c r="AN1119" s="24" t="inlineStr">
        <is>
          <t>CALL</t>
        </is>
      </c>
      <c r="AO1119" s="24" t="inlineStr">
        <is>
          <t>PAPER_CALL_LOW_EDGE</t>
        </is>
      </c>
      <c r="AP1119" s="24" t="inlineStr">
        <is>
          <t>Magda Linette</t>
        </is>
      </c>
      <c r="AQ1119" s="24" t="inlineStr">
        <is>
          <t>Magda Linette</t>
        </is>
      </c>
      <c r="AR1119" s="24" t="inlineStr">
        <is>
          <t>Magda Linette</t>
        </is>
      </c>
      <c r="AS1119" s="24" t="inlineStr">
        <is>
          <t>Darya Astakhova</t>
        </is>
      </c>
      <c r="AT1119" s="24" t="inlineStr">
        <is>
          <t>Darya Astakhova</t>
        </is>
      </c>
      <c r="AU1119" s="24" t="inlineStr">
        <is>
          <t>Darya Astakhova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inlineStr">
        <is>
          <t>6c67e999d2a03612e30f4032c8e5e77e8becfbc79e05f4c8993e726b90d34d54</t>
        </is>
      </c>
      <c r="BB1119" s="24" t="inlineStr">
        <is>
          <t>surface_blended_elo</t>
        </is>
      </c>
      <c r="BC1119" s="24" t="inlineStr">
        <is>
          <t>tennis-surface-elo-v1</t>
        </is>
      </c>
      <c r="BD1119" s="24" t="inlineStr">
        <is>
          <t>6c67e999d2a03612e30f4032c8e5e77e8becfbc79e05f4c8993e726b90d34d54</t>
        </is>
      </c>
      <c r="BE1119" s="24" t="inlineStr">
        <is>
          <t>tennis-surface-elo-v1</t>
        </is>
      </c>
      <c r="BF1119" s="24" t="inlineStr">
        <is>
          <t>1</t>
        </is>
      </c>
      <c r="BG1119" s="24" t="inlineStr">
        <is>
          <t>6c67e999d2a03612e30f4032c8e5e77e8becfbc79e05f4c8993e726b90d34d54</t>
        </is>
      </c>
      <c r="BH1119" s="24" t="inlineStr">
        <is>
          <t>2026-09-21T04:35:50.190503Z</t>
        </is>
      </c>
      <c r="BI1119" s="24" t="inlineStr">
        <is>
          <t>["same_event","same_team_same_day","same_league_same_day"]</t>
        </is>
      </c>
      <c r="BJ1119" s="25" t="n"/>
      <c r="BK1119" s="26" t="n">
        <v>-203</v>
      </c>
      <c r="BL1119" s="27" t="n">
        <v>1.492611</v>
      </c>
      <c r="BM1119" s="28" t="n">
        <v>0.669967</v>
      </c>
      <c r="BN1119" s="28" t="n"/>
      <c r="BO1119" s="28" t="n"/>
      <c r="BP1119" s="25" t="n"/>
      <c r="BQ1119" s="27" t="n">
        <v>1.492611</v>
      </c>
      <c r="BR1119" s="28" t="n">
        <v>0.67</v>
      </c>
      <c r="BS1119" s="28" t="n"/>
      <c r="BT1119" s="28" t="n"/>
      <c r="BU1119" s="25" t="n"/>
      <c r="BV1119" s="29" t="n"/>
      <c r="BW1119" s="24" t="n"/>
      <c r="BX1119" s="30" t="n"/>
      <c r="BY1119" s="27" t="n"/>
      <c r="BZ1119" s="24" t="n"/>
      <c r="CA1119" s="31" t="n"/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True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inlineStr">
        <is>
          <t>6dd5231754d8c313675999c60561ba152801ff62813634749eec30048b4905b9</t>
        </is>
      </c>
      <c r="DE1119" s="24" t="inlineStr">
        <is>
          <t>/Users/vincentc9002/model-prediction/data/odds/tennis/2026-09-21/polymarket_snapshots.jsonl</t>
        </is>
      </c>
      <c r="DF1119" s="24" t="inlineStr">
        <is>
          <t>966681:2026-09-21T04:35:50.190503Z</t>
        </is>
      </c>
      <c r="DG1119" s="24" t="n"/>
      <c r="DH1119" s="24" t="n"/>
      <c r="DI1119" s="24" t="n"/>
      <c r="DJ1119" s="24" t="inlineStr">
        <is>
          <t>0.669967</t>
        </is>
      </c>
      <c r="DK1119" s="24" t="n"/>
      <c r="DL1119" s="24" t="n"/>
      <c r="DM1119" s="24" t="n"/>
      <c r="DN1119" s="24" t="n"/>
      <c r="DO1119" s="24" t="n"/>
      <c r="DP1119" s="24" t="n"/>
      <c r="DQ1119" s="24" t="inlineStr">
        <is>
          <t>{"artifact_hash": "6c67e999d2a03612e30f4032c8e5e77e8becfbc79e05f4c8993e726b90d34d54", "away_team": "Magda Linette", "event_id": "811-2026:184043", "event_start_utc": "2026-09-21T06:30Z", "features": {"elo_p1_surface": 1621.6, "elo_p2_surface": 1474.5, "expected_games_p1": 13.17, "expected_games_p2": 7.39, "expected_total_games": 20.56, "history_matches": 16204, "min_player_matches": 23,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[1633.9788919557873, 1473.4495662649917], "players": ["Magda Linette", "Darya Astakhova"], "sport": "TENNIS", "surface": "Hard", "surface_counts": [110, 20], "surface_ratings": [1621.6484439815279, 1474.5208585035593]}, "market_type": "moneyline", "model_version": "tennis-surface-elo-v1", "observed_at_utc": "2026-09-21T04:38:43.507657+00:00", "probabilities": {"away": 0.7043, "home": 0.2957}, "replay_scope": "Exact full-precision serving state and rounding; upstream historical observation times are not certified.", "schema": "coded-moneyline-replay-v1", "snapshot_hash": "ca0b7315ff61985de6f36158980504ee5ecc42d970e174a127df61d6330d5f00", "sport": "TENNIS"}</t>
        </is>
      </c>
    </row>
    <row r="1120" ht="36" customHeight="1">
      <c r="A1120" s="24" t="inlineStr">
        <is>
          <t>d3d73f068b914b70</t>
        </is>
      </c>
      <c r="B1120" s="24" t="inlineStr">
        <is>
          <t>2026-09-21T04:38:44.829672Z</t>
        </is>
      </c>
      <c r="C1120" s="24" t="inlineStr">
        <is>
          <t>2026-09-21T06:00Z</t>
        </is>
      </c>
      <c r="D1120" s="24" t="inlineStr">
        <is>
          <t>1009-2026:184090</t>
        </is>
      </c>
      <c r="E1120" s="24" t="inlineStr">
        <is>
          <t>TENNIS</t>
        </is>
      </c>
      <c r="F1120" s="24" t="inlineStr">
        <is>
          <t>Fiona Ferro</t>
        </is>
      </c>
      <c r="G1120" s="24" t="inlineStr">
        <is>
          <t>Talia Gibson</t>
        </is>
      </c>
      <c r="H1120" s="24" t="inlineStr">
        <is>
          <t>moneyline</t>
        </is>
      </c>
      <c r="I1120" s="24" t="inlineStr">
        <is>
          <t>away</t>
        </is>
      </c>
      <c r="J1120" s="25" t="n"/>
      <c r="K1120" s="24" t="inlineStr">
        <is>
          <t>polymarket_us</t>
        </is>
      </c>
      <c r="L1120" s="26" t="n">
        <v>144</v>
      </c>
      <c r="M1120" s="27" t="n">
        <v>2.44</v>
      </c>
      <c r="N1120" s="28" t="n">
        <v>0.409836</v>
      </c>
      <c r="O1120" s="28" t="n">
        <v>0.5246</v>
      </c>
      <c r="P1120" s="28" t="n">
        <v>0.05</v>
      </c>
      <c r="Q1120" s="28" t="n">
        <v>0.114764</v>
      </c>
      <c r="R1120" s="26" t="n">
        <v>77</v>
      </c>
      <c r="S1120" s="29" t="n">
        <v>1.5</v>
      </c>
      <c r="T1120" s="24" t="inlineStr">
        <is>
          <t>tennis-surface-elo-v1</t>
        </is>
      </c>
      <c r="U1120" s="24" t="inlineStr">
        <is>
          <t>settled</t>
        </is>
      </c>
      <c r="V1120" s="24" t="inlineStr">
        <is>
          <t>loss</t>
        </is>
      </c>
      <c r="W1120" s="26" t="n">
        <v>0</v>
      </c>
      <c r="X1120" s="26" t="n">
        <v>1</v>
      </c>
      <c r="Y1120" s="25" t="n"/>
      <c r="Z1120" s="26" t="n">
        <v>144</v>
      </c>
      <c r="AA1120" s="28" t="n">
        <v>0.41</v>
      </c>
      <c r="AB1120" s="28" t="n">
        <v>0.000164</v>
      </c>
      <c r="AC1120" s="30" t="n">
        <v>-1.5</v>
      </c>
      <c r="AD1120" s="24" t="inlineStr">
        <is>
          <t>2026-09-21T10:00:14.961737Z</t>
        </is>
      </c>
      <c r="AE1120" s="31" t="inlineStr">
        <is>
          <t>Surface-blended Elo on Hard: Fiona Ferro p=0.525 vs Talia Gibson. Executable ask 0.4100 (aec-wta-talgib-fiofer-2026-09-20).</t>
        </is>
      </c>
      <c r="AF1120" s="31" t="inlineStr">
        <is>
          <t>Surface-blended Elo model; singles only, WTA+ATP market coverage, not yet locked-holdout qualified -- promoted by explicit operator directive, not genuine walk-forward validation.</t>
        </is>
      </c>
      <c r="AG1120" s="24" t="inlineStr">
        <is>
          <t>review_required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PAPER_CALL_LOW_EDGE</t>
        </is>
      </c>
      <c r="AP1120" s="24" t="inlineStr">
        <is>
          <t>Fiona Ferro</t>
        </is>
      </c>
      <c r="AQ1120" s="24" t="inlineStr">
        <is>
          <t>Fiona Ferro</t>
        </is>
      </c>
      <c r="AR1120" s="24" t="inlineStr">
        <is>
          <t>Fiona Ferro</t>
        </is>
      </c>
      <c r="AS1120" s="24" t="inlineStr">
        <is>
          <t>Talia Gibson</t>
        </is>
      </c>
      <c r="AT1120" s="24" t="inlineStr">
        <is>
          <t>Talia Gibson</t>
        </is>
      </c>
      <c r="AU1120" s="24" t="inlineStr">
        <is>
          <t>Talia Gibson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inlineStr">
        <is>
          <t>6c67e999d2a03612e30f4032c8e5e77e8becfbc79e05f4c8993e726b90d34d54</t>
        </is>
      </c>
      <c r="BB1120" s="24" t="inlineStr">
        <is>
          <t>surface_blended_elo</t>
        </is>
      </c>
      <c r="BC1120" s="24" t="inlineStr">
        <is>
          <t>tennis-surface-elo-v1</t>
        </is>
      </c>
      <c r="BD1120" s="24" t="inlineStr">
        <is>
          <t>6c67e999d2a03612e30f4032c8e5e77e8becfbc79e05f4c8993e726b90d34d54</t>
        </is>
      </c>
      <c r="BE1120" s="24" t="inlineStr">
        <is>
          <t>tennis-surface-elo-v1</t>
        </is>
      </c>
      <c r="BF1120" s="24" t="inlineStr">
        <is>
          <t>1</t>
        </is>
      </c>
      <c r="BG1120" s="24" t="inlineStr">
        <is>
          <t>6c67e999d2a03612e30f4032c8e5e77e8becfbc79e05f4c8993e726b90d34d54</t>
        </is>
      </c>
      <c r="BH1120" s="24" t="inlineStr">
        <is>
          <t>2026-09-21T04:35:39.167329Z</t>
        </is>
      </c>
      <c r="BI1120" s="24" t="inlineStr">
        <is>
          <t>["same_event","same_team_same_day","same_league_same_day"]</t>
        </is>
      </c>
      <c r="BJ1120" s="25" t="n"/>
      <c r="BK1120" s="26" t="n">
        <v>144</v>
      </c>
      <c r="BL1120" s="27" t="n">
        <v>2.44</v>
      </c>
      <c r="BM1120" s="28" t="n">
        <v>0.409836</v>
      </c>
      <c r="BN1120" s="28" t="n"/>
      <c r="BO1120" s="28" t="n"/>
      <c r="BP1120" s="25" t="n"/>
      <c r="BQ1120" s="27" t="n">
        <v>2.44</v>
      </c>
      <c r="BR1120" s="28" t="n">
        <v>0.41</v>
      </c>
      <c r="BS1120" s="28" t="n"/>
      <c r="BT1120" s="28" t="n"/>
      <c r="BU1120" s="25" t="n"/>
      <c r="BV1120" s="29" t="n"/>
      <c r="BW1120" s="24" t="n"/>
      <c r="BX1120" s="30" t="n"/>
      <c r="BY1120" s="27" t="n"/>
      <c r="BZ1120" s="24" t="n"/>
      <c r="CA1120" s="31" t="n"/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inlineStr">
        <is>
          <t>5fc41ee1791c7efd024f6b2919bfb1dce74edf316ea6b0d237907d0de81b322b</t>
        </is>
      </c>
      <c r="DE1120" s="24" t="inlineStr">
        <is>
          <t>/Users/vincentc9002/model-prediction/data/odds/tennis/2026-09-21/polymarket_snapshots.jsonl</t>
        </is>
      </c>
      <c r="DF1120" s="24" t="inlineStr">
        <is>
          <t>949053:2026-09-21T04:35:39.167329Z</t>
        </is>
      </c>
      <c r="DG1120" s="24" t="n"/>
      <c r="DH1120" s="24" t="n"/>
      <c r="DI1120" s="24" t="n"/>
      <c r="DJ1120" s="24" t="inlineStr">
        <is>
          <t>0.409836</t>
        </is>
      </c>
      <c r="DK1120" s="24" t="n"/>
      <c r="DL1120" s="24" t="n"/>
      <c r="DM1120" s="24" t="n"/>
      <c r="DN1120" s="24" t="n"/>
      <c r="DO1120" s="24" t="n"/>
      <c r="DP1120" s="24" t="n"/>
      <c r="DQ1120" s="24" t="inlineStr">
        <is>
          <t>{"artifact_hash": "6c67e999d2a03612e30f4032c8e5e77e8becfbc79e05f4c8993e726b90d34d54", "away_team": "Fiona Ferro", "event_id": "1009-2026:184090", "event_start_utc": "2026-09-21T06:00Z", "features": {"elo_p1_surface": 1654.4, "elo_p2_surface": 1635.9, "expected_games_p1": 12.92, "expected_games_p2": 11.75, "expected_total_games": 24.66, "history_matches": 16204, "min_player_matches": 81, "surface": "Hard"}, "historical_source_observation_times_verified": false, "home_team": "Talia Gibson", "inference_inputs": {"code_sha256": {"features/elo_ratings.py": "8525faf022a6343c452286dbfeb17dbb043744c6bdabbe448b6b371216da439b", "models/tennis.py": "6c67e999d2a03612e30f4032c8e5e77e8becfbc79e05f4c8993e726b90d34d54"}, "overall_ratings": [1621.4764132804714, 1608.6495951553798], "players": ["Fiona Ferro", "Talia Gibson"], "sport": "TENNIS", "surface": "Hard", "surface_counts": [70, 64], "surface_ratings": [1654.4390542634078, 1635.8978218316902]}, "market_type": "moneyline", "model_version": "tennis-surface-elo-v1", "observed_at_utc": "2026-09-21T04:38:43.507657+00:00", "probabilities": {"away": 0.5246, "home": 0.4754}, "replay_scope": "Exact full-precision serving state and rounding; upstream historical observation times are not certified.", "schema": "coded-moneyline-replay-v1", "snapshot_hash": "fea020861e9e2a940679e9af022703bb775bc6a75f15ccf0df22a16a7ea6bbc0", "sport": "TENNIS"}</t>
        </is>
      </c>
    </row>
    <row r="1121" ht="36" customHeight="1">
      <c r="A1121" s="24" t="inlineStr">
        <is>
          <t>3a41646db494470c</t>
        </is>
      </c>
      <c r="B1121" s="24" t="inlineStr">
        <is>
          <t>2026-09-21T10:07:37.201821Z</t>
        </is>
      </c>
      <c r="C1121" s="24" t="inlineStr">
        <is>
          <t>2026-09-21T11:30Z</t>
        </is>
      </c>
      <c r="D1121" s="24" t="inlineStr">
        <is>
          <t>1019-2026:183879</t>
        </is>
      </c>
      <c r="E1121" s="24" t="inlineStr">
        <is>
          <t>TENNIS</t>
        </is>
      </c>
      <c r="F1121" s="24" t="inlineStr">
        <is>
          <t>Arantxa Rus</t>
        </is>
      </c>
      <c r="G1121" s="24" t="inlineStr">
        <is>
          <t>Mia Ristic</t>
        </is>
      </c>
      <c r="H1121" s="24" t="inlineStr">
        <is>
          <t>moneyline</t>
        </is>
      </c>
      <c r="I1121" s="24" t="inlineStr">
        <is>
          <t>home</t>
        </is>
      </c>
      <c r="J1121" s="25" t="n"/>
      <c r="K1121" s="24" t="inlineStr">
        <is>
          <t>polymarket_us</t>
        </is>
      </c>
      <c r="L1121" s="26" t="n">
        <v>-144</v>
      </c>
      <c r="M1121" s="27" t="n">
        <v>1.694444</v>
      </c>
      <c r="N1121" s="28" t="n">
        <v>0.590164</v>
      </c>
      <c r="O1121" s="28" t="n">
        <v>0.5534</v>
      </c>
      <c r="P1121" s="28" t="n">
        <v>0.05</v>
      </c>
      <c r="Q1121" s="28" t="n">
        <v>-0.036764</v>
      </c>
      <c r="R1121" s="26" t="n">
        <v>2</v>
      </c>
      <c r="S1121" s="29" t="n">
        <v>1</v>
      </c>
      <c r="T1121" s="24" t="inlineStr">
        <is>
          <t>tennis-surface-elo-v1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1</v>
      </c>
      <c r="Y1121" s="25" t="n"/>
      <c r="Z1121" s="26" t="n">
        <v>-144</v>
      </c>
      <c r="AA1121" s="28" t="n">
        <v>0.59</v>
      </c>
      <c r="AB1121" s="28" t="n">
        <v>-0.000164</v>
      </c>
      <c r="AC1121" s="30" t="n">
        <v>0.6944</v>
      </c>
      <c r="AD1121" s="24" t="inlineStr">
        <is>
          <t>2026-09-21T16:08:38.366027Z</t>
        </is>
      </c>
      <c r="AE1121" s="31" t="inlineStr">
        <is>
          <t>Surface-blended Elo on Hard: Arantxa Rus p=0.447 vs Mia Ristic. Executable ask 0.5900 (aec-wta-miaris-ararus-2026-09-21).</t>
        </is>
      </c>
      <c r="AF1121" s="31" t="inlineStr">
        <is>
          <t>Surface-blended Elo model; singles only, WTA+ATP market coverage, not yet locked-holdout qualified -- promoted by explicit operator directive, not genuine walk-forward validation.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PAPER_CALL_LOW_EDGE</t>
        </is>
      </c>
      <c r="AP1121" s="24" t="inlineStr">
        <is>
          <t>Arantxa Rus</t>
        </is>
      </c>
      <c r="AQ1121" s="24" t="inlineStr">
        <is>
          <t>Arantxa Rus</t>
        </is>
      </c>
      <c r="AR1121" s="24" t="inlineStr">
        <is>
          <t>Arantxa Rus</t>
        </is>
      </c>
      <c r="AS1121" s="24" t="inlineStr">
        <is>
          <t>Mia Ristic</t>
        </is>
      </c>
      <c r="AT1121" s="24" t="inlineStr">
        <is>
          <t>Mia Ristic</t>
        </is>
      </c>
      <c r="AU1121" s="24" t="inlineStr">
        <is>
          <t>Mia Ristic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inlineStr">
        <is>
          <t>6c67e999d2a03612e30f4032c8e5e77e8becfbc79e05f4c8993e726b90d34d54</t>
        </is>
      </c>
      <c r="BB1121" s="24" t="inlineStr">
        <is>
          <t>surface_blended_elo</t>
        </is>
      </c>
      <c r="BC1121" s="24" t="inlineStr">
        <is>
          <t>tennis-surface-elo-v1</t>
        </is>
      </c>
      <c r="BD1121" s="24" t="inlineStr">
        <is>
          <t>6c67e999d2a03612e30f4032c8e5e77e8becfbc79e05f4c8993e726b90d34d54</t>
        </is>
      </c>
      <c r="BE1121" s="24" t="inlineStr">
        <is>
          <t>tennis-surface-elo-v1</t>
        </is>
      </c>
      <c r="BF1121" s="24" t="inlineStr">
        <is>
          <t>1</t>
        </is>
      </c>
      <c r="BG1121" s="24" t="inlineStr">
        <is>
          <t>6c67e999d2a03612e30f4032c8e5e77e8becfbc79e05f4c8993e726b90d34d54</t>
        </is>
      </c>
      <c r="BH1121" s="24" t="inlineStr">
        <is>
          <t>2026-09-21T10:04:55.032276Z</t>
        </is>
      </c>
      <c r="BI1121" s="24" t="inlineStr">
        <is>
          <t>["same_event","same_team_same_day","same_league_same_day"]</t>
        </is>
      </c>
      <c r="BJ1121" s="25" t="n"/>
      <c r="BK1121" s="26" t="n">
        <v>-144</v>
      </c>
      <c r="BL1121" s="27" t="n">
        <v>1.694444</v>
      </c>
      <c r="BM1121" s="28" t="n">
        <v>0.590164</v>
      </c>
      <c r="BN1121" s="28" t="n"/>
      <c r="BO1121" s="28" t="n"/>
      <c r="BP1121" s="25" t="n"/>
      <c r="BQ1121" s="27" t="n">
        <v>1.694444</v>
      </c>
      <c r="BR1121" s="28" t="n">
        <v>0.59</v>
      </c>
      <c r="BS1121" s="28" t="n"/>
      <c r="BT1121" s="28" t="n"/>
      <c r="BU1121" s="25" t="n"/>
      <c r="BV1121" s="29" t="n"/>
      <c r="BW1121" s="24" t="n"/>
      <c r="BX1121" s="30" t="n"/>
      <c r="BY1121" s="27" t="n"/>
      <c r="BZ1121" s="24" t="n"/>
      <c r="CA1121" s="31" t="n"/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False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inlineStr">
        <is>
          <t>4b72d7b16c3915c93ae3e443d6b900b73c8862f0051bc7e1e493184e735df2db</t>
        </is>
      </c>
      <c r="DE1121" s="24" t="inlineStr">
        <is>
          <t>/Users/vincentc9002/model-prediction/data/odds/tennis/2026-09-21/polymarket_snapshots.jsonl</t>
        </is>
      </c>
      <c r="DF1121" s="24" t="inlineStr">
        <is>
          <t>970450:2026-09-21T10:04:55.032276Z</t>
        </is>
      </c>
      <c r="DG1121" s="24" t="n"/>
      <c r="DH1121" s="24" t="n"/>
      <c r="DI1121" s="24" t="n"/>
      <c r="DJ1121" s="24" t="inlineStr">
        <is>
          <t>0.590164</t>
        </is>
      </c>
      <c r="DK1121" s="24" t="n"/>
      <c r="DL1121" s="24" t="n"/>
      <c r="DM1121" s="24" t="n"/>
      <c r="DN1121" s="24" t="n"/>
      <c r="DO1121" s="24" t="n"/>
      <c r="DP1121" s="24" t="n"/>
      <c r="DQ1121" s="24" t="inlineStr">
        <is>
          <t>{"artifact_hash": "6c67e999d2a03612e30f4032c8e5e77e8becfbc79e05f4c8993e726b90d34d54", "away_team": "Arantxa Rus", "event_id": "1019-2026:183879", "event_start_utc": "2026-09-21T11:30Z", "features": {"elo_p1_surface": 1477.5, "elo_p2_surface": 1511.1, "expected_games_p1": 11.68, "expected_games_p2": 12.88, "expected_total_games": 24.56, "history_matches": 16204, "min_player_matches": 40, "surface": "Hard"}, "historical_source_observation_times_verified": false, "home_team": "Mia Ristic", "inference_inputs": {"code_sha256": {"features/elo_ratings.py": "8525faf022a6343c452286dbfeb17dbb043744c6bdabbe448b6b371216da439b", "models/tennis.py": "6c67e999d2a03612e30f4032c8e5e77e8becfbc79e05f4c8993e726b90d34d54"}, "overall_ratings": [1485.360773546426, 1525.697413349196], "players": ["Arantxa Rus", "Mia Ristic"], "sport": "TENNIS", "surface": "Hard", "surface_counts": [81, 36], "surface_ratings": [1477.4510686262524, 1511.121442854967]}, "market_type": "moneyline", "model_version": "tennis-surface-elo-v1", "observed_at_utc": "2026-09-21T10:07:36.001944+00:00", "probabilities": {"away": 0.4466, "home": 0.5534}, "replay_scope": "Exact full-precision serving state and rounding; upstream historical observation times are not certified.", "schema": "coded-moneyline-replay-v1", "snapshot_hash": "0525949a94f364851133375b89c5be95f0241b22d84fe738b568ab2e3433146c", "sport": "TENNIS"}</t>
        </is>
      </c>
    </row>
    <row r="1122" ht="36" customHeight="1">
      <c r="A1122" s="24" t="inlineStr">
        <is>
          <t>155802358c3244d6</t>
        </is>
      </c>
      <c r="B1122" s="24" t="inlineStr">
        <is>
          <t>2026-09-21T10:07:37.201821Z</t>
        </is>
      </c>
      <c r="C1122" s="24" t="inlineStr">
        <is>
          <t>2026-09-21T16:00Z</t>
        </is>
      </c>
      <c r="D1122" s="24" t="inlineStr">
        <is>
          <t>1019-2026:183881</t>
        </is>
      </c>
      <c r="E1122" s="24" t="inlineStr">
        <is>
          <t>TENNIS</t>
        </is>
      </c>
      <c r="F1122" s="24" t="inlineStr">
        <is>
          <t>Oksana Selekhmeteva</t>
        </is>
      </c>
      <c r="G1122" s="24" t="inlineStr">
        <is>
          <t>Federica Urgesi</t>
        </is>
      </c>
      <c r="H1122" s="24" t="inlineStr">
        <is>
          <t>moneyline</t>
        </is>
      </c>
      <c r="I1122" s="24" t="inlineStr">
        <is>
          <t>away</t>
        </is>
      </c>
      <c r="J1122" s="25" t="n"/>
      <c r="K1122" s="24" t="inlineStr">
        <is>
          <t>polymarket_us</t>
        </is>
      </c>
      <c r="L1122" s="26" t="n">
        <v>-194</v>
      </c>
      <c r="M1122" s="27" t="n">
        <v>1.515464</v>
      </c>
      <c r="N1122" s="28" t="n">
        <v>0.659864</v>
      </c>
      <c r="O1122" s="28" t="n">
        <v>0.6268</v>
      </c>
      <c r="P1122" s="28" t="n">
        <v>0.05</v>
      </c>
      <c r="Q1122" s="28" t="n">
        <v>-0.033064</v>
      </c>
      <c r="R1122" s="26" t="n">
        <v>3</v>
      </c>
      <c r="S1122" s="29" t="n">
        <v>1</v>
      </c>
      <c r="T1122" s="24" t="inlineStr">
        <is>
          <t>tennis-surface-elo-v1</t>
        </is>
      </c>
      <c r="U1122" s="24" t="inlineStr">
        <is>
          <t>settled</t>
        </is>
      </c>
      <c r="V1122" s="24" t="inlineStr">
        <is>
          <t>win</t>
        </is>
      </c>
      <c r="W1122" s="26" t="n">
        <v>1</v>
      </c>
      <c r="X1122" s="26" t="n">
        <v>0</v>
      </c>
      <c r="Y1122" s="25" t="n"/>
      <c r="Z1122" s="26" t="n">
        <v>-194</v>
      </c>
      <c r="AA1122" s="28" t="n">
        <v>0.66</v>
      </c>
      <c r="AB1122" s="28" t="n">
        <v>0.000136</v>
      </c>
      <c r="AC1122" s="30" t="n">
        <v>0.5155</v>
      </c>
      <c r="AD1122" s="24" t="inlineStr">
        <is>
          <t>2026-09-21T22:00:24.070684Z</t>
        </is>
      </c>
      <c r="AE1122" s="31" t="inlineStr">
        <is>
          <t>Surface-blended Elo on Hard: Oksana Selekhmeteva p=0.627 vs Federica Urgesi. Executable ask 0.6600 (aec-wta-fedurg-okssel-2026-09-21).</t>
        </is>
      </c>
      <c r="AF1122" s="31" t="inlineStr">
        <is>
          <t>Surface-blended Elo model; singles only, WTA+ATP market coverage, not yet locked-holdout qualified -- promoted by explicit operator directive, not genuine walk-forward validation.</t>
        </is>
      </c>
      <c r="AG1122" s="24" t="inlineStr">
        <is>
          <t>not_applicable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PAPER_CALL_LOW_EDGE</t>
        </is>
      </c>
      <c r="AP1122" s="24" t="inlineStr">
        <is>
          <t>Oksana Selekhmeteva</t>
        </is>
      </c>
      <c r="AQ1122" s="24" t="inlineStr">
        <is>
          <t>Oksana Selekhmeteva</t>
        </is>
      </c>
      <c r="AR1122" s="24" t="inlineStr">
        <is>
          <t>Oksana Selekhmeteva</t>
        </is>
      </c>
      <c r="AS1122" s="24" t="inlineStr">
        <is>
          <t>Federica Urgesi</t>
        </is>
      </c>
      <c r="AT1122" s="24" t="inlineStr">
        <is>
          <t>Federica Urgesi</t>
        </is>
      </c>
      <c r="AU1122" s="24" t="inlineStr">
        <is>
          <t>Federica Urgesi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inlineStr">
        <is>
          <t>6c67e999d2a03612e30f4032c8e5e77e8becfbc79e05f4c8993e726b90d34d54</t>
        </is>
      </c>
      <c r="BB1122" s="24" t="inlineStr">
        <is>
          <t>surface_blended_elo</t>
        </is>
      </c>
      <c r="BC1122" s="24" t="inlineStr">
        <is>
          <t>tennis-surface-elo-v1</t>
        </is>
      </c>
      <c r="BD1122" s="24" t="inlineStr">
        <is>
          <t>6c67e999d2a03612e30f4032c8e5e77e8becfbc79e05f4c8993e726b90d34d54</t>
        </is>
      </c>
      <c r="BE1122" s="24" t="inlineStr">
        <is>
          <t>tennis-surface-elo-v1</t>
        </is>
      </c>
      <c r="BF1122" s="24" t="inlineStr">
        <is>
          <t>1</t>
        </is>
      </c>
      <c r="BG1122" s="24" t="inlineStr">
        <is>
          <t>6c67e999d2a03612e30f4032c8e5e77e8becfbc79e05f4c8993e726b90d34d54</t>
        </is>
      </c>
      <c r="BH1122" s="24" t="inlineStr">
        <is>
          <t>2026-09-21T04:36:12.288648Z</t>
        </is>
      </c>
      <c r="BI1122" s="24" t="inlineStr">
        <is>
          <t>["same_event","same_team_same_day","same_league_same_day"]</t>
        </is>
      </c>
      <c r="BJ1122" s="25" t="n"/>
      <c r="BK1122" s="26" t="n">
        <v>-194</v>
      </c>
      <c r="BL1122" s="27" t="n">
        <v>1.515464</v>
      </c>
      <c r="BM1122" s="28" t="n">
        <v>0.659864</v>
      </c>
      <c r="BN1122" s="28" t="n"/>
      <c r="BO1122" s="28" t="n"/>
      <c r="BP1122" s="25" t="n"/>
      <c r="BQ1122" s="27" t="n">
        <v>1.515464</v>
      </c>
      <c r="BR1122" s="28" t="n">
        <v>0.66</v>
      </c>
      <c r="BS1122" s="28" t="n"/>
      <c r="BT1122" s="28" t="n"/>
      <c r="BU1122" s="25" t="n"/>
      <c r="BV1122" s="29" t="n"/>
      <c r="BW1122" s="24" t="n"/>
      <c r="BX1122" s="30" t="n"/>
      <c r="BY1122" s="27" t="n"/>
      <c r="BZ1122" s="24" t="n"/>
      <c r="CA1122" s="31" t="n"/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False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inlineStr">
        <is>
          <t>90a175bb983e73cded278fb16bf253ba97e9dbc069ab4cd860ad679bcf7dfeef</t>
        </is>
      </c>
      <c r="DE1122" s="24" t="inlineStr">
        <is>
          <t>/Users/vincentc9002/model-prediction/data/odds/tennis/2026-09-21/polymarket_snapshots.jsonl</t>
        </is>
      </c>
      <c r="DF1122" s="24" t="inlineStr">
        <is>
          <t>970457:2026-09-21T04:36:12.288648Z</t>
        </is>
      </c>
      <c r="DG1122" s="24" t="n"/>
      <c r="DH1122" s="24" t="n"/>
      <c r="DI1122" s="24" t="n"/>
      <c r="DJ1122" s="24" t="inlineStr">
        <is>
          <t>0.659864</t>
        </is>
      </c>
      <c r="DK1122" s="24" t="n"/>
      <c r="DL1122" s="24" t="n"/>
      <c r="DM1122" s="24" t="n"/>
      <c r="DN1122" s="24" t="n"/>
      <c r="DO1122" s="24" t="n"/>
      <c r="DP1122" s="24" t="n"/>
      <c r="DQ1122" s="24" t="inlineStr">
        <is>
          <t>{"artifact_hash": "6c67e999d2a03612e30f4032c8e5e77e8becfbc79e05f4c8993e726b90d34d54", "away_team": "Oksana Selekhmeteva", "event_id": "1019-2026:183881", "event_start_utc": "2026-09-21T16:00Z", "features": {"elo_p1_surface": 1575.7, "elo_p2_surface": 1469.3, "expected_games_p1": 13.42, "expected_games_p2": 8.78, "expected_total_games": 22.2, "history_matches": 16204, "min_player_matches": 20, "surface": "Hard"}, "historical_source_observation_times_verified": false, "home_team": "Federica Urgesi", "inference_inputs": {"code_sha256": {"features/elo_ratings.py": "8525faf022a6343c452286dbfeb17dbb043744c6bdabbe448b6b371216da439b", "models/tennis.py": "6c67e999d2a03612e30f4032c8e5e77e8becfbc79e05f4c8993e726b90d34d54"}, "overall_ratings": [1553.28708595972, 1485.9027109059534], "players": ["Oksana Selekhmeteva", "Federica Urgesi"], "sport": "TENNIS", "surface": "Hard", "surface_counts": [95, 12], "surface_ratings": [1575.6984571629205, 1469.3373308126113]}, "market_type": "moneyline", "model_version": "tennis-surface-elo-v1", "observed_at_utc": "2026-09-21T10:07:36.001944+00:00", "probabilities": {"away": 0.6268, "home": 0.3732}, "replay_scope": "Exact full-precision serving state and rounding; upstream historical observation times are not certified.", "schema": "coded-moneyline-replay-v1", "snapshot_hash": "15cfb7d883871bdd60549c16bcf786b4996700ab065674a57e53d036e74a9423", "sport": "TENNIS"}</t>
        </is>
      </c>
    </row>
    <row r="1123" ht="36" customHeight="1">
      <c r="A1123" s="24" t="inlineStr">
        <is>
          <t>642f0873f69a43cd</t>
        </is>
      </c>
      <c r="B1123" s="24" t="inlineStr">
        <is>
          <t>2026-09-21T10:07:37.201821Z</t>
        </is>
      </c>
      <c r="C1123" s="24" t="inlineStr">
        <is>
          <t>2026-09-21T11:30Z</t>
        </is>
      </c>
      <c r="D1123" s="24" t="inlineStr">
        <is>
          <t>1022-2026:183950</t>
        </is>
      </c>
      <c r="E1123" s="24" t="inlineStr">
        <is>
          <t>TENNIS</t>
        </is>
      </c>
      <c r="F1123" s="24" t="inlineStr">
        <is>
          <t>Ayana Akli</t>
        </is>
      </c>
      <c r="G1123" s="24" t="inlineStr">
        <is>
          <t>Anouk Koevermans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-163</v>
      </c>
      <c r="M1123" s="27" t="n">
        <v>1.613497</v>
      </c>
      <c r="N1123" s="28" t="n">
        <v>0.619772</v>
      </c>
      <c r="O1123" s="28" t="n">
        <v>0.6194</v>
      </c>
      <c r="P1123" s="28" t="n">
        <v>0.05</v>
      </c>
      <c r="Q1123" s="28" t="n">
        <v>-0.000372</v>
      </c>
      <c r="R1123" s="26" t="n">
        <v>20</v>
      </c>
      <c r="S1123" s="29" t="n">
        <v>1</v>
      </c>
      <c r="T1123" s="24" t="inlineStr">
        <is>
          <t>tennis-surface-elo-v1</t>
        </is>
      </c>
      <c r="U1123" s="24" t="inlineStr">
        <is>
          <t>settled</t>
        </is>
      </c>
      <c r="V1123" s="24" t="inlineStr">
        <is>
          <t>loss</t>
        </is>
      </c>
      <c r="W1123" s="26" t="n">
        <v>1</v>
      </c>
      <c r="X1123" s="26" t="n">
        <v>0</v>
      </c>
      <c r="Y1123" s="25" t="n"/>
      <c r="Z1123" s="26" t="n">
        <v>-163</v>
      </c>
      <c r="AA1123" s="28" t="n">
        <v>0.62</v>
      </c>
      <c r="AB1123" s="28" t="n">
        <v>0.000228</v>
      </c>
      <c r="AC1123" s="30" t="n">
        <v>-1</v>
      </c>
      <c r="AD1123" s="24" t="inlineStr">
        <is>
          <t>2026-09-21T16:08:39.405661Z</t>
        </is>
      </c>
      <c r="AE1123" s="31" t="inlineStr">
        <is>
          <t>Surface-blended Elo on Hard: Ayana Akli p=0.381 vs Anouk Koevermans. Executable ask 0.6200 (aec-wta-anokoe-ayaakl-2026-09-21).</t>
        </is>
      </c>
      <c r="AF1123" s="31" t="inlineStr">
        <is>
          <t>Surface-blended Elo model; singles only, WTA+ATP market coverage, not yet locked-holdout qualified -- promoted by explicit operator directive, not genuine walk-forward validation.</t>
        </is>
      </c>
      <c r="AG1123" s="24" t="inlineStr">
        <is>
          <t>review_required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PAPER_CALL_LOW_EDGE</t>
        </is>
      </c>
      <c r="AP1123" s="24" t="inlineStr">
        <is>
          <t>Ayana Akli</t>
        </is>
      </c>
      <c r="AQ1123" s="24" t="inlineStr">
        <is>
          <t>Ayana Akli</t>
        </is>
      </c>
      <c r="AR1123" s="24" t="inlineStr">
        <is>
          <t>Ayana Akli</t>
        </is>
      </c>
      <c r="AS1123" s="24" t="inlineStr">
        <is>
          <t>Anouk Koevermans</t>
        </is>
      </c>
      <c r="AT1123" s="24" t="inlineStr">
        <is>
          <t>Anouk Koevermans</t>
        </is>
      </c>
      <c r="AU1123" s="24" t="inlineStr">
        <is>
          <t>Anouk Koevermans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6c67e999d2a03612e30f4032c8e5e77e8becfbc79e05f4c8993e726b90d34d54</t>
        </is>
      </c>
      <c r="BB1123" s="24" t="inlineStr">
        <is>
          <t>surface_blended_elo</t>
        </is>
      </c>
      <c r="BC1123" s="24" t="inlineStr">
        <is>
          <t>tennis-surface-elo-v1</t>
        </is>
      </c>
      <c r="BD1123" s="24" t="inlineStr">
        <is>
          <t>6c67e999d2a03612e30f4032c8e5e77e8becfbc79e05f4c8993e726b90d34d54</t>
        </is>
      </c>
      <c r="BE1123" s="24" t="inlineStr">
        <is>
          <t>tennis-surface-elo-v1</t>
        </is>
      </c>
      <c r="BF1123" s="24" t="inlineStr">
        <is>
          <t>1</t>
        </is>
      </c>
      <c r="BG1123" s="24" t="inlineStr">
        <is>
          <t>6c67e999d2a03612e30f4032c8e5e77e8becfbc79e05f4c8993e726b90d34d54</t>
        </is>
      </c>
      <c r="BH1123" s="24" t="inlineStr">
        <is>
          <t>2026-09-21T10:04:55.088469Z</t>
        </is>
      </c>
      <c r="BI1123" s="24" t="inlineStr">
        <is>
          <t>["same_event","same_team_same_day","same_league_same_day"]</t>
        </is>
      </c>
      <c r="BJ1123" s="25" t="n"/>
      <c r="BK1123" s="26" t="n">
        <v>-163</v>
      </c>
      <c r="BL1123" s="27" t="n">
        <v>1.613497</v>
      </c>
      <c r="BM1123" s="28" t="n">
        <v>0.619772</v>
      </c>
      <c r="BN1123" s="28" t="n"/>
      <c r="BO1123" s="28" t="n"/>
      <c r="BP1123" s="25" t="n"/>
      <c r="BQ1123" s="27" t="n">
        <v>1.613497</v>
      </c>
      <c r="BR1123" s="28" t="n">
        <v>0.62</v>
      </c>
      <c r="BS1123" s="28" t="n"/>
      <c r="BT1123" s="28" t="n"/>
      <c r="BU1123" s="25" t="n"/>
      <c r="BV1123" s="29" t="n"/>
      <c r="BW1123" s="24" t="n"/>
      <c r="BX1123" s="30" t="n"/>
      <c r="BY1123" s="27" t="n"/>
      <c r="BZ1123" s="24" t="n"/>
      <c r="CA1123" s="31" t="n"/>
      <c r="CB1123" s="24" t="n"/>
      <c r="CC1123" s="24" t="n"/>
      <c r="CD1123" s="24" t="n"/>
      <c r="CE1123" s="24" t="n"/>
      <c r="CF1123" s="24" t="n"/>
      <c r="CG1123" s="24" t="n"/>
      <c r="CH1123" s="24" t="n"/>
      <c r="CI1123" s="24" t="n"/>
      <c r="CJ1123" s="24" t="n"/>
      <c r="CK1123" s="24" t="n"/>
      <c r="CL1123" s="24" t="n"/>
      <c r="CM1123" s="24" t="n"/>
      <c r="CN1123" s="24" t="n"/>
      <c r="CO1123" s="24" t="n"/>
      <c r="CP1123" s="24" t="n"/>
      <c r="CQ1123" s="24" t="n"/>
      <c r="CR1123" s="24" t="n"/>
      <c r="CS1123" s="24" t="inlineStr">
        <is>
          <t>False</t>
        </is>
      </c>
      <c r="CT1123" s="24" t="n"/>
      <c r="CU1123" s="24" t="n"/>
      <c r="CV1123" s="24" t="n"/>
      <c r="CW1123" s="24" t="n"/>
      <c r="CX1123" s="24" t="n"/>
      <c r="CY1123" s="24" t="n"/>
      <c r="CZ1123" s="24" t="n"/>
      <c r="DA1123" s="24" t="n"/>
      <c r="DB1123" s="24" t="n"/>
      <c r="DC1123" s="24" t="n"/>
      <c r="DD1123" s="24" t="inlineStr">
        <is>
          <t>2795f97601b42ed83aae8c9e6c3346d49bbe69761ddf1b682ae484de48d70ff6</t>
        </is>
      </c>
      <c r="DE1123" s="24" t="inlineStr">
        <is>
          <t>/Users/vincentc9002/model-prediction/data/odds/tennis/2026-09-21/polymarket_snapshots.jsonl</t>
        </is>
      </c>
      <c r="DF1123" s="24" t="inlineStr">
        <is>
          <t>969164:2026-09-21T10:04:55.088469Z</t>
        </is>
      </c>
      <c r="DG1123" s="24" t="n"/>
      <c r="DH1123" s="24" t="n"/>
      <c r="DI1123" s="24" t="n"/>
      <c r="DJ1123" s="24" t="inlineStr">
        <is>
          <t>0.619772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{"artifact_hash": "6c67e999d2a03612e30f4032c8e5e77e8becfbc79e05f4c8993e726b90d34d54", "away_team": "Ayana Akli", "event_id": "1022-2026:183950", "event_start_utc": "2026-09-21T11:30Z", "features": {"elo_p1_surface": 1444.4, "elo_p2_surface": 1530.3, "expected_games_p1": 9.96, "expected_games_p2": 13.28, "expected_total_games": 23.24, "history_matches": 16204, "min_player_matches": 20, "surface": "Hard"}, "historical_source_observation_times_verified": false, "home_team": "Anouk Koevermans", "inference_inputs": {"code_sha256": {"features/elo_ratings.py": "8525faf022a6343c452286dbfeb17dbb043744c6bdabbe448b6b371216da439b", "models/tennis.py": "6c67e999d2a03612e30f4032c8e5e77e8becfbc79e05f4c8993e726b90d34d54"}, "overall_ratings": [1433.6253953044707, 1509.6443993897035], "players": ["Ayana Akli", "Anouk Koevermans"], "sport": "TENNIS", "surface": "Hard", "surface_counts": [19, 54], "surface_ratings": [1444.418062586092, 1530.2656798851958]}, "market_type": "moneyline", "model_version": "tennis-surface-elo-v1", "observed_at_utc": "2026-09-21T10:07:36.001944+00:00", "probabilities": {"away": 0.3806, "home": 0.6194}, "replay_scope": "Exact full-precision serving state and rounding; upstream historical observation times are not certified.", "schema": "coded-moneyline-replay-v1", "snapshot_hash": "db7fe03aa7b39582b108fe3ddb86f5ffca2418aa209129410999ebb6330b4eb5", "sport": "TENNIS"}</t>
        </is>
      </c>
    </row>
    <row r="1124" ht="36" customHeight="1">
      <c r="A1124" s="24" t="inlineStr">
        <is>
          <t>093eb662598c41d2</t>
        </is>
      </c>
      <c r="B1124" s="24" t="inlineStr">
        <is>
          <t>2026-09-21T16:15:55.914396Z</t>
        </is>
      </c>
      <c r="C1124" s="24" t="inlineStr">
        <is>
          <t>2026-09-21T18:00Z</t>
        </is>
      </c>
      <c r="D1124" s="24" t="inlineStr">
        <is>
          <t>1019-2026:183891</t>
        </is>
      </c>
      <c r="E1124" s="24" t="inlineStr">
        <is>
          <t>TENNIS</t>
        </is>
      </c>
      <c r="F1124" s="24" t="inlineStr">
        <is>
          <t>Noemi Basiletti</t>
        </is>
      </c>
      <c r="G1124" s="24" t="inlineStr">
        <is>
          <t>Laura Samson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-223</v>
      </c>
      <c r="M1124" s="27" t="n">
        <v>1.44843</v>
      </c>
      <c r="N1124" s="28" t="n">
        <v>0.690402</v>
      </c>
      <c r="O1124" s="28" t="n">
        <v>0.5022</v>
      </c>
      <c r="P1124" s="28" t="n">
        <v>0.05</v>
      </c>
      <c r="Q1124" s="28" t="n">
        <v>-0.188202</v>
      </c>
      <c r="R1124" s="26" t="n">
        <v>0</v>
      </c>
      <c r="S1124" s="29" t="n">
        <v>1</v>
      </c>
      <c r="T1124" s="24" t="inlineStr">
        <is>
          <t>tennis-surface-elo-v1</t>
        </is>
      </c>
      <c r="U1124" s="24" t="inlineStr">
        <is>
          <t>settled</t>
        </is>
      </c>
      <c r="V1124" s="24" t="inlineStr">
        <is>
          <t>loss</t>
        </is>
      </c>
      <c r="W1124" s="26" t="n">
        <v>1</v>
      </c>
      <c r="X1124" s="26" t="n">
        <v>0</v>
      </c>
      <c r="Y1124" s="25" t="n"/>
      <c r="Z1124" s="26" t="n">
        <v>-223</v>
      </c>
      <c r="AA1124" s="28" t="n">
        <v>0.6899999999999999</v>
      </c>
      <c r="AB1124" s="28" t="n">
        <v>-0.000402</v>
      </c>
      <c r="AC1124" s="30" t="n">
        <v>-1</v>
      </c>
      <c r="AD1124" s="24" t="inlineStr">
        <is>
          <t>2026-09-21T22:00:26.937899Z</t>
        </is>
      </c>
      <c r="AE1124" s="31" t="inlineStr">
        <is>
          <t>Surface-blended Elo on Hard: Noemi Basiletti p=0.498 vs Laura Samson. Executable ask 0.6900 (aec-wta-lausam-noebas-2026-09-21).</t>
        </is>
      </c>
      <c r="AF1124" s="31" t="inlineStr">
        <is>
          <t>Surface-blended Elo model; singles only, WTA+ATP market coverage, not yet locked-holdout qualified -- promoted by explicit operator directive, not genuine walk-forward validation.</t>
        </is>
      </c>
      <c r="AG1124" s="24" t="inlineStr">
        <is>
          <t>review_required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PAPER_CALL_LOW_EDGE</t>
        </is>
      </c>
      <c r="AP1124" s="24" t="inlineStr">
        <is>
          <t>Noemi Basiletti</t>
        </is>
      </c>
      <c r="AQ1124" s="24" t="inlineStr">
        <is>
          <t>Noemi Basiletti</t>
        </is>
      </c>
      <c r="AR1124" s="24" t="inlineStr">
        <is>
          <t>Noemi Basiletti</t>
        </is>
      </c>
      <c r="AS1124" s="24" t="inlineStr">
        <is>
          <t>Laura Samson</t>
        </is>
      </c>
      <c r="AT1124" s="24" t="inlineStr">
        <is>
          <t>Laura Samson</t>
        </is>
      </c>
      <c r="AU1124" s="24" t="inlineStr">
        <is>
          <t>Laura Samson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6c67e999d2a03612e30f4032c8e5e77e8becfbc79e05f4c8993e726b90d34d54</t>
        </is>
      </c>
      <c r="BB1124" s="24" t="inlineStr">
        <is>
          <t>surface_blended_elo</t>
        </is>
      </c>
      <c r="BC1124" s="24" t="inlineStr">
        <is>
          <t>tennis-surface-elo-v1</t>
        </is>
      </c>
      <c r="BD1124" s="24" t="inlineStr">
        <is>
          <t>6c67e999d2a03612e30f4032c8e5e77e8becfbc79e05f4c8993e726b90d34d54</t>
        </is>
      </c>
      <c r="BE1124" s="24" t="inlineStr">
        <is>
          <t>tennis-surface-elo-v1</t>
        </is>
      </c>
      <c r="BF1124" s="24" t="inlineStr">
        <is>
          <t>1</t>
        </is>
      </c>
      <c r="BG1124" s="24" t="inlineStr">
        <is>
          <t>6c67e999d2a03612e30f4032c8e5e77e8becfbc79e05f4c8993e726b90d34d54</t>
        </is>
      </c>
      <c r="BH1124" s="24" t="inlineStr">
        <is>
          <t>2026-09-21T04:36:12.350031Z</t>
        </is>
      </c>
      <c r="BI1124" s="24" t="inlineStr">
        <is>
          <t>["same_event","same_team_same_day","same_league_same_day"]</t>
        </is>
      </c>
      <c r="BJ1124" s="25" t="n"/>
      <c r="BK1124" s="26" t="n">
        <v>-223</v>
      </c>
      <c r="BL1124" s="27" t="n">
        <v>1.44843</v>
      </c>
      <c r="BM1124" s="28" t="n">
        <v>0.690402</v>
      </c>
      <c r="BN1124" s="28" t="n"/>
      <c r="BO1124" s="28" t="n"/>
      <c r="BP1124" s="25" t="n"/>
      <c r="BQ1124" s="27" t="n">
        <v>1.44843</v>
      </c>
      <c r="BR1124" s="28" t="n">
        <v>0.6899999999999999</v>
      </c>
      <c r="BS1124" s="28" t="n"/>
      <c r="BT1124" s="28" t="n"/>
      <c r="BU1124" s="25" t="n"/>
      <c r="BV1124" s="29" t="n"/>
      <c r="BW1124" s="24" t="n"/>
      <c r="BX1124" s="30" t="n"/>
      <c r="BY1124" s="27" t="n"/>
      <c r="BZ1124" s="24" t="n"/>
      <c r="CA1124" s="31" t="n"/>
      <c r="CB1124" s="24" t="n"/>
      <c r="CC1124" s="24" t="n"/>
      <c r="CD1124" s="24" t="n"/>
      <c r="CE1124" s="24" t="n"/>
      <c r="CF1124" s="24" t="n"/>
      <c r="CG1124" s="24" t="n"/>
      <c r="CH1124" s="24" t="n"/>
      <c r="CI1124" s="24" t="n"/>
      <c r="CJ1124" s="24" t="n"/>
      <c r="CK1124" s="24" t="n"/>
      <c r="CL1124" s="24" t="n"/>
      <c r="CM1124" s="24" t="n"/>
      <c r="CN1124" s="24" t="n"/>
      <c r="CO1124" s="24" t="n"/>
      <c r="CP1124" s="24" t="n"/>
      <c r="CQ1124" s="24" t="n"/>
      <c r="CR1124" s="24" t="n"/>
      <c r="CS1124" s="24" t="inlineStr">
        <is>
          <t>False</t>
        </is>
      </c>
      <c r="CT1124" s="24" t="n"/>
      <c r="CU1124" s="24" t="n"/>
      <c r="CV1124" s="24" t="n"/>
      <c r="CW1124" s="24" t="n"/>
      <c r="CX1124" s="24" t="n"/>
      <c r="CY1124" s="24" t="n"/>
      <c r="CZ1124" s="24" t="n"/>
      <c r="DA1124" s="24" t="n"/>
      <c r="DB1124" s="24" t="n"/>
      <c r="DC1124" s="24" t="n"/>
      <c r="DD1124" s="24" t="inlineStr">
        <is>
          <t>41728efcab56cde65db552c61fdf8802ffdaccea0ccc546f6e04f72656acf342</t>
        </is>
      </c>
      <c r="DE1124" s="24" t="inlineStr">
        <is>
          <t>/Users/vincentc9002/model-prediction/data/odds/tennis/2026-09-21/polymarket_snapshots.jsonl</t>
        </is>
      </c>
      <c r="DF1124" s="24" t="inlineStr">
        <is>
          <t>970449:2026-09-21T04:36:12.350031Z</t>
        </is>
      </c>
      <c r="DG1124" s="24" t="n"/>
      <c r="DH1124" s="24" t="n"/>
      <c r="DI1124" s="24" t="n"/>
      <c r="DJ1124" s="24" t="inlineStr">
        <is>
          <t>0.690402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{"artifact_hash": "6c67e999d2a03612e30f4032c8e5e77e8becfbc79e05f4c8993e726b90d34d54", "away_team": "Noemi Basiletti", "event_id": "1019-2026:183891", "event_start_utc": "2026-09-21T18:00Z", "features": {"elo_p1_surface": 1531.7, "elo_p2_surface": 1541.0, "expected_games_p1": 12.34, "expected_games_p2": 12.44, "expected_total_games": 24.78, "history_matches": 16204, "min_player_matches": 22, "surface": "Hard"}, "historical_source_observation_times_verified": false, "home_team": "Laura Samson", "inference_inputs": {"code_sha256": {"features/elo_ratings.py": "8525faf022a6343c452286dbfeb17dbb043744c6bdabbe448b6b371216da439b", "models/tennis.py": "6c67e999d2a03612e30f4032c8e5e77e8becfbc79e05f4c8993e726b90d34d54"}, "overall_ratings": [1542.879820050042, 1538.1913616672634], "players": ["Noemi Basiletti", "Laura Samson"], "sport": "TENNIS", "surface": "Hard", "surface_counts": [14, 30], "surface_ratings": [1531.653678824111, 1541.008967879442]}, "market_type": "moneyline", "model_version": "tennis-surface-elo-v1", "observed_at_utc": "2026-09-21T16:15:54.858076+00:00", "probabilities": {"away": 0.4978, "home": 0.5022}, "replay_scope": "Exact full-precision serving state and rounding; upstream historical observation times are not certified.", "schema": "coded-moneyline-replay-v1", "snapshot_hash": "fdf9364414ea8795f177d5afec197276ec0c351ccc7c9d5d4f1b07a10ae6cf5a", "sport": "TENNIS"}</t>
        </is>
      </c>
    </row>
    <row r="1125" ht="36" customHeight="1">
      <c r="A1125" s="24" t="inlineStr">
        <is>
          <t>694769015c414e25</t>
        </is>
      </c>
      <c r="B1125" s="24" t="inlineStr">
        <is>
          <t>2026-09-21T22:07:18.936755Z</t>
        </is>
      </c>
      <c r="C1125" s="24" t="inlineStr">
        <is>
          <t>2026-09-22T03:00Z</t>
        </is>
      </c>
      <c r="D1125" s="24" t="inlineStr">
        <is>
          <t>811-2026:184037</t>
        </is>
      </c>
      <c r="E1125" s="24" t="inlineStr">
        <is>
          <t>TENNIS</t>
        </is>
      </c>
      <c r="F1125" s="24" t="inlineStr">
        <is>
          <t>Elena-Gabriela Ruse</t>
        </is>
      </c>
      <c r="G1125" s="24" t="inlineStr">
        <is>
          <t>Eva Lys</t>
        </is>
      </c>
      <c r="H1125" s="24" t="inlineStr">
        <is>
          <t>moneyline</t>
        </is>
      </c>
      <c r="I1125" s="24" t="inlineStr">
        <is>
          <t>away</t>
        </is>
      </c>
      <c r="J1125" s="25" t="n"/>
      <c r="K1125" s="24" t="inlineStr">
        <is>
          <t>polymarket_us</t>
        </is>
      </c>
      <c r="L1125" s="26" t="n">
        <v>-163</v>
      </c>
      <c r="M1125" s="27" t="n">
        <v>1.613497</v>
      </c>
      <c r="N1125" s="28" t="n">
        <v>0.619772</v>
      </c>
      <c r="O1125" s="28" t="n">
        <v>0.6577</v>
      </c>
      <c r="P1125" s="28" t="n">
        <v>0.05</v>
      </c>
      <c r="Q1125" s="28" t="n">
        <v>0.037928</v>
      </c>
      <c r="R1125" s="26" t="n">
        <v>39</v>
      </c>
      <c r="S1125" s="29" t="n">
        <v>1</v>
      </c>
      <c r="T1125" s="24" t="inlineStr">
        <is>
          <t>tennis-surface-elo-v1</t>
        </is>
      </c>
      <c r="U1125" s="24" t="inlineStr">
        <is>
          <t>settled</t>
        </is>
      </c>
      <c r="V1125" s="24" t="inlineStr">
        <is>
          <t>win</t>
        </is>
      </c>
      <c r="W1125" s="26" t="n">
        <v>1</v>
      </c>
      <c r="X1125" s="26" t="n">
        <v>0</v>
      </c>
      <c r="Y1125" s="25" t="n"/>
      <c r="Z1125" s="26" t="n"/>
      <c r="AA1125" s="28" t="n"/>
      <c r="AB1125" s="28" t="n"/>
      <c r="AC1125" s="30" t="n">
        <v>0.6135</v>
      </c>
      <c r="AD1125" s="24" t="inlineStr">
        <is>
          <t>2026-09-22T04:37:58.754983Z</t>
        </is>
      </c>
      <c r="AE1125" s="31" t="inlineStr">
        <is>
          <t>Surface-blended Elo on Hard: Elena-Gabriela Ruse p=0.658 vs Eva Lys. Executable ask 0.6200 (aec-wta-evalys-gabrus-2026-09-20).</t>
        </is>
      </c>
      <c r="AF1125" s="31" t="inlineStr">
        <is>
          <t>Surface-blended Elo model; singles only, WTA+ATP market coverage, not yet locked-holdout qualified -- promoted by explicit operator directive, not genuine walk-forward validation.</t>
        </is>
      </c>
      <c r="AG1125" s="24" t="inlineStr">
        <is>
          <t>not_applicable</t>
        </is>
      </c>
      <c r="AH1125" s="24" t="n"/>
      <c r="AI1125" s="31" t="n"/>
      <c r="AJ1125" s="31" t="n"/>
      <c r="AK1125" s="24" t="inlineStr">
        <is>
          <t>paper_call</t>
        </is>
      </c>
      <c r="AL1125" s="26" t="n">
        <v>4</v>
      </c>
      <c r="AM1125" s="24" t="inlineStr">
        <is>
          <t>RESEARCH_OBSERVATION</t>
        </is>
      </c>
      <c r="AN1125" s="24" t="inlineStr">
        <is>
          <t>CALL</t>
        </is>
      </c>
      <c r="AO1125" s="24" t="inlineStr">
        <is>
          <t>PAPER_CALL_LOW_EDGE</t>
        </is>
      </c>
      <c r="AP1125" s="24" t="inlineStr">
        <is>
          <t>Elena-Gabriela Ruse</t>
        </is>
      </c>
      <c r="AQ1125" s="24" t="inlineStr">
        <is>
          <t>Elena-Gabriela Ruse</t>
        </is>
      </c>
      <c r="AR1125" s="24" t="inlineStr">
        <is>
          <t>Elena-Gabriela Ruse</t>
        </is>
      </c>
      <c r="AS1125" s="24" t="inlineStr">
        <is>
          <t>Eva Lys</t>
        </is>
      </c>
      <c r="AT1125" s="24" t="inlineStr">
        <is>
          <t>Eva Lys</t>
        </is>
      </c>
      <c r="AU1125" s="24" t="inlineStr">
        <is>
          <t>Eva Lys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6c67e999d2a03612e30f4032c8e5e77e8becfbc79e05f4c8993e726b90d34d54</t>
        </is>
      </c>
      <c r="BB1125" s="24" t="inlineStr">
        <is>
          <t>surface_blended_elo</t>
        </is>
      </c>
      <c r="BC1125" s="24" t="inlineStr">
        <is>
          <t>tennis-surface-elo-v1</t>
        </is>
      </c>
      <c r="BD1125" s="24" t="inlineStr">
        <is>
          <t>6c67e999d2a03612e30f4032c8e5e77e8becfbc79e05f4c8993e726b90d34d54</t>
        </is>
      </c>
      <c r="BE1125" s="24" t="inlineStr">
        <is>
          <t>tennis-surface-elo-v1</t>
        </is>
      </c>
      <c r="BF1125" s="24" t="inlineStr">
        <is>
          <t>1</t>
        </is>
      </c>
      <c r="BG1125" s="24" t="inlineStr">
        <is>
          <t>6c67e999d2a03612e30f4032c8e5e77e8becfbc79e05f4c8993e726b90d34d54</t>
        </is>
      </c>
      <c r="BH1125" s="24" t="inlineStr">
        <is>
          <t>2026-09-21T16:14:15.495140Z</t>
        </is>
      </c>
      <c r="BI1125" s="24" t="inlineStr">
        <is>
          <t>["same_event","same_team_same_day","same_league_same_day"]</t>
        </is>
      </c>
      <c r="BJ1125" s="25" t="n"/>
      <c r="BK1125" s="26" t="n">
        <v>-163</v>
      </c>
      <c r="BL1125" s="27" t="n">
        <v>1.613497</v>
      </c>
      <c r="BM1125" s="28" t="n">
        <v>0.619772</v>
      </c>
      <c r="BN1125" s="28" t="n"/>
      <c r="BO1125" s="28" t="n"/>
      <c r="BP1125" s="25" t="n"/>
      <c r="BQ1125" s="27" t="n"/>
      <c r="BR1125" s="28" t="n"/>
      <c r="BS1125" s="28" t="n"/>
      <c r="BT1125" s="28" t="n"/>
      <c r="BU1125" s="25" t="n"/>
      <c r="BV1125" s="29" t="n"/>
      <c r="BW1125" s="24" t="n"/>
      <c r="BX1125" s="30" t="n"/>
      <c r="BY1125" s="27" t="n"/>
      <c r="BZ1125" s="24" t="n"/>
      <c r="CA1125" s="31" t="n"/>
      <c r="CB1125" s="24" t="n"/>
      <c r="CC1125" s="24" t="n"/>
      <c r="CD1125" s="24" t="n"/>
      <c r="CE1125" s="24" t="n"/>
      <c r="CF1125" s="24" t="n"/>
      <c r="CG1125" s="24" t="n"/>
      <c r="CH1125" s="24" t="n"/>
      <c r="CI1125" s="24" t="n"/>
      <c r="CJ1125" s="24" t="n"/>
      <c r="CK1125" s="24" t="n"/>
      <c r="CL1125" s="24" t="n"/>
      <c r="CM1125" s="24" t="n"/>
      <c r="CN1125" s="24" t="n"/>
      <c r="CO1125" s="24" t="n"/>
      <c r="CP1125" s="24" t="n"/>
      <c r="CQ1125" s="24" t="n"/>
      <c r="CR1125" s="24" t="n"/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n"/>
      <c r="CZ1125" s="24" t="n"/>
      <c r="DA1125" s="24" t="n"/>
      <c r="DB1125" s="24" t="n"/>
      <c r="DC1125" s="24" t="n"/>
      <c r="DD1125" s="24" t="inlineStr">
        <is>
          <t>59817b06bb6f7455669409bd14af84781159ee01f8dd6002a5961f758d85edf4</t>
        </is>
      </c>
      <c r="DE1125" s="24" t="inlineStr">
        <is>
          <t>/Users/vincentc9002/model-prediction/data/odds/tennis/2026-09-21/polymarket_snapshots.jsonl</t>
        </is>
      </c>
      <c r="DF1125" s="24" t="inlineStr">
        <is>
          <t>948085:2026-09-21T16:14:15.495140Z</t>
        </is>
      </c>
      <c r="DG1125" s="24" t="n"/>
      <c r="DH1125" s="24" t="n"/>
      <c r="DI1125" s="24" t="n"/>
      <c r="DJ1125" s="24" t="inlineStr">
        <is>
          <t>0.619772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{"artifact_hash": "6c67e999d2a03612e30f4032c8e5e77e8becfbc79e05f4c8993e726b90d34d54", "away_team": "Elena-Gabriela Ruse", "event_id": "811-2026:184037", "event_start_utc": "2026-09-22T03:00Z", "features": {"elo_p1_surface": 1696.4, "elo_p2_surface": 1580.3, "expected_games_p1": 13.37, "expected_games_p2": 8.44, "expected_total_games": 21.81, "history_matches": 16204, "min_player_matches": 126, "surface": "Hard"}, "historical_source_observation_times_verified": false, "home_team": "Eva Lys", "inference_inputs": {"code_sha256": {"features/elo_ratings.py": "8525faf022a6343c452286dbfeb17dbb043744c6bdabbe448b6b371216da439b", "models/tennis.py": "6c67e999d2a03612e30f4032c8e5e77e8becfbc79e05f4c8993e726b90d34d54"}, "overall_ratings": [1695.0819670469834, 1588.961579512067], "players": ["Elena-Gabriela Ruse", "Eva Lys"], "sport": "TENNIS", "surface": "Hard", "surface_counts": [109, 98], "surface_ratings": [1696.354563620257, 1580.3252064286337]}, "market_type": "moneyline", "model_version": "tennis-surface-elo-v1", "observed_at_utc": "2026-09-21T22:07:17.525840+00:00", "probabilities": {"away": 0.6577, "home": 0.3423}, "replay_scope": "Exact full-precision serving state and rounding; upstream historical observation times are not certified.", "schema": "coded-moneyline-replay-v1", "snapshot_hash": "5104ff8be9e0b186e2250ea931415635bad0c382da1611d769faf3ef1530189c", "sport": "TENNIS"}</t>
        </is>
      </c>
    </row>
    <row r="1126" ht="36" customHeight="1">
      <c r="A1126" s="24" t="inlineStr">
        <is>
          <t>a4ee429ddb344a4a</t>
        </is>
      </c>
      <c r="B1126" s="24" t="inlineStr">
        <is>
          <t>2026-09-21T22:07:18.936755Z</t>
        </is>
      </c>
      <c r="C1126" s="24" t="inlineStr">
        <is>
          <t>2026-09-22T04:30Z</t>
        </is>
      </c>
      <c r="D1126" s="24" t="inlineStr">
        <is>
          <t>811-2026:184044</t>
        </is>
      </c>
      <c r="E1126" s="24" t="inlineStr">
        <is>
          <t>TENNIS</t>
        </is>
      </c>
      <c r="F1126" s="24" t="inlineStr">
        <is>
          <t>Ma YeXin</t>
        </is>
      </c>
      <c r="G1126" s="24" t="inlineStr">
        <is>
          <t>Emerson Jones</t>
        </is>
      </c>
      <c r="H1126" s="24" t="inlineStr">
        <is>
          <t>moneyline</t>
        </is>
      </c>
      <c r="I1126" s="24" t="inlineStr">
        <is>
          <t>away</t>
        </is>
      </c>
      <c r="J1126" s="25" t="n"/>
      <c r="K1126" s="24" t="inlineStr">
        <is>
          <t>polymarket_us</t>
        </is>
      </c>
      <c r="L1126" s="26" t="n">
        <v>186</v>
      </c>
      <c r="M1126" s="27" t="n">
        <v>2.86</v>
      </c>
      <c r="N1126" s="28" t="n">
        <v>0.34965</v>
      </c>
      <c r="O1126" s="28" t="n">
        <v>0.5295</v>
      </c>
      <c r="P1126" s="28" t="n">
        <v>0.05</v>
      </c>
      <c r="Q1126" s="28" t="n">
        <v>0.17985</v>
      </c>
      <c r="R1126" s="26" t="n">
        <v>100</v>
      </c>
      <c r="S1126" s="29" t="n">
        <v>1.75</v>
      </c>
      <c r="T1126" s="24" t="inlineStr">
        <is>
          <t>tennis-surface-elo-v1</t>
        </is>
      </c>
      <c r="U1126" s="24" t="inlineStr">
        <is>
          <t>settled</t>
        </is>
      </c>
      <c r="V1126" s="24" t="inlineStr">
        <is>
          <t>win</t>
        </is>
      </c>
      <c r="W1126" s="26" t="n">
        <v>1</v>
      </c>
      <c r="X1126" s="26" t="n">
        <v>0</v>
      </c>
      <c r="Y1126" s="25" t="n"/>
      <c r="Z1126" s="26" t="n"/>
      <c r="AA1126" s="28" t="n"/>
      <c r="AB1126" s="28" t="n"/>
      <c r="AC1126" s="30" t="n">
        <v>3.255</v>
      </c>
      <c r="AD1126" s="24" t="inlineStr">
        <is>
          <t>2026-09-22T10:00:13.556439Z</t>
        </is>
      </c>
      <c r="AE1126" s="31" t="inlineStr">
        <is>
          <t>Surface-blended Elo on Hard: Ma YeXin p=0.529 vs Emerson Jones. Executable ask 0.3500 (aec-wta-emejon-yexma-2026-09-21).</t>
        </is>
      </c>
      <c r="AF1126" s="31" t="inlineStr">
        <is>
          <t>Surface-blended Elo model; singles only, WTA+ATP market coverage, not yet locked-holdout qualified -- promoted by explicit operator directive, not genuine walk-forward validation.</t>
        </is>
      </c>
      <c r="AG1126" s="24" t="inlineStr">
        <is>
          <t>not_applicable</t>
        </is>
      </c>
      <c r="AH1126" s="24" t="n"/>
      <c r="AI1126" s="31" t="n"/>
      <c r="AJ1126" s="31" t="n"/>
      <c r="AK1126" s="24" t="inlineStr">
        <is>
          <t>paper_call</t>
        </is>
      </c>
      <c r="AL1126" s="26" t="n">
        <v>4</v>
      </c>
      <c r="AM1126" s="24" t="inlineStr">
        <is>
          <t>RESEARCH_OBSERVATION</t>
        </is>
      </c>
      <c r="AN1126" s="24" t="inlineStr">
        <is>
          <t>CALL</t>
        </is>
      </c>
      <c r="AO1126" s="24" t="inlineStr">
        <is>
          <t>PAPER_CALL_LOW_EDGE</t>
        </is>
      </c>
      <c r="AP1126" s="24" t="inlineStr">
        <is>
          <t>Ma YeXin</t>
        </is>
      </c>
      <c r="AQ1126" s="24" t="inlineStr">
        <is>
          <t>Ma YeXin</t>
        </is>
      </c>
      <c r="AR1126" s="24" t="inlineStr">
        <is>
          <t>Ma YeXin</t>
        </is>
      </c>
      <c r="AS1126" s="24" t="inlineStr">
        <is>
          <t>Emerson Jones</t>
        </is>
      </c>
      <c r="AT1126" s="24" t="inlineStr">
        <is>
          <t>Emerson Jones</t>
        </is>
      </c>
      <c r="AU1126" s="24" t="inlineStr">
        <is>
          <t>Emerson Jones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6c67e999d2a03612e30f4032c8e5e77e8becfbc79e05f4c8993e726b90d34d54</t>
        </is>
      </c>
      <c r="BB1126" s="24" t="inlineStr">
        <is>
          <t>surface_blended_elo</t>
        </is>
      </c>
      <c r="BC1126" s="24" t="inlineStr">
        <is>
          <t>tennis-surface-elo-v1</t>
        </is>
      </c>
      <c r="BD1126" s="24" t="inlineStr">
        <is>
          <t>6c67e999d2a03612e30f4032c8e5e77e8becfbc79e05f4c8993e726b90d34d54</t>
        </is>
      </c>
      <c r="BE1126" s="24" t="inlineStr">
        <is>
          <t>tennis-surface-elo-v1</t>
        </is>
      </c>
      <c r="BF1126" s="24" t="inlineStr">
        <is>
          <t>1</t>
        </is>
      </c>
      <c r="BG1126" s="24" t="inlineStr">
        <is>
          <t>6c67e999d2a03612e30f4032c8e5e77e8becfbc79e05f4c8993e726b90d34d54</t>
        </is>
      </c>
      <c r="BH1126" s="24" t="inlineStr">
        <is>
          <t>2026-09-21T04:36:12.352505Z</t>
        </is>
      </c>
      <c r="BI1126" s="24" t="inlineStr">
        <is>
          <t>["same_event","same_team_same_day","same_league_same_day"]</t>
        </is>
      </c>
      <c r="BJ1126" s="25" t="n"/>
      <c r="BK1126" s="26" t="n">
        <v>186</v>
      </c>
      <c r="BL1126" s="27" t="n">
        <v>2.86</v>
      </c>
      <c r="BM1126" s="28" t="n">
        <v>0.34965</v>
      </c>
      <c r="BN1126" s="28" t="n"/>
      <c r="BO1126" s="28" t="n"/>
      <c r="BP1126" s="25" t="n"/>
      <c r="BQ1126" s="27" t="n"/>
      <c r="BR1126" s="28" t="n"/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n"/>
      <c r="CD1126" s="24" t="n"/>
      <c r="CE1126" s="24" t="n"/>
      <c r="CF1126" s="24" t="n"/>
      <c r="CG1126" s="24" t="n"/>
      <c r="CH1126" s="24" t="n"/>
      <c r="CI1126" s="24" t="n"/>
      <c r="CJ1126" s="24" t="n"/>
      <c r="CK1126" s="24" t="n"/>
      <c r="CL1126" s="24" t="n"/>
      <c r="CM1126" s="24" t="n"/>
      <c r="CN1126" s="24" t="n"/>
      <c r="CO1126" s="24" t="n"/>
      <c r="CP1126" s="24" t="n"/>
      <c r="CQ1126" s="24" t="n"/>
      <c r="CR1126" s="24" t="n"/>
      <c r="CS1126" s="24" t="inlineStr">
        <is>
          <t>True</t>
        </is>
      </c>
      <c r="CT1126" s="24" t="n"/>
      <c r="CU1126" s="24" t="n"/>
      <c r="CV1126" s="24" t="n"/>
      <c r="CW1126" s="24" t="n"/>
      <c r="CX1126" s="24" t="n"/>
      <c r="CY1126" s="24" t="n"/>
      <c r="CZ1126" s="24" t="n"/>
      <c r="DA1126" s="24" t="n"/>
      <c r="DB1126" s="24" t="n"/>
      <c r="DC1126" s="24" t="n"/>
      <c r="DD1126" s="24" t="inlineStr">
        <is>
          <t>064a2344fc34dd7d6d25315bb8d0c515f8beb3b2c31cd532e7fc5868f8c26448</t>
        </is>
      </c>
      <c r="DE1126" s="24" t="inlineStr">
        <is>
          <t>/Users/vincentc9002/model-prediction/data/odds/tennis/2026-09-21/polymarket_snapshots.jsonl</t>
        </is>
      </c>
      <c r="DF1126" s="24" t="inlineStr">
        <is>
          <t>966683:2026-09-21T04:36:12.352505Z</t>
        </is>
      </c>
      <c r="DG1126" s="24" t="n"/>
      <c r="DH1126" s="24" t="n"/>
      <c r="DI1126" s="24" t="n"/>
      <c r="DJ1126" s="24" t="inlineStr">
        <is>
          <t>0.34965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{"artifact_hash": "6c67e999d2a03612e30f4032c8e5e77e8becfbc79e05f4c8993e726b90d34d54", "away_team": "Ma YeXin", "event_id": "811-2026:184044", "event_start_utc": "2026-09-22T04:30Z", "features": {"elo_p1_surface": 1531.4, "elo_p2_surface": 1497.8, "expected_games_p1": 13.14, "expected_games_p2": 11.3, "expected_total_games": 24.44, "history_matches": 16204, "min_player_matches": 32,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[1493.767159975646, 1495.7907758085246], "players": ["Ma YeXin", "Emerson Jones"], "sport": "TENNIS", "surface": "Hard", "surface_counts": [42, 25], "surface_ratings": [1531.4467079726041, 1497.8251203066986]}, "market_type": "moneyline", "model_version": "tennis-surface-elo-v1", "observed_at_utc": "2026-09-21T22:07:17.525840+00:00", "probabilities": {"away": 0.5295, "home": 0.4705}, "replay_scope": "Exact full-precision serving state and rounding; upstream historical observation times are not certified.", "schema": "coded-moneyline-replay-v1", "snapshot_hash": "1dbaa76db32064455e826f8a9a0137a9fad2044991a89b6f21be7e0b91810a5c", "sport": "TENNIS"}</t>
        </is>
      </c>
    </row>
    <row r="1127" ht="36" customHeight="1">
      <c r="A1127" s="24" t="inlineStr">
        <is>
          <t>7e65f61ec7d047bc</t>
        </is>
      </c>
      <c r="B1127" s="24" t="inlineStr">
        <is>
          <t>2026-09-21T22:07:18.936755Z</t>
        </is>
      </c>
      <c r="C1127" s="24" t="inlineStr">
        <is>
          <t>2026-09-22T03:00Z</t>
        </is>
      </c>
      <c r="D1127" s="24" t="inlineStr">
        <is>
          <t>1009-2026:184079</t>
        </is>
      </c>
      <c r="E1127" s="24" t="inlineStr">
        <is>
          <t>TENNIS</t>
        </is>
      </c>
      <c r="F1127" s="24" t="inlineStr">
        <is>
          <t>Oleksandra Oliynykova</t>
        </is>
      </c>
      <c r="G1127" s="24" t="inlineStr">
        <is>
          <t>Vivian Wolff</t>
        </is>
      </c>
      <c r="H1127" s="24" t="inlineStr">
        <is>
          <t>moneyline</t>
        </is>
      </c>
      <c r="I1127" s="24" t="inlineStr">
        <is>
          <t>away</t>
        </is>
      </c>
      <c r="J1127" s="25" t="n"/>
      <c r="K1127" s="24" t="inlineStr">
        <is>
          <t>polymarket_us</t>
        </is>
      </c>
      <c r="L1127" s="26" t="n">
        <v>-317</v>
      </c>
      <c r="M1127" s="27" t="n">
        <v>1.315457</v>
      </c>
      <c r="N1127" s="28" t="n">
        <v>0.760192</v>
      </c>
      <c r="O1127" s="28" t="n">
        <v>0.7832</v>
      </c>
      <c r="P1127" s="28" t="n">
        <v>0.05</v>
      </c>
      <c r="Q1127" s="28" t="n">
        <v>0.023008</v>
      </c>
      <c r="R1127" s="26" t="n">
        <v>32</v>
      </c>
      <c r="S1127" s="29" t="n">
        <v>1</v>
      </c>
      <c r="T1127" s="24" t="inlineStr">
        <is>
          <t>tennis-surface-elo-v1</t>
        </is>
      </c>
      <c r="U1127" s="24" t="inlineStr">
        <is>
          <t>settled</t>
        </is>
      </c>
      <c r="V1127" s="24" t="inlineStr">
        <is>
          <t>win</t>
        </is>
      </c>
      <c r="W1127" s="26" t="n">
        <v>1</v>
      </c>
      <c r="X1127" s="26" t="n">
        <v>0</v>
      </c>
      <c r="Y1127" s="25" t="n"/>
      <c r="Z1127" s="26" t="n">
        <v>-317</v>
      </c>
      <c r="AA1127" s="28" t="n">
        <v>0.76</v>
      </c>
      <c r="AB1127" s="28" t="n">
        <v>-0.000192</v>
      </c>
      <c r="AC1127" s="30" t="n">
        <v>0.3155</v>
      </c>
      <c r="AD1127" s="24" t="inlineStr">
        <is>
          <t>2026-09-22T10:00:13.980009Z</t>
        </is>
      </c>
      <c r="AE1127" s="31" t="inlineStr">
        <is>
          <t>Surface-blended Elo on Hard: Oleksandra Oliynykova p=0.783 vs Vivian Wolff. Executable ask 0.7600 (aec-wta-vivwol-oleoli-2026-09-21).</t>
        </is>
      </c>
      <c r="AF1127" s="31" t="inlineStr">
        <is>
          <t>Surface-blended Elo model; singles only, WTA+ATP market coverage, not yet locked-holdout qualified -- promoted by explicit operator directive, not genuine walk-forward validation.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paper_call</t>
        </is>
      </c>
      <c r="AL1127" s="26" t="n">
        <v>4</v>
      </c>
      <c r="AM1127" s="24" t="inlineStr">
        <is>
          <t>RESEARCH_OBSERVATION</t>
        </is>
      </c>
      <c r="AN1127" s="24" t="inlineStr">
        <is>
          <t>CALL</t>
        </is>
      </c>
      <c r="AO1127" s="24" t="inlineStr">
        <is>
          <t>PAPER_CALL_MODEL_UNVALIDATED</t>
        </is>
      </c>
      <c r="AP1127" s="24" t="inlineStr">
        <is>
          <t>Oleksandra Oliynykova</t>
        </is>
      </c>
      <c r="AQ1127" s="24" t="inlineStr">
        <is>
          <t>Oleksandra Oliynykova</t>
        </is>
      </c>
      <c r="AR1127" s="24" t="inlineStr">
        <is>
          <t>Oleksandra Oliynykova</t>
        </is>
      </c>
      <c r="AS1127" s="24" t="inlineStr">
        <is>
          <t>Vivian Wolff</t>
        </is>
      </c>
      <c r="AT1127" s="24" t="inlineStr">
        <is>
          <t>Vivian Wolff</t>
        </is>
      </c>
      <c r="AU1127" s="24" t="inlineStr">
        <is>
          <t>Vivian Wolff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6c67e999d2a03612e30f4032c8e5e77e8becfbc79e05f4c8993e726b90d34d54</t>
        </is>
      </c>
      <c r="BB1127" s="24" t="inlineStr">
        <is>
          <t>surface_blended_elo</t>
        </is>
      </c>
      <c r="BC1127" s="24" t="inlineStr">
        <is>
          <t>tennis-surface-elo-v1</t>
        </is>
      </c>
      <c r="BD1127" s="24" t="inlineStr">
        <is>
          <t>6c67e999d2a03612e30f4032c8e5e77e8becfbc79e05f4c8993e726b90d34d54</t>
        </is>
      </c>
      <c r="BE1127" s="24" t="inlineStr">
        <is>
          <t>tennis-surface-elo-v1</t>
        </is>
      </c>
      <c r="BF1127" s="24" t="inlineStr">
        <is>
          <t>1</t>
        </is>
      </c>
      <c r="BG1127" s="24" t="inlineStr">
        <is>
          <t>6c67e999d2a03612e30f4032c8e5e77e8becfbc79e05f4c8993e726b90d34d54</t>
        </is>
      </c>
      <c r="BH1127" s="24" t="inlineStr">
        <is>
          <t>2026-09-21T22:05:57.828469Z</t>
        </is>
      </c>
      <c r="BI1127" s="24" t="inlineStr">
        <is>
          <t>["same_event","same_team_same_day","same_league_same_day"]</t>
        </is>
      </c>
      <c r="BJ1127" s="25" t="n"/>
      <c r="BK1127" s="26" t="n">
        <v>-317</v>
      </c>
      <c r="BL1127" s="27" t="n">
        <v>1.315457</v>
      </c>
      <c r="BM1127" s="28" t="n">
        <v>0.760192</v>
      </c>
      <c r="BN1127" s="28" t="n"/>
      <c r="BO1127" s="28" t="n"/>
      <c r="BP1127" s="25" t="n"/>
      <c r="BQ1127" s="27" t="n">
        <v>1.315457</v>
      </c>
      <c r="BR1127" s="28" t="n">
        <v>0.76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n"/>
      <c r="CD1127" s="24" t="n"/>
      <c r="CE1127" s="24" t="n"/>
      <c r="CF1127" s="24" t="n"/>
      <c r="CG1127" s="24" t="n"/>
      <c r="CH1127" s="24" t="n"/>
      <c r="CI1127" s="24" t="n"/>
      <c r="CJ1127" s="24" t="n"/>
      <c r="CK1127" s="24" t="n"/>
      <c r="CL1127" s="24" t="n"/>
      <c r="CM1127" s="24" t="n"/>
      <c r="CN1127" s="24" t="n"/>
      <c r="CO1127" s="24" t="n"/>
      <c r="CP1127" s="24" t="n"/>
      <c r="CQ1127" s="24" t="n"/>
      <c r="CR1127" s="24" t="n"/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n"/>
      <c r="CZ1127" s="24" t="n"/>
      <c r="DA1127" s="24" t="n"/>
      <c r="DB1127" s="24" t="n"/>
      <c r="DC1127" s="24" t="n"/>
      <c r="DD1127" s="24" t="inlineStr">
        <is>
          <t>fc1545f56c0696ee700b78dd72d98469ed0827b5cfda5170b258bcb25f4ef9d6</t>
        </is>
      </c>
      <c r="DE1127" s="24" t="inlineStr">
        <is>
          <t>/Users/vincentc9002/model-prediction/data/odds/tennis/2026-09-21/polymarket_snapshots.jsonl</t>
        </is>
      </c>
      <c r="DF1127" s="24" t="inlineStr">
        <is>
          <t>966602:2026-09-21T22:05:57.828469Z</t>
        </is>
      </c>
      <c r="DG1127" s="24" t="n"/>
      <c r="DH1127" s="24" t="n"/>
      <c r="DI1127" s="24" t="n"/>
      <c r="DJ1127" s="24" t="inlineStr">
        <is>
          <t>0.760192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{"artifact_hash": "6c67e999d2a03612e30f4032c8e5e77e8becfbc79e05f4c8993e726b90d34d54", "away_team": "Oleksandra Oliynykova", "event_id": "1009-2026:184079", "event_start_utc": "2026-09-22T03:00Z", "features": {"elo_p1_surface": 1658.4, "elo_p2_surface": 1439.8, "expected_games_p1": 12.62, "expected_games_p2": 5.37, "expected_total_games": 17.99, "history_matches": 16204, "min_player_matches": 6, "surface": "Hard"}, "historical_source_observation_times_verified": false, "home_team": "Vivian Wolff", "inference_inputs": {"code_sha256": {"features/elo_ratings.py": "8525faf022a6343c452286dbfeb17dbb043744c6bdabbe448b6b371216da439b", "models/tennis.py": "6c67e999d2a03612e30f4032c8e5e77e8becfbc79e05f4c8993e726b90d34d54"}, "overall_ratings": [1671.1024263433947, 1438.8315601793306], "players": ["Oleksandra Oliynykova", "Vivian Wolff"], "sport": "TENNIS", "surface": "Hard", "surface_counts": [73, 6], "surface_ratings": [1658.4188780403333, 1439.7840023837625]}, "market_type": "moneyline", "model_version": "tennis-surface-elo-v1", "observed_at_utc": "2026-09-21T22:07:17.525840+00:00", "probabilities": {"away": 0.7832, "home": 0.2168}, "replay_scope": "Exact full-precision serving state and rounding; upstream historical observation times are not certified.", "schema": "coded-moneyline-replay-v1", "snapshot_hash": "c614acf745e9eadd58316fee49042755247ac6bcf9683f5c6e15a3f01f0c8288", "sport": "TENNIS"}</t>
        </is>
      </c>
    </row>
    <row r="1128" ht="36" customHeight="1">
      <c r="A1128" s="24" t="inlineStr">
        <is>
          <t>8078baf1b5654640</t>
        </is>
      </c>
      <c r="B1128" s="24" t="inlineStr">
        <is>
          <t>2026-09-22T04:50:04.608221Z</t>
        </is>
      </c>
      <c r="C1128" s="24" t="inlineStr">
        <is>
          <t>2026-09-22T10:00Z</t>
        </is>
      </c>
      <c r="D1128" s="24" t="inlineStr">
        <is>
          <t>1019-2026:183887</t>
        </is>
      </c>
      <c r="E1128" s="24" t="inlineStr">
        <is>
          <t>TENNIS</t>
        </is>
      </c>
      <c r="F1128" s="24" t="inlineStr">
        <is>
          <t>Maria Lourdes Carle</t>
        </is>
      </c>
      <c r="G1128" s="24" t="inlineStr">
        <is>
          <t>Nuria Brancaccio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-144</v>
      </c>
      <c r="M1128" s="27" t="n">
        <v>1.694444</v>
      </c>
      <c r="N1128" s="28" t="n">
        <v>0.590164</v>
      </c>
      <c r="O1128" s="28" t="n">
        <v>0.5075</v>
      </c>
      <c r="P1128" s="28" t="n">
        <v>0.05</v>
      </c>
      <c r="Q1128" s="28" t="n">
        <v>-0.082664</v>
      </c>
      <c r="R1128" s="26" t="n">
        <v>0</v>
      </c>
      <c r="S1128" s="29" t="n">
        <v>1</v>
      </c>
      <c r="T1128" s="24" t="inlineStr">
        <is>
          <t>tennis-surface-elo-v1</t>
        </is>
      </c>
      <c r="U1128" s="24" t="inlineStr">
        <is>
          <t>settled</t>
        </is>
      </c>
      <c r="V1128" s="24" t="inlineStr">
        <is>
          <t>win</t>
        </is>
      </c>
      <c r="W1128" s="26" t="n">
        <v>0</v>
      </c>
      <c r="X1128" s="26" t="n">
        <v>1</v>
      </c>
      <c r="Y1128" s="25" t="n"/>
      <c r="Z1128" s="26" t="n">
        <v>-144</v>
      </c>
      <c r="AA1128" s="28" t="n">
        <v>0.59</v>
      </c>
      <c r="AB1128" s="28" t="n">
        <v>-0.000164</v>
      </c>
      <c r="AC1128" s="30" t="n">
        <v>0.6944</v>
      </c>
      <c r="AD1128" s="24" t="inlineStr">
        <is>
          <t>2026-09-22T16:00:23.286948Z</t>
        </is>
      </c>
      <c r="AE1128" s="31" t="inlineStr">
        <is>
          <t>Surface-blended Elo on Hard: Maria Lourdes Carle p=0.493 vs Nuria Brancaccio. Executable ask 0.5900 (aec-wta-nurbra-marcar-2026-09-21).</t>
        </is>
      </c>
      <c r="AF1128" s="31" t="inlineStr">
        <is>
          <t>Surface-blended Elo model; singles only, WTA+ATP market coverage, not yet locked-holdout qualified -- promoted by explicit operator directive, not genuine walk-forward validation.</t>
        </is>
      </c>
      <c r="AG1128" s="24" t="inlineStr">
        <is>
          <t>not_applicable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PAPER_CALL_LOW_EDGE</t>
        </is>
      </c>
      <c r="AP1128" s="24" t="inlineStr">
        <is>
          <t>Maria Lourdes Carle</t>
        </is>
      </c>
      <c r="AQ1128" s="24" t="inlineStr">
        <is>
          <t>Maria Lourdes Carle</t>
        </is>
      </c>
      <c r="AR1128" s="24" t="inlineStr">
        <is>
          <t>Maria Lourdes Carle</t>
        </is>
      </c>
      <c r="AS1128" s="24" t="inlineStr">
        <is>
          <t>Nuria Brancaccio</t>
        </is>
      </c>
      <c r="AT1128" s="24" t="inlineStr">
        <is>
          <t>Nuria Brancaccio</t>
        </is>
      </c>
      <c r="AU1128" s="24" t="inlineStr">
        <is>
          <t>Nuria Brancaccio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6c67e999d2a03612e30f4032c8e5e77e8becfbc79e05f4c8993e726b90d34d54</t>
        </is>
      </c>
      <c r="BB1128" s="24" t="inlineStr">
        <is>
          <t>surface_blended_elo</t>
        </is>
      </c>
      <c r="BC1128" s="24" t="inlineStr">
        <is>
          <t>tennis-surface-elo-v1</t>
        </is>
      </c>
      <c r="BD1128" s="24" t="inlineStr">
        <is>
          <t>6c67e999d2a03612e30f4032c8e5e77e8becfbc79e05f4c8993e726b90d34d54</t>
        </is>
      </c>
      <c r="BE1128" s="24" t="inlineStr">
        <is>
          <t>tennis-surface-elo-v1</t>
        </is>
      </c>
      <c r="BF1128" s="24" t="inlineStr">
        <is>
          <t>1</t>
        </is>
      </c>
      <c r="BG1128" s="24" t="inlineStr">
        <is>
          <t>6c67e999d2a03612e30f4032c8e5e77e8becfbc79e05f4c8993e726b90d34d54</t>
        </is>
      </c>
      <c r="BH1128" s="24" t="inlineStr">
        <is>
          <t>2026-09-21T04:07:16.645305Z</t>
        </is>
      </c>
      <c r="BI1128" s="24" t="inlineStr">
        <is>
          <t>["same_event","same_team_same_day","same_league_same_day"]</t>
        </is>
      </c>
      <c r="BJ1128" s="25" t="n"/>
      <c r="BK1128" s="26" t="n">
        <v>-144</v>
      </c>
      <c r="BL1128" s="27" t="n">
        <v>1.694444</v>
      </c>
      <c r="BM1128" s="28" t="n">
        <v>0.590164</v>
      </c>
      <c r="BN1128" s="28" t="n"/>
      <c r="BO1128" s="28" t="n"/>
      <c r="BP1128" s="25" t="n"/>
      <c r="BQ1128" s="27" t="n">
        <v>1.694444</v>
      </c>
      <c r="BR1128" s="28" t="n">
        <v>0.59</v>
      </c>
      <c r="BS1128" s="28" t="n"/>
      <c r="BT1128" s="28" t="n"/>
      <c r="BU1128" s="25" t="n"/>
      <c r="BV1128" s="29" t="n"/>
      <c r="BW1128" s="24" t="n"/>
      <c r="BX1128" s="30" t="n"/>
      <c r="BY1128" s="27" t="n"/>
      <c r="BZ1128" s="24" t="n"/>
      <c r="CA1128" s="31" t="n"/>
      <c r="CB1128" s="24" t="n"/>
      <c r="CC1128" s="24" t="n"/>
      <c r="CD1128" s="24" t="n"/>
      <c r="CE1128" s="24" t="n"/>
      <c r="CF1128" s="24" t="n"/>
      <c r="CG1128" s="24" t="n"/>
      <c r="CH1128" s="24" t="n"/>
      <c r="CI1128" s="24" t="n"/>
      <c r="CJ1128" s="24" t="n"/>
      <c r="CK1128" s="24" t="n"/>
      <c r="CL1128" s="24" t="n"/>
      <c r="CM1128" s="24" t="n"/>
      <c r="CN1128" s="24" t="n"/>
      <c r="CO1128" s="24" t="n"/>
      <c r="CP1128" s="24" t="n"/>
      <c r="CQ1128" s="24" t="n"/>
      <c r="CR1128" s="24" t="n"/>
      <c r="CS1128" s="24" t="inlineStr">
        <is>
          <t>False</t>
        </is>
      </c>
      <c r="CT1128" s="24" t="n"/>
      <c r="CU1128" s="24" t="n"/>
      <c r="CV1128" s="24" t="n"/>
      <c r="CW1128" s="24" t="n"/>
      <c r="CX1128" s="24" t="n"/>
      <c r="CY1128" s="24" t="n"/>
      <c r="CZ1128" s="24" t="n"/>
      <c r="DA1128" s="24" t="n"/>
      <c r="DB1128" s="24" t="n"/>
      <c r="DC1128" s="24" t="n"/>
      <c r="DD1128" s="24" t="inlineStr">
        <is>
          <t>302e9780ca8d36cc497d189690072b62ac3e2305b6084df2ab50fa9bc5ac6c36</t>
        </is>
      </c>
      <c r="DE1128" s="24" t="inlineStr">
        <is>
          <t>/Users/vincentc9002/model-prediction/data/odds/tennis/2026-09-22/polymarket_snapshots.jsonl</t>
        </is>
      </c>
      <c r="DF1128" s="24" t="inlineStr">
        <is>
          <t>970452:2026-09-21T04:07:16.645305Z</t>
        </is>
      </c>
      <c r="DG1128" s="24" t="n"/>
      <c r="DH1128" s="24" t="n"/>
      <c r="DI1128" s="24" t="n"/>
      <c r="DJ1128" s="24" t="inlineStr">
        <is>
          <t>0.590164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{"artifact_hash": "6c67e999d2a03612e30f4032c8e5e77e8becfbc79e05f4c8993e726b90d34d54", "away_team": "Maria Lourdes Carle", "event_id": "1019-2026:183887", "event_start_utc": "2026-09-22T10:00Z", "features": {"elo_p1_surface": 1463.5, "elo_p2_surface": 1495.2, "expected_games_p1": 11.74, "expected_games_p2": 12.85, "expected_total_games": 24.59, "history_matches": 16242, "min_player_matches": 88, "surface": "Hard"}, "historical_source_observation_times_verified": false, "home_team": "Nuria Brancaccio", "inference_inputs": {"code_sha256": {"features/elo_ratings.py": "8525faf022a6343c452286dbfeb17dbb043744c6bdabbe448b6b371216da439b", "models/tennis.py": "6c67e999d2a03612e30f4032c8e5e77e8becfbc79e05f4c8993e726b90d34d54"}, "overall_ratings": [1517.9753708357002, 1453.2034596552955], "players": ["Maria Lourdes Carle", "Nuria Brancaccio"], "sport": "TENNIS", "surface": "Hard", "surface_counts": [105, 71], "surface_ratings": [1463.5242070729778, 1495.1805829855762]}, "market_type": "moneyline", "model_version": "tennis-surface-elo-v1", "observed_at_utc": "2026-09-22T04:50:03.600679+00:00", "probabilities": {"away": 0.4925, "home": 0.5075}, "replay_scope": "Exact full-precision serving state and rounding; upstream historical observation times are not certified.", "schema": "coded-moneyline-replay-v1", "snapshot_hash": "607495f5ff1f88372846fcba1b0c653842a6c0ff9ecfc161bfb2aa39f70ce896", "sport": "TENNIS"}</t>
        </is>
      </c>
    </row>
    <row r="1129" ht="36" customHeight="1">
      <c r="A1129" s="24" t="inlineStr">
        <is>
          <t>769dafaca68d46e0</t>
        </is>
      </c>
      <c r="B1129" s="24" t="inlineStr">
        <is>
          <t>2026-09-22T04:50:04.608221Z</t>
        </is>
      </c>
      <c r="C1129" s="24" t="inlineStr">
        <is>
          <t>2026-09-22T09:30Z</t>
        </is>
      </c>
      <c r="D1129" s="24" t="inlineStr">
        <is>
          <t>1077-2026:183986</t>
        </is>
      </c>
      <c r="E1129" s="24" t="inlineStr">
        <is>
          <t>TENNIS</t>
        </is>
      </c>
      <c r="F1129" s="24" t="inlineStr">
        <is>
          <t>Julia Riera</t>
        </is>
      </c>
      <c r="G1129" s="24" t="inlineStr">
        <is>
          <t>Elena Micic</t>
        </is>
      </c>
      <c r="H1129" s="24" t="inlineStr">
        <is>
          <t>moneyline</t>
        </is>
      </c>
      <c r="I1129" s="24" t="inlineStr">
        <is>
          <t>away</t>
        </is>
      </c>
      <c r="J1129" s="25" t="n"/>
      <c r="K1129" s="24" t="inlineStr">
        <is>
          <t>polymarket_us</t>
        </is>
      </c>
      <c r="L1129" s="26" t="n">
        <v>-376</v>
      </c>
      <c r="M1129" s="27" t="n">
        <v>1.265957</v>
      </c>
      <c r="N1129" s="28" t="n">
        <v>0.789916</v>
      </c>
      <c r="O1129" s="28" t="n">
        <v>0.5348000000000001</v>
      </c>
      <c r="P1129" s="28" t="n">
        <v>0.05</v>
      </c>
      <c r="Q1129" s="28" t="n">
        <v>-0.255116</v>
      </c>
      <c r="R1129" s="26" t="n">
        <v>0</v>
      </c>
      <c r="S1129" s="29" t="n">
        <v>1</v>
      </c>
      <c r="T1129" s="24" t="inlineStr">
        <is>
          <t>tennis-surface-elo-v1</t>
        </is>
      </c>
      <c r="U1129" s="24" t="inlineStr">
        <is>
          <t>settled</t>
        </is>
      </c>
      <c r="V1129" s="24" t="inlineStr">
        <is>
          <t>loss</t>
        </is>
      </c>
      <c r="W1129" s="26" t="n">
        <v>0</v>
      </c>
      <c r="X1129" s="26" t="n">
        <v>1</v>
      </c>
      <c r="Y1129" s="25" t="n"/>
      <c r="Z1129" s="26" t="n">
        <v>-376</v>
      </c>
      <c r="AA1129" s="28" t="n">
        <v>0.79</v>
      </c>
      <c r="AB1129" s="28" t="n">
        <v>8.4e-05</v>
      </c>
      <c r="AC1129" s="30" t="n">
        <v>-1</v>
      </c>
      <c r="AD1129" s="24" t="inlineStr">
        <is>
          <t>2026-09-22T16:00:24.530065Z</t>
        </is>
      </c>
      <c r="AE1129" s="31" t="inlineStr">
        <is>
          <t>Surface-blended Elo on Hard: Julia Riera p=0.535 vs Elena Micic. Executable ask 0.7900 (aec-wta-elemic-julrie-2026-09-21).</t>
        </is>
      </c>
      <c r="AF1129" s="31" t="inlineStr">
        <is>
          <t>Surface-blended Elo model; singles only, WTA+ATP market coverage, not yet locked-holdout qualified -- promoted by explicit operator directive, not genuine walk-forward validation.</t>
        </is>
      </c>
      <c r="AG1129" s="24" t="inlineStr">
        <is>
          <t>review_required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PAPER_CALL_LOW_EDGE</t>
        </is>
      </c>
      <c r="AP1129" s="24" t="inlineStr">
        <is>
          <t>Julia Riera</t>
        </is>
      </c>
      <c r="AQ1129" s="24" t="inlineStr">
        <is>
          <t>Julia Riera</t>
        </is>
      </c>
      <c r="AR1129" s="24" t="inlineStr">
        <is>
          <t>Julia Riera</t>
        </is>
      </c>
      <c r="AS1129" s="24" t="inlineStr">
        <is>
          <t>Elena Micic</t>
        </is>
      </c>
      <c r="AT1129" s="24" t="inlineStr">
        <is>
          <t>Elena Micic</t>
        </is>
      </c>
      <c r="AU1129" s="24" t="inlineStr">
        <is>
          <t>Elena Micic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6c67e999d2a03612e30f4032c8e5e77e8becfbc79e05f4c8993e726b90d34d54</t>
        </is>
      </c>
      <c r="BB1129" s="24" t="inlineStr">
        <is>
          <t>surface_blended_elo</t>
        </is>
      </c>
      <c r="BC1129" s="24" t="inlineStr">
        <is>
          <t>tennis-surface-elo-v1</t>
        </is>
      </c>
      <c r="BD1129" s="24" t="inlineStr">
        <is>
          <t>6c67e999d2a03612e30f4032c8e5e77e8becfbc79e05f4c8993e726b90d34d54</t>
        </is>
      </c>
      <c r="BE1129" s="24" t="inlineStr">
        <is>
          <t>tennis-surface-elo-v1</t>
        </is>
      </c>
      <c r="BF1129" s="24" t="inlineStr">
        <is>
          <t>1</t>
        </is>
      </c>
      <c r="BG1129" s="24" t="inlineStr">
        <is>
          <t>6c67e999d2a03612e30f4032c8e5e77e8becfbc79e05f4c8993e726b90d34d54</t>
        </is>
      </c>
      <c r="BH1129" s="24" t="inlineStr">
        <is>
          <t>2026-09-21T04:07:16.647759Z</t>
        </is>
      </c>
      <c r="BI1129" s="24" t="inlineStr">
        <is>
          <t>["same_event","same_team_same_day","same_league_same_day"]</t>
        </is>
      </c>
      <c r="BJ1129" s="25" t="n"/>
      <c r="BK1129" s="26" t="n">
        <v>-376</v>
      </c>
      <c r="BL1129" s="27" t="n">
        <v>1.265957</v>
      </c>
      <c r="BM1129" s="28" t="n">
        <v>0.789916</v>
      </c>
      <c r="BN1129" s="28" t="n"/>
      <c r="BO1129" s="28" t="n"/>
      <c r="BP1129" s="25" t="n"/>
      <c r="BQ1129" s="27" t="n">
        <v>1.265957</v>
      </c>
      <c r="BR1129" s="28" t="n">
        <v>0.79</v>
      </c>
      <c r="BS1129" s="28" t="n"/>
      <c r="BT1129" s="28" t="n"/>
      <c r="BU1129" s="25" t="n"/>
      <c r="BV1129" s="29" t="n"/>
      <c r="BW1129" s="24" t="n"/>
      <c r="BX1129" s="30" t="n"/>
      <c r="BY1129" s="27" t="n"/>
      <c r="BZ1129" s="24" t="n"/>
      <c r="CA1129" s="31" t="n"/>
      <c r="CB1129" s="24" t="n"/>
      <c r="CC1129" s="24" t="n"/>
      <c r="CD1129" s="24" t="n"/>
      <c r="CE1129" s="24" t="n"/>
      <c r="CF1129" s="24" t="n"/>
      <c r="CG1129" s="24" t="n"/>
      <c r="CH1129" s="24" t="n"/>
      <c r="CI1129" s="24" t="n"/>
      <c r="CJ1129" s="24" t="n"/>
      <c r="CK1129" s="24" t="n"/>
      <c r="CL1129" s="24" t="n"/>
      <c r="CM1129" s="24" t="n"/>
      <c r="CN1129" s="24" t="n"/>
      <c r="CO1129" s="24" t="n"/>
      <c r="CP1129" s="24" t="n"/>
      <c r="CQ1129" s="24" t="n"/>
      <c r="CR1129" s="24" t="n"/>
      <c r="CS1129" s="24" t="inlineStr">
        <is>
          <t>False</t>
        </is>
      </c>
      <c r="CT1129" s="24" t="n"/>
      <c r="CU1129" s="24" t="n"/>
      <c r="CV1129" s="24" t="n"/>
      <c r="CW1129" s="24" t="n"/>
      <c r="CX1129" s="24" t="n"/>
      <c r="CY1129" s="24" t="n"/>
      <c r="CZ1129" s="24" t="n"/>
      <c r="DA1129" s="24" t="n"/>
      <c r="DB1129" s="24" t="n"/>
      <c r="DC1129" s="24" t="n"/>
      <c r="DD1129" s="24" t="inlineStr">
        <is>
          <t>c29676457bcdbf550494800f493e4c2909452d93cfdfc46159a63df457551f87</t>
        </is>
      </c>
      <c r="DE1129" s="24" t="inlineStr">
        <is>
          <t>/Users/vincentc9002/model-prediction/data/odds/tennis/2026-09-22/polymarket_snapshots.jsonl</t>
        </is>
      </c>
      <c r="DF1129" s="24" t="inlineStr">
        <is>
          <t>967221:2026-09-21T04:07:16.647759Z</t>
        </is>
      </c>
      <c r="DG1129" s="24" t="n"/>
      <c r="DH1129" s="24" t="n"/>
      <c r="DI1129" s="24" t="n"/>
      <c r="DJ1129" s="24" t="inlineStr">
        <is>
          <t>0.789916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{"artifact_hash": "6c67e999d2a03612e30f4032c8e5e77e8becfbc79e05f4c8993e726b90d34d54", "away_team": "Julia Riera", "event_id": "1077-2026:183986", "event_start_utc": "2026-09-22T09:30Z", "features": {"elo_p1_surface": 1500.1, "elo_p2_surface": 1483.1, "expected_games_p1": 12.89, "expected_games_p2": 11.79, "expected_total_games": 24.68, "history_matches": 16242, "min_player_matches": 17, "surface": "Hard"}, "historical_source_observation_times_verified": false, "home_team": "Elena Micic", "inference_inputs": {"code_sha256": {"features/elo_ratings.py": "8525faf022a6343c452286dbfeb17dbb043744c6bdabbe448b6b371216da439b", "models/tennis.py": "6c67e999d2a03612e30f4032c8e5e77e8becfbc79e05f4c8993e726b90d34d54"}, "overall_ratings": [1521.4554926508067, 1480.9824460395587], "players": ["Julia Riera", "Elena Micic"], "sport": "TENNIS", "surface": "Hard", "surface_counts": [80, 17], "surface_ratings": [1500.0762471793846, 1483.0599721123879]}, "market_type": "moneyline", "model_version": "tennis-surface-elo-v1", "observed_at_utc": "2026-09-22T04:50:03.600679+00:00", "probabilities": {"away": 0.5348, "home": 0.4652}, "replay_scope": "Exact full-precision serving state and rounding; upstream historical observation times are not certified.", "schema": "coded-moneyline-replay-v1", "snapshot_hash": "6dcc5d0f9519cbf4249412f1c22f8756473c08a3504dd48b77e3d7b0038ef1fb", "sport": "TENNIS"}</t>
        </is>
      </c>
    </row>
    <row r="1130" ht="36" customHeight="1">
      <c r="A1130" s="24" t="inlineStr">
        <is>
          <t>af11662f64694c10</t>
        </is>
      </c>
      <c r="B1130" s="24" t="inlineStr">
        <is>
          <t>2026-09-22T04:50:04.608221Z</t>
        </is>
      </c>
      <c r="C1130" s="24" t="inlineStr">
        <is>
          <t>2026-09-22T09:30Z</t>
        </is>
      </c>
      <c r="D1130" s="24" t="inlineStr">
        <is>
          <t>1077-2026:183991</t>
        </is>
      </c>
      <c r="E1130" s="24" t="inlineStr">
        <is>
          <t>TENNIS</t>
        </is>
      </c>
      <c r="F1130" s="24" t="inlineStr">
        <is>
          <t>Carole Monnet</t>
        </is>
      </c>
      <c r="G1130" s="24" t="inlineStr">
        <is>
          <t>Fiona Crawley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-245</v>
      </c>
      <c r="M1130" s="27" t="n">
        <v>1.408163</v>
      </c>
      <c r="N1130" s="28" t="n">
        <v>0.710145</v>
      </c>
      <c r="O1130" s="28" t="n">
        <v>0.5662</v>
      </c>
      <c r="P1130" s="28" t="n">
        <v>0.05</v>
      </c>
      <c r="Q1130" s="28" t="n">
        <v>-0.143945</v>
      </c>
      <c r="R1130" s="26" t="n">
        <v>0</v>
      </c>
      <c r="S1130" s="29" t="n">
        <v>1</v>
      </c>
      <c r="T1130" s="24" t="inlineStr">
        <is>
          <t>tennis-surface-elo-v1</t>
        </is>
      </c>
      <c r="U1130" s="24" t="inlineStr">
        <is>
          <t>settled</t>
        </is>
      </c>
      <c r="V1130" s="24" t="inlineStr">
        <is>
          <t>loss</t>
        </is>
      </c>
      <c r="W1130" s="26" t="n">
        <v>1</v>
      </c>
      <c r="X1130" s="26" t="n">
        <v>0</v>
      </c>
      <c r="Y1130" s="25" t="n"/>
      <c r="Z1130" s="26" t="n">
        <v>-245</v>
      </c>
      <c r="AA1130" s="28" t="n">
        <v>0.71</v>
      </c>
      <c r="AB1130" s="28" t="n">
        <v>-0.000145</v>
      </c>
      <c r="AC1130" s="30" t="n">
        <v>-1</v>
      </c>
      <c r="AD1130" s="24" t="inlineStr">
        <is>
          <t>2026-09-22T16:00:25.065433Z</t>
        </is>
      </c>
      <c r="AE1130" s="31" t="inlineStr">
        <is>
          <t>Surface-blended Elo on Hard: Carole Monnet p=0.434 vs Fiona Crawley. Executable ask 0.7100 (aec-wta-fiocra-carmon-2026-09-21).</t>
        </is>
      </c>
      <c r="AF1130" s="31" t="inlineStr">
        <is>
          <t>Surface-blended Elo model; singles only, WTA+ATP market coverage, not yet locked-holdout qualified -- promoted by explicit operator directive, not genuine walk-forward validation.</t>
        </is>
      </c>
      <c r="AG1130" s="24" t="inlineStr">
        <is>
          <t>review_required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PAPER_CALL_LOW_EDGE</t>
        </is>
      </c>
      <c r="AP1130" s="24" t="inlineStr">
        <is>
          <t>Carole Monnet</t>
        </is>
      </c>
      <c r="AQ1130" s="24" t="inlineStr">
        <is>
          <t>Carole Monnet</t>
        </is>
      </c>
      <c r="AR1130" s="24" t="inlineStr">
        <is>
          <t>Carole Monnet</t>
        </is>
      </c>
      <c r="AS1130" s="24" t="inlineStr">
        <is>
          <t>Fiona Crawley</t>
        </is>
      </c>
      <c r="AT1130" s="24" t="inlineStr">
        <is>
          <t>Fiona Crawley</t>
        </is>
      </c>
      <c r="AU1130" s="24" t="inlineStr">
        <is>
          <t>Fiona Crawley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6c67e999d2a03612e30f4032c8e5e77e8becfbc79e05f4c8993e726b90d34d54</t>
        </is>
      </c>
      <c r="BB1130" s="24" t="inlineStr">
        <is>
          <t>surface_blended_elo</t>
        </is>
      </c>
      <c r="BC1130" s="24" t="inlineStr">
        <is>
          <t>tennis-surface-elo-v1</t>
        </is>
      </c>
      <c r="BD1130" s="24" t="inlineStr">
        <is>
          <t>6c67e999d2a03612e30f4032c8e5e77e8becfbc79e05f4c8993e726b90d34d54</t>
        </is>
      </c>
      <c r="BE1130" s="24" t="inlineStr">
        <is>
          <t>tennis-surface-elo-v1</t>
        </is>
      </c>
      <c r="BF1130" s="24" t="inlineStr">
        <is>
          <t>1</t>
        </is>
      </c>
      <c r="BG1130" s="24" t="inlineStr">
        <is>
          <t>6c67e999d2a03612e30f4032c8e5e77e8becfbc79e05f4c8993e726b90d34d54</t>
        </is>
      </c>
      <c r="BH1130" s="24" t="inlineStr">
        <is>
          <t>2026-09-21T04:07:16.610232Z</t>
        </is>
      </c>
      <c r="BI1130" s="24" t="inlineStr">
        <is>
          <t>["same_event","same_team_same_day","same_league_same_day"]</t>
        </is>
      </c>
      <c r="BJ1130" s="25" t="n"/>
      <c r="BK1130" s="26" t="n">
        <v>-245</v>
      </c>
      <c r="BL1130" s="27" t="n">
        <v>1.408163</v>
      </c>
      <c r="BM1130" s="28" t="n">
        <v>0.710145</v>
      </c>
      <c r="BN1130" s="28" t="n"/>
      <c r="BO1130" s="28" t="n"/>
      <c r="BP1130" s="25" t="n"/>
      <c r="BQ1130" s="27" t="n">
        <v>1.408163</v>
      </c>
      <c r="BR1130" s="28" t="n">
        <v>0.71</v>
      </c>
      <c r="BS1130" s="28" t="n"/>
      <c r="BT1130" s="28" t="n"/>
      <c r="BU1130" s="25" t="n"/>
      <c r="BV1130" s="29" t="n"/>
      <c r="BW1130" s="24" t="n"/>
      <c r="BX1130" s="30" t="n"/>
      <c r="BY1130" s="27" t="n"/>
      <c r="BZ1130" s="24" t="n"/>
      <c r="CA1130" s="31" t="n"/>
      <c r="CB1130" s="24" t="n"/>
      <c r="CC1130" s="24" t="n"/>
      <c r="CD1130" s="24" t="n"/>
      <c r="CE1130" s="24" t="n"/>
      <c r="CF1130" s="24" t="n"/>
      <c r="CG1130" s="24" t="n"/>
      <c r="CH1130" s="24" t="n"/>
      <c r="CI1130" s="24" t="n"/>
      <c r="CJ1130" s="24" t="n"/>
      <c r="CK1130" s="24" t="n"/>
      <c r="CL1130" s="24" t="n"/>
      <c r="CM1130" s="24" t="n"/>
      <c r="CN1130" s="24" t="n"/>
      <c r="CO1130" s="24" t="n"/>
      <c r="CP1130" s="24" t="n"/>
      <c r="CQ1130" s="24" t="n"/>
      <c r="CR1130" s="24" t="n"/>
      <c r="CS1130" s="24" t="inlineStr">
        <is>
          <t>False</t>
        </is>
      </c>
      <c r="CT1130" s="24" t="n"/>
      <c r="CU1130" s="24" t="n"/>
      <c r="CV1130" s="24" t="n"/>
      <c r="CW1130" s="24" t="n"/>
      <c r="CX1130" s="24" t="n"/>
      <c r="CY1130" s="24" t="n"/>
      <c r="CZ1130" s="24" t="n"/>
      <c r="DA1130" s="24" t="n"/>
      <c r="DB1130" s="24" t="n"/>
      <c r="DC1130" s="24" t="n"/>
      <c r="DD1130" s="24" t="inlineStr">
        <is>
          <t>d4ca7696b028127012f905cb86ba2da3439cf9e97a6321d588f6de1b7d555994</t>
        </is>
      </c>
      <c r="DE1130" s="24" t="inlineStr">
        <is>
          <t>/Users/vincentc9002/model-prediction/data/odds/tennis/2026-09-22/polymarket_snapshots.jsonl</t>
        </is>
      </c>
      <c r="DF1130" s="24" t="inlineStr">
        <is>
          <t>967216:2026-09-21T04:07:16.610232Z</t>
        </is>
      </c>
      <c r="DG1130" s="24" t="n"/>
      <c r="DH1130" s="24" t="n"/>
      <c r="DI1130" s="24" t="n"/>
      <c r="DJ1130" s="24" t="inlineStr">
        <is>
          <t>0.710145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{"artifact_hash": "6c67e999d2a03612e30f4032c8e5e77e8becfbc79e05f4c8993e726b90d34d54", "away_team": "Carole Monnet", "event_id": "1077-2026:183991", "event_start_utc": "2026-09-22T09:30Z", "features": {"elo_p1_surface": 1492.1, "elo_p2_surface": 1521.4, "expected_games_p1": 11.81, "expected_games_p2": 12.81, "expected_total_games": 24.62, "history_matches": 16242, "min_player_matches": 11,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[1480.126622346933, 1540.8774357144891], "players": ["Carole Monnet", "Fiona Crawley"], "sport": "TENNIS", "surface": "Hard", "surface_counts": [86, 8], "surface_ratings": [1492.130153548332, 1521.4014719854754]}, "market_type": "moneyline", "model_version": "tennis-surface-elo-v1", "observed_at_utc": "2026-09-22T04:50:03.600679+00:00", "probabilities": {"away": 0.4338, "home": 0.5662}, "replay_scope": "Exact full-precision serving state and rounding; upstream historical observation times are not certified.", "schema": "coded-moneyline-replay-v1", "snapshot_hash": "dd1262fa1bacdb4e7b2b3b534f7750f0e48c327ca0472e57f1fa3c22d2f132cd", "sport": "TENNIS"}</t>
        </is>
      </c>
    </row>
    <row r="1131" ht="36" customHeight="1">
      <c r="A1131" s="24" t="inlineStr">
        <is>
          <t>084beff157fa4794</t>
        </is>
      </c>
      <c r="B1131" s="24" t="inlineStr">
        <is>
          <t>2026-09-22T04:50:04.608221Z</t>
        </is>
      </c>
      <c r="C1131" s="24" t="inlineStr">
        <is>
          <t>2026-09-22T07:00Z</t>
        </is>
      </c>
      <c r="D1131" s="24" t="inlineStr">
        <is>
          <t>1001-2026:186139</t>
        </is>
      </c>
      <c r="E1131" s="24" t="inlineStr">
        <is>
          <t>TENNIS</t>
        </is>
      </c>
      <c r="F1131" s="24" t="inlineStr">
        <is>
          <t>Matthew Dellavedova</t>
        </is>
      </c>
      <c r="G1131" s="24" t="inlineStr">
        <is>
          <t>Sun Fajing</t>
        </is>
      </c>
      <c r="H1131" s="24" t="inlineStr">
        <is>
          <t>moneyline</t>
        </is>
      </c>
      <c r="I1131" s="24" t="inlineStr">
        <is>
          <t>away</t>
        </is>
      </c>
      <c r="J1131" s="25" t="n"/>
      <c r="K1131" s="24" t="inlineStr">
        <is>
          <t>polymarket_us</t>
        </is>
      </c>
      <c r="L1131" s="26" t="n">
        <v>163</v>
      </c>
      <c r="M1131" s="27" t="n">
        <v>2.63</v>
      </c>
      <c r="N1131" s="28" t="n">
        <v>0.380228</v>
      </c>
      <c r="O1131" s="28" t="n">
        <v>0.5813</v>
      </c>
      <c r="P1131" s="28" t="n">
        <v>0.05</v>
      </c>
      <c r="Q1131" s="28" t="n">
        <v>0.201072</v>
      </c>
      <c r="R1131" s="26" t="n">
        <v>100</v>
      </c>
      <c r="S1131" s="29" t="n">
        <v>2</v>
      </c>
      <c r="T1131" s="24" t="inlineStr">
        <is>
          <t>tennis-surface-elo-v1</t>
        </is>
      </c>
      <c r="U1131" s="24" t="inlineStr">
        <is>
          <t>settled</t>
        </is>
      </c>
      <c r="V1131" s="24" t="inlineStr">
        <is>
          <t>loss</t>
        </is>
      </c>
      <c r="W1131" s="26" t="n">
        <v>0</v>
      </c>
      <c r="X1131" s="26" t="n">
        <v>1</v>
      </c>
      <c r="Y1131" s="25" t="n"/>
      <c r="Z1131" s="26" t="n">
        <v>163</v>
      </c>
      <c r="AA1131" s="28" t="n">
        <v>0.38</v>
      </c>
      <c r="AB1131" s="28" t="n">
        <v>-0.000228</v>
      </c>
      <c r="AC1131" s="30" t="n">
        <v>-2</v>
      </c>
      <c r="AD1131" s="24" t="inlineStr">
        <is>
          <t>2026-09-22T16:00:25.579605Z</t>
        </is>
      </c>
      <c r="AE1131" s="31" t="inlineStr">
        <is>
          <t>Surface-blended Elo on Hard: Matthew Dellavedova p=0.581 vs Sun Fajing. Executable ask 0.3800 (aec-atp-fajsun-matdel-2026-09-22).</t>
        </is>
      </c>
      <c r="AF1131" s="31" t="inlineStr">
        <is>
          <t>Surface-blended Elo model; singles only, WTA+ATP market coverage, not yet locked-holdout qualified -- promoted by explicit operator directive, not genuine walk-forward validation.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PAPER_CALL_MODEL_UNVALIDATED</t>
        </is>
      </c>
      <c r="AP1131" s="24" t="inlineStr">
        <is>
          <t>Matthew Dellavedova</t>
        </is>
      </c>
      <c r="AQ1131" s="24" t="inlineStr">
        <is>
          <t>Matthew Dellavedova</t>
        </is>
      </c>
      <c r="AR1131" s="24" t="inlineStr">
        <is>
          <t>Matthew Dellavedova</t>
        </is>
      </c>
      <c r="AS1131" s="24" t="inlineStr">
        <is>
          <t>Sun Fajing</t>
        </is>
      </c>
      <c r="AT1131" s="24" t="inlineStr">
        <is>
          <t>Sun Fajing</t>
        </is>
      </c>
      <c r="AU1131" s="24" t="inlineStr">
        <is>
          <t>Sun Fajing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6c67e999d2a03612e30f4032c8e5e77e8becfbc79e05f4c8993e726b90d34d54</t>
        </is>
      </c>
      <c r="BB1131" s="24" t="inlineStr">
        <is>
          <t>surface_blended_elo</t>
        </is>
      </c>
      <c r="BC1131" s="24" t="inlineStr">
        <is>
          <t>tennis-surface-elo-v1</t>
        </is>
      </c>
      <c r="BD1131" s="24" t="inlineStr">
        <is>
          <t>6c67e999d2a03612e30f4032c8e5e77e8becfbc79e05f4c8993e726b90d34d54</t>
        </is>
      </c>
      <c r="BE1131" s="24" t="inlineStr">
        <is>
          <t>tennis-surface-elo-v1</t>
        </is>
      </c>
      <c r="BF1131" s="24" t="inlineStr">
        <is>
          <t>1</t>
        </is>
      </c>
      <c r="BG1131" s="24" t="inlineStr">
        <is>
          <t>6c67e999d2a03612e30f4032c8e5e77e8becfbc79e05f4c8993e726b90d34d54</t>
        </is>
      </c>
      <c r="BH1131" s="24" t="inlineStr">
        <is>
          <t>2026-09-22T04:46:19.222403Z</t>
        </is>
      </c>
      <c r="BI1131" s="24" t="inlineStr">
        <is>
          <t>["same_event","same_team_same_day","same_league_same_day"]</t>
        </is>
      </c>
      <c r="BJ1131" s="25" t="n"/>
      <c r="BK1131" s="26" t="n">
        <v>163</v>
      </c>
      <c r="BL1131" s="27" t="n">
        <v>2.63</v>
      </c>
      <c r="BM1131" s="28" t="n">
        <v>0.380228</v>
      </c>
      <c r="BN1131" s="28" t="n"/>
      <c r="BO1131" s="28" t="n"/>
      <c r="BP1131" s="25" t="n"/>
      <c r="BQ1131" s="27" t="n">
        <v>2.63</v>
      </c>
      <c r="BR1131" s="28" t="n">
        <v>0.38</v>
      </c>
      <c r="BS1131" s="28" t="n"/>
      <c r="BT1131" s="28" t="n"/>
      <c r="BU1131" s="25" t="n"/>
      <c r="BV1131" s="29" t="n"/>
      <c r="BW1131" s="24" t="n"/>
      <c r="BX1131" s="30" t="n"/>
      <c r="BY1131" s="27" t="n"/>
      <c r="BZ1131" s="24" t="n"/>
      <c r="CA1131" s="31" t="n"/>
      <c r="CB1131" s="24" t="n"/>
      <c r="CC1131" s="24" t="n"/>
      <c r="CD1131" s="24" t="n"/>
      <c r="CE1131" s="24" t="n"/>
      <c r="CF1131" s="24" t="n"/>
      <c r="CG1131" s="24" t="n"/>
      <c r="CH1131" s="24" t="n"/>
      <c r="CI1131" s="24" t="n"/>
      <c r="CJ1131" s="24" t="n"/>
      <c r="CK1131" s="24" t="n"/>
      <c r="CL1131" s="24" t="n"/>
      <c r="CM1131" s="24" t="n"/>
      <c r="CN1131" s="24" t="n"/>
      <c r="CO1131" s="24" t="n"/>
      <c r="CP1131" s="24" t="n"/>
      <c r="CQ1131" s="24" t="n"/>
      <c r="CR1131" s="24" t="n"/>
      <c r="CS1131" s="24" t="inlineStr">
        <is>
          <t>True</t>
        </is>
      </c>
      <c r="CT1131" s="24" t="n"/>
      <c r="CU1131" s="24" t="n"/>
      <c r="CV1131" s="24" t="n"/>
      <c r="CW1131" s="24" t="n"/>
      <c r="CX1131" s="24" t="n"/>
      <c r="CY1131" s="24" t="n"/>
      <c r="CZ1131" s="24" t="n"/>
      <c r="DA1131" s="24" t="n"/>
      <c r="DB1131" s="24" t="n"/>
      <c r="DC1131" s="24" t="n"/>
      <c r="DD1131" s="24" t="inlineStr">
        <is>
          <t>625c693949165b71d5d1ac4a2c0f99292b7e8d7a6d6e836c879326c3fc93743b</t>
        </is>
      </c>
      <c r="DE1131" s="24" t="inlineStr">
        <is>
          <t>/Users/vincentc9002/model-prediction/data/odds/tennis/2026-09-22/polymarket_snapshots.jsonl</t>
        </is>
      </c>
      <c r="DF1131" s="24" t="inlineStr">
        <is>
          <t>980513:2026-09-22T04:46:19.222403Z</t>
        </is>
      </c>
      <c r="DG1131" s="24" t="n"/>
      <c r="DH1131" s="24" t="n"/>
      <c r="DI1131" s="24" t="n"/>
      <c r="DJ1131" s="24" t="inlineStr">
        <is>
          <t>0.380228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{"artifact_hash": "6c67e999d2a03612e30f4032c8e5e77e8becfbc79e05f4c8993e726b90d34d54", "away_team": "Matthew Dellavedova", "event_id": "1001-2026:186139", "event_start_utc": "2026-09-22T07:00Z", "features": {"elo_p1_surface": 1483.8, "elo_p2_surface": 1443.9, "expected_games_p1": 13.56, "expected_games_p2": 11.55, "expected_total_games": 25.11, "history_matches": 11209, "min_player_matches": 3, "surface": "Hard"}, "historical_source_observation_times_verified": false, "home_team": "Sun Fajing", "inference_inputs": {"code_sha256": {"features/elo_ratings.py": "8525faf022a6343c452286dbfeb17dbb043744c6bdabbe448b6b371216da439b", "models/tennis.py": "6c67e999d2a03612e30f4032c8e5e77e8becfbc79e05f4c8993e726b90d34d54"}, "overall_ratings": [1483.8705369886798, 1419.6985031798508], "players": ["Matthew Dellavedova", "Sun Fajing"], "sport": "TENNIS", "surface": "Hard", "surface_counts": [3, 8], "surface_ratings": [1483.8171090391127, 1443.9159482759408]}, "market_type": "moneyline", "model_version": "tennis-surface-elo-v1", "observed_at_utc": "2026-09-22T04:50:03.600679+00:00", "probabilities": {"away": 0.5813, "home": 0.4187}, "replay_scope": "Exact full-precision serving state and rounding; upstream historical observation times are not certified.", "schema": "coded-moneyline-replay-v1", "snapshot_hash": "cdde3e1d69d41e8eb4f4752b2a0f926407f3cbcce4afc46e99c901f48e0fcab3", "sport": "TENNIS"}</t>
        </is>
      </c>
    </row>
    <row r="1132" ht="36" customHeight="1">
      <c r="A1132" s="24" t="inlineStr">
        <is>
          <t>e7838e7b5c174977</t>
        </is>
      </c>
      <c r="B1132" s="24" t="inlineStr">
        <is>
          <t>2026-09-22T10:08:40.309658Z</t>
        </is>
      </c>
      <c r="C1132" s="24" t="inlineStr">
        <is>
          <t>2026-09-22T11:30Z</t>
        </is>
      </c>
      <c r="D1132" s="24" t="inlineStr">
        <is>
          <t>1019-2026:183896</t>
        </is>
      </c>
      <c r="E1132" s="24" t="inlineStr">
        <is>
          <t>TENNIS</t>
        </is>
      </c>
      <c r="F1132" s="24" t="inlineStr">
        <is>
          <t>Laura Pigossi</t>
        </is>
      </c>
      <c r="G1132" s="24" t="inlineStr">
        <is>
          <t>Ekaterine Gorgodze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-133</v>
      </c>
      <c r="M1132" s="27" t="n">
        <v>1.75188</v>
      </c>
      <c r="N1132" s="28" t="n">
        <v>0.570815</v>
      </c>
      <c r="O1132" s="28" t="n">
        <v>0.6395999999999999</v>
      </c>
      <c r="P1132" s="28" t="n">
        <v>0.05</v>
      </c>
      <c r="Q1132" s="28" t="n">
        <v>0.068785</v>
      </c>
      <c r="R1132" s="26" t="n">
        <v>54</v>
      </c>
      <c r="S1132" s="29" t="n">
        <v>1.25</v>
      </c>
      <c r="T1132" s="24" t="inlineStr">
        <is>
          <t>tennis-surface-elo-v1</t>
        </is>
      </c>
      <c r="U1132" s="24" t="inlineStr">
        <is>
          <t>settled</t>
        </is>
      </c>
      <c r="V1132" s="24" t="inlineStr">
        <is>
          <t>win</t>
        </is>
      </c>
      <c r="W1132" s="26" t="n">
        <v>0</v>
      </c>
      <c r="X1132" s="26" t="n">
        <v>1</v>
      </c>
      <c r="Y1132" s="25" t="n"/>
      <c r="Z1132" s="26" t="n">
        <v>-133</v>
      </c>
      <c r="AA1132" s="28" t="n">
        <v>0.57</v>
      </c>
      <c r="AB1132" s="28" t="n">
        <v>-0.000815</v>
      </c>
      <c r="AC1132" s="30" t="n">
        <v>0.9399</v>
      </c>
      <c r="AD1132" s="24" t="inlineStr">
        <is>
          <t>2026-09-23T04:31:11.502077Z</t>
        </is>
      </c>
      <c r="AE1132" s="31" t="inlineStr">
        <is>
          <t>Surface-blended Elo on Hard: Laura Pigossi p=0.360 vs Ekaterine Gorgodze. Executable ask 0.5700 (aec-wta-ekagor-laupig-2026-09-21).</t>
        </is>
      </c>
      <c r="AF1132" s="31" t="inlineStr">
        <is>
          <t>Surface-blended Elo model; singles only, WTA+ATP market coverage, not yet locked-holdout qualified -- promoted by explicit operator directive, not genuine walk-forward validation.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model_qualified</t>
        </is>
      </c>
      <c r="AL1132" s="26" t="n">
        <v>4</v>
      </c>
      <c r="AM1132" s="24" t="inlineStr">
        <is>
          <t>QUALIFIED_SHADOW_CALL</t>
        </is>
      </c>
      <c r="AN1132" s="24" t="inlineStr">
        <is>
          <t>CALL</t>
        </is>
      </c>
      <c r="AO1132" s="24" t="inlineStr">
        <is>
          <t>QUALIFIED</t>
        </is>
      </c>
      <c r="AP1132" s="24" t="inlineStr">
        <is>
          <t>Laura Pigossi</t>
        </is>
      </c>
      <c r="AQ1132" s="24" t="inlineStr">
        <is>
          <t>Laura Pigossi</t>
        </is>
      </c>
      <c r="AR1132" s="24" t="inlineStr">
        <is>
          <t>Laura Pigossi</t>
        </is>
      </c>
      <c r="AS1132" s="24" t="inlineStr">
        <is>
          <t>Ekaterine Gorgodze</t>
        </is>
      </c>
      <c r="AT1132" s="24" t="inlineStr">
        <is>
          <t>Ekaterine Gorgodze</t>
        </is>
      </c>
      <c r="AU1132" s="24" t="inlineStr">
        <is>
          <t>Ekaterine Gorgodze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6c67e999d2a03612e30f4032c8e5e77e8becfbc79e05f4c8993e726b90d34d54</t>
        </is>
      </c>
      <c r="BB1132" s="24" t="inlineStr">
        <is>
          <t>surface_blended_elo</t>
        </is>
      </c>
      <c r="BC1132" s="24" t="inlineStr">
        <is>
          <t>tennis-surface-elo-v1</t>
        </is>
      </c>
      <c r="BD1132" s="24" t="inlineStr">
        <is>
          <t>6c67e999d2a03612e30f4032c8e5e77e8becfbc79e05f4c8993e726b90d34d54</t>
        </is>
      </c>
      <c r="BE1132" s="24" t="inlineStr">
        <is>
          <t>tennis-surface-elo-v1</t>
        </is>
      </c>
      <c r="BF1132" s="24" t="inlineStr">
        <is>
          <t>1</t>
        </is>
      </c>
      <c r="BG1132" s="24" t="inlineStr">
        <is>
          <t>6c67e999d2a03612e30f4032c8e5e77e8becfbc79e05f4c8993e726b90d34d54</t>
        </is>
      </c>
      <c r="BH1132" s="24" t="inlineStr">
        <is>
          <t>2026-09-22T10:04:46.530179Z</t>
        </is>
      </c>
      <c r="BI1132" s="24" t="inlineStr">
        <is>
          <t>["same_event","same_team_same_day","same_league_same_day"]</t>
        </is>
      </c>
      <c r="BJ1132" s="25" t="n"/>
      <c r="BK1132" s="26" t="n">
        <v>-133</v>
      </c>
      <c r="BL1132" s="27" t="n">
        <v>1.75188</v>
      </c>
      <c r="BM1132" s="28" t="n">
        <v>0.570815</v>
      </c>
      <c r="BN1132" s="28" t="n"/>
      <c r="BO1132" s="28" t="n"/>
      <c r="BP1132" s="25" t="n"/>
      <c r="BQ1132" s="27" t="n">
        <v>1.75188</v>
      </c>
      <c r="BR1132" s="28" t="n">
        <v>0.57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n"/>
      <c r="CD1132" s="24" t="n"/>
      <c r="CE1132" s="24" t="n"/>
      <c r="CF1132" s="24" t="n"/>
      <c r="CG1132" s="24" t="n"/>
      <c r="CH1132" s="24" t="n"/>
      <c r="CI1132" s="24" t="n"/>
      <c r="CJ1132" s="24" t="n"/>
      <c r="CK1132" s="24" t="n"/>
      <c r="CL1132" s="24" t="n"/>
      <c r="CM1132" s="24" t="n"/>
      <c r="CN1132" s="24" t="n"/>
      <c r="CO1132" s="24" t="n"/>
      <c r="CP1132" s="24" t="n"/>
      <c r="CQ1132" s="24" t="n"/>
      <c r="CR1132" s="24" t="n"/>
      <c r="CS1132" s="24" t="inlineStr">
        <is>
          <t>True</t>
        </is>
      </c>
      <c r="CT1132" s="24" t="n"/>
      <c r="CU1132" s="24" t="n"/>
      <c r="CV1132" s="24" t="n"/>
      <c r="CW1132" s="24" t="n"/>
      <c r="CX1132" s="24" t="n"/>
      <c r="CY1132" s="24" t="n"/>
      <c r="CZ1132" s="24" t="n"/>
      <c r="DA1132" s="24" t="n"/>
      <c r="DB1132" s="24" t="n"/>
      <c r="DC1132" s="24" t="n"/>
      <c r="DD1132" s="24" t="inlineStr">
        <is>
          <t>4daa951ee8c470955352ba88074363c97fd1b61a90e84d1c2b298ccfbe7729ae</t>
        </is>
      </c>
      <c r="DE1132" s="24" t="inlineStr">
        <is>
          <t>/Users/vincentc9002/model-prediction/data/odds/tennis/2026-09-22/polymarket_snapshots.jsonl</t>
        </is>
      </c>
      <c r="DF1132" s="24" t="inlineStr">
        <is>
          <t>970454:2026-09-22T10:04:46.530179Z</t>
        </is>
      </c>
      <c r="DG1132" s="24" t="n"/>
      <c r="DH1132" s="24" t="n"/>
      <c r="DI1132" s="24" t="n"/>
      <c r="DJ1132" s="24" t="inlineStr">
        <is>
          <t>0.570815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{"artifact_hash": "6c67e999d2a03612e30f4032c8e5e77e8becfbc79e05f4c8993e726b90d34d54", "away_team": "Laura Pigossi", "event_id": "1019-2026:183896", "event_start_utc": "2026-09-22T11:30Z", "features": {"elo_p1_surface": 1409.5, "elo_p2_surface": 1495.6, "expected_games_p1": 9.95, "expected_games_p2": 13.28, "expected_total_games": 23.24, "history_matches": 16242, "min_player_matches": 72,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[1382.6171153217824, 1514.069818632298], "players": ["Laura Pigossi", "Ekaterine Gorgodze"], "sport": "TENNIS", "surface": "Hard", "surface_counts": [78, 62], "surface_ratings": [1409.4935457325123, 1495.5509747447645]}, "market_type": "moneyline", "model_version": "tennis-surface-elo-v1", "observed_at_utc": "2026-09-22T10:08:39.270756+00:00", "probabilities": {"away": 0.3604, "home": 0.6396}, "replay_scope": "Exact full-precision serving state and rounding; upstream historical observation times are not certified.", "schema": "coded-moneyline-replay-v1", "snapshot_hash": "6b961a1ffac23bab5346dfa65b2ff689107d46f4993463b1292ac0ce7767b3c8", "sport": "TENNIS"}</t>
        </is>
      </c>
    </row>
    <row r="1133" ht="36" customHeight="1">
      <c r="A1133" s="24" t="inlineStr">
        <is>
          <t>f574bfc144224469</t>
        </is>
      </c>
      <c r="B1133" s="24" t="inlineStr">
        <is>
          <t>2026-09-22T10:08:40.309658Z</t>
        </is>
      </c>
      <c r="C1133" s="24" t="inlineStr">
        <is>
          <t>2026-09-22T11:30Z</t>
        </is>
      </c>
      <c r="D1133" s="24" t="inlineStr">
        <is>
          <t>1019-2026:183895</t>
        </is>
      </c>
      <c r="E1133" s="24" t="inlineStr">
        <is>
          <t>TENNIS</t>
        </is>
      </c>
      <c r="F1133" s="24" t="inlineStr">
        <is>
          <t>Alicia Herrero Linana</t>
        </is>
      </c>
      <c r="G1133" s="24" t="inlineStr">
        <is>
          <t>Barbora Palicova</t>
        </is>
      </c>
      <c r="H1133" s="24" t="inlineStr">
        <is>
          <t>moneyline</t>
        </is>
      </c>
      <c r="I1133" s="24" t="inlineStr">
        <is>
          <t>away</t>
        </is>
      </c>
      <c r="J1133" s="25" t="n"/>
      <c r="K1133" s="24" t="inlineStr">
        <is>
          <t>polymarket_us</t>
        </is>
      </c>
      <c r="L1133" s="26" t="n">
        <v>186</v>
      </c>
      <c r="M1133" s="27" t="n">
        <v>2.86</v>
      </c>
      <c r="N1133" s="28" t="n">
        <v>0.34965</v>
      </c>
      <c r="O1133" s="28" t="n">
        <v>0.769</v>
      </c>
      <c r="P1133" s="28" t="n">
        <v>0.05</v>
      </c>
      <c r="Q1133" s="28" t="n">
        <v>0.41935</v>
      </c>
      <c r="R1133" s="26" t="n">
        <v>100</v>
      </c>
      <c r="S1133" s="29" t="n">
        <v>2</v>
      </c>
      <c r="T1133" s="24" t="inlineStr">
        <is>
          <t>tennis-surface-elo-v1</t>
        </is>
      </c>
      <c r="U1133" s="24" t="inlineStr">
        <is>
          <t>settled</t>
        </is>
      </c>
      <c r="V1133" s="24" t="inlineStr">
        <is>
          <t>loss</t>
        </is>
      </c>
      <c r="W1133" s="26" t="n">
        <v>0</v>
      </c>
      <c r="X1133" s="26" t="n">
        <v>1</v>
      </c>
      <c r="Y1133" s="25" t="n"/>
      <c r="Z1133" s="26" t="n">
        <v>186</v>
      </c>
      <c r="AA1133" s="28" t="n">
        <v>0.35</v>
      </c>
      <c r="AB1133" s="28" t="n">
        <v>0.00035</v>
      </c>
      <c r="AC1133" s="30" t="n">
        <v>-2</v>
      </c>
      <c r="AD1133" s="24" t="inlineStr">
        <is>
          <t>2026-09-22T16:00:26.104412Z</t>
        </is>
      </c>
      <c r="AE1133" s="31" t="inlineStr">
        <is>
          <t>Surface-blended Elo on Hard: Alicia Herrero Linana p=0.769 vs Barbora Palicova. Executable ask 0.3500 (aec-wta-barpal-alilin-2026-09-21).</t>
        </is>
      </c>
      <c r="AF1133" s="31" t="inlineStr">
        <is>
          <t>Surface-blended Elo model; singles only, WTA+ATP market coverage, not yet locked-holdout qualified -- promoted by explicit operator directive, not genuine walk-forward validation.</t>
        </is>
      </c>
      <c r="AG1133" s="24" t="inlineStr">
        <is>
          <t>review_required</t>
        </is>
      </c>
      <c r="AH1133" s="24" t="n"/>
      <c r="AI1133" s="31" t="n"/>
      <c r="AJ1133" s="31" t="n"/>
      <c r="AK1133" s="24" t="inlineStr">
        <is>
          <t>paper_call</t>
        </is>
      </c>
      <c r="AL1133" s="26" t="n">
        <v>4</v>
      </c>
      <c r="AM1133" s="24" t="inlineStr">
        <is>
          <t>RESEARCH_OBSERVATION</t>
        </is>
      </c>
      <c r="AN1133" s="24" t="inlineStr">
        <is>
          <t>CALL</t>
        </is>
      </c>
      <c r="AO1133" s="24" t="inlineStr">
        <is>
          <t>PAPER_CALL_STALE_DATA</t>
        </is>
      </c>
      <c r="AP1133" s="24" t="inlineStr">
        <is>
          <t>Alicia Herrero Linana</t>
        </is>
      </c>
      <c r="AQ1133" s="24" t="inlineStr">
        <is>
          <t>Alicia Herrero Linana</t>
        </is>
      </c>
      <c r="AR1133" s="24" t="inlineStr">
        <is>
          <t>Alicia Herrero Linana</t>
        </is>
      </c>
      <c r="AS1133" s="24" t="inlineStr">
        <is>
          <t>Barbora Palicova</t>
        </is>
      </c>
      <c r="AT1133" s="24" t="inlineStr">
        <is>
          <t>Barbora Palicova</t>
        </is>
      </c>
      <c r="AU1133" s="24" t="inlineStr">
        <is>
          <t>Barbora Palicova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shadow_qualified</t>
        </is>
      </c>
      <c r="BA1133" s="24" t="inlineStr">
        <is>
          <t>6c67e999d2a03612e30f4032c8e5e77e8becfbc79e05f4c8993e726b90d34d54</t>
        </is>
      </c>
      <c r="BB1133" s="24" t="inlineStr">
        <is>
          <t>surface_blended_elo</t>
        </is>
      </c>
      <c r="BC1133" s="24" t="inlineStr">
        <is>
          <t>tennis-surface-elo-v1</t>
        </is>
      </c>
      <c r="BD1133" s="24" t="inlineStr">
        <is>
          <t>6c67e999d2a03612e30f4032c8e5e77e8becfbc79e05f4c8993e726b90d34d54</t>
        </is>
      </c>
      <c r="BE1133" s="24" t="inlineStr">
        <is>
          <t>tennis-surface-elo-v1</t>
        </is>
      </c>
      <c r="BF1133" s="24" t="inlineStr">
        <is>
          <t>1</t>
        </is>
      </c>
      <c r="BG1133" s="24" t="inlineStr">
        <is>
          <t>6c67e999d2a03612e30f4032c8e5e77e8becfbc79e05f4c8993e726b90d34d54</t>
        </is>
      </c>
      <c r="BH1133" s="24" t="inlineStr">
        <is>
          <t>2026-09-21T04:07:16.608587Z</t>
        </is>
      </c>
      <c r="BI1133" s="24" t="inlineStr">
        <is>
          <t>["same_event","same_team_same_day","same_league_same_day"]</t>
        </is>
      </c>
      <c r="BJ1133" s="25" t="n"/>
      <c r="BK1133" s="26" t="n">
        <v>186</v>
      </c>
      <c r="BL1133" s="27" t="n">
        <v>2.86</v>
      </c>
      <c r="BM1133" s="28" t="n">
        <v>0.34965</v>
      </c>
      <c r="BN1133" s="28" t="n"/>
      <c r="BO1133" s="28" t="n"/>
      <c r="BP1133" s="25" t="n"/>
      <c r="BQ1133" s="27" t="n">
        <v>2.86</v>
      </c>
      <c r="BR1133" s="28" t="n">
        <v>0.35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True</t>
        </is>
      </c>
      <c r="CT1133" s="24" t="n"/>
      <c r="CU1133" s="24" t="n"/>
      <c r="CV1133" s="24" t="n"/>
      <c r="CW1133" s="24" t="n"/>
      <c r="CX1133" s="24" t="n"/>
      <c r="CY1133" s="24" t="n"/>
      <c r="CZ1133" s="24" t="n"/>
      <c r="DA1133" s="24" t="n"/>
      <c r="DB1133" s="24" t="n"/>
      <c r="DC1133" s="24" t="n"/>
      <c r="DD1133" s="24" t="inlineStr">
        <is>
          <t>3f2d8e4374a1e50fd1a320d0d2df11c1eddc399c9317b137549acaeee840cbee</t>
        </is>
      </c>
      <c r="DE1133" s="24" t="inlineStr">
        <is>
          <t>/Users/vincentc9002/model-prediction/data/odds/tennis/2026-09-22/polymarket_snapshots.jsonl</t>
        </is>
      </c>
      <c r="DF1133" s="24" t="inlineStr">
        <is>
          <t>970455:2026-09-21T04:07:16.608587Z</t>
        </is>
      </c>
      <c r="DG1133" s="24" t="n"/>
      <c r="DH1133" s="24" t="n"/>
      <c r="DI1133" s="24" t="n"/>
      <c r="DJ1133" s="24" t="inlineStr">
        <is>
          <t>0.34965</t>
        </is>
      </c>
      <c r="DK1133" s="24" t="n"/>
      <c r="DL1133" s="24" t="n"/>
      <c r="DM1133" s="24" t="n"/>
      <c r="DN1133" s="24" t="n"/>
      <c r="DO1133" s="24" t="n"/>
      <c r="DP1133" s="24" t="n"/>
      <c r="DQ1133" s="24" t="inlineStr">
        <is>
          <t>{"artifact_hash": "6c67e999d2a03612e30f4032c8e5e77e8becfbc79e05f4c8993e726b90d34d54", "away_team": "Alicia Herrero Linana", "event_id": "1019-2026:183895", "event_start_utc": "2026-09-22T11:30Z", "features": {"elo_p1_surface": 1613.7, "elo_p2_surface": 1412.6, "expected_games_p1": 12.75, "expected_games_p2": 5.81, "expected_total_games": 18.55, "history_matches": 16242, "min_player_matches": 39, "surface": "Hard"}, "historical_source_observation_times_verified": false, "home_team": "Barbora Palicova", "inference_inputs": {"code_sha256": {"features/elo_ratings.py": "8525faf022a6343c452286dbfeb17dbb043744c6bdabbe448b6b371216da439b", "models/tennis.py": "6c67e999d2a03612e30f4032c8e5e77e8becfbc79e05f4c8993e726b90d34d54"}, "overall_ratings": [1616.0878234327972, 1393.9440127609605], "players": ["Alicia Herrero Linana", "Barbora Palicova"], "sport": "TENNIS", "surface": "Hard", "surface_counts": [39, 43], "surface_ratings": [1613.7221963617699, 1412.583517743347]}, "market_type": "moneyline", "model_version": "tennis-surface-elo-v1", "observed_at_utc": "2026-09-22T10:08:39.270756+00:00", "probabilities": {"away": 0.769, "home": 0.231}, "replay_scope": "Exact full-precision serving state and rounding; upstream historical observation times are not certified.", "schema": "coded-moneyline-replay-v1", "snapshot_hash": "1f5d8db00d04a2c89f6dcaba7feab8ae28befc2faccb7498126b072f2388c7fb", "sport": "TENNIS"}</t>
        </is>
      </c>
    </row>
    <row r="1134" ht="36" customHeight="1">
      <c r="A1134" s="24" t="inlineStr">
        <is>
          <t>3fa342988bee4fdb</t>
        </is>
      </c>
      <c r="B1134" s="24" t="inlineStr">
        <is>
          <t>2026-09-22T10:08:40.309658Z</t>
        </is>
      </c>
      <c r="C1134" s="24" t="inlineStr">
        <is>
          <t>2026-09-22T13:30Z</t>
        </is>
      </c>
      <c r="D1134" s="24" t="inlineStr">
        <is>
          <t>1019-2026:183893</t>
        </is>
      </c>
      <c r="E1134" s="24" t="inlineStr">
        <is>
          <t>TENNIS</t>
        </is>
      </c>
      <c r="F1134" s="24" t="inlineStr">
        <is>
          <t>Samira De Stefano</t>
        </is>
      </c>
      <c r="G1134" s="24" t="inlineStr">
        <is>
          <t>Julie Struplova</t>
        </is>
      </c>
      <c r="H1134" s="24" t="inlineStr">
        <is>
          <t>moneyline</t>
        </is>
      </c>
      <c r="I1134" s="24" t="inlineStr">
        <is>
          <t>away</t>
        </is>
      </c>
      <c r="J1134" s="25" t="n"/>
      <c r="K1134" s="24" t="inlineStr">
        <is>
          <t>polymarket_us</t>
        </is>
      </c>
      <c r="L1134" s="26" t="n">
        <v>-257</v>
      </c>
      <c r="M1134" s="27" t="n">
        <v>1.389105</v>
      </c>
      <c r="N1134" s="28" t="n">
        <v>0.719888</v>
      </c>
      <c r="O1134" s="28" t="n">
        <v>0.605</v>
      </c>
      <c r="P1134" s="28" t="n">
        <v>0.05</v>
      </c>
      <c r="Q1134" s="28" t="n">
        <v>-0.114888</v>
      </c>
      <c r="R1134" s="26" t="n">
        <v>0</v>
      </c>
      <c r="S1134" s="29" t="n">
        <v>1</v>
      </c>
      <c r="T1134" s="24" t="inlineStr">
        <is>
          <t>tennis-surface-elo-v1</t>
        </is>
      </c>
      <c r="U1134" s="24" t="inlineStr">
        <is>
          <t>settled</t>
        </is>
      </c>
      <c r="V1134" s="24" t="inlineStr">
        <is>
          <t>win</t>
        </is>
      </c>
      <c r="W1134" s="26" t="n">
        <v>1</v>
      </c>
      <c r="X1134" s="26" t="n">
        <v>0</v>
      </c>
      <c r="Y1134" s="25" t="n"/>
      <c r="Z1134" s="26" t="n">
        <v>-257</v>
      </c>
      <c r="AA1134" s="28" t="n">
        <v>0.72</v>
      </c>
      <c r="AB1134" s="28" t="n">
        <v>0.000112</v>
      </c>
      <c r="AC1134" s="30" t="n">
        <v>0.3891</v>
      </c>
      <c r="AD1134" s="24" t="inlineStr">
        <is>
          <t>2026-09-23T04:31:12.021816Z</t>
        </is>
      </c>
      <c r="AE1134" s="31" t="inlineStr">
        <is>
          <t>Surface-blended Elo on Hard: Samira De Stefano p=0.605 vs Julie Struplova. Executable ask 0.7200 (aec-wta-julstr-samste-2026-09-21).</t>
        </is>
      </c>
      <c r="AF1134" s="31" t="inlineStr">
        <is>
          <t>Surface-blended Elo model; singles only, WTA+ATP market coverage, not yet locked-holdout qualified -- promoted by explicit operator directive, not genuine walk-forward validation.</t>
        </is>
      </c>
      <c r="AG1134" s="24" t="inlineStr">
        <is>
          <t>not_applicable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Samira De Stefano</t>
        </is>
      </c>
      <c r="AQ1134" s="24" t="inlineStr">
        <is>
          <t>Samira De Stefano</t>
        </is>
      </c>
      <c r="AR1134" s="24" t="inlineStr">
        <is>
          <t>Samira De Stefano</t>
        </is>
      </c>
      <c r="AS1134" s="24" t="inlineStr">
        <is>
          <t>Julie Struplova</t>
        </is>
      </c>
      <c r="AT1134" s="24" t="inlineStr">
        <is>
          <t>Julie Struplova</t>
        </is>
      </c>
      <c r="AU1134" s="24" t="inlineStr">
        <is>
          <t>Julie Struplova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shadow_qualified</t>
        </is>
      </c>
      <c r="BA1134" s="24" t="inlineStr">
        <is>
          <t>6c67e999d2a03612e30f4032c8e5e77e8becfbc79e05f4c8993e726b90d34d54</t>
        </is>
      </c>
      <c r="BB1134" s="24" t="inlineStr">
        <is>
          <t>surface_blended_elo</t>
        </is>
      </c>
      <c r="BC1134" s="24" t="inlineStr">
        <is>
          <t>tennis-surface-elo-v1</t>
        </is>
      </c>
      <c r="BD1134" s="24" t="inlineStr">
        <is>
          <t>6c67e999d2a03612e30f4032c8e5e77e8becfbc79e05f4c8993e726b90d34d54</t>
        </is>
      </c>
      <c r="BE1134" s="24" t="inlineStr">
        <is>
          <t>tennis-surface-elo-v1</t>
        </is>
      </c>
      <c r="BF1134" s="24" t="inlineStr">
        <is>
          <t>1</t>
        </is>
      </c>
      <c r="BG1134" s="24" t="inlineStr">
        <is>
          <t>6c67e999d2a03612e30f4032c8e5e77e8becfbc79e05f4c8993e726b90d34d54</t>
        </is>
      </c>
      <c r="BH1134" s="24" t="inlineStr">
        <is>
          <t>2026-09-21T04:07:16.607896Z</t>
        </is>
      </c>
      <c r="BI1134" s="24" t="inlineStr">
        <is>
          <t>["same_event","same_team_same_day","same_league_same_day"]</t>
        </is>
      </c>
      <c r="BJ1134" s="25" t="n"/>
      <c r="BK1134" s="26" t="n">
        <v>-257</v>
      </c>
      <c r="BL1134" s="27" t="n">
        <v>1.389105</v>
      </c>
      <c r="BM1134" s="28" t="n">
        <v>0.719888</v>
      </c>
      <c r="BN1134" s="28" t="n"/>
      <c r="BO1134" s="28" t="n"/>
      <c r="BP1134" s="25" t="n"/>
      <c r="BQ1134" s="27" t="n">
        <v>1.389105</v>
      </c>
      <c r="BR1134" s="28" t="n">
        <v>0.72</v>
      </c>
      <c r="BS1134" s="28" t="n"/>
      <c r="BT1134" s="28" t="n"/>
      <c r="BU1134" s="25" t="n"/>
      <c r="BV1134" s="29" t="n"/>
      <c r="BW1134" s="24" t="n"/>
      <c r="BX1134" s="30" t="n"/>
      <c r="BY1134" s="27" t="n"/>
      <c r="BZ1134" s="24" t="n"/>
      <c r="CA1134" s="31" t="n"/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False</t>
        </is>
      </c>
      <c r="CT1134" s="24" t="n"/>
      <c r="CU1134" s="24" t="n"/>
      <c r="CV1134" s="24" t="n"/>
      <c r="CW1134" s="24" t="n"/>
      <c r="CX1134" s="24" t="n"/>
      <c r="CY1134" s="24" t="n"/>
      <c r="CZ1134" s="24" t="n"/>
      <c r="DA1134" s="24" t="n"/>
      <c r="DB1134" s="24" t="n"/>
      <c r="DC1134" s="24" t="n"/>
      <c r="DD1134" s="24" t="inlineStr">
        <is>
          <t>fe4f912bc1120cb4ff202d41065574343217176bbedb2c1a84117f67c4393a5c</t>
        </is>
      </c>
      <c r="DE1134" s="24" t="inlineStr">
        <is>
          <t>/Users/vincentc9002/model-prediction/data/odds/tennis/2026-09-22/polymarket_snapshots.jsonl</t>
        </is>
      </c>
      <c r="DF1134" s="24" t="inlineStr">
        <is>
          <t>970456:2026-09-21T04:07:16.607896Z</t>
        </is>
      </c>
      <c r="DG1134" s="24" t="n"/>
      <c r="DH1134" s="24" t="n"/>
      <c r="DI1134" s="24" t="n"/>
      <c r="DJ1134" s="24" t="inlineStr">
        <is>
          <t>0.719888</t>
        </is>
      </c>
      <c r="DK1134" s="24" t="n"/>
      <c r="DL1134" s="24" t="n"/>
      <c r="DM1134" s="24" t="n"/>
      <c r="DN1134" s="24" t="n"/>
      <c r="DO1134" s="24" t="n"/>
      <c r="DP1134" s="24" t="n"/>
      <c r="DQ1134" s="24" t="inlineStr">
        <is>
          <t>{"artifact_hash": "6c67e999d2a03612e30f4032c8e5e77e8becfbc79e05f4c8993e726b90d34d54", "away_team": "Samira De Stefano", "event_id": "1019-2026:183893", "event_start_utc": "2026-09-22T13:30Z", "features": {"elo_p1_surface": 1541.3, "elo_p2_surface": 1475.9, "expected_games_p1": 13.41, "expected_games_p2": 10.24, "expected_total_games": 23.66, "history_matches": 16242, "min_player_matches": 5, "surface": "Hard"}, "historical_source_observation_times_verified": false, "home_team": "Julie Struplova", "inference_inputs": {"code_sha256": {"features/elo_ratings.py": "8525faf022a6343c452286dbfeb17dbb043744c6bdabbe448b6b371216da439b", "models/tennis.py": "6c67e999d2a03612e30f4032c8e5e77e8becfbc79e05f4c8993e726b90d34d54"}, "overall_ratings": [1535.3569301593643, 1460.3662261254367], "players": ["Samira De Stefano", "Julie Struplova"], "sport": "TENNIS", "surface": "Hard", "surface_counts": [9, 4], "surface_ratings": [1541.2850482693825, 1475.9150149443735]}, "market_type": "moneyline", "model_version": "tennis-surface-elo-v1", "observed_at_utc": "2026-09-22T10:08:39.270756+00:00", "probabilities": {"away": 0.605, "home": 0.395}, "replay_scope": "Exact full-precision serving state and rounding; upstream historical observation times are not certified.", "schema": "coded-moneyline-replay-v1", "snapshot_hash": "32ac63b38e10d4d93ca93865a33b563551fa6396f95b0b4de9bc5a90d3903a65", "sport": "TENNIS"}</t>
        </is>
      </c>
    </row>
    <row r="1135" ht="36" customHeight="1">
      <c r="A1135" s="24" t="inlineStr">
        <is>
          <t>b3cad70431804c91</t>
        </is>
      </c>
      <c r="B1135" s="24" t="inlineStr">
        <is>
          <t>2026-09-22T10:08:40.309658Z</t>
        </is>
      </c>
      <c r="C1135" s="24" t="inlineStr">
        <is>
          <t>2026-09-22T13:00Z</t>
        </is>
      </c>
      <c r="D1135" s="24" t="inlineStr">
        <is>
          <t>1022-2026:183945</t>
        </is>
      </c>
      <c r="E1135" s="24" t="inlineStr">
        <is>
          <t>TENNIS</t>
        </is>
      </c>
      <c r="F1135" s="24" t="inlineStr">
        <is>
          <t>Carol Young Suh Lee</t>
        </is>
      </c>
      <c r="G1135" s="24" t="inlineStr">
        <is>
          <t>Harmony Tan</t>
        </is>
      </c>
      <c r="H1135" s="24" t="inlineStr">
        <is>
          <t>moneyline</t>
        </is>
      </c>
      <c r="I1135" s="24" t="inlineStr">
        <is>
          <t>away</t>
        </is>
      </c>
      <c r="J1135" s="25" t="n"/>
      <c r="K1135" s="24" t="inlineStr">
        <is>
          <t>polymarket_us</t>
        </is>
      </c>
      <c r="L1135" s="26" t="n">
        <v>-355</v>
      </c>
      <c r="M1135" s="27" t="n">
        <v>1.28169</v>
      </c>
      <c r="N1135" s="28" t="n">
        <v>0.78022</v>
      </c>
      <c r="O1135" s="28" t="n">
        <v>0.5343</v>
      </c>
      <c r="P1135" s="28" t="n">
        <v>0.05</v>
      </c>
      <c r="Q1135" s="28" t="n">
        <v>-0.24592</v>
      </c>
      <c r="R1135" s="26" t="n">
        <v>0</v>
      </c>
      <c r="S1135" s="29" t="n">
        <v>1</v>
      </c>
      <c r="T1135" s="24" t="inlineStr">
        <is>
          <t>tennis-surface-elo-v1</t>
        </is>
      </c>
      <c r="U1135" s="24" t="inlineStr">
        <is>
          <t>settled</t>
        </is>
      </c>
      <c r="V1135" s="24" t="inlineStr">
        <is>
          <t>loss</t>
        </is>
      </c>
      <c r="W1135" s="26" t="n">
        <v>0</v>
      </c>
      <c r="X1135" s="26" t="n">
        <v>1</v>
      </c>
      <c r="Y1135" s="25" t="n"/>
      <c r="Z1135" s="26" t="n">
        <v>-355</v>
      </c>
      <c r="AA1135" s="28" t="n">
        <v>0.78</v>
      </c>
      <c r="AB1135" s="28" t="n">
        <v>-0.00022</v>
      </c>
      <c r="AC1135" s="30" t="n">
        <v>-1</v>
      </c>
      <c r="AD1135" s="24" t="inlineStr">
        <is>
          <t>2026-09-22T16:00:26.819397Z</t>
        </is>
      </c>
      <c r="AE1135" s="31" t="inlineStr">
        <is>
          <t>Surface-blended Elo on Hard: Carol Young Suh Lee p=0.534 vs Harmony Tan. Executable ask 0.7800 (aec-wta-hartan-carlee-2026-09-21).</t>
        </is>
      </c>
      <c r="AF1135" s="31" t="inlineStr">
        <is>
          <t>Surface-blended Elo model; singles only, WTA+ATP market coverage, not yet locked-holdout qualified -- promoted by explicit operator directive, not genuine walk-forward validation.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paper_call</t>
        </is>
      </c>
      <c r="AL1135" s="26" t="n">
        <v>4</v>
      </c>
      <c r="AM1135" s="24" t="inlineStr">
        <is>
          <t>RESEARCH_OBSERVATION</t>
        </is>
      </c>
      <c r="AN1135" s="24" t="inlineStr">
        <is>
          <t>CALL</t>
        </is>
      </c>
      <c r="AO1135" s="24" t="inlineStr">
        <is>
          <t>PAPER_CALL_LOW_EDGE</t>
        </is>
      </c>
      <c r="AP1135" s="24" t="inlineStr">
        <is>
          <t>Carol Young Suh Lee</t>
        </is>
      </c>
      <c r="AQ1135" s="24" t="inlineStr">
        <is>
          <t>Carol Young Suh Lee</t>
        </is>
      </c>
      <c r="AR1135" s="24" t="inlineStr">
        <is>
          <t>Carol Young Suh Lee</t>
        </is>
      </c>
      <c r="AS1135" s="24" t="inlineStr">
        <is>
          <t>Harmony Tan</t>
        </is>
      </c>
      <c r="AT1135" s="24" t="inlineStr">
        <is>
          <t>Harmony Tan</t>
        </is>
      </c>
      <c r="AU1135" s="24" t="inlineStr">
        <is>
          <t>Harmony Tan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shadow_qualified</t>
        </is>
      </c>
      <c r="BA1135" s="24" t="inlineStr">
        <is>
          <t>6c67e999d2a03612e30f4032c8e5e77e8becfbc79e05f4c8993e726b90d34d54</t>
        </is>
      </c>
      <c r="BB1135" s="24" t="inlineStr">
        <is>
          <t>surface_blended_elo</t>
        </is>
      </c>
      <c r="BC1135" s="24" t="inlineStr">
        <is>
          <t>tennis-surface-elo-v1</t>
        </is>
      </c>
      <c r="BD1135" s="24" t="inlineStr">
        <is>
          <t>6c67e999d2a03612e30f4032c8e5e77e8becfbc79e05f4c8993e726b90d34d54</t>
        </is>
      </c>
      <c r="BE1135" s="24" t="inlineStr">
        <is>
          <t>tennis-surface-elo-v1</t>
        </is>
      </c>
      <c r="BF1135" s="24" t="inlineStr">
        <is>
          <t>1</t>
        </is>
      </c>
      <c r="BG1135" s="24" t="inlineStr">
        <is>
          <t>6c67e999d2a03612e30f4032c8e5e77e8becfbc79e05f4c8993e726b90d34d54</t>
        </is>
      </c>
      <c r="BH1135" s="24" t="inlineStr">
        <is>
          <t>2026-09-21T04:07:16.643033Z</t>
        </is>
      </c>
      <c r="BI1135" s="24" t="inlineStr">
        <is>
          <t>["same_event","same_team_same_day","same_league_same_day"]</t>
        </is>
      </c>
      <c r="BJ1135" s="25" t="n"/>
      <c r="BK1135" s="26" t="n">
        <v>-355</v>
      </c>
      <c r="BL1135" s="27" t="n">
        <v>1.28169</v>
      </c>
      <c r="BM1135" s="28" t="n">
        <v>0.78022</v>
      </c>
      <c r="BN1135" s="28" t="n"/>
      <c r="BO1135" s="28" t="n"/>
      <c r="BP1135" s="25" t="n"/>
      <c r="BQ1135" s="27" t="n">
        <v>1.28169</v>
      </c>
      <c r="BR1135" s="28" t="n">
        <v>0.78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False</t>
        </is>
      </c>
      <c r="CT1135" s="24" t="n"/>
      <c r="CU1135" s="24" t="n"/>
      <c r="CV1135" s="24" t="n"/>
      <c r="CW1135" s="24" t="n"/>
      <c r="CX1135" s="24" t="n"/>
      <c r="CY1135" s="24" t="n"/>
      <c r="CZ1135" s="24" t="n"/>
      <c r="DA1135" s="24" t="n"/>
      <c r="DB1135" s="24" t="n"/>
      <c r="DC1135" s="24" t="n"/>
      <c r="DD1135" s="24" t="inlineStr">
        <is>
          <t>056ccf8fea2c871e1a7e14fa6243273398dde4cbadf7fe12fad9e17fb4514e2a</t>
        </is>
      </c>
      <c r="DE1135" s="24" t="inlineStr">
        <is>
          <t>/Users/vincentc9002/model-prediction/data/odds/tennis/2026-09-22/polymarket_snapshots.jsonl</t>
        </is>
      </c>
      <c r="DF1135" s="24" t="inlineStr">
        <is>
          <t>969198:2026-09-21T04:07:16.643033Z</t>
        </is>
      </c>
      <c r="DG1135" s="24" t="n"/>
      <c r="DH1135" s="24" t="n"/>
      <c r="DI1135" s="24" t="n"/>
      <c r="DJ1135" s="24" t="inlineStr">
        <is>
          <t>0.78022</t>
        </is>
      </c>
      <c r="DK1135" s="24" t="n"/>
      <c r="DL1135" s="24" t="n"/>
      <c r="DM1135" s="24" t="n"/>
      <c r="DN1135" s="24" t="n"/>
      <c r="DO1135" s="24" t="n"/>
      <c r="DP1135" s="24" t="n"/>
      <c r="DQ1135" s="24" t="inlineStr">
        <is>
          <t>{"artifact_hash": "6c67e999d2a03612e30f4032c8e5e77e8becfbc79e05f4c8993e726b90d34d54", "away_team": "Carol Young Suh Lee", "event_id": "1022-2026:183945", "event_start_utc": "2026-09-22T13:00Z", "features": {"elo_p1_surface": 1541.8, "elo_p2_surface": 1490.3, "expected_games_p1": 13.33, "expected_games_p2": 10.72, "expected_total_games": 24.05, "history_matches": 16242, "min_player_matches": 37, "surface": "Hard"}, "historical_source_observation_times_verified": false, "home_team": "Harmony Tan", "inference_inputs": {"code_sha256": {"features/elo_ratings.py": "8525faf022a6343c452286dbfeb17dbb043744c6bdabbe448b6b371216da439b", "models/tennis.py": "6c67e999d2a03612e30f4032c8e5e77e8becfbc79e05f4c8993e726b90d34d54"}, "overall_ratings": [1519.6373090948357, 1532.0435292313332], "players": ["Carol Young Suh Lee", "Harmony Tan"], "sport": "TENNIS", "surface": "Hard", "surface_counts": [33, 29], "surface_ratings": [1541.7500488752544, 1490.3424793266283]}, "market_type": "moneyline", "model_version": "tennis-surface-elo-v1", "observed_at_utc": "2026-09-22T10:08:39.270756+00:00", "probabilities": {"away": 0.5343, "home": 0.4657}, "replay_scope": "Exact full-precision serving state and rounding; upstream historical observation times are not certified.", "schema": "coded-moneyline-replay-v1", "snapshot_hash": "e72159cca8c2a68485482b3a22893852b0c61058912d4ca51bfc07e7ecc165d1", "sport": "TENNIS"}</t>
        </is>
      </c>
    </row>
    <row r="1136" ht="36" customHeight="1">
      <c r="A1136" s="24" t="inlineStr">
        <is>
          <t>4ab4ef13f5c54e74</t>
        </is>
      </c>
      <c r="B1136" s="24" t="inlineStr">
        <is>
          <t>2026-09-22T10:08:40.309658Z</t>
        </is>
      </c>
      <c r="C1136" s="24" t="inlineStr">
        <is>
          <t>2026-09-22T14:00Z</t>
        </is>
      </c>
      <c r="D1136" s="24" t="inlineStr">
        <is>
          <t>1077-2026:183993</t>
        </is>
      </c>
      <c r="E1136" s="24" t="inlineStr">
        <is>
          <t>TENNIS</t>
        </is>
      </c>
      <c r="F1136" s="24" t="inlineStr">
        <is>
          <t>Cagla Buyukakcay</t>
        </is>
      </c>
      <c r="G1136" s="24" t="inlineStr">
        <is>
          <t>Katarina Kuzmova</t>
        </is>
      </c>
      <c r="H1136" s="24" t="inlineStr">
        <is>
          <t>moneyline</t>
        </is>
      </c>
      <c r="I1136" s="24" t="inlineStr">
        <is>
          <t>home</t>
        </is>
      </c>
      <c r="J1136" s="25" t="n"/>
      <c r="K1136" s="24" t="inlineStr">
        <is>
          <t>polymarket_us</t>
        </is>
      </c>
      <c r="L1136" s="26" t="n">
        <v>-456</v>
      </c>
      <c r="M1136" s="27" t="n">
        <v>1.219298</v>
      </c>
      <c r="N1136" s="28" t="n">
        <v>0.820144</v>
      </c>
      <c r="O1136" s="28" t="n">
        <v>0.6467000000000001</v>
      </c>
      <c r="P1136" s="28" t="n">
        <v>0.05</v>
      </c>
      <c r="Q1136" s="28" t="n">
        <v>-0.173444</v>
      </c>
      <c r="R1136" s="26" t="n">
        <v>0</v>
      </c>
      <c r="S1136" s="29" t="n">
        <v>1</v>
      </c>
      <c r="T1136" s="24" t="inlineStr">
        <is>
          <t>tennis-surface-elo-v1</t>
        </is>
      </c>
      <c r="U1136" s="24" t="inlineStr">
        <is>
          <t>settled</t>
        </is>
      </c>
      <c r="V1136" s="24" t="inlineStr">
        <is>
          <t>loss</t>
        </is>
      </c>
      <c r="W1136" s="26" t="n">
        <v>1</v>
      </c>
      <c r="X1136" s="26" t="n">
        <v>0</v>
      </c>
      <c r="Y1136" s="25" t="n"/>
      <c r="Z1136" s="26" t="n">
        <v>-456</v>
      </c>
      <c r="AA1136" s="28" t="n">
        <v>0.82</v>
      </c>
      <c r="AB1136" s="28" t="n">
        <v>-0.000144</v>
      </c>
      <c r="AC1136" s="30" t="n">
        <v>-1</v>
      </c>
      <c r="AD1136" s="24" t="inlineStr">
        <is>
          <t>2026-09-23T04:31:12.500589Z</t>
        </is>
      </c>
      <c r="AE1136" s="31" t="inlineStr">
        <is>
          <t>Surface-blended Elo on Hard: Cagla Buyukakcay p=0.353 vs Katarina Kuzmova. Executable ask 0.8200 (aec-wta-katkuz-cagbuy-2026-09-21).</t>
        </is>
      </c>
      <c r="AF1136" s="31" t="inlineStr">
        <is>
          <t>Surface-blended Elo model; singles only, WTA+ATP market coverage, not yet locked-holdout qualified -- promoted by explicit operator directive, not genuine walk-forward validation.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Cagla Buyukakcay</t>
        </is>
      </c>
      <c r="AQ1136" s="24" t="inlineStr">
        <is>
          <t>Cagla Buyukakcay</t>
        </is>
      </c>
      <c r="AR1136" s="24" t="inlineStr">
        <is>
          <t>Cagla Buyukakcay</t>
        </is>
      </c>
      <c r="AS1136" s="24" t="inlineStr">
        <is>
          <t>Katarina Kuzmova</t>
        </is>
      </c>
      <c r="AT1136" s="24" t="inlineStr">
        <is>
          <t>Katarina Kuzmova</t>
        </is>
      </c>
      <c r="AU1136" s="24" t="inlineStr">
        <is>
          <t>Katarina Kuzmova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shadow_qualified</t>
        </is>
      </c>
      <c r="BA1136" s="24" t="inlineStr">
        <is>
          <t>6c67e999d2a03612e30f4032c8e5e77e8becfbc79e05f4c8993e726b90d34d54</t>
        </is>
      </c>
      <c r="BB1136" s="24" t="inlineStr">
        <is>
          <t>surface_blended_elo</t>
        </is>
      </c>
      <c r="BC1136" s="24" t="inlineStr">
        <is>
          <t>tennis-surface-elo-v1</t>
        </is>
      </c>
      <c r="BD1136" s="24" t="inlineStr">
        <is>
          <t>6c67e999d2a03612e30f4032c8e5e77e8becfbc79e05f4c8993e726b90d34d54</t>
        </is>
      </c>
      <c r="BE1136" s="24" t="inlineStr">
        <is>
          <t>tennis-surface-elo-v1</t>
        </is>
      </c>
      <c r="BF1136" s="24" t="inlineStr">
        <is>
          <t>1</t>
        </is>
      </c>
      <c r="BG1136" s="24" t="inlineStr">
        <is>
          <t>6c67e999d2a03612e30f4032c8e5e77e8becfbc79e05f4c8993e726b90d34d54</t>
        </is>
      </c>
      <c r="BH1136" s="24" t="inlineStr">
        <is>
          <t>2026-09-21T04:07:16.648110Z</t>
        </is>
      </c>
      <c r="BI1136" s="24" t="inlineStr">
        <is>
          <t>["same_event","same_team_same_day","same_league_same_day"]</t>
        </is>
      </c>
      <c r="BJ1136" s="25" t="n"/>
      <c r="BK1136" s="26" t="n">
        <v>-456</v>
      </c>
      <c r="BL1136" s="27" t="n">
        <v>1.219298</v>
      </c>
      <c r="BM1136" s="28" t="n">
        <v>0.820144</v>
      </c>
      <c r="BN1136" s="28" t="n"/>
      <c r="BO1136" s="28" t="n"/>
      <c r="BP1136" s="25" t="n"/>
      <c r="BQ1136" s="27" t="n">
        <v>1.219298</v>
      </c>
      <c r="BR1136" s="28" t="n">
        <v>0.82</v>
      </c>
      <c r="BS1136" s="28" t="n"/>
      <c r="BT1136" s="28" t="n"/>
      <c r="BU1136" s="25" t="n"/>
      <c r="BV1136" s="29" t="n"/>
      <c r="BW1136" s="24" t="n"/>
      <c r="BX1136" s="30" t="n"/>
      <c r="BY1136" s="27" t="n"/>
      <c r="BZ1136" s="24" t="n"/>
      <c r="CA1136" s="31" t="n"/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n"/>
      <c r="CU1136" s="24" t="n"/>
      <c r="CV1136" s="24" t="n"/>
      <c r="CW1136" s="24" t="n"/>
      <c r="CX1136" s="24" t="n"/>
      <c r="CY1136" s="24" t="n"/>
      <c r="CZ1136" s="24" t="n"/>
      <c r="DA1136" s="24" t="n"/>
      <c r="DB1136" s="24" t="n"/>
      <c r="DC1136" s="24" t="n"/>
      <c r="DD1136" s="24" t="inlineStr">
        <is>
          <t>e0668ff3dd471cdf9d845eeb1379b75eb8ccbbe8cad04d80b79fee0f307fc19a</t>
        </is>
      </c>
      <c r="DE1136" s="24" t="inlineStr">
        <is>
          <t>/Users/vincentc9002/model-prediction/data/odds/tennis/2026-09-22/polymarket_snapshots.jsonl</t>
        </is>
      </c>
      <c r="DF1136" s="24" t="inlineStr">
        <is>
          <t>967215:2026-09-21T04:07:16.648110Z</t>
        </is>
      </c>
      <c r="DG1136" s="24" t="n"/>
      <c r="DH1136" s="24" t="n"/>
      <c r="DI1136" s="24" t="n"/>
      <c r="DJ1136" s="24" t="inlineStr">
        <is>
          <t>0.820144</t>
        </is>
      </c>
      <c r="DK1136" s="24" t="n"/>
      <c r="DL1136" s="24" t="n"/>
      <c r="DM1136" s="24" t="n"/>
      <c r="DN1136" s="24" t="n"/>
      <c r="DO1136" s="24" t="n"/>
      <c r="DP1136" s="24" t="n"/>
      <c r="DQ1136" s="24" t="inlineStr">
        <is>
          <t>{"artifact_hash": "6c67e999d2a03612e30f4032c8e5e77e8becfbc79e05f4c8993e726b90d34d54", "away_team": "Cagla Buyukakcay", "event_id": "1077-2026:183993", "event_start_utc": "2026-09-22T14:00Z", "features": {"elo_p1_surface": 1394.9, "elo_p2_surface": 1497.2, "expected_games_p1": 9.39, "expected_games_p2": 13.28, "expected_total_games": 22.67, "history_matches": 16242, "min_player_matches": 2, "surface": "Hard"}, "historical_source_observation_times_verified": false, "home_team": "Katarina Kuzmova", "inference_inputs": {"code_sha256": {"features/elo_ratings.py": "8525faf022a6343c452286dbfeb17dbb043744c6bdabbe448b6b371216da439b", "models/tennis.py": "6c67e999d2a03612e30f4032c8e5e77e8becfbc79e05f4c8993e726b90d34d54"}, "overall_ratings": [1396.0728277724556, 1501.1387107122878], "players": ["Cagla Buyukakcay", "Katarina Kuzmova"], "sport": "TENNIS", "surface": "Hard", "surface_counts": [10, 2], "surface_ratings": [1394.9377513906063, 1497.1897287576137]}, "market_type": "moneyline", "model_version": "tennis-surface-elo-v1", "observed_at_utc": "2026-09-22T10:08:39.270756+00:00", "probabilities": {"away": 0.3533, "home": 0.6467}, "replay_scope": "Exact full-precision serving state and rounding; upstream historical observation times are not certified.", "schema": "coded-moneyline-replay-v1", "snapshot_hash": "ef2149bd2035d336d7b84af86104fa09574997300ff61fc9d6ee07eb0e51ee5f", "sport": "TENNIS"}</t>
        </is>
      </c>
    </row>
    <row r="1137" ht="36" customHeight="1">
      <c r="A1137" s="24" t="inlineStr">
        <is>
          <t>832485f75e0b4783</t>
        </is>
      </c>
      <c r="B1137" s="24" t="inlineStr">
        <is>
          <t>2026-09-22T10:08:40.309658Z</t>
        </is>
      </c>
      <c r="C1137" s="24" t="inlineStr">
        <is>
          <t>2026-09-22T16:00Z</t>
        </is>
      </c>
      <c r="D1137" s="24" t="inlineStr">
        <is>
          <t>1077-2026:183985</t>
        </is>
      </c>
      <c r="E1137" s="24" t="inlineStr">
        <is>
          <t>TENNIS</t>
        </is>
      </c>
      <c r="F1137" s="24" t="inlineStr">
        <is>
          <t>Deniz Dilek</t>
        </is>
      </c>
      <c r="G1137" s="24" t="inlineStr">
        <is>
          <t>Solana Sierra</t>
        </is>
      </c>
      <c r="H1137" s="24" t="inlineStr">
        <is>
          <t>moneyline</t>
        </is>
      </c>
      <c r="I1137" s="24" t="inlineStr">
        <is>
          <t>home</t>
        </is>
      </c>
      <c r="J1137" s="25" t="n"/>
      <c r="K1137" s="24" t="inlineStr">
        <is>
          <t>polymarket_us</t>
        </is>
      </c>
      <c r="L1137" s="26" t="n">
        <v>-567</v>
      </c>
      <c r="M1137" s="27" t="n">
        <v>1.176367</v>
      </c>
      <c r="N1137" s="28" t="n">
        <v>0.850075</v>
      </c>
      <c r="O1137" s="28" t="n">
        <v>0.5999</v>
      </c>
      <c r="P1137" s="28" t="n">
        <v>0.05</v>
      </c>
      <c r="Q1137" s="28" t="n">
        <v>-0.250175</v>
      </c>
      <c r="R1137" s="26" t="n">
        <v>0</v>
      </c>
      <c r="S1137" s="29" t="n">
        <v>1</v>
      </c>
      <c r="T1137" s="24" t="inlineStr">
        <is>
          <t>tennis-surface-elo-v1</t>
        </is>
      </c>
      <c r="U1137" s="24" t="inlineStr">
        <is>
          <t>settled</t>
        </is>
      </c>
      <c r="V1137" s="24" t="inlineStr">
        <is>
          <t>loss</t>
        </is>
      </c>
      <c r="W1137" s="26" t="n">
        <v>1</v>
      </c>
      <c r="X1137" s="26" t="n">
        <v>0</v>
      </c>
      <c r="Y1137" s="25" t="n"/>
      <c r="Z1137" s="26" t="n">
        <v>-567</v>
      </c>
      <c r="AA1137" s="28" t="n">
        <v>0.85</v>
      </c>
      <c r="AB1137" s="28" t="n">
        <v>-7.499999999999999e-05</v>
      </c>
      <c r="AC1137" s="30" t="n">
        <v>-1</v>
      </c>
      <c r="AD1137" s="24" t="inlineStr">
        <is>
          <t>2026-09-23T10:00:25.623821Z</t>
        </is>
      </c>
      <c r="AE1137" s="31" t="inlineStr">
        <is>
          <t>Surface-blended Elo on Hard: Deniz Dilek p=0.400 vs Solana Sierra. Executable ask 0.8500 (aec-wta-solsie-dendil-2026-09-21).</t>
        </is>
      </c>
      <c r="AF1137" s="31" t="inlineStr">
        <is>
          <t>Surface-blended Elo model; singles only, WTA+ATP market coverage, not yet locked-holdout qualified -- promoted by explicit operator directive, not genuine walk-forward validation.</t>
        </is>
      </c>
      <c r="AG1137" s="24" t="inlineStr">
        <is>
          <t>review_required</t>
        </is>
      </c>
      <c r="AH1137" s="24" t="n"/>
      <c r="AI1137" s="31" t="n"/>
      <c r="AJ1137" s="31" t="n"/>
      <c r="AK1137" s="24" t="inlineStr">
        <is>
          <t>paper_call</t>
        </is>
      </c>
      <c r="AL1137" s="26" t="n">
        <v>4</v>
      </c>
      <c r="AM1137" s="24" t="inlineStr">
        <is>
          <t>RESEARCH_OBSERVATION</t>
        </is>
      </c>
      <c r="AN1137" s="24" t="inlineStr">
        <is>
          <t>CALL</t>
        </is>
      </c>
      <c r="AO1137" s="24" t="inlineStr">
        <is>
          <t>PAPER_CALL_MODEL_UNVALIDATED</t>
        </is>
      </c>
      <c r="AP1137" s="24" t="inlineStr">
        <is>
          <t>Deniz Dilek</t>
        </is>
      </c>
      <c r="AQ1137" s="24" t="inlineStr">
        <is>
          <t>Deniz Dilek</t>
        </is>
      </c>
      <c r="AR1137" s="24" t="inlineStr">
        <is>
          <t>Deniz Dilek</t>
        </is>
      </c>
      <c r="AS1137" s="24" t="inlineStr">
        <is>
          <t>Solana Sierra</t>
        </is>
      </c>
      <c r="AT1137" s="24" t="inlineStr">
        <is>
          <t>Solana Sierra</t>
        </is>
      </c>
      <c r="AU1137" s="24" t="inlineStr">
        <is>
          <t>Solana Sierra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shadow_qualified</t>
        </is>
      </c>
      <c r="BA1137" s="24" t="inlineStr">
        <is>
          <t>6c67e999d2a03612e30f4032c8e5e77e8becfbc79e05f4c8993e726b90d34d54</t>
        </is>
      </c>
      <c r="BB1137" s="24" t="inlineStr">
        <is>
          <t>surface_blended_elo</t>
        </is>
      </c>
      <c r="BC1137" s="24" t="inlineStr">
        <is>
          <t>tennis-surface-elo-v1</t>
        </is>
      </c>
      <c r="BD1137" s="24" t="inlineStr">
        <is>
          <t>6c67e999d2a03612e30f4032c8e5e77e8becfbc79e05f4c8993e726b90d34d54</t>
        </is>
      </c>
      <c r="BE1137" s="24" t="inlineStr">
        <is>
          <t>tennis-surface-elo-v1</t>
        </is>
      </c>
      <c r="BF1137" s="24" t="inlineStr">
        <is>
          <t>1</t>
        </is>
      </c>
      <c r="BG1137" s="24" t="inlineStr">
        <is>
          <t>6c67e999d2a03612e30f4032c8e5e77e8becfbc79e05f4c8993e726b90d34d54</t>
        </is>
      </c>
      <c r="BH1137" s="24" t="inlineStr">
        <is>
          <t>2026-09-21T04:07:16.646752Z</t>
        </is>
      </c>
      <c r="BI1137" s="24" t="inlineStr">
        <is>
          <t>["same_event","same_team_same_day","same_league_same_day"]</t>
        </is>
      </c>
      <c r="BJ1137" s="25" t="n"/>
      <c r="BK1137" s="26" t="n">
        <v>-567</v>
      </c>
      <c r="BL1137" s="27" t="n">
        <v>1.176367</v>
      </c>
      <c r="BM1137" s="28" t="n">
        <v>0.850075</v>
      </c>
      <c r="BN1137" s="28" t="n"/>
      <c r="BO1137" s="28" t="n"/>
      <c r="BP1137" s="25" t="n"/>
      <c r="BQ1137" s="27" t="n">
        <v>1.176367</v>
      </c>
      <c r="BR1137" s="28" t="n">
        <v>0.85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n"/>
      <c r="CU1137" s="24" t="n"/>
      <c r="CV1137" s="24" t="n"/>
      <c r="CW1137" s="24" t="n"/>
      <c r="CX1137" s="24" t="n"/>
      <c r="CY1137" s="24" t="n"/>
      <c r="CZ1137" s="24" t="n"/>
      <c r="DA1137" s="24" t="n"/>
      <c r="DB1137" s="24" t="n"/>
      <c r="DC1137" s="24" t="n"/>
      <c r="DD1137" s="24" t="inlineStr">
        <is>
          <t>c802833931f16037202c9cd7d979774ab9febb82973ec3cb75d6a7c154fe8ecc</t>
        </is>
      </c>
      <c r="DE1137" s="24" t="inlineStr">
        <is>
          <t>/Users/vincentc9002/model-prediction/data/odds/tennis/2026-09-22/polymarket_snapshots.jsonl</t>
        </is>
      </c>
      <c r="DF1137" s="24" t="inlineStr">
        <is>
          <t>967214:2026-09-21T04:07:16.646752Z</t>
        </is>
      </c>
      <c r="DG1137" s="24" t="n"/>
      <c r="DH1137" s="24" t="n"/>
      <c r="DI1137" s="24" t="n"/>
      <c r="DJ1137" s="24" t="inlineStr">
        <is>
          <t>0.850075</t>
        </is>
      </c>
      <c r="DK1137" s="24" t="n"/>
      <c r="DL1137" s="24" t="n"/>
      <c r="DM1137" s="24" t="n"/>
      <c r="DN1137" s="24" t="n"/>
      <c r="DO1137" s="24" t="n"/>
      <c r="DP1137" s="24" t="n"/>
      <c r="DQ1137" s="24" t="inlineStr">
        <is>
          <t>{"artifact_hash": "6c67e999d2a03612e30f4032c8e5e77e8becfbc79e05f4c8993e726b90d34d54", "away_team": "Deniz Dilek", "event_id": "1077-2026:183985", "event_start_utc": "2026-09-22T16:00Z", "features": {"elo_p1_surface": 1468.1, "elo_p2_surface": 1506.1, "expected_games_p1": 11.55, "expected_games_p2": 12.94, "expected_total_games": 24.49, "history_matches": 16242, "min_player_matches": 2, "surface": "Hard"}, "historical_source_observation_times_verified": false, "home_team": "Solana Sierra", "inference_inputs": {"code_sha256": {"features/elo_ratings.py": "8525faf022a6343c452286dbfeb17dbb043744c6bdabbe448b6b371216da439b", "models/tennis.py": "6c67e999d2a03612e30f4032c8e5e77e8becfbc79e05f4c8993e726b90d34d54"}, "overall_ratings": [1468.2073488632436, 1616.0832660002077], "players": ["Deniz Dilek", "Solana Sierra"], "sport": "TENNIS", "surface": "Hard", "surface_counts": [2, 73], "surface_ratings": [1468.0534584878687, 1506.144674835065]}, "market_type": "moneyline", "model_version": "tennis-surface-elo-v1", "observed_at_utc": "2026-09-22T10:08:39.270756+00:00", "probabilities": {"away": 0.4001, "home": 0.5999}, "replay_scope": "Exact full-precision serving state and rounding; upstream historical observation times are not certified.", "schema": "coded-moneyline-replay-v1", "snapshot_hash": "0ce11451b12eaf42ea6ac522d92f794bb768bbc743c028dec36fb8c6de8d2085", "sport": "TENNIS"}</t>
        </is>
      </c>
    </row>
    <row r="1138" ht="36" customHeight="1">
      <c r="A1138" s="24" t="inlineStr">
        <is>
          <t>af35e7ce966f4a9c</t>
        </is>
      </c>
      <c r="B1138" s="24" t="inlineStr">
        <is>
          <t>2026-09-22T16:07:40.015308Z</t>
        </is>
      </c>
      <c r="C1138" s="24" t="inlineStr">
        <is>
          <t>2026-09-22T18:00Z</t>
        </is>
      </c>
      <c r="D1138" s="24" t="inlineStr">
        <is>
          <t>1019-2026:183883</t>
        </is>
      </c>
      <c r="E1138" s="24" t="inlineStr">
        <is>
          <t>TENNIS</t>
        </is>
      </c>
      <c r="F1138" s="24" t="inlineStr">
        <is>
          <t>Julia Grabher</t>
        </is>
      </c>
      <c r="G1138" s="24" t="inlineStr">
        <is>
          <t>Jennifer Ruggeri</t>
        </is>
      </c>
      <c r="H1138" s="24" t="inlineStr">
        <is>
          <t>moneyline</t>
        </is>
      </c>
      <c r="I1138" s="24" t="inlineStr">
        <is>
          <t>away</t>
        </is>
      </c>
      <c r="J1138" s="25" t="n"/>
      <c r="K1138" s="24" t="inlineStr">
        <is>
          <t>polymarket_us</t>
        </is>
      </c>
      <c r="L1138" s="26" t="n">
        <v>-213</v>
      </c>
      <c r="M1138" s="27" t="n">
        <v>1.469484</v>
      </c>
      <c r="N1138" s="28" t="n">
        <v>0.680511</v>
      </c>
      <c r="O1138" s="28" t="n">
        <v>0.6785</v>
      </c>
      <c r="P1138" s="28" t="n">
        <v>0.05</v>
      </c>
      <c r="Q1138" s="28" t="n">
        <v>-0.002011</v>
      </c>
      <c r="R1138" s="26" t="n">
        <v>19</v>
      </c>
      <c r="S1138" s="29" t="n">
        <v>1</v>
      </c>
      <c r="T1138" s="24" t="inlineStr">
        <is>
          <t>tennis-surface-elo-v1</t>
        </is>
      </c>
      <c r="U1138" s="24" t="inlineStr">
        <is>
          <t>settled</t>
        </is>
      </c>
      <c r="V1138" s="24" t="inlineStr">
        <is>
          <t>win</t>
        </is>
      </c>
      <c r="W1138" s="26" t="n">
        <v>1</v>
      </c>
      <c r="X1138" s="26" t="n">
        <v>0</v>
      </c>
      <c r="Y1138" s="25" t="n"/>
      <c r="Z1138" s="26" t="n">
        <v>-213</v>
      </c>
      <c r="AA1138" s="28" t="n">
        <v>0.68</v>
      </c>
      <c r="AB1138" s="28" t="n">
        <v>-0.000511</v>
      </c>
      <c r="AC1138" s="30" t="n">
        <v>0.4695</v>
      </c>
      <c r="AD1138" s="24" t="inlineStr">
        <is>
          <t>2026-09-23T04:31:48.043554Z</t>
        </is>
      </c>
      <c r="AE1138" s="31" t="inlineStr">
        <is>
          <t>Surface-blended Elo on Hard: Julia Grabher p=0.678 vs Jennifer Ruggeri. Executable ask 0.6800 (aec-wta-jenrug-julgra-2026-09-21).</t>
        </is>
      </c>
      <c r="AF1138" s="31" t="inlineStr">
        <is>
          <t>Surface-blended Elo model; singles only, WTA+ATP market coverage, not yet locked-holdout qualified -- promoted by explicit operator directive, not genuine walk-forward validation.</t>
        </is>
      </c>
      <c r="AG1138" s="24" t="inlineStr">
        <is>
          <t>not_applicable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PAPER_CALL_LOW_EDGE</t>
        </is>
      </c>
      <c r="AP1138" s="24" t="inlineStr">
        <is>
          <t>Julia Grabher</t>
        </is>
      </c>
      <c r="AQ1138" s="24" t="inlineStr">
        <is>
          <t>Julia Grabher</t>
        </is>
      </c>
      <c r="AR1138" s="24" t="inlineStr">
        <is>
          <t>Julia Grabher</t>
        </is>
      </c>
      <c r="AS1138" s="24" t="inlineStr">
        <is>
          <t>Jennifer Ruggeri</t>
        </is>
      </c>
      <c r="AT1138" s="24" t="inlineStr">
        <is>
          <t>Jennifer Ruggeri</t>
        </is>
      </c>
      <c r="AU1138" s="24" t="inlineStr">
        <is>
          <t>Jennifer Ruggeri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shadow_qualified</t>
        </is>
      </c>
      <c r="BA1138" s="24" t="inlineStr">
        <is>
          <t>6c67e999d2a03612e30f4032c8e5e77e8becfbc79e05f4c8993e726b90d34d54</t>
        </is>
      </c>
      <c r="BB1138" s="24" t="inlineStr">
        <is>
          <t>surface_blended_elo</t>
        </is>
      </c>
      <c r="BC1138" s="24" t="inlineStr">
        <is>
          <t>tennis-surface-elo-v1</t>
        </is>
      </c>
      <c r="BD1138" s="24" t="inlineStr">
        <is>
          <t>6c67e999d2a03612e30f4032c8e5e77e8becfbc79e05f4c8993e726b90d34d54</t>
        </is>
      </c>
      <c r="BE1138" s="24" t="inlineStr">
        <is>
          <t>tennis-surface-elo-v1</t>
        </is>
      </c>
      <c r="BF1138" s="24" t="inlineStr">
        <is>
          <t>1</t>
        </is>
      </c>
      <c r="BG1138" s="24" t="inlineStr">
        <is>
          <t>6c67e999d2a03612e30f4032c8e5e77e8becfbc79e05f4c8993e726b90d34d54</t>
        </is>
      </c>
      <c r="BH1138" s="24" t="inlineStr">
        <is>
          <t>2026-09-22T10:04:57.096691Z</t>
        </is>
      </c>
      <c r="BI1138" s="24" t="inlineStr">
        <is>
          <t>["same_event","same_team_same_day","same_league_same_day"]</t>
        </is>
      </c>
      <c r="BJ1138" s="25" t="n"/>
      <c r="BK1138" s="26" t="n">
        <v>-213</v>
      </c>
      <c r="BL1138" s="27" t="n">
        <v>1.469484</v>
      </c>
      <c r="BM1138" s="28" t="n">
        <v>0.680511</v>
      </c>
      <c r="BN1138" s="28" t="n"/>
      <c r="BO1138" s="28" t="n"/>
      <c r="BP1138" s="25" t="n"/>
      <c r="BQ1138" s="27" t="n">
        <v>1.469484</v>
      </c>
      <c r="BR1138" s="28" t="n">
        <v>0.68</v>
      </c>
      <c r="BS1138" s="28" t="n"/>
      <c r="BT1138" s="28" t="n"/>
      <c r="BU1138" s="25" t="n"/>
      <c r="BV1138" s="29" t="n"/>
      <c r="BW1138" s="24" t="n"/>
      <c r="BX1138" s="30" t="n"/>
      <c r="BY1138" s="27" t="n"/>
      <c r="BZ1138" s="24" t="n"/>
      <c r="CA1138" s="31" t="n"/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False</t>
        </is>
      </c>
      <c r="CT1138" s="24" t="n"/>
      <c r="CU1138" s="24" t="n"/>
      <c r="CV1138" s="24" t="n"/>
      <c r="CW1138" s="24" t="n"/>
      <c r="CX1138" s="24" t="n"/>
      <c r="CY1138" s="24" t="n"/>
      <c r="CZ1138" s="24" t="n"/>
      <c r="DA1138" s="24" t="n"/>
      <c r="DB1138" s="24" t="n"/>
      <c r="DC1138" s="24" t="n"/>
      <c r="DD1138" s="24" t="inlineStr">
        <is>
          <t>28a1d3075d2e29e5dbed1c0daae48173e46fd07293f0862201e42261a5b0f40c</t>
        </is>
      </c>
      <c r="DE1138" s="24" t="inlineStr">
        <is>
          <t>/Users/vincentc9002/model-prediction/data/odds/tennis/2026-09-22/polymarket_snapshots.jsonl</t>
        </is>
      </c>
      <c r="DF1138" s="24" t="inlineStr">
        <is>
          <t>970453:2026-09-22T10:04:57.096691Z</t>
        </is>
      </c>
      <c r="DG1138" s="24" t="n"/>
      <c r="DH1138" s="24" t="n"/>
      <c r="DI1138" s="24" t="n"/>
      <c r="DJ1138" s="24" t="inlineStr">
        <is>
          <t>0.680511</t>
        </is>
      </c>
      <c r="DK1138" s="24" t="n"/>
      <c r="DL1138" s="24" t="n"/>
      <c r="DM1138" s="24" t="n"/>
      <c r="DN1138" s="24" t="n"/>
      <c r="DO1138" s="24" t="n"/>
      <c r="DP1138" s="24" t="n"/>
      <c r="DQ1138" s="24" t="inlineStr">
        <is>
          <t>{"artifact_hash": "6c67e999d2a03612e30f4032c8e5e77e8becfbc79e05f4c8993e726b90d34d54", "away_team": "Julia Grabher", "event_id": "1019-2026:183883", "event_start_utc": "2026-09-22T18:00Z", "features": {"elo_p1_surface": 1570.1, "elo_p2_surface": 1438.3, "expected_games_p1": 13.28, "expected_games_p2": 7.89, "expected_total_games": 21.18, "history_matches": 16242, "min_player_matches": 18, "surface": "Hard"}, "historical_source_observation_times_verified": false, "home_team": "Jennifer Ruggeri", "inference_inputs": {"code_sha256": {"features/elo_ratings.py": "8525faf022a6343c452286dbfeb17dbb043744c6bdabbe448b6b371216da439b", "models/tennis.py": "6c67e999d2a03612e30f4032c8e5e77e8becfbc79e05f4c8993e726b90d34d54"}, "overall_ratings": [1580.6533836477195, 1446.6283545409774], "players": ["Julia Grabher", "Jennifer Ruggeri"], "sport": "TENNIS", "surface": "Hard", "surface_counts": [66, 11], "surface_ratings": [1570.116453548633, 1438.2692450418788]}, "market_type": "moneyline", "model_version": "tennis-surface-elo-v1", "observed_at_utc": "2026-09-22T16:07:38.452068+00:00", "probabilities": {"away": 0.6785, "home": 0.3215}, "replay_scope": "Exact full-precision serving state and rounding; upstream historical observation times are not certified.", "schema": "coded-moneyline-replay-v1", "snapshot_hash": "9eaea851239b99f4557f6448340447e5378546911ec3eabdb980811a47691151", "sport": "TENNIS"}</t>
        </is>
      </c>
    </row>
    <row r="1139" ht="36" customHeight="1">
      <c r="A1139" s="24" t="inlineStr">
        <is>
          <t>602884e9a9f140b5</t>
        </is>
      </c>
      <c r="B1139" s="24" t="inlineStr">
        <is>
          <t>2026-09-23T04:42:53.056641Z</t>
        </is>
      </c>
      <c r="C1139" s="24" t="inlineStr">
        <is>
          <t>2026-09-23T05:00Z</t>
        </is>
      </c>
      <c r="D1139" s="24" t="inlineStr">
        <is>
          <t>1009-2026:184098</t>
        </is>
      </c>
      <c r="E1139" s="24" t="inlineStr">
        <is>
          <t>TENNIS</t>
        </is>
      </c>
      <c r="F1139" s="24" t="inlineStr">
        <is>
          <t>Maja Chwalinska</t>
        </is>
      </c>
      <c r="G1139" s="24" t="inlineStr">
        <is>
          <t>Oleksandra Oliynykova</t>
        </is>
      </c>
      <c r="H1139" s="24" t="inlineStr">
        <is>
          <t>moneyline</t>
        </is>
      </c>
      <c r="I1139" s="24" t="inlineStr">
        <is>
          <t>home</t>
        </is>
      </c>
      <c r="J1139" s="25" t="n"/>
      <c r="K1139" s="24" t="inlineStr">
        <is>
          <t>polymarket_us</t>
        </is>
      </c>
      <c r="L1139" s="26" t="n">
        <v>194</v>
      </c>
      <c r="M1139" s="27" t="n">
        <v>2.94</v>
      </c>
      <c r="N1139" s="28" t="n">
        <v>0.340136</v>
      </c>
      <c r="O1139" s="28" t="n">
        <v>0.5086000000000001</v>
      </c>
      <c r="P1139" s="28" t="n">
        <v>0.05</v>
      </c>
      <c r="Q1139" s="28" t="n">
        <v>0.168464</v>
      </c>
      <c r="R1139" s="26" t="n">
        <v>100</v>
      </c>
      <c r="S1139" s="29" t="n">
        <v>1.75</v>
      </c>
      <c r="T1139" s="24" t="inlineStr">
        <is>
          <t>tennis-surface-elo-v1</t>
        </is>
      </c>
      <c r="U1139" s="24" t="inlineStr">
        <is>
          <t>settled</t>
        </is>
      </c>
      <c r="V1139" s="24" t="inlineStr">
        <is>
          <t>loss</t>
        </is>
      </c>
      <c r="W1139" s="26" t="n">
        <v>1</v>
      </c>
      <c r="X1139" s="26" t="n">
        <v>0</v>
      </c>
      <c r="Y1139" s="25" t="n"/>
      <c r="Z1139" s="26" t="n">
        <v>194</v>
      </c>
      <c r="AA1139" s="28" t="n">
        <v>0.34</v>
      </c>
      <c r="AB1139" s="28" t="n">
        <v>-0.000136</v>
      </c>
      <c r="AC1139" s="30" t="n">
        <v>-1.75</v>
      </c>
      <c r="AD1139" s="24" t="inlineStr">
        <is>
          <t>2026-09-23T10:00:32.583823Z</t>
        </is>
      </c>
      <c r="AE1139" s="31" t="inlineStr">
        <is>
          <t>Surface-blended Elo on Hard: Maja Chwalinska p=0.491 vs Oleksandra Oliynykova. Executable ask 0.3400 (aec-wta-oleoli-majchw-2026-09-22).</t>
        </is>
      </c>
      <c r="AF1139" s="31" t="inlineStr">
        <is>
          <t>Surface-blended Elo model; singles only, WTA+ATP market coverage, not yet locked-holdout qualified -- promoted by explicit operator directive, not genuine walk-forward validation.</t>
        </is>
      </c>
      <c r="AG1139" s="24" t="inlineStr">
        <is>
          <t>review_required</t>
        </is>
      </c>
      <c r="AH1139" s="24" t="n"/>
      <c r="AI1139" s="31" t="n"/>
      <c r="AJ1139" s="31" t="n"/>
      <c r="AK1139" s="24" t="inlineStr">
        <is>
          <t>paper_call</t>
        </is>
      </c>
      <c r="AL1139" s="26" t="n">
        <v>4</v>
      </c>
      <c r="AM1139" s="24" t="inlineStr">
        <is>
          <t>RESEARCH_OBSERVATION</t>
        </is>
      </c>
      <c r="AN1139" s="24" t="inlineStr">
        <is>
          <t>CALL</t>
        </is>
      </c>
      <c r="AO1139" s="24" t="inlineStr">
        <is>
          <t>PAPER_CALL_LOW_EDGE</t>
        </is>
      </c>
      <c r="AP1139" s="24" t="inlineStr">
        <is>
          <t>Maja Chwalinska</t>
        </is>
      </c>
      <c r="AQ1139" s="24" t="inlineStr">
        <is>
          <t>Maja Chwalinska</t>
        </is>
      </c>
      <c r="AR1139" s="24" t="inlineStr">
        <is>
          <t>Maja Chwalinska</t>
        </is>
      </c>
      <c r="AS1139" s="24" t="inlineStr">
        <is>
          <t>Oleksandra Oliynykova</t>
        </is>
      </c>
      <c r="AT1139" s="24" t="inlineStr">
        <is>
          <t>Oleksandra Oliynykova</t>
        </is>
      </c>
      <c r="AU1139" s="24" t="inlineStr">
        <is>
          <t>Oleksandra Oliynykova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shadow_qualified</t>
        </is>
      </c>
      <c r="BA1139" s="24" t="inlineStr">
        <is>
          <t>6c67e999d2a03612e30f4032c8e5e77e8becfbc79e05f4c8993e726b90d34d54</t>
        </is>
      </c>
      <c r="BB1139" s="24" t="inlineStr">
        <is>
          <t>surface_blended_elo</t>
        </is>
      </c>
      <c r="BC1139" s="24" t="inlineStr">
        <is>
          <t>tennis-surface-elo-v1</t>
        </is>
      </c>
      <c r="BD1139" s="24" t="inlineStr">
        <is>
          <t>6c67e999d2a03612e30f4032c8e5e77e8becfbc79e05f4c8993e726b90d34d54</t>
        </is>
      </c>
      <c r="BE1139" s="24" t="inlineStr">
        <is>
          <t>tennis-surface-elo-v1</t>
        </is>
      </c>
      <c r="BF1139" s="24" t="inlineStr">
        <is>
          <t>1</t>
        </is>
      </c>
      <c r="BG1139" s="24" t="inlineStr">
        <is>
          <t>6c67e999d2a03612e30f4032c8e5e77e8becfbc79e05f4c8993e726b90d34d54</t>
        </is>
      </c>
      <c r="BH1139" s="24" t="inlineStr">
        <is>
          <t>2026-09-22T12:28:52.566091Z</t>
        </is>
      </c>
      <c r="BI1139" s="24" t="inlineStr">
        <is>
          <t>["same_event","same_team_same_day","same_league_same_day"]</t>
        </is>
      </c>
      <c r="BJ1139" s="25" t="n"/>
      <c r="BK1139" s="26" t="n">
        <v>194</v>
      </c>
      <c r="BL1139" s="27" t="n">
        <v>2.94</v>
      </c>
      <c r="BM1139" s="28" t="n">
        <v>0.340136</v>
      </c>
      <c r="BN1139" s="28" t="n"/>
      <c r="BO1139" s="28" t="n"/>
      <c r="BP1139" s="25" t="n"/>
      <c r="BQ1139" s="27" t="n">
        <v>2.94</v>
      </c>
      <c r="BR1139" s="28" t="n">
        <v>0.34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n"/>
      <c r="CU1139" s="24" t="n"/>
      <c r="CV1139" s="24" t="n"/>
      <c r="CW1139" s="24" t="n"/>
      <c r="CX1139" s="24" t="n"/>
      <c r="CY1139" s="24" t="n"/>
      <c r="CZ1139" s="24" t="n"/>
      <c r="DA1139" s="24" t="n"/>
      <c r="DB1139" s="24" t="n"/>
      <c r="DC1139" s="24" t="n"/>
      <c r="DD1139" s="24" t="inlineStr">
        <is>
          <t>2493b8b03929df80f9fc3ac05b1e3ac5d0b6a5e250b5c024746c2f0ece19bbd7</t>
        </is>
      </c>
      <c r="DE1139" s="24" t="inlineStr">
        <is>
          <t>/Users/vincentc9002/model-prediction/data/odds/tennis/2026-09-23/polymarket_snapshots.jsonl</t>
        </is>
      </c>
      <c r="DF1139" s="24" t="inlineStr">
        <is>
          <t>996088:2026-09-22T12:28:52.566091Z</t>
        </is>
      </c>
      <c r="DG1139" s="24" t="n"/>
      <c r="DH1139" s="24" t="n"/>
      <c r="DI1139" s="24" t="n"/>
      <c r="DJ1139" s="24" t="inlineStr">
        <is>
          <t>0.340136</t>
        </is>
      </c>
      <c r="DK1139" s="24" t="n"/>
      <c r="DL1139" s="24" t="n"/>
      <c r="DM1139" s="24" t="n"/>
      <c r="DN1139" s="24" t="n"/>
      <c r="DO1139" s="24" t="n"/>
      <c r="DP1139" s="24" t="n"/>
      <c r="DQ1139" s="24" t="inlineStr">
        <is>
          <t>{"artifact_hash": "6c67e999d2a03612e30f4032c8e5e77e8becfbc79e05f4c8993e726b90d34d54", "away_team": "Maja Chwalinska", "event_id": "1009-2026:184098", "event_start_utc": "2026-09-23T05:00Z", "features": {"elo_p1_surface": 1647.3, "elo_p2_surface": 1665.5, "expected_games_p1": 12.11, "expected_games_p2": 12.62, "expected_total_games": 24.73, "history_matches": 16290, "min_player_matches": 89,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[1704.0207832754502, 1677.7582404028979], "players": ["Maja Chwalinska", "Oleksandra Oliynykova"], "sport": "TENNIS", "surface": "Hard", "surface_counts": [84, 74], "surface_ratings": [1647.2989104197536, 1665.4979588225112]}, "market_type": "moneyline", "model_version": "tennis-surface-elo-v1", "observed_at_utc": "2026-09-23T04:42:51.992084+00:00", "probabilities": {"away": 0.4914, "home": 0.5086}, "replay_scope": "Exact full-precision serving state and rounding; upstream historical observation times are not certified.", "schema": "coded-moneyline-replay-v1", "snapshot_hash": "de0848ef88fb2e736dbcf9943fe1f2dad3f49184c58305ab35e5a68367e655c3", "sport": "TENNIS"}</t>
        </is>
      </c>
    </row>
    <row r="1140" ht="36" customHeight="1">
      <c r="A1140" s="24" t="inlineStr">
        <is>
          <t>9313920fe4e94120</t>
        </is>
      </c>
      <c r="B1140" s="24" t="inlineStr">
        <is>
          <t>2026-09-23T04:42:53.056641Z</t>
        </is>
      </c>
      <c r="C1140" s="24" t="inlineStr">
        <is>
          <t>2026-09-23T05:30Z</t>
        </is>
      </c>
      <c r="D1140" s="24" t="inlineStr">
        <is>
          <t>1001-2026:186146</t>
        </is>
      </c>
      <c r="E1140" s="24" t="inlineStr">
        <is>
          <t>TENNIS</t>
        </is>
      </c>
      <c r="F1140" s="24" t="inlineStr">
        <is>
          <t>Sun Fajing</t>
        </is>
      </c>
      <c r="G1140" s="24" t="inlineStr">
        <is>
          <t>Bernard Tomic</t>
        </is>
      </c>
      <c r="H1140" s="24" t="inlineStr">
        <is>
          <t>moneyline</t>
        </is>
      </c>
      <c r="I1140" s="24" t="inlineStr">
        <is>
          <t>home</t>
        </is>
      </c>
      <c r="J1140" s="25" t="n"/>
      <c r="K1140" s="24" t="inlineStr">
        <is>
          <t>polymarket_us</t>
        </is>
      </c>
      <c r="L1140" s="26" t="n">
        <v>-186</v>
      </c>
      <c r="M1140" s="27" t="n">
        <v>1.537634</v>
      </c>
      <c r="N1140" s="28" t="n">
        <v>0.65035</v>
      </c>
      <c r="O1140" s="28" t="n">
        <v>0.5409</v>
      </c>
      <c r="P1140" s="28" t="n">
        <v>0.05</v>
      </c>
      <c r="Q1140" s="28" t="n">
        <v>-0.10945</v>
      </c>
      <c r="R1140" s="26" t="n">
        <v>0</v>
      </c>
      <c r="S1140" s="29" t="n">
        <v>1</v>
      </c>
      <c r="T1140" s="24" t="inlineStr">
        <is>
          <t>tennis-surface-elo-v1</t>
        </is>
      </c>
      <c r="U1140" s="24" t="inlineStr">
        <is>
          <t>settled</t>
        </is>
      </c>
      <c r="V1140" s="24" t="inlineStr">
        <is>
          <t>loss</t>
        </is>
      </c>
      <c r="W1140" s="26" t="n">
        <v>1</v>
      </c>
      <c r="X1140" s="26" t="n">
        <v>0</v>
      </c>
      <c r="Y1140" s="25" t="n"/>
      <c r="Z1140" s="26" t="n">
        <v>-186</v>
      </c>
      <c r="AA1140" s="28" t="n">
        <v>0.65</v>
      </c>
      <c r="AB1140" s="28" t="n">
        <v>-0.00035</v>
      </c>
      <c r="AC1140" s="30" t="n">
        <v>-1</v>
      </c>
      <c r="AD1140" s="24" t="inlineStr">
        <is>
          <t>2026-09-23T10:00:33.029541Z</t>
        </is>
      </c>
      <c r="AE1140" s="31" t="inlineStr">
        <is>
          <t>Surface-blended Elo on Hard: Sun Fajing p=0.459 vs Bernard Tomic. Executable ask 0.6500 (aec-atp-bertom-fajsun-2026-09-23).</t>
        </is>
      </c>
      <c r="AF1140" s="31" t="inlineStr">
        <is>
          <t>Surface-blended Elo model; singles only, WTA+ATP market coverage, not yet locked-holdout qualified -- promoted by explicit operator directive, not genuine walk-forward validation.</t>
        </is>
      </c>
      <c r="AG1140" s="24" t="inlineStr">
        <is>
          <t>review_required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PAPER_CALL_LOW_EDGE</t>
        </is>
      </c>
      <c r="AP1140" s="24" t="inlineStr">
        <is>
          <t>Sun Fajing</t>
        </is>
      </c>
      <c r="AQ1140" s="24" t="inlineStr">
        <is>
          <t>Sun Fajing</t>
        </is>
      </c>
      <c r="AR1140" s="24" t="inlineStr">
        <is>
          <t>Sun Fajing</t>
        </is>
      </c>
      <c r="AS1140" s="24" t="inlineStr">
        <is>
          <t>Bernard Tomic</t>
        </is>
      </c>
      <c r="AT1140" s="24" t="inlineStr">
        <is>
          <t>Bernard Tomic</t>
        </is>
      </c>
      <c r="AU1140" s="24" t="inlineStr">
        <is>
          <t>Bernard Tomic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shadow_qualified</t>
        </is>
      </c>
      <c r="BA1140" s="24" t="inlineStr">
        <is>
          <t>6c67e999d2a03612e30f4032c8e5e77e8becfbc79e05f4c8993e726b90d34d54</t>
        </is>
      </c>
      <c r="BB1140" s="24" t="inlineStr">
        <is>
          <t>surface_blended_elo</t>
        </is>
      </c>
      <c r="BC1140" s="24" t="inlineStr">
        <is>
          <t>tennis-surface-elo-v1</t>
        </is>
      </c>
      <c r="BD1140" s="24" t="inlineStr">
        <is>
          <t>6c67e999d2a03612e30f4032c8e5e77e8becfbc79e05f4c8993e726b90d34d54</t>
        </is>
      </c>
      <c r="BE1140" s="24" t="inlineStr">
        <is>
          <t>tennis-surface-elo-v1</t>
        </is>
      </c>
      <c r="BF1140" s="24" t="inlineStr">
        <is>
          <t>1</t>
        </is>
      </c>
      <c r="BG1140" s="24" t="inlineStr">
        <is>
          <t>6c67e999d2a03612e30f4032c8e5e77e8becfbc79e05f4c8993e726b90d34d54</t>
        </is>
      </c>
      <c r="BH1140" s="24" t="inlineStr">
        <is>
          <t>2026-09-23T04:38:14.718041Z</t>
        </is>
      </c>
      <c r="BI1140" s="24" t="inlineStr">
        <is>
          <t>["same_event","same_team_same_day","same_league_same_day"]</t>
        </is>
      </c>
      <c r="BJ1140" s="25" t="n"/>
      <c r="BK1140" s="26" t="n">
        <v>-186</v>
      </c>
      <c r="BL1140" s="27" t="n">
        <v>1.537634</v>
      </c>
      <c r="BM1140" s="28" t="n">
        <v>0.65035</v>
      </c>
      <c r="BN1140" s="28" t="n"/>
      <c r="BO1140" s="28" t="n"/>
      <c r="BP1140" s="25" t="n"/>
      <c r="BQ1140" s="27" t="n">
        <v>1.537634</v>
      </c>
      <c r="BR1140" s="28" t="n">
        <v>0.65</v>
      </c>
      <c r="BS1140" s="28" t="n"/>
      <c r="BT1140" s="28" t="n"/>
      <c r="BU1140" s="25" t="n"/>
      <c r="BV1140" s="29" t="n"/>
      <c r="BW1140" s="24" t="n"/>
      <c r="BX1140" s="30" t="n"/>
      <c r="BY1140" s="27" t="n"/>
      <c r="BZ1140" s="24" t="n"/>
      <c r="CA1140" s="31" t="n"/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False</t>
        </is>
      </c>
      <c r="CT1140" s="24" t="n"/>
      <c r="CU1140" s="24" t="n"/>
      <c r="CV1140" s="24" t="n"/>
      <c r="CW1140" s="24" t="n"/>
      <c r="CX1140" s="24" t="n"/>
      <c r="CY1140" s="24" t="n"/>
      <c r="CZ1140" s="24" t="n"/>
      <c r="DA1140" s="24" t="n"/>
      <c r="DB1140" s="24" t="n"/>
      <c r="DC1140" s="24" t="n"/>
      <c r="DD1140" s="24" t="inlineStr">
        <is>
          <t>89e464f9c613b5d79fb11679e510c64adc20f12a3930f873883119bcc01e9586</t>
        </is>
      </c>
      <c r="DE1140" s="24" t="inlineStr">
        <is>
          <t>/Users/vincentc9002/model-prediction/data/odds/tennis/2026-09-23/polymarket_snapshots.jsonl</t>
        </is>
      </c>
      <c r="DF1140" s="24" t="inlineStr">
        <is>
          <t>999462:2026-09-23T04:38:14.718041Z</t>
        </is>
      </c>
      <c r="DG1140" s="24" t="n"/>
      <c r="DH1140" s="24" t="n"/>
      <c r="DI1140" s="24" t="n"/>
      <c r="DJ1140" s="24" t="inlineStr">
        <is>
          <t>0.65035</t>
        </is>
      </c>
      <c r="DK1140" s="24" t="n"/>
      <c r="DL1140" s="24" t="n"/>
      <c r="DM1140" s="24" t="n"/>
      <c r="DN1140" s="24" t="n"/>
      <c r="DO1140" s="24" t="n"/>
      <c r="DP1140" s="24" t="n"/>
      <c r="DQ1140" s="24" t="inlineStr">
        <is>
          <t>{"artifact_hash": "6c67e999d2a03612e30f4032c8e5e77e8becfbc79e05f4c8993e726b90d34d54", "away_team": "Sun Fajing", "event_id": "1001-2026:186146", "event_start_utc": "2026-09-23T05:30Z", "features": {"elo_p1_surface": 1461.7, "elo_p2_surface": 1468.3, "expected_games_p1": 12.87, "expected_games_p2": 12.71, "expected_total_games": 25.58, "history_matches": 11225, "min_player_matches": 11, "surface": "Hard"}, "historical_source_observation_times_verified": false, "home_team": "Bernard Tomic", "inference_inputs": {"code_sha256": {"features/elo_ratings.py": "8525faf022a6343c452286dbfeb17dbb043744c6bdabbe448b6b371216da439b", "models/tennis.py": "6c67e999d2a03612e30f4032c8e5e77e8becfbc79e05f4c8993e726b90d34d54"}, "overall_ratings": [1438.620581160791, 1481.221919804332], "players": ["Sun Fajing", "Bernard Tomic"], "sport": "TENNIS", "surface": "Hard", "surface_counts": [9, 24], "surface_ratings": [1461.7454284975893, 1468.3235147752318]}, "market_type": "moneyline", "model_version": "tennis-surface-elo-v1", "observed_at_utc": "2026-09-23T04:42:51.992084+00:00", "probabilities": {"away": 0.4591, "home": 0.5409}, "replay_scope": "Exact full-precision serving state and rounding; upstream historical observation times are not certified.", "schema": "coded-moneyline-replay-v1", "snapshot_hash": "4b6b0fc2733f4e2c26dc58fddc6822d1d6e1ee32c2ad8b025748cbcc9b1a8398", "sport": "TENNIS"}</t>
        </is>
      </c>
    </row>
    <row r="1141" ht="36" customHeight="1">
      <c r="A1141" s="24" t="inlineStr">
        <is>
          <t>eab92e88e45e449d</t>
        </is>
      </c>
      <c r="B1141" s="24" t="inlineStr">
        <is>
          <t>2026-09-23T10:09:46.315666Z</t>
        </is>
      </c>
      <c r="C1141" s="24" t="inlineStr">
        <is>
          <t>2026-09-23T12:00Z</t>
        </is>
      </c>
      <c r="D1141" s="24" t="inlineStr">
        <is>
          <t>1009-2026:184094</t>
        </is>
      </c>
      <c r="E1141" s="24" t="inlineStr">
        <is>
          <t>TENNIS</t>
        </is>
      </c>
      <c r="F1141" s="24" t="inlineStr">
        <is>
          <t>Leylah Fernandez</t>
        </is>
      </c>
      <c r="G1141" s="24" t="inlineStr">
        <is>
          <t>Alycia Parks</t>
        </is>
      </c>
      <c r="H1141" s="24" t="inlineStr">
        <is>
          <t>moneyline</t>
        </is>
      </c>
      <c r="I1141" s="24" t="inlineStr">
        <is>
          <t>away</t>
        </is>
      </c>
      <c r="J1141" s="25" t="n"/>
      <c r="K1141" s="24" t="inlineStr">
        <is>
          <t>polymarket_us</t>
        </is>
      </c>
      <c r="L1141" s="26" t="n">
        <v>-317</v>
      </c>
      <c r="M1141" s="27" t="n">
        <v>1.315457</v>
      </c>
      <c r="N1141" s="28" t="n">
        <v>0.760192</v>
      </c>
      <c r="O1141" s="28" t="n">
        <v>0.6546999999999999</v>
      </c>
      <c r="P1141" s="28" t="n">
        <v>0.05</v>
      </c>
      <c r="Q1141" s="28" t="n">
        <v>-0.105492</v>
      </c>
      <c r="R1141" s="26" t="n">
        <v>0</v>
      </c>
      <c r="S1141" s="29" t="n">
        <v>1</v>
      </c>
      <c r="T1141" s="24" t="inlineStr">
        <is>
          <t>tennis-surface-elo-v1</t>
        </is>
      </c>
      <c r="U1141" s="24" t="inlineStr">
        <is>
          <t>settled</t>
        </is>
      </c>
      <c r="V1141" s="24" t="inlineStr">
        <is>
          <t>win</t>
        </is>
      </c>
      <c r="W1141" s="26" t="n">
        <v>1</v>
      </c>
      <c r="X1141" s="26" t="n">
        <v>0</v>
      </c>
      <c r="Y1141" s="25" t="n"/>
      <c r="Z1141" s="26" t="n">
        <v>-317</v>
      </c>
      <c r="AA1141" s="28" t="n">
        <v>0.76</v>
      </c>
      <c r="AB1141" s="28" t="n">
        <v>-0.000192</v>
      </c>
      <c r="AC1141" s="30" t="n">
        <v>0.3155</v>
      </c>
      <c r="AD1141" s="24" t="inlineStr">
        <is>
          <t>2026-09-23T16:05:59.709452Z</t>
        </is>
      </c>
      <c r="AE1141" s="31" t="inlineStr">
        <is>
          <t>Surface-blended Elo on Hard: Leylah Fernandez p=0.655 vs Alycia Parks. Executable ask 0.7600 (aec-wta-alypar-leyfer-2026-09-22).</t>
        </is>
      </c>
      <c r="AF1141" s="31" t="inlineStr">
        <is>
          <t>Surface-blended Elo model; singles only, WTA+ATP market coverage, not yet locked-holdout qualified -- promoted by explicit operator directive, not genuine walk-forward validation.</t>
        </is>
      </c>
      <c r="AG1141" s="24" t="inlineStr">
        <is>
          <t>not_applicable</t>
        </is>
      </c>
      <c r="AH1141" s="24" t="n"/>
      <c r="AI1141" s="31" t="n"/>
      <c r="AJ1141" s="31" t="n"/>
      <c r="AK1141" s="24" t="inlineStr">
        <is>
          <t>paper_call</t>
        </is>
      </c>
      <c r="AL1141" s="26" t="n">
        <v>4</v>
      </c>
      <c r="AM1141" s="24" t="inlineStr">
        <is>
          <t>RESEARCH_OBSERVATION</t>
        </is>
      </c>
      <c r="AN1141" s="24" t="inlineStr">
        <is>
          <t>CALL</t>
        </is>
      </c>
      <c r="AO1141" s="24" t="inlineStr">
        <is>
          <t>PAPER_CALL_LOW_EDGE</t>
        </is>
      </c>
      <c r="AP1141" s="24" t="inlineStr">
        <is>
          <t>Leylah Fernandez</t>
        </is>
      </c>
      <c r="AQ1141" s="24" t="inlineStr">
        <is>
          <t>Leylah Fernandez</t>
        </is>
      </c>
      <c r="AR1141" s="24" t="inlineStr">
        <is>
          <t>Leylah Fernandez</t>
        </is>
      </c>
      <c r="AS1141" s="24" t="inlineStr">
        <is>
          <t>Alycia Parks</t>
        </is>
      </c>
      <c r="AT1141" s="24" t="inlineStr">
        <is>
          <t>Alycia Parks</t>
        </is>
      </c>
      <c r="AU1141" s="24" t="inlineStr">
        <is>
          <t>Alycia Parks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shadow_qualified</t>
        </is>
      </c>
      <c r="BA1141" s="24" t="inlineStr">
        <is>
          <t>6c67e999d2a03612e30f4032c8e5e77e8becfbc79e05f4c8993e726b90d34d54</t>
        </is>
      </c>
      <c r="BB1141" s="24" t="inlineStr">
        <is>
          <t>surface_blended_elo</t>
        </is>
      </c>
      <c r="BC1141" s="24" t="inlineStr">
        <is>
          <t>tennis-surface-elo-v1</t>
        </is>
      </c>
      <c r="BD1141" s="24" t="inlineStr">
        <is>
          <t>6c67e999d2a03612e30f4032c8e5e77e8becfbc79e05f4c8993e726b90d34d54</t>
        </is>
      </c>
      <c r="BE1141" s="24" t="inlineStr">
        <is>
          <t>tennis-surface-elo-v1</t>
        </is>
      </c>
      <c r="BF1141" s="24" t="inlineStr">
        <is>
          <t>1</t>
        </is>
      </c>
      <c r="BG1141" s="24" t="inlineStr">
        <is>
          <t>6c67e999d2a03612e30f4032c8e5e77e8becfbc79e05f4c8993e726b90d34d54</t>
        </is>
      </c>
      <c r="BH1141" s="24" t="inlineStr">
        <is>
          <t>2026-09-22T12:28:52.560501Z</t>
        </is>
      </c>
      <c r="BI1141" s="24" t="inlineStr">
        <is>
          <t>["same_event","same_team_same_day","same_league_same_day"]</t>
        </is>
      </c>
      <c r="BJ1141" s="25" t="n"/>
      <c r="BK1141" s="26" t="n">
        <v>-317</v>
      </c>
      <c r="BL1141" s="27" t="n">
        <v>1.315457</v>
      </c>
      <c r="BM1141" s="28" t="n">
        <v>0.760192</v>
      </c>
      <c r="BN1141" s="28" t="n"/>
      <c r="BO1141" s="28" t="n"/>
      <c r="BP1141" s="25" t="n"/>
      <c r="BQ1141" s="27" t="n">
        <v>1.315457</v>
      </c>
      <c r="BR1141" s="28" t="n">
        <v>0.76</v>
      </c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False</t>
        </is>
      </c>
      <c r="CT1141" s="24" t="n"/>
      <c r="CU1141" s="24" t="n"/>
      <c r="CV1141" s="24" t="n"/>
      <c r="CW1141" s="24" t="n"/>
      <c r="CX1141" s="24" t="n"/>
      <c r="CY1141" s="24" t="n"/>
      <c r="CZ1141" s="24" t="n"/>
      <c r="DA1141" s="24" t="n"/>
      <c r="DB1141" s="24" t="n"/>
      <c r="DC1141" s="24" t="n"/>
      <c r="DD1141" s="24" t="inlineStr">
        <is>
          <t>4b062df940902bc3010757d449362a40f47404bdd8ffad5a4e4873aa59886cde</t>
        </is>
      </c>
      <c r="DE1141" s="24" t="inlineStr">
        <is>
          <t>/Users/vincentc9002/model-prediction/data/odds/tennis/2026-09-23/polymarket_snapshots.jsonl</t>
        </is>
      </c>
      <c r="DF1141" s="24" t="inlineStr">
        <is>
          <t>997925:2026-09-22T12:28:52.560501Z</t>
        </is>
      </c>
      <c r="DG1141" s="24" t="n"/>
      <c r="DH1141" s="24" t="n"/>
      <c r="DI1141" s="24" t="n"/>
      <c r="DJ1141" s="24" t="inlineStr">
        <is>
          <t>0.760192</t>
        </is>
      </c>
      <c r="DK1141" s="24" t="n"/>
      <c r="DL1141" s="24" t="n"/>
      <c r="DM1141" s="24" t="n"/>
      <c r="DN1141" s="24" t="n"/>
      <c r="DO1141" s="24" t="n"/>
      <c r="DP1141" s="24" t="n"/>
      <c r="DQ1141" s="24" t="inlineStr">
        <is>
          <t>{"artifact_hash": "6c67e999d2a03612e30f4032c8e5e77e8becfbc79e05f4c8993e726b90d34d54", "away_team": "Leylah Fernandez", "event_id": "1009-2026:184094", "event_start_utc": "2026-09-23T12:00Z", "features": {"elo_p1_surface": 1690.1, "elo_p2_surface": 1580.1, "expected_games_p1": 13.4, "expected_games_p2": 8.65, "expected_total_games": 22.05, "history_matches": 16290, "min_player_matches": 149,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[1683.1977356081447, 1567.7474589157468], "players": ["Leylah Fernandez", "Alycia Parks"], "sport": "TENNIS", "surface": "Hard", "surface_counts": [116, 143], "surface_ratings": [1690.145557831183, 1580.1476119149731]}, "market_type": "moneyline", "model_version": "tennis-surface-elo-v1", "observed_at_utc": "2026-09-23T10:09:44.545407+00:00", "probabilities": {"away": 0.6547, "home": 0.3453}, "replay_scope": "Exact full-precision serving state and rounding; upstream historical observation times are not certified.", "schema": "coded-moneyline-replay-v1", "snapshot_hash": "bccdc7b82e2396e8119f7eba1807314b396b213e2477d33c96383ca42a7762eb", "sport": "TENNIS"}</t>
        </is>
      </c>
    </row>
    <row r="1142" ht="36" customHeight="1">
      <c r="A1142" s="24" t="inlineStr">
        <is>
          <t>6851bf4c1484470d</t>
        </is>
      </c>
      <c r="B1142" s="24" t="inlineStr">
        <is>
          <t>2026-09-23T10:09:46.315666Z</t>
        </is>
      </c>
      <c r="C1142" s="24" t="inlineStr">
        <is>
          <t>2026-09-23T11:30Z</t>
        </is>
      </c>
      <c r="D1142" s="24" t="inlineStr">
        <is>
          <t>1077-2026:184001</t>
        </is>
      </c>
      <c r="E1142" s="24" t="inlineStr">
        <is>
          <t>TENNIS</t>
        </is>
      </c>
      <c r="F1142" s="24" t="inlineStr">
        <is>
          <t>Ksenia Zaytseva</t>
        </is>
      </c>
      <c r="G1142" s="24" t="inlineStr">
        <is>
          <t>Elena Pridankina</t>
        </is>
      </c>
      <c r="H1142" s="24" t="inlineStr">
        <is>
          <t>moneyline</t>
        </is>
      </c>
      <c r="I1142" s="24" t="inlineStr">
        <is>
          <t>home</t>
        </is>
      </c>
      <c r="J1142" s="25" t="n"/>
      <c r="K1142" s="24" t="inlineStr">
        <is>
          <t>polymarket_us</t>
        </is>
      </c>
      <c r="L1142" s="26" t="n">
        <v>-170</v>
      </c>
      <c r="M1142" s="27" t="n">
        <v>1.588235</v>
      </c>
      <c r="N1142" s="28" t="n">
        <v>0.62963</v>
      </c>
      <c r="O1142" s="28" t="n">
        <v>0.6388</v>
      </c>
      <c r="P1142" s="28" t="n">
        <v>0.05</v>
      </c>
      <c r="Q1142" s="28" t="n">
        <v>0.009169999999999999</v>
      </c>
      <c r="R1142" s="26" t="n">
        <v>25</v>
      </c>
      <c r="S1142" s="29" t="n">
        <v>1</v>
      </c>
      <c r="T1142" s="24" t="inlineStr">
        <is>
          <t>tennis-surface-elo-v1</t>
        </is>
      </c>
      <c r="U1142" s="24" t="inlineStr">
        <is>
          <t>settled</t>
        </is>
      </c>
      <c r="V1142" s="24" t="inlineStr">
        <is>
          <t>loss</t>
        </is>
      </c>
      <c r="W1142" s="26" t="n">
        <v>1</v>
      </c>
      <c r="X1142" s="26" t="n">
        <v>0</v>
      </c>
      <c r="Y1142" s="25" t="n"/>
      <c r="Z1142" s="26" t="n">
        <v>-170</v>
      </c>
      <c r="AA1142" s="28" t="n">
        <v>0.63</v>
      </c>
      <c r="AB1142" s="28" t="n">
        <v>0.00037</v>
      </c>
      <c r="AC1142" s="30" t="n">
        <v>-1</v>
      </c>
      <c r="AD1142" s="24" t="inlineStr">
        <is>
          <t>2026-09-23T16:06:01.708101Z</t>
        </is>
      </c>
      <c r="AE1142" s="31" t="inlineStr">
        <is>
          <t>Surface-blended Elo on Hard: Ksenia Zaytseva p=0.361 vs Elena Pridankina. Executable ask 0.6300 (aec-wta-elepri-ksenza-2026-09-23).</t>
        </is>
      </c>
      <c r="AF1142" s="31" t="inlineStr">
        <is>
          <t>Surface-blended Elo model; singles only, WTA+ATP market coverage, not yet locked-holdout qualified -- promoted by explicit operator directive, not genuine walk-forward validation.</t>
        </is>
      </c>
      <c r="AG1142" s="24" t="inlineStr">
        <is>
          <t>review_required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Ksenia Zaytseva</t>
        </is>
      </c>
      <c r="AQ1142" s="24" t="inlineStr">
        <is>
          <t>Ksenia Zaytseva</t>
        </is>
      </c>
      <c r="AR1142" s="24" t="inlineStr">
        <is>
          <t>Ksenia Zaytseva</t>
        </is>
      </c>
      <c r="AS1142" s="24" t="inlineStr">
        <is>
          <t>Elena Pridankina</t>
        </is>
      </c>
      <c r="AT1142" s="24" t="inlineStr">
        <is>
          <t>Elena Pridankina</t>
        </is>
      </c>
      <c r="AU1142" s="24" t="inlineStr">
        <is>
          <t>Elena Pridankina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shadow_qualified</t>
        </is>
      </c>
      <c r="BA1142" s="24" t="inlineStr">
        <is>
          <t>6c67e999d2a03612e30f4032c8e5e77e8becfbc79e05f4c8993e726b90d34d54</t>
        </is>
      </c>
      <c r="BB1142" s="24" t="inlineStr">
        <is>
          <t>surface_blended_elo</t>
        </is>
      </c>
      <c r="BC1142" s="24" t="inlineStr">
        <is>
          <t>tennis-surface-elo-v1</t>
        </is>
      </c>
      <c r="BD1142" s="24" t="inlineStr">
        <is>
          <t>6c67e999d2a03612e30f4032c8e5e77e8becfbc79e05f4c8993e726b90d34d54</t>
        </is>
      </c>
      <c r="BE1142" s="24" t="inlineStr">
        <is>
          <t>tennis-surface-elo-v1</t>
        </is>
      </c>
      <c r="BF1142" s="24" t="inlineStr">
        <is>
          <t>1</t>
        </is>
      </c>
      <c r="BG1142" s="24" t="inlineStr">
        <is>
          <t>6c67e999d2a03612e30f4032c8e5e77e8becfbc79e05f4c8993e726b90d34d54</t>
        </is>
      </c>
      <c r="BH1142" s="24" t="inlineStr">
        <is>
          <t>2026-09-23T04:37:17.838506Z</t>
        </is>
      </c>
      <c r="BI1142" s="24" t="inlineStr">
        <is>
          <t>["same_event","same_team_same_day","same_league_same_day"]</t>
        </is>
      </c>
      <c r="BJ1142" s="25" t="n"/>
      <c r="BK1142" s="26" t="n">
        <v>-170</v>
      </c>
      <c r="BL1142" s="27" t="n">
        <v>1.588235</v>
      </c>
      <c r="BM1142" s="28" t="n">
        <v>0.62963</v>
      </c>
      <c r="BN1142" s="28" t="n"/>
      <c r="BO1142" s="28" t="n"/>
      <c r="BP1142" s="25" t="n"/>
      <c r="BQ1142" s="27" t="n">
        <v>1.588235</v>
      </c>
      <c r="BR1142" s="28" t="n">
        <v>0.63</v>
      </c>
      <c r="BS1142" s="28" t="n"/>
      <c r="BT1142" s="28" t="n"/>
      <c r="BU1142" s="25" t="n"/>
      <c r="BV1142" s="29" t="n"/>
      <c r="BW1142" s="24" t="n"/>
      <c r="BX1142" s="30" t="n"/>
      <c r="BY1142" s="27" t="n"/>
      <c r="BZ1142" s="24" t="n"/>
      <c r="CA1142" s="31" t="n"/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True</t>
        </is>
      </c>
      <c r="CT1142" s="24" t="n"/>
      <c r="CU1142" s="24" t="n"/>
      <c r="CV1142" s="24" t="n"/>
      <c r="CW1142" s="24" t="n"/>
      <c r="CX1142" s="24" t="n"/>
      <c r="CY1142" s="24" t="n"/>
      <c r="CZ1142" s="24" t="n"/>
      <c r="DA1142" s="24" t="n"/>
      <c r="DB1142" s="24" t="n"/>
      <c r="DC1142" s="24" t="n"/>
      <c r="DD1142" s="24" t="inlineStr">
        <is>
          <t>e45e7e30346b55ec71b81ccd2d16dbd01b47e57f3189d7033610c9e0d6a0314a</t>
        </is>
      </c>
      <c r="DE1142" s="24" t="inlineStr">
        <is>
          <t>/Users/vincentc9002/model-prediction/data/odds/tennis/2026-09-23/polymarket_snapshots.jsonl</t>
        </is>
      </c>
      <c r="DF1142" s="24" t="inlineStr">
        <is>
          <t>1002135:2026-09-23T04:37:17.838506Z</t>
        </is>
      </c>
      <c r="DG1142" s="24" t="n"/>
      <c r="DH1142" s="24" t="n"/>
      <c r="DI1142" s="24" t="n"/>
      <c r="DJ1142" s="24" t="inlineStr">
        <is>
          <t>0.62963</t>
        </is>
      </c>
      <c r="DK1142" s="24" t="n"/>
      <c r="DL1142" s="24" t="n"/>
      <c r="DM1142" s="24" t="n"/>
      <c r="DN1142" s="24" t="n"/>
      <c r="DO1142" s="24" t="n"/>
      <c r="DP1142" s="24" t="n"/>
      <c r="DQ1142" s="24" t="inlineStr">
        <is>
          <t>{"artifact_hash": "6c67e999d2a03612e30f4032c8e5e77e8becfbc79e05f4c8993e726b90d34d54", "away_team": "Ksenia Zaytseva", "event_id": "1077-2026:184001", "event_start_utc": "2026-09-23T11:30Z", "features": {"elo_p1_surface": 1489.0, "elo_p2_surface": 1582.5, "expected_games_p1": 9.69, "expected_games_p2": 13.29, "expected_total_games": 22.98, "history_matches": 16290, "min_player_matches": 6,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[1489.454449011527, 1601.9310481927007], "players": ["Ksenia Zaytseva", "Elena Pridankina"], "sport": "TENNIS", "surface": "Hard", "surface_counts": [6, 68], "surface_ratings": [1488.9580314182022, 1582.4748832341113]}, "market_type": "moneyline", "model_version": "tennis-surface-elo-v1", "observed_at_utc": "2026-09-23T10:09:44.545407+00:00", "probabilities": {"away": 0.3612, "home": 0.6388}, "replay_scope": "Exact full-precision serving state and rounding; upstream historical observation times are not certified.", "schema": "coded-moneyline-replay-v1", "snapshot_hash": "7bf247fdf81dee8535b8d5aab1635f896e1c8c54e1a695b0b562e348fb3c2c36", "sport": "TENNIS"}</t>
        </is>
      </c>
    </row>
    <row r="1143" ht="36" customHeight="1">
      <c r="A1143" s="24" t="inlineStr">
        <is>
          <t>86a0a8fc17f849bf</t>
        </is>
      </c>
      <c r="B1143" s="24" t="inlineStr">
        <is>
          <t>2026-09-23T16:15:17.041172Z</t>
        </is>
      </c>
      <c r="C1143" s="24" t="inlineStr">
        <is>
          <t>2026-09-23T18:00Z</t>
        </is>
      </c>
      <c r="D1143" s="24" t="inlineStr">
        <is>
          <t>1019-2026:183876</t>
        </is>
      </c>
      <c r="E1143" s="24" t="inlineStr">
        <is>
          <t>TENNIS</t>
        </is>
      </c>
      <c r="F1143" s="24" t="inlineStr">
        <is>
          <t>Mia Ristic</t>
        </is>
      </c>
      <c r="G1143" s="24" t="inlineStr">
        <is>
          <t>Noemi Basiletti</t>
        </is>
      </c>
      <c r="H1143" s="24" t="inlineStr">
        <is>
          <t>moneyline</t>
        </is>
      </c>
      <c r="I1143" s="24" t="inlineStr">
        <is>
          <t>home</t>
        </is>
      </c>
      <c r="J1143" s="25" t="n"/>
      <c r="K1143" s="24" t="inlineStr">
        <is>
          <t>polymarket_us</t>
        </is>
      </c>
      <c r="L1143" s="26" t="n">
        <v>178</v>
      </c>
      <c r="M1143" s="27" t="n">
        <v>2.78</v>
      </c>
      <c r="N1143" s="28" t="n">
        <v>0.359712</v>
      </c>
      <c r="O1143" s="28" t="n">
        <v>0.533</v>
      </c>
      <c r="P1143" s="28" t="n">
        <v>0.05</v>
      </c>
      <c r="Q1143" s="28" t="n">
        <v>0.173288</v>
      </c>
      <c r="R1143" s="26" t="n">
        <v>100</v>
      </c>
      <c r="S1143" s="29" t="n">
        <v>1.75</v>
      </c>
      <c r="T1143" s="24" t="inlineStr">
        <is>
          <t>tennis-surface-elo-v1</t>
        </is>
      </c>
      <c r="U1143" s="24" t="inlineStr">
        <is>
          <t>settled</t>
        </is>
      </c>
      <c r="V1143" s="24" t="inlineStr">
        <is>
          <t>loss</t>
        </is>
      </c>
      <c r="W1143" s="26" t="n">
        <v>1</v>
      </c>
      <c r="X1143" s="26" t="n">
        <v>0</v>
      </c>
      <c r="Y1143" s="25" t="n"/>
      <c r="Z1143" s="26" t="n">
        <v>178</v>
      </c>
      <c r="AA1143" s="28" t="n">
        <v>0.36</v>
      </c>
      <c r="AB1143" s="28" t="n">
        <v>0.000288</v>
      </c>
      <c r="AC1143" s="30" t="n">
        <v>-1.75</v>
      </c>
      <c r="AD1143" s="24" t="inlineStr">
        <is>
          <t>2026-09-23T22:00:51.578054Z</t>
        </is>
      </c>
      <c r="AE1143" s="31" t="inlineStr">
        <is>
          <t>Surface-blended Elo on Hard: Mia Ristic p=0.467 vs Noemi Basiletti. Executable ask 0.3600 (aec-wta-noebas-miaris-2026-09-23).</t>
        </is>
      </c>
      <c r="AF1143" s="31" t="inlineStr">
        <is>
          <t>Surface-blended Elo model; singles only, WTA+ATP market coverage, not yet locked-holdout qualified -- promoted by explicit operator directive, not genuine walk-forward validation.</t>
        </is>
      </c>
      <c r="AG1143" s="24" t="inlineStr">
        <is>
          <t>review_required</t>
        </is>
      </c>
      <c r="AH1143" s="24" t="n"/>
      <c r="AI1143" s="31" t="n"/>
      <c r="AJ1143" s="31" t="n"/>
      <c r="AK1143" s="24" t="inlineStr">
        <is>
          <t>paper_call</t>
        </is>
      </c>
      <c r="AL1143" s="26" t="n">
        <v>4</v>
      </c>
      <c r="AM1143" s="24" t="inlineStr">
        <is>
          <t>RESEARCH_OBSERVATION</t>
        </is>
      </c>
      <c r="AN1143" s="24" t="inlineStr">
        <is>
          <t>CALL</t>
        </is>
      </c>
      <c r="AO1143" s="24" t="inlineStr">
        <is>
          <t>PAPER_CALL_LOW_EDGE</t>
        </is>
      </c>
      <c r="AP1143" s="24" t="inlineStr">
        <is>
          <t>Mia Ristic</t>
        </is>
      </c>
      <c r="AQ1143" s="24" t="inlineStr">
        <is>
          <t>Mia Ristic</t>
        </is>
      </c>
      <c r="AR1143" s="24" t="inlineStr">
        <is>
          <t>Mia Ristic</t>
        </is>
      </c>
      <c r="AS1143" s="24" t="inlineStr">
        <is>
          <t>Noemi Basiletti</t>
        </is>
      </c>
      <c r="AT1143" s="24" t="inlineStr">
        <is>
          <t>Noemi Basiletti</t>
        </is>
      </c>
      <c r="AU1143" s="24" t="inlineStr">
        <is>
          <t>Noemi Basiletti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shadow_qualified</t>
        </is>
      </c>
      <c r="BA1143" s="24" t="inlineStr">
        <is>
          <t>6c67e999d2a03612e30f4032c8e5e77e8becfbc79e05f4c8993e726b90d34d54</t>
        </is>
      </c>
      <c r="BB1143" s="24" t="inlineStr">
        <is>
          <t>surface_blended_elo</t>
        </is>
      </c>
      <c r="BC1143" s="24" t="inlineStr">
        <is>
          <t>tennis-surface-elo-v1</t>
        </is>
      </c>
      <c r="BD1143" s="24" t="inlineStr">
        <is>
          <t>6c67e999d2a03612e30f4032c8e5e77e8becfbc79e05f4c8993e726b90d34d54</t>
        </is>
      </c>
      <c r="BE1143" s="24" t="inlineStr">
        <is>
          <t>tennis-surface-elo-v1</t>
        </is>
      </c>
      <c r="BF1143" s="24" t="inlineStr">
        <is>
          <t>1</t>
        </is>
      </c>
      <c r="BG1143" s="24" t="inlineStr">
        <is>
          <t>6c67e999d2a03612e30f4032c8e5e77e8becfbc79e05f4c8993e726b90d34d54</t>
        </is>
      </c>
      <c r="BH1143" s="24" t="inlineStr">
        <is>
          <t>2026-09-22T12:28:52.572400Z</t>
        </is>
      </c>
      <c r="BI1143" s="24" t="inlineStr">
        <is>
          <t>["same_event","same_team_same_day","same_league_same_day"]</t>
        </is>
      </c>
      <c r="BJ1143" s="25" t="n"/>
      <c r="BK1143" s="26" t="n">
        <v>178</v>
      </c>
      <c r="BL1143" s="27" t="n">
        <v>2.78</v>
      </c>
      <c r="BM1143" s="28" t="n">
        <v>0.359712</v>
      </c>
      <c r="BN1143" s="28" t="n"/>
      <c r="BO1143" s="28" t="n"/>
      <c r="BP1143" s="25" t="n"/>
      <c r="BQ1143" s="27" t="n">
        <v>2.78</v>
      </c>
      <c r="BR1143" s="28" t="n">
        <v>0.36</v>
      </c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True</t>
        </is>
      </c>
      <c r="CT1143" s="24" t="n"/>
      <c r="CU1143" s="24" t="n"/>
      <c r="CV1143" s="24" t="n"/>
      <c r="CW1143" s="24" t="n"/>
      <c r="CX1143" s="24" t="n"/>
      <c r="CY1143" s="24" t="n"/>
      <c r="CZ1143" s="24" t="n"/>
      <c r="DA1143" s="24" t="n"/>
      <c r="DB1143" s="24" t="n"/>
      <c r="DC1143" s="24" t="n"/>
      <c r="DD1143" s="24" t="inlineStr">
        <is>
          <t>409cb5546451e3f6a7d833bef5725db68ed4bb4d21d18bc9b2469b2917b0f600</t>
        </is>
      </c>
      <c r="DE1143" s="24" t="inlineStr">
        <is>
          <t>/Users/vincentc9002/model-prediction/data/odds/tennis/2026-09-23/polymarket_snapshots.jsonl</t>
        </is>
      </c>
      <c r="DF1143" s="24" t="inlineStr">
        <is>
          <t>991378:2026-09-22T12:28:52.572400Z</t>
        </is>
      </c>
      <c r="DG1143" s="24" t="n"/>
      <c r="DH1143" s="24" t="n"/>
      <c r="DI1143" s="24" t="n"/>
      <c r="DJ1143" s="24" t="inlineStr">
        <is>
          <t>0.359712</t>
        </is>
      </c>
      <c r="DK1143" s="24" t="n"/>
      <c r="DL1143" s="24" t="n"/>
      <c r="DM1143" s="24" t="n"/>
      <c r="DN1143" s="24" t="n"/>
      <c r="DO1143" s="24" t="n"/>
      <c r="DP1143" s="24" t="n"/>
      <c r="DQ1143" s="24" t="inlineStr">
        <is>
          <t>{"artifact_hash": "6c67e999d2a03612e30f4032c8e5e77e8becfbc79e05f4c8993e726b90d34d54", "away_team": "Mia Ristic", "event_id": "1019-2026:183876", "event_start_utc": "2026-09-23T18:00Z", "features": {"elo_p1_surface": 1525.6, "elo_p2_surface": 1548.1, "expected_games_p1": 12.0, "expected_games_p2": 12.7, "expected_total_games": 24.7, "history_matches": 16290, "min_player_matches": 23,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[1539.8481436206248, 1558.6639216673366], "players": ["Mia Ristic", "Noemi Basiletti"], "sport": "TENNIS", "surface": "Hard", "surface_counts": [37, 15], "surface_ratings": [1525.57570087497, 1548.084401713499]}, "market_type": "moneyline", "model_version": "tennis-surface-elo-v1", "observed_at_utc": "2026-09-23T16:15:14.939321+00:00", "probabilities": {"away": 0.467, "home": 0.533}, "replay_scope": "Exact full-precision serving state and rounding; upstream historical observation times are not certified.", "schema": "coded-moneyline-replay-v1", "snapshot_hash": "733a9149e69639a828ed7a9c92aec398df5aefacbbb971e5db9e8034d7a9777b", "sport": "TENNIS"}</t>
        </is>
      </c>
    </row>
    <row r="1144" ht="36" customHeight="1">
      <c r="A1144" s="24" t="inlineStr">
        <is>
          <t>f3ad373221c64763</t>
        </is>
      </c>
      <c r="B1144" s="24" t="inlineStr">
        <is>
          <t>2026-09-23T22:33:35.449340Z</t>
        </is>
      </c>
      <c r="C1144" s="24" t="inlineStr">
        <is>
          <t>2026-09-24T03:00Z</t>
        </is>
      </c>
      <c r="D1144" s="24" t="inlineStr">
        <is>
          <t>811-2026:184050</t>
        </is>
      </c>
      <c r="E1144" s="24" t="inlineStr">
        <is>
          <t>TENNIS</t>
        </is>
      </c>
      <c r="F1144" s="24" t="inlineStr">
        <is>
          <t>Kimberly Birrell</t>
        </is>
      </c>
      <c r="G1144" s="24" t="inlineStr">
        <is>
          <t>Ma YeXin</t>
        </is>
      </c>
      <c r="H1144" s="24" t="inlineStr">
        <is>
          <t>moneyline</t>
        </is>
      </c>
      <c r="I1144" s="24" t="inlineStr">
        <is>
          <t>away</t>
        </is>
      </c>
      <c r="J1144" s="25" t="n"/>
      <c r="K1144" s="24" t="inlineStr">
        <is>
          <t>polymarket_us</t>
        </is>
      </c>
      <c r="L1144" s="26" t="n">
        <v>133</v>
      </c>
      <c r="M1144" s="27" t="n">
        <v>2.33</v>
      </c>
      <c r="N1144" s="28" t="n">
        <v>0.429185</v>
      </c>
      <c r="O1144" s="28" t="n">
        <v>0.6398</v>
      </c>
      <c r="P1144" s="28" t="n">
        <v>0.05</v>
      </c>
      <c r="Q1144" s="28" t="n">
        <v>0.210615</v>
      </c>
      <c r="R1144" s="26" t="n">
        <v>100</v>
      </c>
      <c r="S1144" s="29" t="n">
        <v>2</v>
      </c>
      <c r="T1144" s="24" t="inlineStr">
        <is>
          <t>tennis-surface-elo-v1</t>
        </is>
      </c>
      <c r="U1144" s="24" t="inlineStr">
        <is>
          <t>settled</t>
        </is>
      </c>
      <c r="V1144" s="24" t="inlineStr">
        <is>
          <t>win</t>
        </is>
      </c>
      <c r="W1144" s="26" t="n">
        <v>1</v>
      </c>
      <c r="X1144" s="26" t="n">
        <v>0</v>
      </c>
      <c r="Y1144" s="25" t="n"/>
      <c r="Z1144" s="26" t="n">
        <v>133</v>
      </c>
      <c r="AA1144" s="28" t="n">
        <v>0.43</v>
      </c>
      <c r="AB1144" s="28" t="n">
        <v>0.000815</v>
      </c>
      <c r="AC1144" s="30" t="n">
        <v>2.66</v>
      </c>
      <c r="AD1144" s="24" t="inlineStr">
        <is>
          <t>2026-09-24T10:00:37.829205Z</t>
        </is>
      </c>
      <c r="AE1144" s="31" t="inlineStr">
        <is>
          <t>Surface-blended Elo on Hard: Kimberly Birrell p=0.640 vs Ma YeXin. Executable ask 0.4300 (aec-wta-yexma-kimbir-2026-09-23).</t>
        </is>
      </c>
      <c r="AF1144" s="31" t="inlineStr">
        <is>
          <t>Surface-blended Elo model; singles only, WTA+ATP market coverage, not yet locked-holdout qualified -- promoted by explicit operator directive, not genuine walk-forward validation.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PAPER_CALL_STALE_DATA</t>
        </is>
      </c>
      <c r="AP1144" s="24" t="inlineStr">
        <is>
          <t>Kimberly Birrell</t>
        </is>
      </c>
      <c r="AQ1144" s="24" t="inlineStr">
        <is>
          <t>Kimberly Birrell</t>
        </is>
      </c>
      <c r="AR1144" s="24" t="inlineStr">
        <is>
          <t>Kimberly Birrell</t>
        </is>
      </c>
      <c r="AS1144" s="24" t="inlineStr">
        <is>
          <t>Ma YeXin</t>
        </is>
      </c>
      <c r="AT1144" s="24" t="inlineStr">
        <is>
          <t>Ma YeXin</t>
        </is>
      </c>
      <c r="AU1144" s="24" t="inlineStr">
        <is>
          <t>Ma YeXin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shadow_qualified</t>
        </is>
      </c>
      <c r="BA1144" s="24" t="inlineStr">
        <is>
          <t>6c67e999d2a03612e30f4032c8e5e77e8becfbc79e05f4c8993e726b90d34d54</t>
        </is>
      </c>
      <c r="BB1144" s="24" t="inlineStr">
        <is>
          <t>surface_blended_elo</t>
        </is>
      </c>
      <c r="BC1144" s="24" t="inlineStr">
        <is>
          <t>tennis-surface-elo-v1</t>
        </is>
      </c>
      <c r="BD1144" s="24" t="inlineStr">
        <is>
          <t>6c67e999d2a03612e30f4032c8e5e77e8becfbc79e05f4c8993e726b90d34d54</t>
        </is>
      </c>
      <c r="BE1144" s="24" t="inlineStr">
        <is>
          <t>tennis-surface-elo-v1</t>
        </is>
      </c>
      <c r="BF1144" s="24" t="inlineStr">
        <is>
          <t>1</t>
        </is>
      </c>
      <c r="BG1144" s="24" t="inlineStr">
        <is>
          <t>6c67e999d2a03612e30f4032c8e5e77e8becfbc79e05f4c8993e726b90d34d54</t>
        </is>
      </c>
      <c r="BH1144" s="24" t="inlineStr">
        <is>
          <t>2026-09-22T12:28:52.561862Z</t>
        </is>
      </c>
      <c r="BI1144" s="24" t="inlineStr">
        <is>
          <t>["same_event","same_team_same_day","same_league_same_day"]</t>
        </is>
      </c>
      <c r="BJ1144" s="25" t="n"/>
      <c r="BK1144" s="26" t="n">
        <v>133</v>
      </c>
      <c r="BL1144" s="27" t="n">
        <v>2.33</v>
      </c>
      <c r="BM1144" s="28" t="n">
        <v>0.429185</v>
      </c>
      <c r="BN1144" s="28" t="n"/>
      <c r="BO1144" s="28" t="n"/>
      <c r="BP1144" s="25" t="n"/>
      <c r="BQ1144" s="27" t="n">
        <v>2.33</v>
      </c>
      <c r="BR1144" s="28" t="n">
        <v>0.43</v>
      </c>
      <c r="BS1144" s="28" t="n"/>
      <c r="BT1144" s="28" t="n"/>
      <c r="BU1144" s="25" t="n"/>
      <c r="BV1144" s="29" t="n"/>
      <c r="BW1144" s="24" t="n"/>
      <c r="BX1144" s="30" t="n"/>
      <c r="BY1144" s="27" t="n"/>
      <c r="BZ1144" s="24" t="n"/>
      <c r="CA1144" s="31" t="n"/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True</t>
        </is>
      </c>
      <c r="CT1144" s="24" t="n"/>
      <c r="CU1144" s="24" t="n"/>
      <c r="CV1144" s="24" t="n"/>
      <c r="CW1144" s="24" t="n"/>
      <c r="CX1144" s="24" t="n"/>
      <c r="CY1144" s="24" t="n"/>
      <c r="CZ1144" s="24" t="n"/>
      <c r="DA1144" s="24" t="n"/>
      <c r="DB1144" s="24" t="n"/>
      <c r="DC1144" s="24" t="n"/>
      <c r="DD1144" s="24" t="inlineStr">
        <is>
          <t>c8addfcfd3afdb5a3cd0c8f633c863a18e2f47b0ef116165ebe33c11b8a9c331</t>
        </is>
      </c>
      <c r="DE1144" s="24" t="inlineStr">
        <is>
          <t>/Users/vincentc9002/model-prediction/data/odds/tennis/2026-09-23/polymarket_snapshots.jsonl</t>
        </is>
      </c>
      <c r="DF1144" s="24" t="inlineStr">
        <is>
          <t>998899:2026-09-22T12:28:52.561862Z</t>
        </is>
      </c>
      <c r="DG1144" s="24" t="n"/>
      <c r="DH1144" s="24" t="n"/>
      <c r="DI1144" s="24" t="n"/>
      <c r="DJ1144" s="24" t="inlineStr">
        <is>
          <t>0.429185</t>
        </is>
      </c>
      <c r="DK1144" s="24" t="n"/>
      <c r="DL1144" s="24" t="n"/>
      <c r="DM1144" s="24" t="n"/>
      <c r="DN1144" s="24" t="n"/>
      <c r="DO1144" s="24" t="n"/>
      <c r="DP1144" s="24" t="n"/>
      <c r="DQ1144" s="24" t="inlineStr">
        <is>
          <t>{"artifact_hash": "6c67e999d2a03612e30f4032c8e5e77e8becfbc79e05f4c8993e726b90d34d54", "away_team": "Kimberly Birrell", "event_id": "811-2026:184050", "event_start_utc": "2026-09-24T03:00Z", "features": {"elo_p1_surface": 1632.4, "elo_p2_surface": 1545.9, "expected_games_p1": 13.46, "expected_games_p2": 9.49, "expected_total_games": 22.95, "history_matches": 16290, "min_player_matches": 48, "surface": "Hard"}, "historical_source_observation_times_verified": false, "home_team": "Ma YeXin", "inference_inputs": {"code_sha256": {"features/elo_ratings.py": "8525faf022a6343c452286dbfeb17dbb043744c6bdabbe448b6b371216da439b", "models/tennis.py": "6c67e999d2a03612e30f4032c8e5e77e8becfbc79e05f4c8993e726b90d34d54"}, "overall_ratings": [1632.376288885794, 1509.8603498748705], "players": ["Kimberly Birrell", "Ma YeXin"], "sport": "TENNIS", "surface": "Hard", "surface_counts": [110, 43], "surface_ratings": [1632.3883432492573, 1545.9031917579243]}, "market_type": "moneyline", "model_version": "tennis-surface-elo-v1", "observed_at_utc": "2026-09-23T22:33:33.649245+00:00", "probabilities": {"away": 0.6398, "home": 0.3602}, "replay_scope": "Exact full-precision serving state and rounding; upstream historical observation times are not certified.", "schema": "coded-moneyline-replay-v1", "snapshot_hash": "09a647d6d75327384b003f623161d5b7dd2c06c638fd866ade231f2b63e8351c", "sport": "TENNIS"}</t>
        </is>
      </c>
    </row>
    <row r="1145" ht="36" customHeight="1">
      <c r="A1145" s="24" t="inlineStr">
        <is>
          <t>71cce18b76ff475b</t>
        </is>
      </c>
      <c r="B1145" s="24" t="inlineStr">
        <is>
          <t>2026-09-24T04:42:58.350199Z</t>
        </is>
      </c>
      <c r="C1145" s="24" t="inlineStr">
        <is>
          <t>2026-09-24T06:30Z</t>
        </is>
      </c>
      <c r="D1145" s="24" t="inlineStr">
        <is>
          <t>1009-2026:184097</t>
        </is>
      </c>
      <c r="E1145" s="24" t="inlineStr">
        <is>
          <t>TENNIS</t>
        </is>
      </c>
      <c r="F1145" s="24" t="inlineStr">
        <is>
          <t>Joanna Garland</t>
        </is>
      </c>
      <c r="G1145" s="24" t="inlineStr">
        <is>
          <t>Wang Xinyu</t>
        </is>
      </c>
      <c r="H1145" s="24" t="inlineStr">
        <is>
          <t>moneyline</t>
        </is>
      </c>
      <c r="I1145" s="24" t="inlineStr">
        <is>
          <t>home</t>
        </is>
      </c>
      <c r="J1145" s="25" t="n"/>
      <c r="K1145" s="24" t="inlineStr">
        <is>
          <t>polymarket_us</t>
        </is>
      </c>
      <c r="L1145" s="26" t="n">
        <v>-335</v>
      </c>
      <c r="M1145" s="27" t="n">
        <v>1.298507</v>
      </c>
      <c r="N1145" s="28" t="n">
        <v>0.770115</v>
      </c>
      <c r="O1145" s="28" t="n">
        <v>0.6071</v>
      </c>
      <c r="P1145" s="28" t="n">
        <v>0.05</v>
      </c>
      <c r="Q1145" s="28" t="n">
        <v>-0.163015</v>
      </c>
      <c r="R1145" s="26" t="n">
        <v>0</v>
      </c>
      <c r="S1145" s="29" t="n">
        <v>1</v>
      </c>
      <c r="T1145" s="24" t="inlineStr">
        <is>
          <t>tennis-surface-elo-v1</t>
        </is>
      </c>
      <c r="U1145" s="24" t="inlineStr">
        <is>
          <t>settled</t>
        </is>
      </c>
      <c r="V1145" s="24" t="inlineStr">
        <is>
          <t>win</t>
        </is>
      </c>
      <c r="W1145" s="26" t="n">
        <v>0</v>
      </c>
      <c r="X1145" s="26" t="n">
        <v>1</v>
      </c>
      <c r="Y1145" s="25" t="n"/>
      <c r="Z1145" s="26" t="n"/>
      <c r="AA1145" s="28" t="n"/>
      <c r="AB1145" s="28" t="n"/>
      <c r="AC1145" s="30" t="n">
        <v>0.2985</v>
      </c>
      <c r="AD1145" s="24" t="inlineStr">
        <is>
          <t>2026-09-24T10:00:38.330671Z</t>
        </is>
      </c>
      <c r="AE1145" s="31" t="inlineStr">
        <is>
          <t>Surface-blended Elo on Hard: Joanna Garland p=0.393 vs Wang Xinyu. Executable ask 0.7700 (aec-wta-xinwan-joagar-2026-09-22).</t>
        </is>
      </c>
      <c r="AF1145" s="31" t="inlineStr">
        <is>
          <t>Surface-blended Elo model; singles only, WTA+ATP market coverage, not yet locked-holdout qualified -- promoted by explicit operator directive, not genuine walk-forward validation.</t>
        </is>
      </c>
      <c r="AG1145" s="24" t="inlineStr">
        <is>
          <t>not_applicable</t>
        </is>
      </c>
      <c r="AH1145" s="24" t="n"/>
      <c r="AI1145" s="31" t="n"/>
      <c r="AJ1145" s="31" t="n"/>
      <c r="AK1145" s="24" t="inlineStr">
        <is>
          <t>paper_call</t>
        </is>
      </c>
      <c r="AL1145" s="26" t="n">
        <v>4</v>
      </c>
      <c r="AM1145" s="24" t="inlineStr">
        <is>
          <t>RESEARCH_OBSERVATION</t>
        </is>
      </c>
      <c r="AN1145" s="24" t="inlineStr">
        <is>
          <t>CALL</t>
        </is>
      </c>
      <c r="AO1145" s="24" t="inlineStr">
        <is>
          <t>PAPER_CALL_LOW_EDGE</t>
        </is>
      </c>
      <c r="AP1145" s="24" t="inlineStr">
        <is>
          <t>Joanna Garland</t>
        </is>
      </c>
      <c r="AQ1145" s="24" t="inlineStr">
        <is>
          <t>Joanna Garland</t>
        </is>
      </c>
      <c r="AR1145" s="24" t="inlineStr">
        <is>
          <t>Joanna Garland</t>
        </is>
      </c>
      <c r="AS1145" s="24" t="inlineStr">
        <is>
          <t>Wang Xinyu</t>
        </is>
      </c>
      <c r="AT1145" s="24" t="inlineStr">
        <is>
          <t>Wang Xinyu</t>
        </is>
      </c>
      <c r="AU1145" s="24" t="inlineStr">
        <is>
          <t>Wang Xinyu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shadow_qualified</t>
        </is>
      </c>
      <c r="BA1145" s="24" t="inlineStr">
        <is>
          <t>6c67e999d2a03612e30f4032c8e5e77e8becfbc79e05f4c8993e726b90d34d54</t>
        </is>
      </c>
      <c r="BB1145" s="24" t="inlineStr">
        <is>
          <t>surface_blended_elo</t>
        </is>
      </c>
      <c r="BC1145" s="24" t="inlineStr">
        <is>
          <t>tennis-surface-elo-v1</t>
        </is>
      </c>
      <c r="BD1145" s="24" t="inlineStr">
        <is>
          <t>6c67e999d2a03612e30f4032c8e5e77e8becfbc79e05f4c8993e726b90d34d54</t>
        </is>
      </c>
      <c r="BE1145" s="24" t="inlineStr">
        <is>
          <t>tennis-surface-elo-v1</t>
        </is>
      </c>
      <c r="BF1145" s="24" t="inlineStr">
        <is>
          <t>1</t>
        </is>
      </c>
      <c r="BG1145" s="24" t="inlineStr">
        <is>
          <t>6c67e999d2a03612e30f4032c8e5e77e8becfbc79e05f4c8993e726b90d34d54</t>
        </is>
      </c>
      <c r="BH1145" s="24" t="inlineStr">
        <is>
          <t>2026-09-24T04:37:56.988955Z</t>
        </is>
      </c>
      <c r="BI1145" s="24" t="inlineStr">
        <is>
          <t>["same_event","same_team_same_day","same_league_same_day"]</t>
        </is>
      </c>
      <c r="BJ1145" s="25" t="n"/>
      <c r="BK1145" s="26" t="n">
        <v>-335</v>
      </c>
      <c r="BL1145" s="27" t="n">
        <v>1.298507</v>
      </c>
      <c r="BM1145" s="28" t="n">
        <v>0.770115</v>
      </c>
      <c r="BN1145" s="28" t="n"/>
      <c r="BO1145" s="28" t="n"/>
      <c r="BP1145" s="25" t="n"/>
      <c r="BQ1145" s="27" t="n"/>
      <c r="BR1145" s="28" t="n"/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False</t>
        </is>
      </c>
      <c r="CT1145" s="24" t="n"/>
      <c r="CU1145" s="24" t="n"/>
      <c r="CV1145" s="24" t="n"/>
      <c r="CW1145" s="24" t="n"/>
      <c r="CX1145" s="24" t="n"/>
      <c r="CY1145" s="24" t="n"/>
      <c r="CZ1145" s="24" t="n"/>
      <c r="DA1145" s="24" t="n"/>
      <c r="DB1145" s="24" t="n"/>
      <c r="DC1145" s="24" t="n"/>
      <c r="DD1145" s="24" t="inlineStr">
        <is>
          <t>161875aef1d6e628a397092a133ae82bb8281098941d96010bddd0616e98f670</t>
        </is>
      </c>
      <c r="DE1145" s="24" t="inlineStr">
        <is>
          <t>/Users/vincentc9002/model-prediction/data/odds/tennis/2026-09-24/polymarket_snapshots.jsonl</t>
        </is>
      </c>
      <c r="DF1145" s="24" t="inlineStr">
        <is>
          <t>998872:2026-09-24T04:37:56.988955Z</t>
        </is>
      </c>
      <c r="DG1145" s="24" t="n"/>
      <c r="DH1145" s="24" t="n"/>
      <c r="DI1145" s="24" t="n"/>
      <c r="DJ1145" s="24" t="inlineStr">
        <is>
          <t>0.770115</t>
        </is>
      </c>
      <c r="DK1145" s="24" t="n"/>
      <c r="DL1145" s="24" t="n"/>
      <c r="DM1145" s="24" t="n"/>
      <c r="DN1145" s="24" t="n"/>
      <c r="DO1145" s="24" t="n"/>
      <c r="DP1145" s="24" t="n"/>
      <c r="DQ1145" s="24" t="inlineStr">
        <is>
          <t>{"artifact_hash": "6c67e999d2a03612e30f4032c8e5e77e8becfbc79e05f4c8993e726b90d34d54", "away_team": "Joanna Garland", "event_id": "1009-2026:184097", "event_start_utc": "2026-09-24T06:30Z", "features": {"elo_p1_surface": 1610.5, "elo_p2_surface": 1678.3, "expected_games_p1": 10.59, "expected_games_p2": 13.22, "expected_total_games": 23.81, "history_matches": 16310, "min_player_matches": 52, "surface": "Hard"}, "historical_source_observation_times_verified": false, "home_team": "Wang Xinyu", "inference_inputs": {"code_sha256": {"features/elo_ratings.py": "8525faf022a6343c452286dbfeb17dbb043744c6bdabbe448b6b371216da439b", "models/tennis.py": "6c67e999d2a03612e30f4032c8e5e77e8becfbc79e05f4c8993e726b90d34d54"}, "overall_ratings": [1591.7923578131354, 1681.0005098572901], "players": ["Joanna Garland", "Wang Xinyu"], "sport": "TENNIS", "surface": "Hard", "surface_counts": [40, 111], "surface_ratings": [1610.5422238476283, 1678.2586452879193]}, "market_type": "moneyline", "model_version": "tennis-surface-elo-v1", "observed_at_utc": "2026-09-24T04:42:57.431794+00:00", "probabilities": {"away": 0.3929, "home": 0.6071}, "replay_scope": "Exact full-precision serving state and rounding; upstream historical observation times are not certified.", "schema": "coded-moneyline-replay-v1", "snapshot_hash": "0ce5deb82f148efb46e5cab9bf6864e1784e41bcfa058b905d59d3345bc03530", "sport": "TENNIS"}</t>
        </is>
      </c>
    </row>
    <row r="1146" ht="36" customHeight="1">
      <c r="A1146" s="24" t="inlineStr">
        <is>
          <t>f774046295cb4922</t>
        </is>
      </c>
      <c r="B1146" s="24" t="inlineStr">
        <is>
          <t>2026-09-24T04:42:58.350199Z</t>
        </is>
      </c>
      <c r="C1146" s="24" t="inlineStr">
        <is>
          <t>2026-09-24T10:00Z</t>
        </is>
      </c>
      <c r="D1146" s="24" t="inlineStr">
        <is>
          <t>1022-2026:183960</t>
        </is>
      </c>
      <c r="E1146" s="24" t="inlineStr">
        <is>
          <t>TENNIS</t>
        </is>
      </c>
      <c r="F1146" s="24" t="inlineStr">
        <is>
          <t>Mia Pohankova</t>
        </is>
      </c>
      <c r="G1146" s="24" t="inlineStr">
        <is>
          <t>Veronika Podrez</t>
        </is>
      </c>
      <c r="H1146" s="24" t="inlineStr">
        <is>
          <t>moneyline</t>
        </is>
      </c>
      <c r="I1146" s="24" t="inlineStr">
        <is>
          <t>home</t>
        </is>
      </c>
      <c r="J1146" s="25" t="n"/>
      <c r="K1146" s="24" t="inlineStr">
        <is>
          <t>polymarket_us</t>
        </is>
      </c>
      <c r="L1146" s="26" t="n">
        <v>223</v>
      </c>
      <c r="M1146" s="27" t="n">
        <v>3.23</v>
      </c>
      <c r="N1146" s="28" t="n">
        <v>0.309598</v>
      </c>
      <c r="O1146" s="28" t="n">
        <v>0.5658</v>
      </c>
      <c r="P1146" s="28" t="n">
        <v>0.05</v>
      </c>
      <c r="Q1146" s="28" t="n">
        <v>0.256202</v>
      </c>
      <c r="R1146" s="26" t="n">
        <v>100</v>
      </c>
      <c r="S1146" s="29" t="n">
        <v>2</v>
      </c>
      <c r="T1146" s="24" t="inlineStr">
        <is>
          <t>tennis-surface-elo-v1</t>
        </is>
      </c>
      <c r="U1146" s="24" t="inlineStr">
        <is>
          <t>settled</t>
        </is>
      </c>
      <c r="V1146" s="24" t="inlineStr">
        <is>
          <t>loss</t>
        </is>
      </c>
      <c r="W1146" s="26" t="n">
        <v>1</v>
      </c>
      <c r="X1146" s="26" t="n">
        <v>0</v>
      </c>
      <c r="Y1146" s="25" t="n"/>
      <c r="Z1146" s="26" t="n">
        <v>223</v>
      </c>
      <c r="AA1146" s="28" t="n">
        <v>0.31</v>
      </c>
      <c r="AB1146" s="28" t="n">
        <v>0.000402</v>
      </c>
      <c r="AC1146" s="30" t="n">
        <v>-2</v>
      </c>
      <c r="AD1146" s="24" t="inlineStr">
        <is>
          <t>2026-09-24T16:02:52.820591Z</t>
        </is>
      </c>
      <c r="AE1146" s="31" t="inlineStr">
        <is>
          <t>Surface-blended Elo on Hard: Mia Pohankova p=0.434 vs Veronika Podrez. Executable ask 0.3100 (aec-wta-verpod-miapoh-2026-09-23).</t>
        </is>
      </c>
      <c r="AF1146" s="31" t="inlineStr">
        <is>
          <t>Surface-blended Elo model; singles only, WTA+ATP market coverage, not yet locked-holdout qualified -- promoted by explicit operator directive, not genuine walk-forward validation.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model_qualified</t>
        </is>
      </c>
      <c r="AL1146" s="26" t="n">
        <v>4</v>
      </c>
      <c r="AM1146" s="24" t="inlineStr">
        <is>
          <t>QUALIFIED_SHADOW_CALL</t>
        </is>
      </c>
      <c r="AN1146" s="24" t="inlineStr">
        <is>
          <t>CALL</t>
        </is>
      </c>
      <c r="AO1146" s="24" t="inlineStr">
        <is>
          <t>QUALIFIED</t>
        </is>
      </c>
      <c r="AP1146" s="24" t="inlineStr">
        <is>
          <t>Mia Pohankova</t>
        </is>
      </c>
      <c r="AQ1146" s="24" t="inlineStr">
        <is>
          <t>Mia Pohankova</t>
        </is>
      </c>
      <c r="AR1146" s="24" t="inlineStr">
        <is>
          <t>Mia Pohankova</t>
        </is>
      </c>
      <c r="AS1146" s="24" t="inlineStr">
        <is>
          <t>Veronika Podrez</t>
        </is>
      </c>
      <c r="AT1146" s="24" t="inlineStr">
        <is>
          <t>Veronika Podrez</t>
        </is>
      </c>
      <c r="AU1146" s="24" t="inlineStr">
        <is>
          <t>Veronika Podrez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shadow_qualified</t>
        </is>
      </c>
      <c r="BA1146" s="24" t="inlineStr">
        <is>
          <t>6c67e999d2a03612e30f4032c8e5e77e8becfbc79e05f4c8993e726b90d34d54</t>
        </is>
      </c>
      <c r="BB1146" s="24" t="inlineStr">
        <is>
          <t>surface_blended_elo</t>
        </is>
      </c>
      <c r="BC1146" s="24" t="inlineStr">
        <is>
          <t>tennis-surface-elo-v1</t>
        </is>
      </c>
      <c r="BD1146" s="24" t="inlineStr">
        <is>
          <t>6c67e999d2a03612e30f4032c8e5e77e8becfbc79e05f4c8993e726b90d34d54</t>
        </is>
      </c>
      <c r="BE1146" s="24" t="inlineStr">
        <is>
          <t>tennis-surface-elo-v1</t>
        </is>
      </c>
      <c r="BF1146" s="24" t="inlineStr">
        <is>
          <t>1</t>
        </is>
      </c>
      <c r="BG1146" s="24" t="inlineStr">
        <is>
          <t>6c67e999d2a03612e30f4032c8e5e77e8becfbc79e05f4c8993e726b90d34d54</t>
        </is>
      </c>
      <c r="BH1146" s="24" t="inlineStr">
        <is>
          <t>2026-09-24T04:38:11.110045Z</t>
        </is>
      </c>
      <c r="BI1146" s="24" t="inlineStr">
        <is>
          <t>["same_event","same_team_same_day","same_league_same_day"]</t>
        </is>
      </c>
      <c r="BJ1146" s="25" t="n"/>
      <c r="BK1146" s="26" t="n">
        <v>223</v>
      </c>
      <c r="BL1146" s="27" t="n">
        <v>3.23</v>
      </c>
      <c r="BM1146" s="28" t="n">
        <v>0.309598</v>
      </c>
      <c r="BN1146" s="28" t="n"/>
      <c r="BO1146" s="28" t="n"/>
      <c r="BP1146" s="25" t="n"/>
      <c r="BQ1146" s="27" t="n">
        <v>3.23</v>
      </c>
      <c r="BR1146" s="28" t="n">
        <v>0.31</v>
      </c>
      <c r="BS1146" s="28" t="n"/>
      <c r="BT1146" s="28" t="n"/>
      <c r="BU1146" s="25" t="n"/>
      <c r="BV1146" s="29" t="n"/>
      <c r="BW1146" s="24" t="n"/>
      <c r="BX1146" s="30" t="n"/>
      <c r="BY1146" s="27" t="n"/>
      <c r="BZ1146" s="24" t="n"/>
      <c r="CA1146" s="31" t="n"/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True</t>
        </is>
      </c>
      <c r="CT1146" s="24" t="n"/>
      <c r="CU1146" s="24" t="n"/>
      <c r="CV1146" s="24" t="n"/>
      <c r="CW1146" s="24" t="n"/>
      <c r="CX1146" s="24" t="n"/>
      <c r="CY1146" s="24" t="n"/>
      <c r="CZ1146" s="24" t="n"/>
      <c r="DA1146" s="24" t="n"/>
      <c r="DB1146" s="24" t="n"/>
      <c r="DC1146" s="24" t="n"/>
      <c r="DD1146" s="24" t="inlineStr">
        <is>
          <t>8bfd39790fa658d272edbfde9d4c4dc4d2c19d13746718a18d6bb79040dbe98b</t>
        </is>
      </c>
      <c r="DE1146" s="24" t="inlineStr">
        <is>
          <t>/Users/vincentc9002/model-prediction/data/odds/tennis/2026-09-24/polymarket_snapshots.jsonl</t>
        </is>
      </c>
      <c r="DF1146" s="24" t="inlineStr">
        <is>
          <t>1002099:2026-09-24T04:38:11.110045Z</t>
        </is>
      </c>
      <c r="DG1146" s="24" t="n"/>
      <c r="DH1146" s="24" t="n"/>
      <c r="DI1146" s="24" t="n"/>
      <c r="DJ1146" s="24" t="inlineStr">
        <is>
          <t>0.309598</t>
        </is>
      </c>
      <c r="DK1146" s="24" t="n"/>
      <c r="DL1146" s="24" t="n"/>
      <c r="DM1146" s="24" t="n"/>
      <c r="DN1146" s="24" t="n"/>
      <c r="DO1146" s="24" t="n"/>
      <c r="DP1146" s="24" t="n"/>
      <c r="DQ1146" s="24" t="inlineStr">
        <is>
          <t>{"artifact_hash": "6c67e999d2a03612e30f4032c8e5e77e8becfbc79e05f4c8993e726b90d34d54", "away_team": "Mia Pohankova", "event_id": "1022-2026:183960", "event_start_utc": "2026-09-24T10:00Z", "features": {"elo_p1_surface": 1555.5, "elo_p2_surface": 1605.1, "expected_games_p1": 11.19, "expected_games_p2": 13.08, "expected_total_games": 24.27, "history_matches": 16310, "min_player_matches": 18, "surface": "Hard"}, "historical_source_observation_times_verified": false, "home_team": "Veronika Podrez", "inference_inputs": {"code_sha256": {"features/elo_ratings.py": "8525faf022a6343c452286dbfeb17dbb043744c6bdabbe448b6b371216da439b", "models/tennis.py": "6c67e999d2a03612e30f4032c8e5e77e8becfbc79e05f4c8993e726b90d34d54"}, "overall_ratings": [1547.9262254367131, 1589.123913765913], "players": ["Mia Pohankova", "Veronika Podrez"], "sport": "TENNIS", "surface": "Hard", "surface_counts": [14, 21], "surface_ratings": [1555.5043656398043, 1605.1162121492857]}, "market_type": "moneyline", "model_version": "tennis-surface-elo-v1", "observed_at_utc": "2026-09-24T04:42:57.431794+00:00", "probabilities": {"away": 0.4342, "home": 0.5658}, "replay_scope": "Exact full-precision serving state and rounding; upstream historical observation times are not certified.", "schema": "coded-moneyline-replay-v1", "snapshot_hash": "a16f082a73682fd28490b77d0c569f0532ef43cfe2f5eefb0f6f5558d7084eea", "sport": "TENNIS"}</t>
        </is>
      </c>
    </row>
    <row r="1147" ht="36" customHeight="1">
      <c r="A1147" s="24" t="inlineStr">
        <is>
          <t>72b17e3c44d743a4</t>
        </is>
      </c>
      <c r="B1147" s="24" t="inlineStr">
        <is>
          <t>2026-09-24T04:42:58.350199Z</t>
        </is>
      </c>
      <c r="C1147" s="24" t="inlineStr">
        <is>
          <t>2026-09-24T05:00Z</t>
        </is>
      </c>
      <c r="D1147" s="24" t="inlineStr">
        <is>
          <t>441-2026:183407</t>
        </is>
      </c>
      <c r="E1147" s="24" t="inlineStr">
        <is>
          <t>TENNIS</t>
        </is>
      </c>
      <c r="F1147" s="24" t="inlineStr">
        <is>
          <t>Denis Shapovalov</t>
        </is>
      </c>
      <c r="G1147" s="24" t="inlineStr">
        <is>
          <t>Tallon Griekspoor</t>
        </is>
      </c>
      <c r="H1147" s="24" t="inlineStr">
        <is>
          <t>moneyline</t>
        </is>
      </c>
      <c r="I1147" s="24" t="inlineStr">
        <is>
          <t>home</t>
        </is>
      </c>
      <c r="J1147" s="25" t="n"/>
      <c r="K1147" s="24" t="inlineStr">
        <is>
          <t>polymarket_us</t>
        </is>
      </c>
      <c r="L1147" s="26" t="n">
        <v>127</v>
      </c>
      <c r="M1147" s="27" t="n">
        <v>2.27</v>
      </c>
      <c r="N1147" s="28" t="n">
        <v>0.440529</v>
      </c>
      <c r="O1147" s="28" t="n">
        <v>0.5012</v>
      </c>
      <c r="P1147" s="28" t="n">
        <v>0.05</v>
      </c>
      <c r="Q1147" s="28" t="n">
        <v>0.060671</v>
      </c>
      <c r="R1147" s="26" t="n">
        <v>50</v>
      </c>
      <c r="S1147" s="29" t="n">
        <v>1</v>
      </c>
      <c r="T1147" s="24" t="inlineStr">
        <is>
          <t>tennis-surface-elo-v1</t>
        </is>
      </c>
      <c r="U1147" s="24" t="inlineStr">
        <is>
          <t>settled</t>
        </is>
      </c>
      <c r="V1147" s="24" t="inlineStr">
        <is>
          <t>loss</t>
        </is>
      </c>
      <c r="W1147" s="26" t="n">
        <v>1</v>
      </c>
      <c r="X1147" s="26" t="n">
        <v>0</v>
      </c>
      <c r="Y1147" s="25" t="n"/>
      <c r="Z1147" s="26" t="n">
        <v>127</v>
      </c>
      <c r="AA1147" s="28" t="n">
        <v>0.44</v>
      </c>
      <c r="AB1147" s="28" t="n">
        <v>-0.000529</v>
      </c>
      <c r="AC1147" s="30" t="n">
        <v>-1</v>
      </c>
      <c r="AD1147" s="24" t="inlineStr">
        <is>
          <t>2026-09-24T10:00:38.784333Z</t>
        </is>
      </c>
      <c r="AE1147" s="31" t="inlineStr">
        <is>
          <t>Surface-blended Elo on Hard: Denis Shapovalov p=0.499 vs Tallon Griekspoor. Executable ask 0.4400 (aec-atp-talgri-densha-2026-09-22).</t>
        </is>
      </c>
      <c r="AF1147" s="31" t="inlineStr">
        <is>
          <t>Surface-blended Elo model; singles only, WTA+ATP market coverage, not yet locked-holdout qualified -- promoted by explicit operator directive, not genuine walk-forward validation.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paper_call</t>
        </is>
      </c>
      <c r="AL1147" s="26" t="n">
        <v>4</v>
      </c>
      <c r="AM1147" s="24" t="inlineStr">
        <is>
          <t>RESEARCH_OBSERVATION</t>
        </is>
      </c>
      <c r="AN1147" s="24" t="inlineStr">
        <is>
          <t>CALL</t>
        </is>
      </c>
      <c r="AO1147" s="24" t="inlineStr">
        <is>
          <t>PAPER_CALL_LOW_EDGE</t>
        </is>
      </c>
      <c r="AP1147" s="24" t="inlineStr">
        <is>
          <t>Denis Shapovalov</t>
        </is>
      </c>
      <c r="AQ1147" s="24" t="inlineStr">
        <is>
          <t>Denis Shapovalov</t>
        </is>
      </c>
      <c r="AR1147" s="24" t="inlineStr">
        <is>
          <t>Denis Shapovalov</t>
        </is>
      </c>
      <c r="AS1147" s="24" t="inlineStr">
        <is>
          <t>Tallon Griekspoor</t>
        </is>
      </c>
      <c r="AT1147" s="24" t="inlineStr">
        <is>
          <t>Tallon Griekspoor</t>
        </is>
      </c>
      <c r="AU1147" s="24" t="inlineStr">
        <is>
          <t>Tallon Griekspoor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shadow_qualified</t>
        </is>
      </c>
      <c r="BA1147" s="24" t="inlineStr">
        <is>
          <t>6c67e999d2a03612e30f4032c8e5e77e8becfbc79e05f4c8993e726b90d34d54</t>
        </is>
      </c>
      <c r="BB1147" s="24" t="inlineStr">
        <is>
          <t>surface_blended_elo</t>
        </is>
      </c>
      <c r="BC1147" s="24" t="inlineStr">
        <is>
          <t>tennis-surface-elo-v1</t>
        </is>
      </c>
      <c r="BD1147" s="24" t="inlineStr">
        <is>
          <t>6c67e999d2a03612e30f4032c8e5e77e8becfbc79e05f4c8993e726b90d34d54</t>
        </is>
      </c>
      <c r="BE1147" s="24" t="inlineStr">
        <is>
          <t>tennis-surface-elo-v1</t>
        </is>
      </c>
      <c r="BF1147" s="24" t="inlineStr">
        <is>
          <t>1</t>
        </is>
      </c>
      <c r="BG1147" s="24" t="inlineStr">
        <is>
          <t>6c67e999d2a03612e30f4032c8e5e77e8becfbc79e05f4c8993e726b90d34d54</t>
        </is>
      </c>
      <c r="BH1147" s="24" t="inlineStr">
        <is>
          <t>2026-09-24T04:38:44.120932Z</t>
        </is>
      </c>
      <c r="BI1147" s="24" t="inlineStr">
        <is>
          <t>["same_event","same_team_same_day","same_league_same_day"]</t>
        </is>
      </c>
      <c r="BJ1147" s="25" t="n"/>
      <c r="BK1147" s="26" t="n">
        <v>127</v>
      </c>
      <c r="BL1147" s="27" t="n">
        <v>2.27</v>
      </c>
      <c r="BM1147" s="28" t="n">
        <v>0.440529</v>
      </c>
      <c r="BN1147" s="28" t="n"/>
      <c r="BO1147" s="28" t="n"/>
      <c r="BP1147" s="25" t="n"/>
      <c r="BQ1147" s="27" t="n">
        <v>2.27</v>
      </c>
      <c r="BR1147" s="28" t="n">
        <v>0.44</v>
      </c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True</t>
        </is>
      </c>
      <c r="CT1147" s="24" t="n"/>
      <c r="CU1147" s="24" t="n"/>
      <c r="CV1147" s="24" t="n"/>
      <c r="CW1147" s="24" t="n"/>
      <c r="CX1147" s="24" t="n"/>
      <c r="CY1147" s="24" t="n"/>
      <c r="CZ1147" s="24" t="n"/>
      <c r="DA1147" s="24" t="n"/>
      <c r="DB1147" s="24" t="n"/>
      <c r="DC1147" s="24" t="n"/>
      <c r="DD1147" s="24" t="inlineStr">
        <is>
          <t>d48ba0249170af07e1a3df67ce524c2219d19d90aa5751f2b06bd4c6de36a02d</t>
        </is>
      </c>
      <c r="DE1147" s="24" t="inlineStr">
        <is>
          <t>/Users/vincentc9002/model-prediction/data/odds/tennis/2026-09-24/polymarket_snapshots.jsonl</t>
        </is>
      </c>
      <c r="DF1147" s="24" t="inlineStr">
        <is>
          <t>980269:2026-09-24T04:38:44.120932Z</t>
        </is>
      </c>
      <c r="DG1147" s="24" t="n"/>
      <c r="DH1147" s="24" t="n"/>
      <c r="DI1147" s="24" t="n"/>
      <c r="DJ1147" s="24" t="inlineStr">
        <is>
          <t>0.440529</t>
        </is>
      </c>
      <c r="DK1147" s="24" t="n"/>
      <c r="DL1147" s="24" t="n"/>
      <c r="DM1147" s="24" t="n"/>
      <c r="DN1147" s="24" t="n"/>
      <c r="DO1147" s="24" t="n"/>
      <c r="DP1147" s="24" t="n"/>
      <c r="DQ1147" s="24" t="inlineStr">
        <is>
          <t>{"artifact_hash": "6c67e999d2a03612e30f4032c8e5e77e8becfbc79e05f4c8993e726b90d34d54", "away_team": "Denis Shapovalov", "event_id": "441-2026:183407", "event_start_utc": "2026-09-24T05:00Z", "features": {"elo_p1_surface": 1624.1, "elo_p2_surface": 1620.1, "expected_games_p1": 13.08, "expected_games_p2": 12.48, "expected_total_games": 25.56, "history_matches": 11237, "min_player_matches": 128, "surface": "Hard"}, "historical_source_observation_times_verified": false, "home_team": "Tallon Griekspoor", "inference_inputs": {"code_sha256": {"features/elo_ratings.py": "8525faf022a6343c452286dbfeb17dbb043744c6bdabbe448b6b371216da439b", "models/tennis.py": "6c67e999d2a03612e30f4032c8e5e77e8becfbc79e05f4c8993e726b90d34d54"}, "overall_ratings": [1565.472059975224, 1580.483853781677], "players": ["Denis Shapovalov", "Tallon Griekspoor"], "sport": "TENNIS", "surface": "Hard", "surface_counts": [102, 99], "surface_ratings": [1624.0668942150614, 1620.1416819933704]}, "market_type": "moneyline", "model_version": "tennis-surface-elo-v1", "observed_at_utc": "2026-09-24T04:42:57.431794+00:00", "probabilities": {"away": 0.4988, "home": 0.5012}, "replay_scope": "Exact full-precision serving state and rounding; upstream historical observation times are not certified.", "schema": "coded-moneyline-replay-v1", "snapshot_hash": "0c606c510d78fc7e574249a0b0a41ed60fbe810a7f360c536eb7d27ceef6f665", "sport": "TENNIS"}</t>
        </is>
      </c>
    </row>
    <row r="1148" ht="36" customHeight="1">
      <c r="A1148" s="24" t="inlineStr">
        <is>
          <t>fcd94d623d5f4cb4</t>
        </is>
      </c>
      <c r="B1148" s="24" t="inlineStr">
        <is>
          <t>2026-09-24T04:42:58.350199Z</t>
        </is>
      </c>
      <c r="C1148" s="24" t="inlineStr">
        <is>
          <t>2026-09-24T05:30Z</t>
        </is>
      </c>
      <c r="D1148" s="24" t="inlineStr">
        <is>
          <t>1001-2026:183362</t>
        </is>
      </c>
      <c r="E1148" s="24" t="inlineStr">
        <is>
          <t>TENNIS</t>
        </is>
      </c>
      <c r="F1148" s="24" t="inlineStr">
        <is>
          <t>Terence Atmane</t>
        </is>
      </c>
      <c r="G1148" s="24" t="inlineStr">
        <is>
          <t>Jaime Faria</t>
        </is>
      </c>
      <c r="H1148" s="24" t="inlineStr">
        <is>
          <t>moneyline</t>
        </is>
      </c>
      <c r="I1148" s="24" t="inlineStr">
        <is>
          <t>home</t>
        </is>
      </c>
      <c r="J1148" s="25" t="n"/>
      <c r="K1148" s="24" t="inlineStr">
        <is>
          <t>polymarket_us</t>
        </is>
      </c>
      <c r="L1148" s="26" t="n">
        <v>117</v>
      </c>
      <c r="M1148" s="27" t="n">
        <v>2.17</v>
      </c>
      <c r="N1148" s="28" t="n">
        <v>0.460829</v>
      </c>
      <c r="O1148" s="28" t="n">
        <v>0.5543</v>
      </c>
      <c r="P1148" s="28" t="n">
        <v>0.05</v>
      </c>
      <c r="Q1148" s="28" t="n">
        <v>0.093471</v>
      </c>
      <c r="R1148" s="26" t="n">
        <v>67</v>
      </c>
      <c r="S1148" s="29" t="n">
        <v>1.25</v>
      </c>
      <c r="T1148" s="24" t="inlineStr">
        <is>
          <t>tennis-surface-elo-v1</t>
        </is>
      </c>
      <c r="U1148" s="24" t="inlineStr">
        <is>
          <t>settled</t>
        </is>
      </c>
      <c r="V1148" s="24" t="inlineStr">
        <is>
          <t>win</t>
        </is>
      </c>
      <c r="W1148" s="26" t="n">
        <v>0</v>
      </c>
      <c r="X1148" s="26" t="n">
        <v>1</v>
      </c>
      <c r="Y1148" s="25" t="n"/>
      <c r="Z1148" s="26" t="n">
        <v>117</v>
      </c>
      <c r="AA1148" s="28" t="n">
        <v>0.46</v>
      </c>
      <c r="AB1148" s="28" t="n">
        <v>-0.000829</v>
      </c>
      <c r="AC1148" s="30" t="n">
        <v>1.4625</v>
      </c>
      <c r="AD1148" s="24" t="inlineStr">
        <is>
          <t>2026-09-24T10:00:39.227734Z</t>
        </is>
      </c>
      <c r="AE1148" s="31" t="inlineStr">
        <is>
          <t>Surface-blended Elo on Hard: Terence Atmane p=0.446 vs Jaime Faria. Executable ask 0.4600 (aec-atp-jaifar-teratm-2026-09-22).</t>
        </is>
      </c>
      <c r="AF1148" s="31" t="inlineStr">
        <is>
          <t>Surface-blended Elo model; singles only, WTA+ATP market coverage, not yet locked-holdout qualified -- promoted by explicit operator directive, not genuine walk-forward validation.</t>
        </is>
      </c>
      <c r="AG1148" s="24" t="inlineStr">
        <is>
          <t>not_applicable</t>
        </is>
      </c>
      <c r="AH1148" s="24" t="n"/>
      <c r="AI1148" s="31" t="n"/>
      <c r="AJ1148" s="31" t="n"/>
      <c r="AK1148" s="24" t="inlineStr">
        <is>
          <t>model_qualified</t>
        </is>
      </c>
      <c r="AL1148" s="26" t="n">
        <v>4</v>
      </c>
      <c r="AM1148" s="24" t="inlineStr">
        <is>
          <t>QUALIFIED_SHADOW_CALL</t>
        </is>
      </c>
      <c r="AN1148" s="24" t="inlineStr">
        <is>
          <t>CALL</t>
        </is>
      </c>
      <c r="AO1148" s="24" t="inlineStr">
        <is>
          <t>QUALIFIED</t>
        </is>
      </c>
      <c r="AP1148" s="24" t="inlineStr">
        <is>
          <t>Terence Atmane</t>
        </is>
      </c>
      <c r="AQ1148" s="24" t="inlineStr">
        <is>
          <t>Terence Atmane</t>
        </is>
      </c>
      <c r="AR1148" s="24" t="inlineStr">
        <is>
          <t>Terence Atmane</t>
        </is>
      </c>
      <c r="AS1148" s="24" t="inlineStr">
        <is>
          <t>Jaime Faria</t>
        </is>
      </c>
      <c r="AT1148" s="24" t="inlineStr">
        <is>
          <t>Jaime Faria</t>
        </is>
      </c>
      <c r="AU1148" s="24" t="inlineStr">
        <is>
          <t>Jaime Faria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shadow_qualified</t>
        </is>
      </c>
      <c r="BA1148" s="24" t="inlineStr">
        <is>
          <t>6c67e999d2a03612e30f4032c8e5e77e8becfbc79e05f4c8993e726b90d34d54</t>
        </is>
      </c>
      <c r="BB1148" s="24" t="inlineStr">
        <is>
          <t>surface_blended_elo</t>
        </is>
      </c>
      <c r="BC1148" s="24" t="inlineStr">
        <is>
          <t>tennis-surface-elo-v1</t>
        </is>
      </c>
      <c r="BD1148" s="24" t="inlineStr">
        <is>
          <t>6c67e999d2a03612e30f4032c8e5e77e8becfbc79e05f4c8993e726b90d34d54</t>
        </is>
      </c>
      <c r="BE1148" s="24" t="inlineStr">
        <is>
          <t>tennis-surface-elo-v1</t>
        </is>
      </c>
      <c r="BF1148" s="24" t="inlineStr">
        <is>
          <t>1</t>
        </is>
      </c>
      <c r="BG1148" s="24" t="inlineStr">
        <is>
          <t>6c67e999d2a03612e30f4032c8e5e77e8becfbc79e05f4c8993e726b90d34d54</t>
        </is>
      </c>
      <c r="BH1148" s="24" t="inlineStr">
        <is>
          <t>2026-09-24T04:38:55.100464Z</t>
        </is>
      </c>
      <c r="BI1148" s="24" t="inlineStr">
        <is>
          <t>["same_event","same_team_same_day","same_league_same_day"]</t>
        </is>
      </c>
      <c r="BJ1148" s="25" t="n"/>
      <c r="BK1148" s="26" t="n">
        <v>117</v>
      </c>
      <c r="BL1148" s="27" t="n">
        <v>2.17</v>
      </c>
      <c r="BM1148" s="28" t="n">
        <v>0.460829</v>
      </c>
      <c r="BN1148" s="28" t="n"/>
      <c r="BO1148" s="28" t="n"/>
      <c r="BP1148" s="25" t="n"/>
      <c r="BQ1148" s="27" t="n">
        <v>2.17</v>
      </c>
      <c r="BR1148" s="28" t="n">
        <v>0.46</v>
      </c>
      <c r="BS1148" s="28" t="n"/>
      <c r="BT1148" s="28" t="n"/>
      <c r="BU1148" s="25" t="n"/>
      <c r="BV1148" s="29" t="n"/>
      <c r="BW1148" s="24" t="n"/>
      <c r="BX1148" s="30" t="n"/>
      <c r="BY1148" s="27" t="n"/>
      <c r="BZ1148" s="24" t="n"/>
      <c r="CA1148" s="31" t="n"/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n"/>
      <c r="CU1148" s="24" t="n"/>
      <c r="CV1148" s="24" t="n"/>
      <c r="CW1148" s="24" t="n"/>
      <c r="CX1148" s="24" t="n"/>
      <c r="CY1148" s="24" t="n"/>
      <c r="CZ1148" s="24" t="n"/>
      <c r="DA1148" s="24" t="n"/>
      <c r="DB1148" s="24" t="n"/>
      <c r="DC1148" s="24" t="n"/>
      <c r="DD1148" s="24" t="inlineStr">
        <is>
          <t>9281dc400cb652cad6f5f99e581d64a77e7150bd2713486dfe0f5cc34872a374</t>
        </is>
      </c>
      <c r="DE1148" s="24" t="inlineStr">
        <is>
          <t>/Users/vincentc9002/model-prediction/data/odds/tennis/2026-09-24/polymarket_snapshots.jsonl</t>
        </is>
      </c>
      <c r="DF1148" s="24" t="inlineStr">
        <is>
          <t>980244:2026-09-24T04:38:55.100464Z</t>
        </is>
      </c>
      <c r="DG1148" s="24" t="n"/>
      <c r="DH1148" s="24" t="n"/>
      <c r="DI1148" s="24" t="n"/>
      <c r="DJ1148" s="24" t="inlineStr">
        <is>
          <t>0.460829</t>
        </is>
      </c>
      <c r="DK1148" s="24" t="n"/>
      <c r="DL1148" s="24" t="n"/>
      <c r="DM1148" s="24" t="n"/>
      <c r="DN1148" s="24" t="n"/>
      <c r="DO1148" s="24" t="n"/>
      <c r="DP1148" s="24" t="n"/>
      <c r="DQ1148" s="24" t="inlineStr">
        <is>
          <t>{"artifact_hash": "6c67e999d2a03612e30f4032c8e5e77e8becfbc79e05f4c8993e726b90d34d54", "away_team": "Terence Atmane", "event_id": "1001-2026:183362", "event_start_utc": "2026-09-24T05:30Z", "features": {"elo_p1_surface": 1589.9, "elo_p2_surface": 1596.8, "expected_games_p1": 12.87, "expected_games_p2": 12.71, "expected_total_games": 25.58, "history_matches": 11237, "min_player_matches": 82,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[1588.135611415409, 1681.6835547498235], "players": ["Terence Atmane", "Jaime Faria"], "sport": "TENNIS", "surface": "Hard", "surface_counts": [80, 46], "surface_ratings": [1589.8949514465107, 1596.8122390945537]}, "market_type": "moneyline", "model_version": "tennis-surface-elo-v1", "observed_at_utc": "2026-09-24T04:42:57.431794+00:00", "probabilities": {"away": 0.4457, "home": 0.5543}, "replay_scope": "Exact full-precision serving state and rounding; upstream historical observation times are not certified.", "schema": "coded-moneyline-replay-v1", "snapshot_hash": "5651bc28de3038ef6f37cdadff1ee3e658aaed63296c010d3d1a09d74ee7ee9a", "sport": "TENNIS"}</t>
        </is>
      </c>
    </row>
    <row r="1149" ht="36" customHeight="1">
      <c r="A1149" s="24" t="inlineStr">
        <is>
          <t>9f579fd0e0084537</t>
        </is>
      </c>
      <c r="B1149" s="24" t="inlineStr">
        <is>
          <t>2026-09-24T10:11:31.470530Z</t>
        </is>
      </c>
      <c r="C1149" s="24" t="inlineStr">
        <is>
          <t>2026-09-24T10:30Z</t>
        </is>
      </c>
      <c r="D1149" s="24" t="inlineStr">
        <is>
          <t>1019-2026:183886</t>
        </is>
      </c>
      <c r="E1149" s="24" t="inlineStr">
        <is>
          <t>TENNIS</t>
        </is>
      </c>
      <c r="F1149" s="24" t="inlineStr">
        <is>
          <t>Julia Grabher</t>
        </is>
      </c>
      <c r="G1149" s="24" t="inlineStr">
        <is>
          <t>Alice Tubello</t>
        </is>
      </c>
      <c r="H1149" s="24" t="inlineStr">
        <is>
          <t>moneyline</t>
        </is>
      </c>
      <c r="I1149" s="24" t="inlineStr">
        <is>
          <t>away</t>
        </is>
      </c>
      <c r="J1149" s="25" t="n"/>
      <c r="K1149" s="24" t="inlineStr">
        <is>
          <t>polymarket_us</t>
        </is>
      </c>
      <c r="L1149" s="26" t="n">
        <v>-1567</v>
      </c>
      <c r="M1149" s="27" t="n">
        <v>1.063816</v>
      </c>
      <c r="N1149" s="28" t="n">
        <v>0.940012</v>
      </c>
      <c r="O1149" s="28" t="n">
        <v>0.656</v>
      </c>
      <c r="P1149" s="28" t="n">
        <v>0.05</v>
      </c>
      <c r="Q1149" s="28" t="n">
        <v>-0.284012</v>
      </c>
      <c r="R1149" s="26" t="n">
        <v>0</v>
      </c>
      <c r="S1149" s="29" t="n">
        <v>1</v>
      </c>
      <c r="T1149" s="24" t="inlineStr">
        <is>
          <t>tennis-surface-elo-v1</t>
        </is>
      </c>
      <c r="U1149" s="24" t="inlineStr">
        <is>
          <t>settled</t>
        </is>
      </c>
      <c r="V1149" s="24" t="inlineStr">
        <is>
          <t>win</t>
        </is>
      </c>
      <c r="W1149" s="26" t="n">
        <v>1</v>
      </c>
      <c r="X1149" s="26" t="n">
        <v>0</v>
      </c>
      <c r="Y1149" s="25" t="n"/>
      <c r="Z1149" s="26" t="n">
        <v>-1567</v>
      </c>
      <c r="AA1149" s="28" t="n">
        <v>0.9399999999999999</v>
      </c>
      <c r="AB1149" s="28" t="n">
        <v>-1.2e-05</v>
      </c>
      <c r="AC1149" s="30" t="n">
        <v>0.0638</v>
      </c>
      <c r="AD1149" s="24" t="inlineStr">
        <is>
          <t>2026-09-24T16:02:54.394445Z</t>
        </is>
      </c>
      <c r="AE1149" s="31" t="inlineStr">
        <is>
          <t>Surface-blended Elo on Hard: Julia Grabher p=0.656 vs Alice Tubello. Executable ask 0.9400 (aec-wta-alitub-julgra-2026-09-24).</t>
        </is>
      </c>
      <c r="AF1149" s="31" t="inlineStr">
        <is>
          <t>Surface-blended Elo model; singles only, WTA+ATP market coverage, not yet locked-holdout qualified -- promoted by explicit operator directive, not genuine walk-forward validation.</t>
        </is>
      </c>
      <c r="AG1149" s="24" t="inlineStr">
        <is>
          <t>not_applicable</t>
        </is>
      </c>
      <c r="AH1149" s="24" t="n"/>
      <c r="AI1149" s="31" t="n"/>
      <c r="AJ1149" s="31" t="n"/>
      <c r="AK1149" s="24" t="inlineStr">
        <is>
          <t>paper_call</t>
        </is>
      </c>
      <c r="AL1149" s="26" t="n">
        <v>4</v>
      </c>
      <c r="AM1149" s="24" t="inlineStr">
        <is>
          <t>RESEARCH_OBSERVATION</t>
        </is>
      </c>
      <c r="AN1149" s="24" t="inlineStr">
        <is>
          <t>CALL</t>
        </is>
      </c>
      <c r="AO1149" s="24" t="inlineStr">
        <is>
          <t>PAPER_CALL_LOW_EDGE</t>
        </is>
      </c>
      <c r="AP1149" s="24" t="inlineStr">
        <is>
          <t>Julia Grabher</t>
        </is>
      </c>
      <c r="AQ1149" s="24" t="inlineStr">
        <is>
          <t>Julia Grabher</t>
        </is>
      </c>
      <c r="AR1149" s="24" t="inlineStr">
        <is>
          <t>Julia Grabher</t>
        </is>
      </c>
      <c r="AS1149" s="24" t="inlineStr">
        <is>
          <t>Alice Tubello</t>
        </is>
      </c>
      <c r="AT1149" s="24" t="inlineStr">
        <is>
          <t>Alice Tubello</t>
        </is>
      </c>
      <c r="AU1149" s="24" t="inlineStr">
        <is>
          <t>Alice Tubello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shadow_qualified</t>
        </is>
      </c>
      <c r="BA1149" s="24" t="inlineStr">
        <is>
          <t>6c67e999d2a03612e30f4032c8e5e77e8becfbc79e05f4c8993e726b90d34d54</t>
        </is>
      </c>
      <c r="BB1149" s="24" t="inlineStr">
        <is>
          <t>surface_blended_elo</t>
        </is>
      </c>
      <c r="BC1149" s="24" t="inlineStr">
        <is>
          <t>tennis-surface-elo-v1</t>
        </is>
      </c>
      <c r="BD1149" s="24" t="inlineStr">
        <is>
          <t>6c67e999d2a03612e30f4032c8e5e77e8becfbc79e05f4c8993e726b90d34d54</t>
        </is>
      </c>
      <c r="BE1149" s="24" t="inlineStr">
        <is>
          <t>tennis-surface-elo-v1</t>
        </is>
      </c>
      <c r="BF1149" s="24" t="inlineStr">
        <is>
          <t>1</t>
        </is>
      </c>
      <c r="BG1149" s="24" t="inlineStr">
        <is>
          <t>6c67e999d2a03612e30f4032c8e5e77e8becfbc79e05f4c8993e726b90d34d54</t>
        </is>
      </c>
      <c r="BH1149" s="24" t="inlineStr">
        <is>
          <t>2026-09-23T05:02:46.091582Z</t>
        </is>
      </c>
      <c r="BI1149" s="24" t="inlineStr">
        <is>
          <t>["same_event","same_team_same_day","same_league_same_day"]</t>
        </is>
      </c>
      <c r="BJ1149" s="25" t="n"/>
      <c r="BK1149" s="26" t="n">
        <v>-1567</v>
      </c>
      <c r="BL1149" s="27" t="n">
        <v>1.063816</v>
      </c>
      <c r="BM1149" s="28" t="n">
        <v>0.940012</v>
      </c>
      <c r="BN1149" s="28" t="n"/>
      <c r="BO1149" s="28" t="n"/>
      <c r="BP1149" s="25" t="n"/>
      <c r="BQ1149" s="27" t="n">
        <v>1.063816</v>
      </c>
      <c r="BR1149" s="28" t="n">
        <v>0.9399999999999999</v>
      </c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False</t>
        </is>
      </c>
      <c r="CT1149" s="24" t="n"/>
      <c r="CU1149" s="24" t="n"/>
      <c r="CV1149" s="24" t="n"/>
      <c r="CW1149" s="24" t="n"/>
      <c r="CX1149" s="24" t="n"/>
      <c r="CY1149" s="24" t="n"/>
      <c r="CZ1149" s="24" t="n"/>
      <c r="DA1149" s="24" t="n"/>
      <c r="DB1149" s="24" t="n"/>
      <c r="DC1149" s="24" t="n"/>
      <c r="DD1149" s="24" t="inlineStr">
        <is>
          <t>0edc11bd5220f09503e911db9a5b2b3fafb5977d1f776dfc7309dff41bd874af</t>
        </is>
      </c>
      <c r="DE1149" s="24" t="inlineStr">
        <is>
          <t>/Users/vincentc9002/model-prediction/data/odds/tennis/2026-09-24/polymarket_snapshots.jsonl</t>
        </is>
      </c>
      <c r="DF1149" s="24" t="inlineStr">
        <is>
          <t>1011286:2026-09-23T05:02:46.091582Z</t>
        </is>
      </c>
      <c r="DG1149" s="24" t="n"/>
      <c r="DH1149" s="24" t="n"/>
      <c r="DI1149" s="24" t="n"/>
      <c r="DJ1149" s="24" t="inlineStr">
        <is>
          <t>0.940012</t>
        </is>
      </c>
      <c r="DK1149" s="24" t="n"/>
      <c r="DL1149" s="24" t="n"/>
      <c r="DM1149" s="24" t="n"/>
      <c r="DN1149" s="24" t="n"/>
      <c r="DO1149" s="24" t="n"/>
      <c r="DP1149" s="24" t="n"/>
      <c r="DQ1149" s="24" t="inlineStr">
        <is>
          <t>{"artifact_hash": "6c67e999d2a03612e30f4032c8e5e77e8becfbc79e05f4c8993e726b90d34d54", "away_team": "Julia Grabher", "event_id": "1019-2026:183886", "event_start_utc": "2026-09-24T10:30Z", "features": {"elo_p1_surface": 1580.3, "elo_p2_surface": 1475.3, "expected_games_p1": 13.42, "expected_games_p2": 8.83, "expected_total_games": 22.25, "history_matches": 16310, "min_player_matches": 23,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[1590.7702647696292, 1467.8857611441078], "players": ["Julia Grabher", "Alice Tubello"], "sport": "TENNIS", "surface": "Hard", "surface_counts": [67, 19], "surface_ratings": [1580.3202667579958, 1475.2500647078512]}, "market_type": "moneyline", "model_version": "tennis-surface-elo-v1", "observed_at_utc": "2026-09-24T10:11:30.579101+00:00", "probabilities": {"away": 0.656, "home": 0.344}, "replay_scope": "Exact full-precision serving state and rounding; upstream historical observation times are not certified.", "schema": "coded-moneyline-replay-v1", "snapshot_hash": "bf05d0ded0ad07cf000243e039c5bcc02228bfd816cf78ec472ce2d6c4de417a", "sport": "TENNIS"}</t>
        </is>
      </c>
    </row>
    <row r="1150" ht="36" customHeight="1">
      <c r="A1150" s="24" t="inlineStr">
        <is>
          <t>7ca46b2487f64deb</t>
        </is>
      </c>
      <c r="B1150" s="24" t="inlineStr">
        <is>
          <t>2026-09-24T10:11:31.470530Z</t>
        </is>
      </c>
      <c r="C1150" s="24" t="inlineStr">
        <is>
          <t>2026-09-24T15:30Z</t>
        </is>
      </c>
      <c r="D1150" s="24" t="inlineStr">
        <is>
          <t>1019-2026:183897</t>
        </is>
      </c>
      <c r="E1150" s="24" t="inlineStr">
        <is>
          <t>TENNIS</t>
        </is>
      </c>
      <c r="F1150" s="24" t="inlineStr">
        <is>
          <t>Oksana Selekhmeteva</t>
        </is>
      </c>
      <c r="G1150" s="24" t="inlineStr">
        <is>
          <t>Samira De Stefano</t>
        </is>
      </c>
      <c r="H1150" s="24" t="inlineStr">
        <is>
          <t>moneyline</t>
        </is>
      </c>
      <c r="I1150" s="24" t="inlineStr">
        <is>
          <t>away</t>
        </is>
      </c>
      <c r="J1150" s="25" t="n"/>
      <c r="K1150" s="24" t="inlineStr">
        <is>
          <t>polymarket_us</t>
        </is>
      </c>
      <c r="L1150" s="26" t="n">
        <v>127</v>
      </c>
      <c r="M1150" s="27" t="n">
        <v>2.27</v>
      </c>
      <c r="N1150" s="28" t="n">
        <v>0.440529</v>
      </c>
      <c r="O1150" s="28" t="n">
        <v>0.545</v>
      </c>
      <c r="P1150" s="28" t="n">
        <v>0.05</v>
      </c>
      <c r="Q1150" s="28" t="n">
        <v>0.104471</v>
      </c>
      <c r="R1150" s="26" t="n">
        <v>72</v>
      </c>
      <c r="S1150" s="29" t="n">
        <v>1.25</v>
      </c>
      <c r="T1150" s="24" t="inlineStr">
        <is>
          <t>tennis-surface-elo-v1</t>
        </is>
      </c>
      <c r="U1150" s="24" t="inlineStr">
        <is>
          <t>settled</t>
        </is>
      </c>
      <c r="V1150" s="24" t="inlineStr">
        <is>
          <t>win</t>
        </is>
      </c>
      <c r="W1150" s="26" t="n">
        <v>1</v>
      </c>
      <c r="X1150" s="26" t="n">
        <v>0</v>
      </c>
      <c r="Y1150" s="25" t="n"/>
      <c r="Z1150" s="26" t="n">
        <v>127</v>
      </c>
      <c r="AA1150" s="28" t="n">
        <v>0.44</v>
      </c>
      <c r="AB1150" s="28" t="n">
        <v>-0.000529</v>
      </c>
      <c r="AC1150" s="30" t="n">
        <v>1.5875</v>
      </c>
      <c r="AD1150" s="24" t="inlineStr">
        <is>
          <t>2026-09-24T22:00:30.861635Z</t>
        </is>
      </c>
      <c r="AE1150" s="31" t="inlineStr">
        <is>
          <t>Surface-blended Elo on Hard: Oksana Selekhmeteva p=0.545 vs Samira De Stefano. Executable ask 0.4400 (aec-wta-samste-okssel-2026-09-23).</t>
        </is>
      </c>
      <c r="AF1150" s="31" t="inlineStr">
        <is>
          <t>Surface-blended Elo model; singles only, WTA+ATP market coverage, not yet locked-holdout qualified -- promoted by explicit operator directive, not genuine walk-forward validation.</t>
        </is>
      </c>
      <c r="AG1150" s="24" t="inlineStr">
        <is>
          <t>not_applicable</t>
        </is>
      </c>
      <c r="AH1150" s="24" t="n"/>
      <c r="AI1150" s="31" t="n"/>
      <c r="AJ1150" s="31" t="n"/>
      <c r="AK1150" s="24" t="inlineStr">
        <is>
          <t>model_qualified</t>
        </is>
      </c>
      <c r="AL1150" s="26" t="n">
        <v>4</v>
      </c>
      <c r="AM1150" s="24" t="inlineStr">
        <is>
          <t>QUALIFIED_SHADOW_CALL</t>
        </is>
      </c>
      <c r="AN1150" s="24" t="inlineStr">
        <is>
          <t>CALL</t>
        </is>
      </c>
      <c r="AO1150" s="24" t="inlineStr">
        <is>
          <t>QUALIFIED</t>
        </is>
      </c>
      <c r="AP1150" s="24" t="inlineStr">
        <is>
          <t>Oksana Selekhmeteva</t>
        </is>
      </c>
      <c r="AQ1150" s="24" t="inlineStr">
        <is>
          <t>Oksana Selekhmeteva</t>
        </is>
      </c>
      <c r="AR1150" s="24" t="inlineStr">
        <is>
          <t>Oksana Selekhmeteva</t>
        </is>
      </c>
      <c r="AS1150" s="24" t="inlineStr">
        <is>
          <t>Samira De Stefano</t>
        </is>
      </c>
      <c r="AT1150" s="24" t="inlineStr">
        <is>
          <t>Samira De Stefano</t>
        </is>
      </c>
      <c r="AU1150" s="24" t="inlineStr">
        <is>
          <t>Samira De Stefano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shadow_qualified</t>
        </is>
      </c>
      <c r="BA1150" s="24" t="inlineStr">
        <is>
          <t>6c67e999d2a03612e30f4032c8e5e77e8becfbc79e05f4c8993e726b90d34d54</t>
        </is>
      </c>
      <c r="BB1150" s="24" t="inlineStr">
        <is>
          <t>surface_blended_elo</t>
        </is>
      </c>
      <c r="BC1150" s="24" t="inlineStr">
        <is>
          <t>tennis-surface-elo-v1</t>
        </is>
      </c>
      <c r="BD1150" s="24" t="inlineStr">
        <is>
          <t>6c67e999d2a03612e30f4032c8e5e77e8becfbc79e05f4c8993e726b90d34d54</t>
        </is>
      </c>
      <c r="BE1150" s="24" t="inlineStr">
        <is>
          <t>tennis-surface-elo-v1</t>
        </is>
      </c>
      <c r="BF1150" s="24" t="inlineStr">
        <is>
          <t>1</t>
        </is>
      </c>
      <c r="BG1150" s="24" t="inlineStr">
        <is>
          <t>6c67e999d2a03612e30f4032c8e5e77e8becfbc79e05f4c8993e726b90d34d54</t>
        </is>
      </c>
      <c r="BH1150" s="24" t="inlineStr">
        <is>
          <t>2026-09-24T04:38:33.040760Z</t>
        </is>
      </c>
      <c r="BI1150" s="24" t="inlineStr">
        <is>
          <t>["same_event","same_team_same_day","same_league_same_day"]</t>
        </is>
      </c>
      <c r="BJ1150" s="25" t="n"/>
      <c r="BK1150" s="26" t="n">
        <v>127</v>
      </c>
      <c r="BL1150" s="27" t="n">
        <v>2.27</v>
      </c>
      <c r="BM1150" s="28" t="n">
        <v>0.440529</v>
      </c>
      <c r="BN1150" s="28" t="n"/>
      <c r="BO1150" s="28" t="n"/>
      <c r="BP1150" s="25" t="n"/>
      <c r="BQ1150" s="27" t="n">
        <v>2.27</v>
      </c>
      <c r="BR1150" s="28" t="n">
        <v>0.44</v>
      </c>
      <c r="BS1150" s="28" t="n"/>
      <c r="BT1150" s="28" t="n"/>
      <c r="BU1150" s="25" t="n"/>
      <c r="BV1150" s="29" t="n"/>
      <c r="BW1150" s="24" t="n"/>
      <c r="BX1150" s="30" t="n"/>
      <c r="BY1150" s="27" t="n"/>
      <c r="BZ1150" s="24" t="n"/>
      <c r="CA1150" s="31" t="n"/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True</t>
        </is>
      </c>
      <c r="CT1150" s="24" t="n"/>
      <c r="CU1150" s="24" t="n"/>
      <c r="CV1150" s="24" t="n"/>
      <c r="CW1150" s="24" t="n"/>
      <c r="CX1150" s="24" t="n"/>
      <c r="CY1150" s="24" t="n"/>
      <c r="CZ1150" s="24" t="n"/>
      <c r="DA1150" s="24" t="n"/>
      <c r="DB1150" s="24" t="n"/>
      <c r="DC1150" s="24" t="n"/>
      <c r="DD1150" s="24" t="inlineStr">
        <is>
          <t>95f4d207903057606a520203662aea78aa14ee7f58b58682b6f57fb188d864e0</t>
        </is>
      </c>
      <c r="DE1150" s="24" t="inlineStr">
        <is>
          <t>/Users/vincentc9002/model-prediction/data/odds/tennis/2026-09-24/polymarket_snapshots.jsonl</t>
        </is>
      </c>
      <c r="DF1150" s="24" t="inlineStr">
        <is>
          <t>1001383:2026-09-24T04:38:33.040760Z</t>
        </is>
      </c>
      <c r="DG1150" s="24" t="n"/>
      <c r="DH1150" s="24" t="n"/>
      <c r="DI1150" s="24" t="n"/>
      <c r="DJ1150" s="24" t="inlineStr">
        <is>
          <t>0.440529</t>
        </is>
      </c>
      <c r="DK1150" s="24" t="n"/>
      <c r="DL1150" s="24" t="n"/>
      <c r="DM1150" s="24" t="n"/>
      <c r="DN1150" s="24" t="n"/>
      <c r="DO1150" s="24" t="n"/>
      <c r="DP1150" s="24" t="n"/>
      <c r="DQ1150" s="24" t="inlineStr">
        <is>
          <t>{"artifact_hash": "6c67e999d2a03612e30f4032c8e5e77e8becfbc79e05f4c8993e726b90d34d54", "away_team": "Oksana Selekhmeteva", "event_id": "1019-2026:183897", "event_start_utc": "2026-09-24T15:30Z", "features": {"elo_p1_surface": 1586.9, "elo_p2_surface": 1554.3, "expected_games_p1": 13.13, "expected_games_p2": 11.33, "expected_total_games": 24.46, "history_matches": 16310, "min_player_matches": 11, "surface": "Hard"}, "historical_source_observation_times_verified": false, "home_team": "Samira De Stefano", "inference_inputs": {"code_sha256": {"features/elo_ratings.py": "8525faf022a6343c452286dbfeb17dbb043744c6bdabbe448b6b371216da439b", "models/tennis.py": "6c67e999d2a03612e30f4032c8e5e77e8becfbc79e05f4c8993e726b90d34d54"}, "overall_ratings": [1566.2222534510329, 1547.9561285506802], "players": ["Oksana Selekhmeteva", "Samira De Stefano"], "sport": "TENNIS", "surface": "Hard", "surface_counts": [96, 10], "surface_ratings": [1586.9478316897307, 1554.3096742644395]}, "market_type": "moneyline", "model_version": "tennis-surface-elo-v1", "observed_at_utc": "2026-09-24T10:11:30.579101+00:00", "probabilities": {"away": 0.545, "home": 0.455}, "replay_scope": "Exact full-precision serving state and rounding; upstream historical observation times are not certified.", "schema": "coded-moneyline-replay-v1", "snapshot_hash": "4d306d20f8d6bd5e172c5747eaa9caf75e5317e468dd60e3ecb1649560b0a444", "sport": "TENNIS"}</t>
        </is>
      </c>
    </row>
    <row r="1151" ht="36" customHeight="1">
      <c r="A1151" s="24" t="inlineStr">
        <is>
          <t>b57689eb2dd34033</t>
        </is>
      </c>
      <c r="B1151" s="24" t="inlineStr">
        <is>
          <t>2026-09-24T10:11:31.470530Z</t>
        </is>
      </c>
      <c r="C1151" s="24" t="inlineStr">
        <is>
          <t>2026-09-24T12:00Z</t>
        </is>
      </c>
      <c r="D1151" s="24" t="inlineStr">
        <is>
          <t>1022-2026:183941</t>
        </is>
      </c>
      <c r="E1151" s="24" t="inlineStr">
        <is>
          <t>TENNIS</t>
        </is>
      </c>
      <c r="F1151" s="24" t="inlineStr">
        <is>
          <t>Harmony Tan</t>
        </is>
      </c>
      <c r="G1151" s="24" t="inlineStr">
        <is>
          <t>Angelina Voloshchuk</t>
        </is>
      </c>
      <c r="H1151" s="24" t="inlineStr">
        <is>
          <t>moneyline</t>
        </is>
      </c>
      <c r="I1151" s="24" t="inlineStr">
        <is>
          <t>home</t>
        </is>
      </c>
      <c r="J1151" s="25" t="n"/>
      <c r="K1151" s="24" t="inlineStr">
        <is>
          <t>polymarket_us</t>
        </is>
      </c>
      <c r="L1151" s="26" t="n">
        <v>-178</v>
      </c>
      <c r="M1151" s="27" t="n">
        <v>1.561798</v>
      </c>
      <c r="N1151" s="28" t="n">
        <v>0.640288</v>
      </c>
      <c r="O1151" s="28" t="n">
        <v>0.5202</v>
      </c>
      <c r="P1151" s="28" t="n">
        <v>0.05</v>
      </c>
      <c r="Q1151" s="28" t="n">
        <v>-0.120088</v>
      </c>
      <c r="R1151" s="26" t="n">
        <v>0</v>
      </c>
      <c r="S1151" s="29" t="n">
        <v>1</v>
      </c>
      <c r="T1151" s="24" t="inlineStr">
        <is>
          <t>tennis-surface-elo-v1</t>
        </is>
      </c>
      <c r="U1151" s="24" t="inlineStr">
        <is>
          <t>settled</t>
        </is>
      </c>
      <c r="V1151" s="24" t="inlineStr">
        <is>
          <t>win</t>
        </is>
      </c>
      <c r="W1151" s="26" t="n">
        <v>0</v>
      </c>
      <c r="X1151" s="26" t="n">
        <v>1</v>
      </c>
      <c r="Y1151" s="25" t="n"/>
      <c r="Z1151" s="26" t="n">
        <v>-178</v>
      </c>
      <c r="AA1151" s="28" t="n">
        <v>0.64</v>
      </c>
      <c r="AB1151" s="28" t="n">
        <v>-0.000288</v>
      </c>
      <c r="AC1151" s="30" t="n">
        <v>0.5618</v>
      </c>
      <c r="AD1151" s="24" t="inlineStr">
        <is>
          <t>2026-09-24T16:02:55.421066Z</t>
        </is>
      </c>
      <c r="AE1151" s="31" t="inlineStr">
        <is>
          <t>Surface-blended Elo on Hard: Harmony Tan p=0.480 vs Angelina Voloshchuk. Executable ask 0.6400 (aec-wta-angvol-hartan-2026-09-23).</t>
        </is>
      </c>
      <c r="AF1151" s="31" t="inlineStr">
        <is>
          <t>Surface-blended Elo model; singles only, WTA+ATP market coverage, not yet locked-holdout qualified -- promoted by explicit operator directive, not genuine walk-forward validation.</t>
        </is>
      </c>
      <c r="AG1151" s="24" t="inlineStr">
        <is>
          <t>not_applicable</t>
        </is>
      </c>
      <c r="AH1151" s="24" t="n"/>
      <c r="AI1151" s="31" t="n"/>
      <c r="AJ1151" s="31" t="n"/>
      <c r="AK1151" s="24" t="inlineStr">
        <is>
          <t>paper_call</t>
        </is>
      </c>
      <c r="AL1151" s="26" t="n">
        <v>4</v>
      </c>
      <c r="AM1151" s="24" t="inlineStr">
        <is>
          <t>RESEARCH_OBSERVATION</t>
        </is>
      </c>
      <c r="AN1151" s="24" t="inlineStr">
        <is>
          <t>CALL</t>
        </is>
      </c>
      <c r="AO1151" s="24" t="inlineStr">
        <is>
          <t>PAPER_CALL_LOW_EDGE</t>
        </is>
      </c>
      <c r="AP1151" s="24" t="inlineStr">
        <is>
          <t>Harmony Tan</t>
        </is>
      </c>
      <c r="AQ1151" s="24" t="inlineStr">
        <is>
          <t>Harmony Tan</t>
        </is>
      </c>
      <c r="AR1151" s="24" t="inlineStr">
        <is>
          <t>Harmony Tan</t>
        </is>
      </c>
      <c r="AS1151" s="24" t="inlineStr">
        <is>
          <t>Angelina Voloshchuk</t>
        </is>
      </c>
      <c r="AT1151" s="24" t="inlineStr">
        <is>
          <t>Angelina Voloshchuk</t>
        </is>
      </c>
      <c r="AU1151" s="24" t="inlineStr">
        <is>
          <t>Angelina Voloshchuk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shadow_qualified</t>
        </is>
      </c>
      <c r="BA1151" s="24" t="inlineStr">
        <is>
          <t>6c67e999d2a03612e30f4032c8e5e77e8becfbc79e05f4c8993e726b90d34d54</t>
        </is>
      </c>
      <c r="BB1151" s="24" t="inlineStr">
        <is>
          <t>surface_blended_elo</t>
        </is>
      </c>
      <c r="BC1151" s="24" t="inlineStr">
        <is>
          <t>tennis-surface-elo-v1</t>
        </is>
      </c>
      <c r="BD1151" s="24" t="inlineStr">
        <is>
          <t>6c67e999d2a03612e30f4032c8e5e77e8becfbc79e05f4c8993e726b90d34d54</t>
        </is>
      </c>
      <c r="BE1151" s="24" t="inlineStr">
        <is>
          <t>tennis-surface-elo-v1</t>
        </is>
      </c>
      <c r="BF1151" s="24" t="inlineStr">
        <is>
          <t>1</t>
        </is>
      </c>
      <c r="BG1151" s="24" t="inlineStr">
        <is>
          <t>6c67e999d2a03612e30f4032c8e5e77e8becfbc79e05f4c8993e726b90d34d54</t>
        </is>
      </c>
      <c r="BH1151" s="24" t="inlineStr">
        <is>
          <t>2026-09-23T05:02:46.102099Z</t>
        </is>
      </c>
      <c r="BI1151" s="24" t="inlineStr">
        <is>
          <t>["same_event","same_team_same_day","same_league_same_day"]</t>
        </is>
      </c>
      <c r="BJ1151" s="25" t="n"/>
      <c r="BK1151" s="26" t="n">
        <v>-178</v>
      </c>
      <c r="BL1151" s="27" t="n">
        <v>1.561798</v>
      </c>
      <c r="BM1151" s="28" t="n">
        <v>0.640288</v>
      </c>
      <c r="BN1151" s="28" t="n"/>
      <c r="BO1151" s="28" t="n"/>
      <c r="BP1151" s="25" t="n"/>
      <c r="BQ1151" s="27" t="n">
        <v>1.561798</v>
      </c>
      <c r="BR1151" s="28" t="n">
        <v>0.64</v>
      </c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False</t>
        </is>
      </c>
      <c r="CT1151" s="24" t="n"/>
      <c r="CU1151" s="24" t="n"/>
      <c r="CV1151" s="24" t="n"/>
      <c r="CW1151" s="24" t="n"/>
      <c r="CX1151" s="24" t="n"/>
      <c r="CY1151" s="24" t="n"/>
      <c r="CZ1151" s="24" t="n"/>
      <c r="DA1151" s="24" t="n"/>
      <c r="DB1151" s="24" t="n"/>
      <c r="DC1151" s="24" t="n"/>
      <c r="DD1151" s="24" t="inlineStr">
        <is>
          <t>5167614e0fc5705850187fa3832ef15c3ce74ee52d6f3374bcf341e32c450839</t>
        </is>
      </c>
      <c r="DE1151" s="24" t="inlineStr">
        <is>
          <t>/Users/vincentc9002/model-prediction/data/odds/tennis/2026-09-24/polymarket_snapshots.jsonl</t>
        </is>
      </c>
      <c r="DF1151" s="24" t="inlineStr">
        <is>
          <t>1000362:2026-09-23T05:02:46.102099Z</t>
        </is>
      </c>
      <c r="DG1151" s="24" t="n"/>
      <c r="DH1151" s="24" t="n"/>
      <c r="DI1151" s="24" t="n"/>
      <c r="DJ1151" s="24" t="inlineStr">
        <is>
          <t>0.640288</t>
        </is>
      </c>
      <c r="DK1151" s="24" t="n"/>
      <c r="DL1151" s="24" t="n"/>
      <c r="DM1151" s="24" t="n"/>
      <c r="DN1151" s="24" t="n"/>
      <c r="DO1151" s="24" t="n"/>
      <c r="DP1151" s="24" t="n"/>
      <c r="DQ1151" s="24" t="inlineStr">
        <is>
          <t>{"artifact_hash": "6c67e999d2a03612e30f4032c8e5e77e8becfbc79e05f4c8993e726b90d34d54", "away_team": "Harmony Tan", "event_id": "1022-2026:183941", "event_start_utc": "2026-09-24T12:00Z", "features": {"elo_p1_surface": 1508.7, "elo_p2_surface": 1541.1, "expected_games_p1": 11.72, "expected_games_p2": 12.86, "expected_total_games": 24.58, "history_matches": 16310, "min_player_matches": 18, "surface": "Hard"}, "historical_source_observation_times_verified": false, "home_team": "Angelina Voloshchuk", "inference_inputs": {"code_sha256": {"features/elo_ratings.py": "8525faf022a6343c452286dbfeb17dbb043744c6bdabbe448b6b371216da439b", "models/tennis.py": "6c67e999d2a03612e30f4032c8e5e77e8becfbc79e05f4c8993e726b90d34d54"}, "overall_ratings": [1547.472444382111, 1538.3001540792136], "players": ["Harmony Tan", "Angelina Voloshchuk"], "sport": "TENNIS", "surface": "Hard", "surface_counts": [30, 18], "surface_ratings": [1508.6927588071612, 1541.0516526544425]}, "market_type": "moneyline", "model_version": "tennis-surface-elo-v1", "observed_at_utc": "2026-09-24T10:11:30.579101+00:00", "probabilities": {"away": 0.4798, "home": 0.5202}, "replay_scope": "Exact full-precision serving state and rounding; upstream historical observation times are not certified.", "schema": "coded-moneyline-replay-v1", "snapshot_hash": "a8bc76f2efc557c961f8e22ed411ba865d70f13bdbdee80dbfa7e2d6ba93b540", "sport": "TENNIS"}</t>
        </is>
      </c>
    </row>
    <row r="1152" ht="36" customHeight="1">
      <c r="A1152" s="24" t="inlineStr">
        <is>
          <t>db709abc1220446d</t>
        </is>
      </c>
      <c r="B1152" s="24" t="inlineStr">
        <is>
          <t>2026-09-24T16:12:55.811571Z</t>
        </is>
      </c>
      <c r="C1152" s="24" t="inlineStr">
        <is>
          <t>2026-09-24T17:30Z</t>
        </is>
      </c>
      <c r="D1152" s="24" t="inlineStr">
        <is>
          <t>1019-2026:183888</t>
        </is>
      </c>
      <c r="E1152" s="24" t="inlineStr">
        <is>
          <t>TENNIS</t>
        </is>
      </c>
      <c r="F1152" s="24" t="inlineStr">
        <is>
          <t>Nuria Brancaccio</t>
        </is>
      </c>
      <c r="G1152" s="24" t="inlineStr">
        <is>
          <t>Veronika Erjavec</t>
        </is>
      </c>
      <c r="H1152" s="24" t="inlineStr">
        <is>
          <t>moneyline</t>
        </is>
      </c>
      <c r="I1152" s="24" t="inlineStr">
        <is>
          <t>home</t>
        </is>
      </c>
      <c r="J1152" s="25" t="n"/>
      <c r="K1152" s="24" t="inlineStr">
        <is>
          <t>polymarket_us</t>
        </is>
      </c>
      <c r="L1152" s="26" t="n">
        <v>-127</v>
      </c>
      <c r="M1152" s="27" t="n">
        <v>1.787402</v>
      </c>
      <c r="N1152" s="28" t="n">
        <v>0.5594710000000001</v>
      </c>
      <c r="O1152" s="28" t="n">
        <v>0.5936</v>
      </c>
      <c r="P1152" s="28" t="n">
        <v>0.05</v>
      </c>
      <c r="Q1152" s="28" t="n">
        <v>0.034129</v>
      </c>
      <c r="R1152" s="26" t="n">
        <v>37</v>
      </c>
      <c r="S1152" s="29" t="n">
        <v>1</v>
      </c>
      <c r="T1152" s="24" t="inlineStr">
        <is>
          <t>tennis-surface-elo-v1</t>
        </is>
      </c>
      <c r="U1152" s="24" t="inlineStr">
        <is>
          <t>settled</t>
        </is>
      </c>
      <c r="V1152" s="24" t="inlineStr">
        <is>
          <t>loss</t>
        </is>
      </c>
      <c r="W1152" s="26" t="n">
        <v>1</v>
      </c>
      <c r="X1152" s="26" t="n">
        <v>0</v>
      </c>
      <c r="Y1152" s="25" t="n"/>
      <c r="Z1152" s="26" t="n">
        <v>-127</v>
      </c>
      <c r="AA1152" s="28" t="n">
        <v>0.5600000000000001</v>
      </c>
      <c r="AB1152" s="28" t="n">
        <v>0.000529</v>
      </c>
      <c r="AC1152" s="30" t="n">
        <v>-1</v>
      </c>
      <c r="AD1152" s="24" t="inlineStr">
        <is>
          <t>2026-09-24T22:00:42.876978Z</t>
        </is>
      </c>
      <c r="AE1152" s="31" t="inlineStr">
        <is>
          <t>Surface-blended Elo on Hard: Nuria Brancaccio p=0.406 vs Veronika Erjavec. Executable ask 0.5600 (aec-wta-vererj-nurbra-2026-09-23).</t>
        </is>
      </c>
      <c r="AF1152" s="31" t="inlineStr">
        <is>
          <t>Surface-blended Elo model; singles only, WTA+ATP market coverage, not yet locked-holdout qualified -- promoted by explicit operator directive, not genuine walk-forward validation.</t>
        </is>
      </c>
      <c r="AG1152" s="24" t="inlineStr">
        <is>
          <t>review_required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PAPER_CALL_LOW_EDGE</t>
        </is>
      </c>
      <c r="AP1152" s="24" t="inlineStr">
        <is>
          <t>Nuria Brancaccio</t>
        </is>
      </c>
      <c r="AQ1152" s="24" t="inlineStr">
        <is>
          <t>Nuria Brancaccio</t>
        </is>
      </c>
      <c r="AR1152" s="24" t="inlineStr">
        <is>
          <t>Nuria Brancaccio</t>
        </is>
      </c>
      <c r="AS1152" s="24" t="inlineStr">
        <is>
          <t>Veronika Erjavec</t>
        </is>
      </c>
      <c r="AT1152" s="24" t="inlineStr">
        <is>
          <t>Veronika Erjavec</t>
        </is>
      </c>
      <c r="AU1152" s="24" t="inlineStr">
        <is>
          <t>Veronika Erjavec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shadow_qualified</t>
        </is>
      </c>
      <c r="BA1152" s="24" t="inlineStr">
        <is>
          <t>6c67e999d2a03612e30f4032c8e5e77e8becfbc79e05f4c8993e726b90d34d54</t>
        </is>
      </c>
      <c r="BB1152" s="24" t="inlineStr">
        <is>
          <t>surface_blended_elo</t>
        </is>
      </c>
      <c r="BC1152" s="24" t="inlineStr">
        <is>
          <t>tennis-surface-elo-v1</t>
        </is>
      </c>
      <c r="BD1152" s="24" t="inlineStr">
        <is>
          <t>6c67e999d2a03612e30f4032c8e5e77e8becfbc79e05f4c8993e726b90d34d54</t>
        </is>
      </c>
      <c r="BE1152" s="24" t="inlineStr">
        <is>
          <t>tennis-surface-elo-v1</t>
        </is>
      </c>
      <c r="BF1152" s="24" t="inlineStr">
        <is>
          <t>1</t>
        </is>
      </c>
      <c r="BG1152" s="24" t="inlineStr">
        <is>
          <t>6c67e999d2a03612e30f4032c8e5e77e8becfbc79e05f4c8993e726b90d34d54</t>
        </is>
      </c>
      <c r="BH1152" s="24" t="inlineStr">
        <is>
          <t>2026-09-24T16:09:25.319231Z</t>
        </is>
      </c>
      <c r="BI1152" s="24" t="inlineStr">
        <is>
          <t>["same_event","same_team_same_day","same_league_same_day"]</t>
        </is>
      </c>
      <c r="BJ1152" s="25" t="n"/>
      <c r="BK1152" s="26" t="n">
        <v>-127</v>
      </c>
      <c r="BL1152" s="27" t="n">
        <v>1.787402</v>
      </c>
      <c r="BM1152" s="28" t="n">
        <v>0.5594710000000001</v>
      </c>
      <c r="BN1152" s="28" t="n"/>
      <c r="BO1152" s="28" t="n"/>
      <c r="BP1152" s="25" t="n"/>
      <c r="BQ1152" s="27" t="n">
        <v>1.787402</v>
      </c>
      <c r="BR1152" s="28" t="n">
        <v>0.5600000000000001</v>
      </c>
      <c r="BS1152" s="28" t="n"/>
      <c r="BT1152" s="28" t="n"/>
      <c r="BU1152" s="25" t="n"/>
      <c r="BV1152" s="29" t="n"/>
      <c r="BW1152" s="24" t="n"/>
      <c r="BX1152" s="30" t="n"/>
      <c r="BY1152" s="27" t="n"/>
      <c r="BZ1152" s="24" t="n"/>
      <c r="CA1152" s="31" t="n"/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n"/>
      <c r="CU1152" s="24" t="n"/>
      <c r="CV1152" s="24" t="n"/>
      <c r="CW1152" s="24" t="n"/>
      <c r="CX1152" s="24" t="n"/>
      <c r="CY1152" s="24" t="n"/>
      <c r="CZ1152" s="24" t="n"/>
      <c r="DA1152" s="24" t="n"/>
      <c r="DB1152" s="24" t="n"/>
      <c r="DC1152" s="24" t="n"/>
      <c r="DD1152" s="24" t="inlineStr">
        <is>
          <t>58547cc97d52bc0b6187a2f8c7330f8c77c4e7d9384761efda0b35acba27170f</t>
        </is>
      </c>
      <c r="DE1152" s="24" t="inlineStr">
        <is>
          <t>/Users/vincentc9002/model-prediction/data/odds/tennis/2026-09-24/polymarket_snapshots.jsonl</t>
        </is>
      </c>
      <c r="DF1152" s="24" t="inlineStr">
        <is>
          <t>1000233:2026-09-24T16:09:25.319231Z</t>
        </is>
      </c>
      <c r="DG1152" s="24" t="n"/>
      <c r="DH1152" s="24" t="n"/>
      <c r="DI1152" s="24" t="n"/>
      <c r="DJ1152" s="24" t="inlineStr">
        <is>
          <t>0.559471</t>
        </is>
      </c>
      <c r="DK1152" s="24" t="n"/>
      <c r="DL1152" s="24" t="n"/>
      <c r="DM1152" s="24" t="n"/>
      <c r="DN1152" s="24" t="n"/>
      <c r="DO1152" s="24" t="n"/>
      <c r="DP1152" s="24" t="n"/>
      <c r="DQ1152" s="24" t="inlineStr">
        <is>
          <t>{"artifact_hash": "6c67e999d2a03612e30f4032c8e5e77e8becfbc79e05f4c8993e726b90d34d54", "away_team": "Nuria Brancaccio", "event_id": "1019-2026:183888", "event_start_utc": "2026-09-24T17:30Z", "features": {"elo_p1_surface": 1509.7, "elo_p2_surface": 1575.6, "expected_games_p1": 10.65, "expected_games_p2": 13.21, "expected_total_games": 23.86, "history_matches": 16310, "min_player_matches": 89, "surface": "Hard"}, "historical_source_observation_times_verified": false, "home_team": "Veronika Erjavec", "inference_inputs": {"code_sha256": {"features/elo_ratings.py": "8525faf022a6343c452286dbfeb17dbb043744c6bdabbe448b6b371216da439b", "models/tennis.py": "6c67e999d2a03612e30f4032c8e5e77e8becfbc79e05f4c8993e726b90d34d54"}, "overall_ratings": [1472.1522331581543, 1532.7758304871477], "players": ["Nuria Brancaccio", "Veronika Erjavec"], "sport": "TENNIS", "surface": "Hard", "surface_counts": [72, 100], "surface_ratings": [1509.7267738668904, 1575.587332425511]}, "market_type": "moneyline", "model_version": "tennis-surface-elo-v1", "observed_at_utc": "2026-09-24T16:12:53.624846+00:00", "probabilities": {"away": 0.4064, "home": 0.5936}, "replay_scope": "Exact full-precision serving state and rounding; upstream historical observation times are not certified.", "schema": "coded-moneyline-replay-v1", "snapshot_hash": "0474282d93fcd7899deecb795027d882b431b3faf9b771234ad8a65471213ef7", "sport": "TENNIS"}</t>
        </is>
      </c>
    </row>
    <row r="1153" ht="36" customHeight="1">
      <c r="A1153" s="24" t="inlineStr">
        <is>
          <t>d8d29b2fcf0e4e5b</t>
        </is>
      </c>
      <c r="B1153" s="24" t="inlineStr">
        <is>
          <t>2026-09-25T04:42:25.874139Z</t>
        </is>
      </c>
      <c r="C1153" s="24" t="inlineStr">
        <is>
          <t>2026-09-25T09:00Z</t>
        </is>
      </c>
      <c r="D1153" s="24" t="inlineStr">
        <is>
          <t>1077-2026:184012</t>
        </is>
      </c>
      <c r="E1153" s="24" t="inlineStr">
        <is>
          <t>TENNIS</t>
        </is>
      </c>
      <c r="F1153" s="24" t="inlineStr">
        <is>
          <t>Tian Fangran</t>
        </is>
      </c>
      <c r="G1153" s="24" t="inlineStr">
        <is>
          <t>Teodora Kostovic</t>
        </is>
      </c>
      <c r="H1153" s="24" t="inlineStr">
        <is>
          <t>moneyline</t>
        </is>
      </c>
      <c r="I1153" s="24" t="inlineStr">
        <is>
          <t>away</t>
        </is>
      </c>
      <c r="J1153" s="25" t="n"/>
      <c r="K1153" s="24" t="inlineStr">
        <is>
          <t>polymarket_us</t>
        </is>
      </c>
      <c r="L1153" s="26" t="n">
        <v>270</v>
      </c>
      <c r="M1153" s="27" t="n">
        <v>3.7</v>
      </c>
      <c r="N1153" s="28" t="n">
        <v>0.27027</v>
      </c>
      <c r="O1153" s="28" t="n">
        <v>0.5128</v>
      </c>
      <c r="P1153" s="28" t="n">
        <v>0.05</v>
      </c>
      <c r="Q1153" s="28" t="n">
        <v>0.24253</v>
      </c>
      <c r="R1153" s="26" t="n">
        <v>100</v>
      </c>
      <c r="S1153" s="29" t="n">
        <v>2</v>
      </c>
      <c r="T1153" s="24" t="inlineStr">
        <is>
          <t>tennis-surface-elo-v1</t>
        </is>
      </c>
      <c r="U1153" s="24" t="inlineStr">
        <is>
          <t>settled</t>
        </is>
      </c>
      <c r="V1153" s="24" t="inlineStr">
        <is>
          <t>loss</t>
        </is>
      </c>
      <c r="W1153" s="26" t="n">
        <v>0</v>
      </c>
      <c r="X1153" s="26" t="n">
        <v>1</v>
      </c>
      <c r="Y1153" s="25" t="n"/>
      <c r="Z1153" s="26" t="n"/>
      <c r="AA1153" s="28" t="n"/>
      <c r="AB1153" s="28" t="n"/>
      <c r="AC1153" s="30" t="n">
        <v>-2</v>
      </c>
      <c r="AD1153" s="24" t="inlineStr">
        <is>
          <t>2026-09-25T16:00:21.156922Z</t>
        </is>
      </c>
      <c r="AE1153" s="31" t="inlineStr">
        <is>
          <t>Surface-blended Elo on Hard: Tian Fangran p=0.513 vs Teodora Kostovic. Executable ask 0.2700 (aec-wta-teokos-fantia-2026-09-25).</t>
        </is>
      </c>
      <c r="AF1153" s="31" t="inlineStr">
        <is>
          <t>Surface-blended Elo model; singles only, WTA+ATP market coverage, not yet locked-holdout qualified -- promoted by explicit operator directive, not genuine walk-forward validation.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PAPER_CALL_LOW_EDGE</t>
        </is>
      </c>
      <c r="AP1153" s="24" t="inlineStr">
        <is>
          <t>Tian Fangran</t>
        </is>
      </c>
      <c r="AQ1153" s="24" t="inlineStr">
        <is>
          <t>Tian Fangran</t>
        </is>
      </c>
      <c r="AR1153" s="24" t="inlineStr">
        <is>
          <t>Tian Fangran</t>
        </is>
      </c>
      <c r="AS1153" s="24" t="inlineStr">
        <is>
          <t>Teodora Kostovic</t>
        </is>
      </c>
      <c r="AT1153" s="24" t="inlineStr">
        <is>
          <t>Teodora Kostovic</t>
        </is>
      </c>
      <c r="AU1153" s="24" t="inlineStr">
        <is>
          <t>Teodora Kostovic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inlineStr">
        <is>
          <t>6c67e999d2a03612e30f4032c8e5e77e8becfbc79e05f4c8993e726b90d34d54</t>
        </is>
      </c>
      <c r="BB1153" s="24" t="inlineStr">
        <is>
          <t>surface_blended_elo</t>
        </is>
      </c>
      <c r="BC1153" s="24" t="inlineStr">
        <is>
          <t>tennis-surface-elo-v1</t>
        </is>
      </c>
      <c r="BD1153" s="24" t="inlineStr">
        <is>
          <t>6c67e999d2a03612e30f4032c8e5e77e8becfbc79e05f4c8993e726b90d34d54</t>
        </is>
      </c>
      <c r="BE1153" s="24" t="inlineStr">
        <is>
          <t>tennis-surface-elo-v1</t>
        </is>
      </c>
      <c r="BF1153" s="24" t="inlineStr">
        <is>
          <t>1</t>
        </is>
      </c>
      <c r="BG1153" s="24" t="inlineStr">
        <is>
          <t>6c67e999d2a03612e30f4032c8e5e77e8becfbc79e05f4c8993e726b90d34d54</t>
        </is>
      </c>
      <c r="BH1153" s="24" t="inlineStr">
        <is>
          <t>2026-09-25T04:37:59.116146Z</t>
        </is>
      </c>
      <c r="BI1153" s="24" t="inlineStr">
        <is>
          <t>["same_event","same_team_same_day","same_league_same_day"]</t>
        </is>
      </c>
      <c r="BJ1153" s="25" t="n"/>
      <c r="BK1153" s="26" t="n">
        <v>270</v>
      </c>
      <c r="BL1153" s="27" t="n">
        <v>3.7</v>
      </c>
      <c r="BM1153" s="28" t="n">
        <v>0.27027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/>
      <c r="BY1153" s="27" t="n"/>
      <c r="BZ1153" s="24" t="n"/>
      <c r="CA1153" s="31" t="n"/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True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inlineStr">
        <is>
          <t>279b5129eb2816f71d217fde135a2adc0930a2b91a39307b583e7bd29f53a04c</t>
        </is>
      </c>
      <c r="DE1153" s="24" t="inlineStr">
        <is>
          <t>/Users/vincentc9002/model-prediction/data/odds/tennis/2026-09-25/polymarket_snapshots.jsonl</t>
        </is>
      </c>
      <c r="DF1153" s="24" t="inlineStr">
        <is>
          <t>1032995:2026-09-25T04:37:59.116146Z</t>
        </is>
      </c>
      <c r="DG1153" s="24" t="n"/>
      <c r="DH1153" s="24" t="n"/>
      <c r="DI1153" s="24" t="n"/>
      <c r="DJ1153" s="24" t="inlineStr">
        <is>
          <t>0.27027</t>
        </is>
      </c>
      <c r="DK1153" s="24" t="n"/>
      <c r="DL1153" s="24" t="n"/>
      <c r="DM1153" s="24" t="n"/>
      <c r="DN1153" s="24" t="n"/>
      <c r="DO1153" s="24" t="n"/>
      <c r="DP1153" s="24" t="n"/>
      <c r="DQ1153" s="24" t="inlineStr">
        <is>
          <t>{"artifact_hash": "6c67e999d2a03612e30f4032c8e5e77e8becfbc79e05f4c8993e726b90d34d54", "away_team": "Tian Fangran", "event_id": "1077-2026:184012", "event_start_utc": "2026-09-25T09:00Z", "features": {"elo_p1_surface": 1565.1, "elo_p2_surface": 1538.3, "expected_games_p1": 13.05, "expected_games_p2": 11.51, "expected_total_games": 24.55, "history_matches": 16330, "min_player_matches": 16,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[1566.5626672165479, 1585.7605498355144], "players": ["Tian Fangran", "Teodora Kostovic"], "sport": "TENNIS", "surface": "Hard", "surface_counts": [16, 37], "surface_ratings": [1565.1194631610952, 1538.2750534996878]}, "market_type": "moneyline", "model_version": "tennis-surface-elo-v1", "observed_at_utc": "2026-09-25T04:42:25.043939+00:00", "probabilities": {"away": 0.5128, "home": 0.4872}, "replay_scope": "Exact full-precision serving state and rounding; upstream historical observation times are not certified.", "schema": "coded-moneyline-replay-v1", "snapshot_hash": "d5ca026a1ce792003208656598a941bc7513f00c138fcbff35ebdd1846e391a1", "sport": "TENNIS"}</t>
        </is>
      </c>
    </row>
    <row r="1154" ht="36" customHeight="1">
      <c r="A1154" s="24" t="inlineStr">
        <is>
          <t>62b859d2720d411e</t>
        </is>
      </c>
      <c r="B1154" s="24" t="inlineStr">
        <is>
          <t>2026-09-25T10:11:59.776673Z</t>
        </is>
      </c>
      <c r="C1154" s="24" t="inlineStr">
        <is>
          <t>2026-09-25T12:00Z</t>
        </is>
      </c>
      <c r="D1154" s="24" t="inlineStr">
        <is>
          <t>1009-2026:184103</t>
        </is>
      </c>
      <c r="E1154" s="24" t="inlineStr">
        <is>
          <t>TENNIS</t>
        </is>
      </c>
      <c r="F1154" s="24" t="inlineStr">
        <is>
          <t>Talia Gibson</t>
        </is>
      </c>
      <c r="G1154" s="24" t="inlineStr">
        <is>
          <t>Maria Sakkari</t>
        </is>
      </c>
      <c r="H1154" s="24" t="inlineStr">
        <is>
          <t>moneyline</t>
        </is>
      </c>
      <c r="I1154" s="24" t="inlineStr">
        <is>
          <t>home</t>
        </is>
      </c>
      <c r="J1154" s="25" t="n"/>
      <c r="K1154" s="24" t="inlineStr">
        <is>
          <t>polymarket_us</t>
        </is>
      </c>
      <c r="L1154" s="26" t="n">
        <v>-213</v>
      </c>
      <c r="M1154" s="27" t="n">
        <v>1.469484</v>
      </c>
      <c r="N1154" s="28" t="n">
        <v>0.680511</v>
      </c>
      <c r="O1154" s="28" t="n">
        <v>0.5433</v>
      </c>
      <c r="P1154" s="28" t="n">
        <v>0.05</v>
      </c>
      <c r="Q1154" s="28" t="n">
        <v>-0.137211</v>
      </c>
      <c r="R1154" s="26" t="n">
        <v>0</v>
      </c>
      <c r="S1154" s="29" t="n">
        <v>1</v>
      </c>
      <c r="T1154" s="24" t="inlineStr">
        <is>
          <t>tennis-surface-elo-v1</t>
        </is>
      </c>
      <c r="U1154" s="24" t="inlineStr">
        <is>
          <t>settled</t>
        </is>
      </c>
      <c r="V1154" s="24" t="inlineStr">
        <is>
          <t>loss</t>
        </is>
      </c>
      <c r="W1154" s="26" t="n">
        <v>1</v>
      </c>
      <c r="X1154" s="26" t="n">
        <v>0</v>
      </c>
      <c r="Y1154" s="25" t="n"/>
      <c r="Z1154" s="26" t="n">
        <v>-213</v>
      </c>
      <c r="AA1154" s="28" t="n">
        <v>0.68</v>
      </c>
      <c r="AB1154" s="28" t="n">
        <v>-0.000511</v>
      </c>
      <c r="AC1154" s="30" t="n">
        <v>-1</v>
      </c>
      <c r="AD1154" s="24" t="inlineStr">
        <is>
          <t>2026-09-25T16:00:21.596716Z</t>
        </is>
      </c>
      <c r="AE1154" s="31" t="inlineStr">
        <is>
          <t>Surface-blended Elo on Hard: Talia Gibson p=0.457 vs Maria Sakkari. Executable ask 0.6800 (aec-wta-marsak-talgib-2026-09-25).</t>
        </is>
      </c>
      <c r="AF1154" s="31" t="inlineStr">
        <is>
          <t>Surface-blended Elo model; singles only, WTA+ATP market coverage, not yet locked-holdout qualified -- promoted by explicit operator directive, not genuine walk-forward validation.</t>
        </is>
      </c>
      <c r="AG1154" s="24" t="inlineStr">
        <is>
          <t>review_required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PAPER_CALL_LOW_EDGE</t>
        </is>
      </c>
      <c r="AP1154" s="24" t="inlineStr">
        <is>
          <t>Talia Gibson</t>
        </is>
      </c>
      <c r="AQ1154" s="24" t="inlineStr">
        <is>
          <t>Talia Gibson</t>
        </is>
      </c>
      <c r="AR1154" s="24" t="inlineStr">
        <is>
          <t>Talia Gibson</t>
        </is>
      </c>
      <c r="AS1154" s="24" t="inlineStr">
        <is>
          <t>Maria Sakkari</t>
        </is>
      </c>
      <c r="AT1154" s="24" t="inlineStr">
        <is>
          <t>Maria Sakkari</t>
        </is>
      </c>
      <c r="AU1154" s="24" t="inlineStr">
        <is>
          <t>Maria Sakkari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inlineStr">
        <is>
          <t>6c67e999d2a03612e30f4032c8e5e77e8becfbc79e05f4c8993e726b90d34d54</t>
        </is>
      </c>
      <c r="BB1154" s="24" t="inlineStr">
        <is>
          <t>surface_blended_elo</t>
        </is>
      </c>
      <c r="BC1154" s="24" t="inlineStr">
        <is>
          <t>tennis-surface-elo-v1</t>
        </is>
      </c>
      <c r="BD1154" s="24" t="inlineStr">
        <is>
          <t>6c67e999d2a03612e30f4032c8e5e77e8becfbc79e05f4c8993e726b90d34d54</t>
        </is>
      </c>
      <c r="BE1154" s="24" t="inlineStr">
        <is>
          <t>tennis-surface-elo-v1</t>
        </is>
      </c>
      <c r="BF1154" s="24" t="inlineStr">
        <is>
          <t>1</t>
        </is>
      </c>
      <c r="BG1154" s="24" t="inlineStr">
        <is>
          <t>6c67e999d2a03612e30f4032c8e5e77e8becfbc79e05f4c8993e726b90d34d54</t>
        </is>
      </c>
      <c r="BH1154" s="24" t="inlineStr">
        <is>
          <t>2026-09-25T10:07:26.106732Z</t>
        </is>
      </c>
      <c r="BI1154" s="24" t="inlineStr">
        <is>
          <t>["same_event","same_team_same_day","same_league_same_day"]</t>
        </is>
      </c>
      <c r="BJ1154" s="25" t="n"/>
      <c r="BK1154" s="26" t="n">
        <v>-213</v>
      </c>
      <c r="BL1154" s="27" t="n">
        <v>1.469484</v>
      </c>
      <c r="BM1154" s="28" t="n">
        <v>0.680511</v>
      </c>
      <c r="BN1154" s="28" t="n"/>
      <c r="BO1154" s="28" t="n"/>
      <c r="BP1154" s="25" t="n"/>
      <c r="BQ1154" s="27" t="n">
        <v>1.469484</v>
      </c>
      <c r="BR1154" s="28" t="n">
        <v>0.68</v>
      </c>
      <c r="BS1154" s="28" t="n"/>
      <c r="BT1154" s="28" t="n"/>
      <c r="BU1154" s="25" t="n"/>
      <c r="BV1154" s="29" t="n"/>
      <c r="BW1154" s="24" t="n"/>
      <c r="BX1154" s="30" t="n"/>
      <c r="BY1154" s="27" t="n"/>
      <c r="BZ1154" s="24" t="n"/>
      <c r="CA1154" s="31" t="n"/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False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inlineStr">
        <is>
          <t>5c254a4d9caf57af385e27471174f83a69845577ad478d24120dc12e803c2f28</t>
        </is>
      </c>
      <c r="DE1154" s="24" t="inlineStr">
        <is>
          <t>/Users/vincentc9002/model-prediction/data/odds/tennis/2026-09-25/polymarket_snapshots.jsonl</t>
        </is>
      </c>
      <c r="DF1154" s="24" t="inlineStr">
        <is>
          <t>1033791:2026-09-25T10:07:26.106732Z</t>
        </is>
      </c>
      <c r="DG1154" s="24" t="n"/>
      <c r="DH1154" s="24" t="n"/>
      <c r="DI1154" s="24" t="n"/>
      <c r="DJ1154" s="24" t="inlineStr">
        <is>
          <t>0.680511</t>
        </is>
      </c>
      <c r="DK1154" s="24" t="n"/>
      <c r="DL1154" s="24" t="n"/>
      <c r="DM1154" s="24" t="n"/>
      <c r="DN1154" s="24" t="n"/>
      <c r="DO1154" s="24" t="n"/>
      <c r="DP1154" s="24" t="n"/>
      <c r="DQ1154" s="24" t="inlineStr">
        <is>
          <t>{"artifact_hash": "6c67e999d2a03612e30f4032c8e5e77e8becfbc79e05f4c8993e726b90d34d54", "away_team": "Talia Gibson", "event_id": "1009-2026:184103", "event_start_utc": "2026-09-25T12:00Z", "features": {"elo_p1_surface": 1661.9, "elo_p2_surface": 1673.9, "expected_games_p1": 12.27, "expected_games_p2": 12.49, "expected_total_games": 24.77, "history_matches": 16330, "min_player_matches": 90, "surface": "Hard"}, "historical_source_observation_times_verified": false, "home_team": "Maria Sakkari", "inference_inputs": {"code_sha256": {"features/elo_ratings.py": "8525faf022a6343c452286dbfeb17dbb043744c6bdabbe448b6b371216da439b", "models/tennis.py": "6c67e999d2a03612e30f4032c8e5e77e8becfbc79e05f4c8993e726b90d34d54"}, "overall_ratings": [1635.3681461277424, 1711.2438831940237], "players": ["Talia Gibson", "Maria Sakkari"], "sport": "TENNIS", "surface": "Hard", "surface_counts": [66, 92], "surface_ratings": [1661.8823981827916, 1673.8586627632985]}, "market_type": "moneyline", "model_version": "tennis-surface-elo-v1", "observed_at_utc": "2026-09-25T10:11:58.872282+00:00", "probabilities": {"away": 0.4567, "home": 0.5433}, "replay_scope": "Exact full-precision serving state and rounding; upstream historical observation times are not certified.", "schema": "coded-moneyline-replay-v1", "snapshot_hash": "8b27d99803dbb7e18897b394638c7dc4c871127ed6ec06323456e4ca725ef117", "sport": "TENNIS"}</t>
        </is>
      </c>
    </row>
    <row r="1155" ht="36" customHeight="1">
      <c r="A1155" s="24" t="inlineStr">
        <is>
          <t>bc21e341d8b649b0</t>
        </is>
      </c>
      <c r="B1155" s="24" t="inlineStr">
        <is>
          <t>2026-09-25T10:11:59.776673Z</t>
        </is>
      </c>
      <c r="C1155" s="24" t="inlineStr">
        <is>
          <t>2026-09-25T15:30Z</t>
        </is>
      </c>
      <c r="D1155" s="24" t="inlineStr">
        <is>
          <t>1019-2026:183900</t>
        </is>
      </c>
      <c r="E1155" s="24" t="inlineStr">
        <is>
          <t>TENNIS</t>
        </is>
      </c>
      <c r="F1155" s="24" t="inlineStr">
        <is>
          <t>Oksana Selekhmeteva</t>
        </is>
      </c>
      <c r="G1155" s="24" t="inlineStr">
        <is>
          <t>Ekaterine Gorgodze</t>
        </is>
      </c>
      <c r="H1155" s="24" t="inlineStr">
        <is>
          <t>moneyline</t>
        </is>
      </c>
      <c r="I1155" s="24" t="inlineStr">
        <is>
          <t>away</t>
        </is>
      </c>
      <c r="J1155" s="25" t="n"/>
      <c r="K1155" s="24" t="inlineStr">
        <is>
          <t>polymarket_us</t>
        </is>
      </c>
      <c r="L1155" s="26" t="n">
        <v>-203</v>
      </c>
      <c r="M1155" s="27" t="n">
        <v>1.492611</v>
      </c>
      <c r="N1155" s="28" t="n">
        <v>0.669967</v>
      </c>
      <c r="O1155" s="28" t="n">
        <v>0.6008</v>
      </c>
      <c r="P1155" s="28" t="n">
        <v>0.05</v>
      </c>
      <c r="Q1155" s="28" t="n">
        <v>-0.06916700000000001</v>
      </c>
      <c r="R1155" s="26" t="n">
        <v>0</v>
      </c>
      <c r="S1155" s="29" t="n">
        <v>1</v>
      </c>
      <c r="T1155" s="24" t="inlineStr">
        <is>
          <t>tennis-surface-elo-v1</t>
        </is>
      </c>
      <c r="U1155" s="24" t="inlineStr">
        <is>
          <t>settled</t>
        </is>
      </c>
      <c r="V1155" s="24" t="inlineStr">
        <is>
          <t>win</t>
        </is>
      </c>
      <c r="W1155" s="26" t="n">
        <v>1</v>
      </c>
      <c r="X1155" s="26" t="n">
        <v>0</v>
      </c>
      <c r="Y1155" s="25" t="n"/>
      <c r="Z1155" s="26" t="n">
        <v>-203</v>
      </c>
      <c r="AA1155" s="28" t="n">
        <v>0.67</v>
      </c>
      <c r="AB1155" s="28" t="n">
        <v>3.3e-05</v>
      </c>
      <c r="AC1155" s="30" t="n">
        <v>0.4926</v>
      </c>
      <c r="AD1155" s="24" t="inlineStr">
        <is>
          <t>2026-09-25T22:00:29.182760Z</t>
        </is>
      </c>
      <c r="AE1155" s="31" t="inlineStr">
        <is>
          <t>Surface-blended Elo on Hard: Oksana Selekhmeteva p=0.601 vs Ekaterine Gorgodze. Executable ask 0.6700 (aec-wta-ekagor-okssel-2026-09-25).</t>
        </is>
      </c>
      <c r="AF1155" s="31" t="inlineStr">
        <is>
          <t>Surface-blended Elo model; singles only, WTA+ATP market coverage, not yet locked-holdout qualified -- promoted by explicit operator directive, not genuine walk-forward validation.</t>
        </is>
      </c>
      <c r="AG1155" s="24" t="inlineStr">
        <is>
          <t>not_applicable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PAPER_CALL_LOW_EDGE</t>
        </is>
      </c>
      <c r="AP1155" s="24" t="inlineStr">
        <is>
          <t>Oksana Selekhmeteva</t>
        </is>
      </c>
      <c r="AQ1155" s="24" t="inlineStr">
        <is>
          <t>Oksana Selekhmeteva</t>
        </is>
      </c>
      <c r="AR1155" s="24" t="inlineStr">
        <is>
          <t>Oksana Selekhmeteva</t>
        </is>
      </c>
      <c r="AS1155" s="24" t="inlineStr">
        <is>
          <t>Ekaterine Gorgodze</t>
        </is>
      </c>
      <c r="AT1155" s="24" t="inlineStr">
        <is>
          <t>Ekaterine Gorgodze</t>
        </is>
      </c>
      <c r="AU1155" s="24" t="inlineStr">
        <is>
          <t>Ekaterine Gorgodze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inlineStr">
        <is>
          <t>6c67e999d2a03612e30f4032c8e5e77e8becfbc79e05f4c8993e726b90d34d54</t>
        </is>
      </c>
      <c r="BB1155" s="24" t="inlineStr">
        <is>
          <t>surface_blended_elo</t>
        </is>
      </c>
      <c r="BC1155" s="24" t="inlineStr">
        <is>
          <t>tennis-surface-elo-v1</t>
        </is>
      </c>
      <c r="BD1155" s="24" t="inlineStr">
        <is>
          <t>6c67e999d2a03612e30f4032c8e5e77e8becfbc79e05f4c8993e726b90d34d54</t>
        </is>
      </c>
      <c r="BE1155" s="24" t="inlineStr">
        <is>
          <t>tennis-surface-elo-v1</t>
        </is>
      </c>
      <c r="BF1155" s="24" t="inlineStr">
        <is>
          <t>1</t>
        </is>
      </c>
      <c r="BG1155" s="24" t="inlineStr">
        <is>
          <t>6c67e999d2a03612e30f4032c8e5e77e8becfbc79e05f4c8993e726b90d34d54</t>
        </is>
      </c>
      <c r="BH1155" s="24" t="inlineStr">
        <is>
          <t>2026-09-25T10:07:48.148350Z</t>
        </is>
      </c>
      <c r="BI1155" s="24" t="inlineStr">
        <is>
          <t>["same_event","same_team_same_day","same_league_same_day"]</t>
        </is>
      </c>
      <c r="BJ1155" s="25" t="n"/>
      <c r="BK1155" s="26" t="n">
        <v>-203</v>
      </c>
      <c r="BL1155" s="27" t="n">
        <v>1.492611</v>
      </c>
      <c r="BM1155" s="28" t="n">
        <v>0.669967</v>
      </c>
      <c r="BN1155" s="28" t="n"/>
      <c r="BO1155" s="28" t="n"/>
      <c r="BP1155" s="25" t="n"/>
      <c r="BQ1155" s="27" t="n">
        <v>1.492611</v>
      </c>
      <c r="BR1155" s="28" t="n">
        <v>0.67</v>
      </c>
      <c r="BS1155" s="28" t="n"/>
      <c r="BT1155" s="28" t="n"/>
      <c r="BU1155" s="25" t="n"/>
      <c r="BV1155" s="29" t="n"/>
      <c r="BW1155" s="24" t="n"/>
      <c r="BX1155" s="30" t="n"/>
      <c r="BY1155" s="27" t="n"/>
      <c r="BZ1155" s="24" t="n"/>
      <c r="CA1155" s="31" t="n"/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inlineStr">
        <is>
          <t>28180cae02aaa0fc80b07c0de95cfa41d72f4549550e93bb089bdc448db7cfdd</t>
        </is>
      </c>
      <c r="DE1155" s="24" t="inlineStr">
        <is>
          <t>/Users/vincentc9002/model-prediction/data/odds/tennis/2026-09-25/polymarket_snapshots.jsonl</t>
        </is>
      </c>
      <c r="DF1155" s="24" t="inlineStr">
        <is>
          <t>1035685:2026-09-25T10:07:48.148350Z</t>
        </is>
      </c>
      <c r="DG1155" s="24" t="n"/>
      <c r="DH1155" s="24" t="n"/>
      <c r="DI1155" s="24" t="n"/>
      <c r="DJ1155" s="24" t="inlineStr">
        <is>
          <t>0.669967</t>
        </is>
      </c>
      <c r="DK1155" s="24" t="n"/>
      <c r="DL1155" s="24" t="n"/>
      <c r="DM1155" s="24" t="n"/>
      <c r="DN1155" s="24" t="n"/>
      <c r="DO1155" s="24" t="n"/>
      <c r="DP1155" s="24" t="n"/>
      <c r="DQ1155" s="24" t="inlineStr">
        <is>
          <t>{"artifact_hash": "6c67e999d2a03612e30f4032c8e5e77e8becfbc79e05f4c8993e726b90d34d54", "away_team": "Oksana Selekhmeteva", "event_id": "1019-2026:183900", "event_start_utc": "2026-09-25T15:30Z", "features": {"elo_p1_surface": 1601.4, "elo_p2_surface": 1520.5, "expected_games_p1": 13.45, "expected_games_p2": 9.69, "expected_total_games": 23.14, "history_matches": 16330, "min_player_matches": 74,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[1581.381841480977, 1535.582816480624], "players": ["Oksana Selekhmeteva", "Ekaterine Gorgodze"], "sport": "TENNIS", "surface": "Hard", "surface_counts": [97, 64], "surface_ratings": [1601.4491947713877, 1520.4538694197165]}, "market_type": "moneyline", "model_version": "tennis-surface-elo-v1", "observed_at_utc": "2026-09-25T10:11:58.872282+00:00", "probabilities": {"away": 0.6008, "home": 0.3992}, "replay_scope": "Exact full-precision serving state and rounding; upstream historical observation times are not certified.", "schema": "coded-moneyline-replay-v1", "snapshot_hash": "983fb32932bcb152c9518866091ef0eac57915946e616d20d5a5b4af6e0e257b", "sport": "TENNIS"}</t>
        </is>
      </c>
    </row>
    <row r="1156" ht="36" customHeight="1">
      <c r="A1156" s="24" t="inlineStr">
        <is>
          <t>2fc3792f2b694ff9</t>
        </is>
      </c>
      <c r="B1156" s="24" t="inlineStr">
        <is>
          <t>2026-09-25T10:11:59.776673Z</t>
        </is>
      </c>
      <c r="C1156" s="24" t="inlineStr">
        <is>
          <t>2026-09-25T12:00Z</t>
        </is>
      </c>
      <c r="D1156" s="24" t="inlineStr">
        <is>
          <t>1022-2026:183965</t>
        </is>
      </c>
      <c r="E1156" s="24" t="inlineStr">
        <is>
          <t>TENNIS</t>
        </is>
      </c>
      <c r="F1156" s="24" t="inlineStr">
        <is>
          <t>Angelina Voloshchuk</t>
        </is>
      </c>
      <c r="G1156" s="24" t="inlineStr">
        <is>
          <t>Reese Brantmeier</t>
        </is>
      </c>
      <c r="H1156" s="24" t="inlineStr">
        <is>
          <t>moneyline</t>
        </is>
      </c>
      <c r="I1156" s="24" t="inlineStr">
        <is>
          <t>away</t>
        </is>
      </c>
      <c r="J1156" s="25" t="n"/>
      <c r="K1156" s="24" t="inlineStr">
        <is>
          <t>polymarket_us</t>
        </is>
      </c>
      <c r="L1156" s="26" t="n">
        <v>212</v>
      </c>
      <c r="M1156" s="27" t="n">
        <v>3.12</v>
      </c>
      <c r="N1156" s="28" t="n">
        <v>0.320513</v>
      </c>
      <c r="O1156" s="28" t="n">
        <v>0.5246</v>
      </c>
      <c r="P1156" s="28" t="n">
        <v>0.05</v>
      </c>
      <c r="Q1156" s="28" t="n">
        <v>0.204087</v>
      </c>
      <c r="R1156" s="26" t="n">
        <v>100</v>
      </c>
      <c r="S1156" s="29" t="n">
        <v>2</v>
      </c>
      <c r="T1156" s="24" t="inlineStr">
        <is>
          <t>tennis-surface-elo-v1</t>
        </is>
      </c>
      <c r="U1156" s="24" t="inlineStr">
        <is>
          <t>settled</t>
        </is>
      </c>
      <c r="V1156" s="24" t="inlineStr">
        <is>
          <t>loss</t>
        </is>
      </c>
      <c r="W1156" s="26" t="n">
        <v>0</v>
      </c>
      <c r="X1156" s="26" t="n">
        <v>1</v>
      </c>
      <c r="Y1156" s="25" t="n"/>
      <c r="Z1156" s="26" t="n">
        <v>212</v>
      </c>
      <c r="AA1156" s="28" t="n">
        <v>0.32</v>
      </c>
      <c r="AB1156" s="28" t="n">
        <v>-0.000513</v>
      </c>
      <c r="AC1156" s="30" t="n">
        <v>-2</v>
      </c>
      <c r="AD1156" s="24" t="inlineStr">
        <is>
          <t>2026-09-25T16:00:22.032371Z</t>
        </is>
      </c>
      <c r="AE1156" s="31" t="inlineStr">
        <is>
          <t>Surface-blended Elo on Hard: Angelina Voloshchuk p=0.525 vs Reese Brantmeier. Executable ask 0.3200 (aec-wta-reebra-angvol-2026-09-25).</t>
        </is>
      </c>
      <c r="AF1156" s="31" t="inlineStr">
        <is>
          <t>Surface-blended Elo model; singles only, WTA+ATP market coverage, not yet locked-holdout qualified -- promoted by explicit operator directive, not genuine walk-forward validation.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PAPER_CALL_LOW_EDGE</t>
        </is>
      </c>
      <c r="AP1156" s="24" t="inlineStr">
        <is>
          <t>Angelina Voloshchuk</t>
        </is>
      </c>
      <c r="AQ1156" s="24" t="inlineStr">
        <is>
          <t>Angelina Voloshchuk</t>
        </is>
      </c>
      <c r="AR1156" s="24" t="inlineStr">
        <is>
          <t>Angelina Voloshchuk</t>
        </is>
      </c>
      <c r="AS1156" s="24" t="inlineStr">
        <is>
          <t>Reese Brantmeier</t>
        </is>
      </c>
      <c r="AT1156" s="24" t="inlineStr">
        <is>
          <t>Reese Brantmeier</t>
        </is>
      </c>
      <c r="AU1156" s="24" t="inlineStr">
        <is>
          <t>Reese Brantmeier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inlineStr">
        <is>
          <t>6c67e999d2a03612e30f4032c8e5e77e8becfbc79e05f4c8993e726b90d34d54</t>
        </is>
      </c>
      <c r="BB1156" s="24" t="inlineStr">
        <is>
          <t>surface_blended_elo</t>
        </is>
      </c>
      <c r="BC1156" s="24" t="inlineStr">
        <is>
          <t>tennis-surface-elo-v1</t>
        </is>
      </c>
      <c r="BD1156" s="24" t="inlineStr">
        <is>
          <t>6c67e999d2a03612e30f4032c8e5e77e8becfbc79e05f4c8993e726b90d34d54</t>
        </is>
      </c>
      <c r="BE1156" s="24" t="inlineStr">
        <is>
          <t>tennis-surface-elo-v1</t>
        </is>
      </c>
      <c r="BF1156" s="24" t="inlineStr">
        <is>
          <t>1</t>
        </is>
      </c>
      <c r="BG1156" s="24" t="inlineStr">
        <is>
          <t>6c67e999d2a03612e30f4032c8e5e77e8becfbc79e05f4c8993e726b90d34d54</t>
        </is>
      </c>
      <c r="BH1156" s="24" t="inlineStr">
        <is>
          <t>2026-09-25T04:38:10.124733Z</t>
        </is>
      </c>
      <c r="BI1156" s="24" t="inlineStr">
        <is>
          <t>["same_event","same_team_same_day","same_league_same_day"]</t>
        </is>
      </c>
      <c r="BJ1156" s="25" t="n"/>
      <c r="BK1156" s="26" t="n">
        <v>212</v>
      </c>
      <c r="BL1156" s="27" t="n">
        <v>3.12</v>
      </c>
      <c r="BM1156" s="28" t="n">
        <v>0.320513</v>
      </c>
      <c r="BN1156" s="28" t="n"/>
      <c r="BO1156" s="28" t="n"/>
      <c r="BP1156" s="25" t="n"/>
      <c r="BQ1156" s="27" t="n">
        <v>3.12</v>
      </c>
      <c r="BR1156" s="28" t="n">
        <v>0.32</v>
      </c>
      <c r="BS1156" s="28" t="n"/>
      <c r="BT1156" s="28" t="n"/>
      <c r="BU1156" s="25" t="n"/>
      <c r="BV1156" s="29" t="n"/>
      <c r="BW1156" s="24" t="n"/>
      <c r="BX1156" s="30" t="n"/>
      <c r="BY1156" s="27" t="n"/>
      <c r="BZ1156" s="24" t="n"/>
      <c r="CA1156" s="31" t="n"/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inlineStr">
        <is>
          <t>ee4fc2c30b0e19eda46857cbdb745cbca0c956a8e82e02b4b53bb33d1b84254f</t>
        </is>
      </c>
      <c r="DE1156" s="24" t="inlineStr">
        <is>
          <t>/Users/vincentc9002/model-prediction/data/odds/tennis/2026-09-25/polymarket_snapshots.jsonl</t>
        </is>
      </c>
      <c r="DF1156" s="24" t="inlineStr">
        <is>
          <t>1032590:2026-09-25T04:38:10.124733Z</t>
        </is>
      </c>
      <c r="DG1156" s="24" t="n"/>
      <c r="DH1156" s="24" t="n"/>
      <c r="DI1156" s="24" t="n"/>
      <c r="DJ1156" s="24" t="inlineStr">
        <is>
          <t>0.320513</t>
        </is>
      </c>
      <c r="DK1156" s="24" t="n"/>
      <c r="DL1156" s="24" t="n"/>
      <c r="DM1156" s="24" t="n"/>
      <c r="DN1156" s="24" t="n"/>
      <c r="DO1156" s="24" t="n"/>
      <c r="DP1156" s="24" t="n"/>
      <c r="DQ1156" s="24" t="inlineStr">
        <is>
          <t>{"artifact_hash": "6c67e999d2a03612e30f4032c8e5e77e8becfbc79e05f4c8993e726b90d34d54", "away_team": "Angelina Voloshchuk", "event_id": "1022-2026:183965", "event_start_utc": "2026-09-25T12:00Z", "features": {"elo_p1_surface": 1555.6, "elo_p2_surface": 1540.0, "expected_games_p1": 12.86, "expected_games_p2": 11.83, "expected_total_games": 24.69, "history_matches": 16330, "min_player_matches": 10, "surface": "Hard"}, "historical_source_observation_times_verified": false, "home_team": "Reese Brantmeier", "inference_inputs": {"code_sha256": {"features/elo_ratings.py": "8525faf022a6343c452286dbfeb17dbb043744c6bdabbe448b6b371216da439b", "models/tennis.py": "6c67e999d2a03612e30f4032c8e5e77e8becfbc79e05f4c8993e726b90d34d54"}, "overall_ratings": [1554.7224555532905, 1536.9685660593032], "players": ["Angelina Voloshchuk", "Reese Brantmeier"], "sport": "TENNIS", "surface": "Hard", "surface_counts": [19, 10], "surface_ratings": [1555.5657644292357, 1539.971133912959]}, "market_type": "moneyline", "model_version": "tennis-surface-elo-v1", "observed_at_utc": "2026-09-25T10:11:58.872282+00:00", "probabilities": {"away": 0.5246, "home": 0.4754}, "replay_scope": "Exact full-precision serving state and rounding; upstream historical observation times are not certified.", "schema": "coded-moneyline-replay-v1", "snapshot_hash": "6500fc3fa220368e57b365c62fab02efd680140dbff5d1deac51aa018f4f1a32", "sport": "TENNIS"}</t>
        </is>
      </c>
    </row>
    <row r="1157" ht="36" customHeight="1">
      <c r="A1157" s="24" t="inlineStr">
        <is>
          <t>9f83fd659fce414a</t>
        </is>
      </c>
      <c r="B1157" s="24" t="inlineStr">
        <is>
          <t>2026-09-25T10:11:59.776673Z</t>
        </is>
      </c>
      <c r="C1157" s="24" t="inlineStr">
        <is>
          <t>2026-09-25T10:20Z</t>
        </is>
      </c>
      <c r="D1157" s="24" t="inlineStr">
        <is>
          <t>1001-2026:183368</t>
        </is>
      </c>
      <c r="E1157" s="24" t="inlineStr">
        <is>
          <t>TENNIS</t>
        </is>
      </c>
      <c r="F1157" s="24" t="inlineStr">
        <is>
          <t>Andrey Rublev</t>
        </is>
      </c>
      <c r="G1157" s="24" t="inlineStr">
        <is>
          <t>Rinky Hijikata</t>
        </is>
      </c>
      <c r="H1157" s="24" t="inlineStr">
        <is>
          <t>moneyline</t>
        </is>
      </c>
      <c r="I1157" s="24" t="inlineStr">
        <is>
          <t>away</t>
        </is>
      </c>
      <c r="J1157" s="25" t="n"/>
      <c r="K1157" s="24" t="inlineStr">
        <is>
          <t>polymarket_us</t>
        </is>
      </c>
      <c r="L1157" s="26" t="n">
        <v>-335</v>
      </c>
      <c r="M1157" s="27" t="n">
        <v>1.298507</v>
      </c>
      <c r="N1157" s="28" t="n">
        <v>0.770115</v>
      </c>
      <c r="O1157" s="28" t="n">
        <v>0.5421</v>
      </c>
      <c r="P1157" s="28" t="n">
        <v>0.05</v>
      </c>
      <c r="Q1157" s="28" t="n">
        <v>-0.228015</v>
      </c>
      <c r="R1157" s="26" t="n">
        <v>0</v>
      </c>
      <c r="S1157" s="29" t="n">
        <v>1</v>
      </c>
      <c r="T1157" s="24" t="inlineStr">
        <is>
          <t>tennis-surface-elo-v1</t>
        </is>
      </c>
      <c r="U1157" s="24" t="inlineStr">
        <is>
          <t>settled</t>
        </is>
      </c>
      <c r="V1157" s="24" t="inlineStr">
        <is>
          <t>win</t>
        </is>
      </c>
      <c r="W1157" s="26" t="n">
        <v>1</v>
      </c>
      <c r="X1157" s="26" t="n">
        <v>0</v>
      </c>
      <c r="Y1157" s="25" t="n"/>
      <c r="Z1157" s="26" t="n">
        <v>-335</v>
      </c>
      <c r="AA1157" s="28" t="n">
        <v>0.77</v>
      </c>
      <c r="AB1157" s="28" t="n">
        <v>-0.000115</v>
      </c>
      <c r="AC1157" s="30" t="n">
        <v>0.2985</v>
      </c>
      <c r="AD1157" s="24" t="inlineStr">
        <is>
          <t>2026-09-25T16:00:22.474156Z</t>
        </is>
      </c>
      <c r="AE1157" s="31" t="inlineStr">
        <is>
          <t>Surface-blended Elo on Hard: Andrey Rublev p=0.542 vs Rinky Hijikata. Executable ask 0.7700 (aec-atp-rinhij-andrub-2026-09-25).</t>
        </is>
      </c>
      <c r="AF1157" s="31" t="inlineStr">
        <is>
          <t>Surface-blended Elo model; singles only, WTA+ATP market coverage, not yet locked-holdout qualified -- promoted by explicit operator directive, not genuine walk-forward validation.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PAPER_CALL_LOW_EDGE</t>
        </is>
      </c>
      <c r="AP1157" s="24" t="inlineStr">
        <is>
          <t>Andrey Rublev</t>
        </is>
      </c>
      <c r="AQ1157" s="24" t="inlineStr">
        <is>
          <t>Andrey Rublev</t>
        </is>
      </c>
      <c r="AR1157" s="24" t="inlineStr">
        <is>
          <t>Andrey Rublev</t>
        </is>
      </c>
      <c r="AS1157" s="24" t="inlineStr">
        <is>
          <t>Rinky Hijikata</t>
        </is>
      </c>
      <c r="AT1157" s="24" t="inlineStr">
        <is>
          <t>Rinky Hijikata</t>
        </is>
      </c>
      <c r="AU1157" s="24" t="inlineStr">
        <is>
          <t>Rinky Hijikata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inlineStr">
        <is>
          <t>6c67e999d2a03612e30f4032c8e5e77e8becfbc79e05f4c8993e726b90d34d54</t>
        </is>
      </c>
      <c r="BB1157" s="24" t="inlineStr">
        <is>
          <t>surface_blended_elo</t>
        </is>
      </c>
      <c r="BC1157" s="24" t="inlineStr">
        <is>
          <t>tennis-surface-elo-v1</t>
        </is>
      </c>
      <c r="BD1157" s="24" t="inlineStr">
        <is>
          <t>6c67e999d2a03612e30f4032c8e5e77e8becfbc79e05f4c8993e726b90d34d54</t>
        </is>
      </c>
      <c r="BE1157" s="24" t="inlineStr">
        <is>
          <t>tennis-surface-elo-v1</t>
        </is>
      </c>
      <c r="BF1157" s="24" t="inlineStr">
        <is>
          <t>1</t>
        </is>
      </c>
      <c r="BG1157" s="24" t="inlineStr">
        <is>
          <t>6c67e999d2a03612e30f4032c8e5e77e8becfbc79e05f4c8993e726b90d34d54</t>
        </is>
      </c>
      <c r="BH1157" s="24" t="inlineStr">
        <is>
          <t>2026-09-25T10:08:10.033800Z</t>
        </is>
      </c>
      <c r="BI1157" s="24" t="inlineStr">
        <is>
          <t>["same_event","same_team_same_day","same_league_same_day"]</t>
        </is>
      </c>
      <c r="BJ1157" s="25" t="n"/>
      <c r="BK1157" s="26" t="n">
        <v>-335</v>
      </c>
      <c r="BL1157" s="27" t="n">
        <v>1.298507</v>
      </c>
      <c r="BM1157" s="28" t="n">
        <v>0.770115</v>
      </c>
      <c r="BN1157" s="28" t="n"/>
      <c r="BO1157" s="28" t="n"/>
      <c r="BP1157" s="25" t="n"/>
      <c r="BQ1157" s="27" t="n">
        <v>1.298507</v>
      </c>
      <c r="BR1157" s="28" t="n">
        <v>0.77</v>
      </c>
      <c r="BS1157" s="28" t="n"/>
      <c r="BT1157" s="28" t="n"/>
      <c r="BU1157" s="25" t="n"/>
      <c r="BV1157" s="29" t="n"/>
      <c r="BW1157" s="24" t="n"/>
      <c r="BX1157" s="30" t="n"/>
      <c r="BY1157" s="27" t="n"/>
      <c r="BZ1157" s="24" t="n"/>
      <c r="CA1157" s="31" t="n"/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False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inlineStr">
        <is>
          <t>3d881d6fec5a6ac0b5a0004b83d2bb7a23fff99206dffb2d6fd787dfe51956c1</t>
        </is>
      </c>
      <c r="DE1157" s="24" t="inlineStr">
        <is>
          <t>/Users/vincentc9002/model-prediction/data/odds/tennis/2026-09-25/polymarket_snapshots.jsonl</t>
        </is>
      </c>
      <c r="DF1157" s="24" t="inlineStr">
        <is>
          <t>1032037:2026-09-25T10:08:10.033800Z</t>
        </is>
      </c>
      <c r="DG1157" s="24" t="n"/>
      <c r="DH1157" s="24" t="n"/>
      <c r="DI1157" s="24" t="n"/>
      <c r="DJ1157" s="24" t="inlineStr">
        <is>
          <t>0.770115</t>
        </is>
      </c>
      <c r="DK1157" s="24" t="n"/>
      <c r="DL1157" s="24" t="n"/>
      <c r="DM1157" s="24" t="n"/>
      <c r="DN1157" s="24" t="n"/>
      <c r="DO1157" s="24" t="n"/>
      <c r="DP1157" s="24" t="n"/>
      <c r="DQ1157" s="24" t="inlineStr">
        <is>
          <t>{"artifact_hash": "6c67e999d2a03612e30f4032c8e5e77e8becfbc79e05f4c8993e726b90d34d54", "away_team": "Andrey Rublev", "event_id": "1001-2026:183368", "event_start_utc": "2026-09-25T10:20Z", "features": {"elo_p1_surface": 1665.6, "elo_p2_surface": 1647.7, "expected_games_p1": 13.3, "expected_games_p2": 12.15, "expected_total_games": 25.45, "history_matches": 11257, "min_player_matches": 136, "surface": "Hard"}, "historical_source_observation_times_verified": false, "home_team": "Rinky Hijikata", "inference_inputs": {"code_sha256": {"features/elo_ratings.py": "8525faf022a6343c452286dbfeb17dbb043744c6bdabbe448b6b371216da439b", "models/tennis.py": "6c67e999d2a03612e30f4032c8e5e77e8becfbc79e05f4c8993e726b90d34d54"}, "overall_ratings": [1691.2000120223809, 1627.0148274423675], "players": ["Andrey Rublev", "Rinky Hijikata"], "sport": "TENNIS", "surface": "Hard", "surface_counts": [116, 114], "surface_ratings": [1665.5732344090216, 1647.7226334696325]}, "market_type": "moneyline", "model_version": "tennis-surface-elo-v1", "observed_at_utc": "2026-09-25T10:11:58.872282+00:00", "probabilities": {"away": 0.5421, "home": 0.4579}, "replay_scope": "Exact full-precision serving state and rounding; upstream historical observation times are not certified.", "schema": "coded-moneyline-replay-v1", "snapshot_hash": "551a01fbbac3f5c0cf946b12b32b7446cef3c0cd8e9aac2669f6708f772e5f58", "sport": "TENNIS"}</t>
        </is>
      </c>
    </row>
    <row r="1158" ht="36" customHeight="1">
      <c r="A1158" s="24" t="inlineStr">
        <is>
          <t>6891025d974941e7</t>
        </is>
      </c>
      <c r="B1158" s="24" t="inlineStr">
        <is>
          <t>2026-09-25T22:08:37.836926Z</t>
        </is>
      </c>
      <c r="C1158" s="24" t="inlineStr">
        <is>
          <t>2026-09-26T03:30Z</t>
        </is>
      </c>
      <c r="D1158" s="24" t="inlineStr">
        <is>
          <t>811-2026:184057</t>
        </is>
      </c>
      <c r="E1158" s="24" t="inlineStr">
        <is>
          <t>TENNIS</t>
        </is>
      </c>
      <c r="F1158" s="24" t="inlineStr">
        <is>
          <t>Maya Joint</t>
        </is>
      </c>
      <c r="G1158" s="24" t="inlineStr">
        <is>
          <t>Lanlana Tararudee</t>
        </is>
      </c>
      <c r="H1158" s="24" t="inlineStr">
        <is>
          <t>moneyline</t>
        </is>
      </c>
      <c r="I1158" s="24" t="inlineStr">
        <is>
          <t>home</t>
        </is>
      </c>
      <c r="J1158" s="25" t="n"/>
      <c r="K1158" s="24" t="inlineStr">
        <is>
          <t>polymarket_us</t>
        </is>
      </c>
      <c r="L1158" s="26" t="n">
        <v>-117</v>
      </c>
      <c r="M1158" s="27" t="n">
        <v>1.854701</v>
      </c>
      <c r="N1158" s="28" t="n">
        <v>0.539171</v>
      </c>
      <c r="O1158" s="28" t="n">
        <v>0.6045</v>
      </c>
      <c r="P1158" s="28" t="n">
        <v>0.05</v>
      </c>
      <c r="Q1158" s="28" t="n">
        <v>0.065329</v>
      </c>
      <c r="R1158" s="26" t="n">
        <v>53</v>
      </c>
      <c r="S1158" s="29" t="n">
        <v>1</v>
      </c>
      <c r="T1158" s="24" t="inlineStr">
        <is>
          <t>tennis-surface-elo-v1</t>
        </is>
      </c>
      <c r="U1158" s="24" t="inlineStr">
        <is>
          <t>settled</t>
        </is>
      </c>
      <c r="V1158" s="24" t="inlineStr">
        <is>
          <t>loss</t>
        </is>
      </c>
      <c r="W1158" s="26" t="n">
        <v>1</v>
      </c>
      <c r="X1158" s="26" t="n">
        <v>0</v>
      </c>
      <c r="Y1158" s="25" t="n"/>
      <c r="Z1158" s="26" t="n">
        <v>-117</v>
      </c>
      <c r="AA1158" s="28" t="n">
        <v>0.54</v>
      </c>
      <c r="AB1158" s="28" t="n">
        <v>0.000829</v>
      </c>
      <c r="AC1158" s="30" t="n">
        <v>-1</v>
      </c>
      <c r="AD1158" s="24" t="inlineStr">
        <is>
          <t>2026-09-26T05:52:04.543091Z</t>
        </is>
      </c>
      <c r="AE1158" s="31" t="inlineStr">
        <is>
          <t>Surface-blended Elo on Hard: Maya Joint p=0.396 vs Lanlana Tararudee. Executable ask 0.5400 (aec-wta-lantar-mayjoi-2026-09-23).</t>
        </is>
      </c>
      <c r="AF1158" s="31" t="inlineStr">
        <is>
          <t>Surface-blended Elo model; singles only, WTA+ATP market coverage, not yet locked-holdout qualified -- promoted by explicit operator directive, not genuine walk-forward validation.</t>
        </is>
      </c>
      <c r="AG1158" s="24" t="inlineStr">
        <is>
          <t>review_required</t>
        </is>
      </c>
      <c r="AH1158" s="24" t="n"/>
      <c r="AI1158" s="31" t="n"/>
      <c r="AJ1158" s="31" t="n"/>
      <c r="AK1158" s="24" t="inlineStr">
        <is>
          <t>model_qualified</t>
        </is>
      </c>
      <c r="AL1158" s="26" t="n">
        <v>4</v>
      </c>
      <c r="AM1158" s="24" t="inlineStr">
        <is>
          <t>QUALIFIED_SHADOW_CALL</t>
        </is>
      </c>
      <c r="AN1158" s="24" t="inlineStr">
        <is>
          <t>CALL</t>
        </is>
      </c>
      <c r="AO1158" s="24" t="inlineStr">
        <is>
          <t>QUALIFIED</t>
        </is>
      </c>
      <c r="AP1158" s="24" t="inlineStr">
        <is>
          <t>Maya Joint</t>
        </is>
      </c>
      <c r="AQ1158" s="24" t="inlineStr">
        <is>
          <t>Maya Joint</t>
        </is>
      </c>
      <c r="AR1158" s="24" t="inlineStr">
        <is>
          <t>Maya Joint</t>
        </is>
      </c>
      <c r="AS1158" s="24" t="inlineStr">
        <is>
          <t>Lanlana Tararudee</t>
        </is>
      </c>
      <c r="AT1158" s="24" t="inlineStr">
        <is>
          <t>Lanlana Tararudee</t>
        </is>
      </c>
      <c r="AU1158" s="24" t="inlineStr">
        <is>
          <t>Lanlana Tararudee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inlineStr">
        <is>
          <t>6c67e999d2a03612e30f4032c8e5e77e8becfbc79e05f4c8993e726b90d34d54</t>
        </is>
      </c>
      <c r="BB1158" s="24" t="inlineStr">
        <is>
          <t>surface_blended_elo</t>
        </is>
      </c>
      <c r="BC1158" s="24" t="inlineStr">
        <is>
          <t>tennis-surface-elo-v1</t>
        </is>
      </c>
      <c r="BD1158" s="24" t="inlineStr">
        <is>
          <t>6c67e999d2a03612e30f4032c8e5e77e8becfbc79e05f4c8993e726b90d34d54</t>
        </is>
      </c>
      <c r="BE1158" s="24" t="inlineStr">
        <is>
          <t>tennis-surface-elo-v1</t>
        </is>
      </c>
      <c r="BF1158" s="24" t="inlineStr">
        <is>
          <t>1</t>
        </is>
      </c>
      <c r="BG1158" s="24" t="inlineStr">
        <is>
          <t>6c67e999d2a03612e30f4032c8e5e77e8becfbc79e05f4c8993e726b90d34d54</t>
        </is>
      </c>
      <c r="BH1158" s="24" t="inlineStr">
        <is>
          <t>2026-09-25T16:07:39.256590Z</t>
        </is>
      </c>
      <c r="BI1158" s="24" t="inlineStr">
        <is>
          <t>["same_event","same_team_same_day","same_league_same_day"]</t>
        </is>
      </c>
      <c r="BJ1158" s="25" t="n"/>
      <c r="BK1158" s="26" t="n">
        <v>-117</v>
      </c>
      <c r="BL1158" s="27" t="n">
        <v>1.854701</v>
      </c>
      <c r="BM1158" s="28" t="n">
        <v>0.539171</v>
      </c>
      <c r="BN1158" s="28" t="n"/>
      <c r="BO1158" s="28" t="n"/>
      <c r="BP1158" s="25" t="n"/>
      <c r="BQ1158" s="27" t="n">
        <v>1.854701</v>
      </c>
      <c r="BR1158" s="28" t="n">
        <v>0.54</v>
      </c>
      <c r="BS1158" s="28" t="n"/>
      <c r="BT1158" s="28" t="n"/>
      <c r="BU1158" s="25" t="n"/>
      <c r="BV1158" s="29" t="n"/>
      <c r="BW1158" s="24" t="n"/>
      <c r="BX1158" s="30" t="n"/>
      <c r="BY1158" s="27" t="n"/>
      <c r="BZ1158" s="24" t="n"/>
      <c r="CA1158" s="31" t="n"/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True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inlineStr">
        <is>
          <t>f3cbc6c1959a48f1e44b01feb9f5a61528a6b4d5f502354a11864d989ff5bb98</t>
        </is>
      </c>
      <c r="DE1158" s="24" t="inlineStr">
        <is>
          <t>/Users/vincentc9002/model-prediction/data/odds/tennis/2026-09-25/polymarket_snapshots.jsonl</t>
        </is>
      </c>
      <c r="DF1158" s="24" t="inlineStr">
        <is>
          <t>1016451:2026-09-25T16:07:39.256590Z</t>
        </is>
      </c>
      <c r="DG1158" s="24" t="n"/>
      <c r="DH1158" s="24" t="n"/>
      <c r="DI1158" s="24" t="n"/>
      <c r="DJ1158" s="24" t="inlineStr">
        <is>
          <t>0.539171</t>
        </is>
      </c>
      <c r="DK1158" s="24" t="n"/>
      <c r="DL1158" s="24" t="n"/>
      <c r="DM1158" s="24" t="n"/>
      <c r="DN1158" s="24" t="n"/>
      <c r="DO1158" s="24" t="n"/>
      <c r="DP1158" s="24" t="n"/>
      <c r="DQ1158" s="24" t="inlineStr">
        <is>
          <t>{"artifact_hash": "6c67e999d2a03612e30f4032c8e5e77e8becfbc79e05f4c8993e726b90d34d54", "away_team": "Maya Joint", "event_id": "811-2026:184057", "event_start_utc": "2026-09-26T03:30Z", "features": {"elo_p1_surface": 1638.2, "elo_p2_surface": 1715.6, "expected_games_p1": 10.26, "expected_games_p2": 13.26, "expected_total_games": 23.52, "history_matches": 16330, "min_player_matches": 89,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[1632.2807628061155, 1697.6635721729142], "players": ["Maya Joint", "Lanlana Tararudee"], "sport": "TENNIS", "surface": "Hard", "surface_counts": [116, 77], "surface_ratings": [1638.2179603163906, 1715.6194530361452]}, "market_type": "moneyline", "model_version": "tennis-surface-elo-v1", "observed_at_utc": "2026-09-25T22:08:36.572962+00:00", "probabilities": {"away": 0.3955, "home": 0.6045}, "replay_scope": "Exact full-precision serving state and rounding; upstream historical observation times are not certified.", "schema": "coded-moneyline-replay-v1", "snapshot_hash": "b488ed1a1d6f76a0b34054453156ddfdf8e7e256be07d2f3291c7a6a8edaecfd", "sport": "TENNIS"}</t>
        </is>
      </c>
    </row>
    <row r="1159" ht="36" customHeight="1">
      <c r="A1159" s="24" t="inlineStr">
        <is>
          <t>ec21822a78f74090</t>
        </is>
      </c>
      <c r="B1159" s="24" t="inlineStr">
        <is>
          <t>2026-09-27T05:02:41.331612Z</t>
        </is>
      </c>
      <c r="C1159" s="24" t="inlineStr">
        <is>
          <t>2026-09-27T10:00Z</t>
        </is>
      </c>
      <c r="D1159" s="24" t="inlineStr">
        <is>
          <t>1022-2026:183969</t>
        </is>
      </c>
      <c r="E1159" s="24" t="inlineStr">
        <is>
          <t>TENNIS</t>
        </is>
      </c>
      <c r="F1159" s="24" t="inlineStr">
        <is>
          <t>Reese Brantmeier</t>
        </is>
      </c>
      <c r="G1159" s="24" t="inlineStr">
        <is>
          <t>Maria Timofeeva</t>
        </is>
      </c>
      <c r="H1159" s="24" t="inlineStr">
        <is>
          <t>moneyline</t>
        </is>
      </c>
      <c r="I1159" s="24" t="inlineStr">
        <is>
          <t>home</t>
        </is>
      </c>
      <c r="J1159" s="25" t="n"/>
      <c r="K1159" s="24" t="inlineStr">
        <is>
          <t>polymarket_us</t>
        </is>
      </c>
      <c r="L1159" s="26" t="n">
        <v>-170</v>
      </c>
      <c r="M1159" s="27" t="n">
        <v>1.588235</v>
      </c>
      <c r="N1159" s="28" t="n">
        <v>0.62963</v>
      </c>
      <c r="O1159" s="28" t="n">
        <v>0.6568000000000001</v>
      </c>
      <c r="P1159" s="28" t="n">
        <v>0.05</v>
      </c>
      <c r="Q1159" s="28" t="n">
        <v>0.02717</v>
      </c>
      <c r="R1159" s="26" t="n">
        <v>34</v>
      </c>
      <c r="S1159" s="29" t="n">
        <v>1</v>
      </c>
      <c r="T1159" s="24" t="inlineStr">
        <is>
          <t>tennis-surface-elo-v1</t>
        </is>
      </c>
      <c r="U1159" s="24" t="inlineStr">
        <is>
          <t>settled</t>
        </is>
      </c>
      <c r="V1159" s="24" t="inlineStr">
        <is>
          <t>win</t>
        </is>
      </c>
      <c r="W1159" s="26" t="n">
        <v>0</v>
      </c>
      <c r="X1159" s="26" t="n">
        <v>1</v>
      </c>
      <c r="Y1159" s="25" t="n"/>
      <c r="Z1159" s="26" t="n">
        <v>-170</v>
      </c>
      <c r="AA1159" s="28" t="n">
        <v>0.63</v>
      </c>
      <c r="AB1159" s="28" t="n">
        <v>0.00037</v>
      </c>
      <c r="AC1159" s="30" t="n">
        <v>0.5881999999999999</v>
      </c>
      <c r="AD1159" s="24" t="inlineStr">
        <is>
          <t>2026-09-27T16:00:09.692483Z</t>
        </is>
      </c>
      <c r="AE1159" s="31" t="inlineStr">
        <is>
          <t>Surface-blended Elo on Hard: Reese Brantmeier p=0.343 vs Maria Timofeeva. Executable ask 0.6300 (aec-wta-martim-reebra-2026-09-27).</t>
        </is>
      </c>
      <c r="AF1159" s="31" t="inlineStr">
        <is>
          <t>Surface-blended Elo model; singles only, WTA+ATP market coverage, not yet locked-holdout qualified -- promoted by explicit operator directive, not genuine walk-forward validation.</t>
        </is>
      </c>
      <c r="AG1159" s="24" t="inlineStr">
        <is>
          <t>not_applicable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PAPER_CALL_LOW_EDGE</t>
        </is>
      </c>
      <c r="AP1159" s="24" t="inlineStr">
        <is>
          <t>Reese Brantmeier</t>
        </is>
      </c>
      <c r="AQ1159" s="24" t="inlineStr">
        <is>
          <t>Reese Brantmeier</t>
        </is>
      </c>
      <c r="AR1159" s="24" t="inlineStr">
        <is>
          <t>Reese Brantmeier</t>
        </is>
      </c>
      <c r="AS1159" s="24" t="inlineStr">
        <is>
          <t>Maria Timofeeva</t>
        </is>
      </c>
      <c r="AT1159" s="24" t="inlineStr">
        <is>
          <t>Maria Timofeeva</t>
        </is>
      </c>
      <c r="AU1159" s="24" t="inlineStr">
        <is>
          <t>Maria Timofeeva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inlineStr">
        <is>
          <t>6c67e999d2a03612e30f4032c8e5e77e8becfbc79e05f4c8993e726b90d34d54</t>
        </is>
      </c>
      <c r="BB1159" s="24" t="inlineStr">
        <is>
          <t>surface_blended_elo</t>
        </is>
      </c>
      <c r="BC1159" s="24" t="inlineStr">
        <is>
          <t>tennis-surface-elo-v1</t>
        </is>
      </c>
      <c r="BD1159" s="24" t="inlineStr">
        <is>
          <t>6c67e999d2a03612e30f4032c8e5e77e8becfbc79e05f4c8993e726b90d34d54</t>
        </is>
      </c>
      <c r="BE1159" s="24" t="inlineStr">
        <is>
          <t>tennis-surface-elo-v1</t>
        </is>
      </c>
      <c r="BF1159" s="24" t="inlineStr">
        <is>
          <t>1</t>
        </is>
      </c>
      <c r="BG1159" s="24" t="inlineStr">
        <is>
          <t>6c67e999d2a03612e30f4032c8e5e77e8becfbc79e05f4c8993e726b90d34d54</t>
        </is>
      </c>
      <c r="BH1159" s="24" t="inlineStr">
        <is>
          <t>2026-09-27T04:56:24.984817Z</t>
        </is>
      </c>
      <c r="BI1159" s="24" t="inlineStr">
        <is>
          <t>["same_event","same_team_same_day","same_league_same_day"]</t>
        </is>
      </c>
      <c r="BJ1159" s="25" t="n"/>
      <c r="BK1159" s="26" t="n">
        <v>-170</v>
      </c>
      <c r="BL1159" s="27" t="n">
        <v>1.588235</v>
      </c>
      <c r="BM1159" s="28" t="n">
        <v>0.62963</v>
      </c>
      <c r="BN1159" s="28" t="n"/>
      <c r="BO1159" s="28" t="n"/>
      <c r="BP1159" s="25" t="n"/>
      <c r="BQ1159" s="27" t="n">
        <v>1.588235</v>
      </c>
      <c r="BR1159" s="28" t="n">
        <v>0.63</v>
      </c>
      <c r="BS1159" s="28" t="n"/>
      <c r="BT1159" s="28" t="n"/>
      <c r="BU1159" s="25" t="n"/>
      <c r="BV1159" s="29" t="n"/>
      <c r="BW1159" s="24" t="n"/>
      <c r="BX1159" s="30" t="n"/>
      <c r="BY1159" s="27" t="n"/>
      <c r="BZ1159" s="24" t="n"/>
      <c r="CA1159" s="31" t="n"/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inlineStr">
        <is>
          <t>3f2aea9dbf7f9a954b3f3b1b736a1b8dfc44a919e15e2eac29c876930a26c35d</t>
        </is>
      </c>
      <c r="DE1159" s="24" t="inlineStr">
        <is>
          <t>/Users/vincentc9002/model-prediction/data/odds/tennis/2026-09-27/polymarket_snapshots.jsonl</t>
        </is>
      </c>
      <c r="DF1159" s="24" t="inlineStr">
        <is>
          <t>1066883:2026-09-27T04:56:24.984817Z</t>
        </is>
      </c>
      <c r="DG1159" s="24" t="n"/>
      <c r="DH1159" s="24" t="n"/>
      <c r="DI1159" s="24" t="n"/>
      <c r="DJ1159" s="24" t="inlineStr">
        <is>
          <t>0.62963</t>
        </is>
      </c>
      <c r="DK1159" s="24" t="n"/>
      <c r="DL1159" s="24" t="n"/>
      <c r="DM1159" s="24" t="n"/>
      <c r="DN1159" s="24" t="n"/>
      <c r="DO1159" s="24" t="n"/>
      <c r="DP1159" s="24" t="n"/>
      <c r="DQ1159" s="24" t="inlineStr">
        <is>
          <t>{"artifact_hash": "6c67e999d2a03612e30f4032c8e5e77e8becfbc79e05f4c8993e726b90d34d54", "away_team": "Reese Brantmeier", "event_id": "1022-2026:183969", "event_start_utc": "2026-09-27T10:00Z", "features": {"elo_p1_surface": 1577.6, "elo_p2_surface": 1687.1, "expected_games_p1": 9.13, "expected_games_p2": 13.27, "expected_total_games": 22.4, "history_matches": 16373, "min_player_matches": 12, "surface": "Hard"}, "historical_source_observation_times_verified": false, "home_team": "Maria Timofeeva", "inference_inputs": {"code_sha256": {"features/elo_ratings.py": "8525faf022a6343c452286dbfeb17dbb043744c6bdabbe448b6b371216da439b", "models/tennis.py": "6c67e999d2a03612e30f4032c8e5e77e8becfbc79e05f4c8993e726b90d34d54"}, "overall_ratings": [1574.7109122398654, 1692.6004209102323], "players": ["Reese Brantmeier", "Maria Timofeeva"], "sport": "TENNIS", "surface": "Hard", "surface_counts": [12, 94], "surface_ratings": [1577.6205625067864, 1687.080174091281]}, "market_type": "moneyline", "model_version": "tennis-surface-elo-v1", "observed_at_utc": "2026-09-27T05:02:39.711108+00:00", "probabilities": {"away": 0.3432, "home": 0.6568}, "replay_scope": "Exact full-precision serving state and rounding; upstream historical observation times are not certified.", "schema": "coded-moneyline-replay-v1", "snapshot_hash": "fce1d52a2cdff7c65f57b41a4231b85be8cc6a50ca6317153334d0efa7c67347", "sport": "TENNIS"}</t>
        </is>
      </c>
    </row>
    <row r="1160" ht="36" customHeight="1">
      <c r="A1160" s="24" t="inlineStr">
        <is>
          <t>f2334350f048409a</t>
        </is>
      </c>
      <c r="B1160" s="24" t="inlineStr">
        <is>
          <t>2026-09-27T10:29:28.023864Z</t>
        </is>
      </c>
      <c r="C1160" s="24" t="inlineStr">
        <is>
          <t>2026-09-27T13:30Z</t>
        </is>
      </c>
      <c r="D1160" s="24" t="inlineStr">
        <is>
          <t>1078-2026:186195</t>
        </is>
      </c>
      <c r="E1160" s="24" t="inlineStr">
        <is>
          <t>TENNIS</t>
        </is>
      </c>
      <c r="F1160" s="24" t="inlineStr">
        <is>
          <t>Lois Boisson</t>
        </is>
      </c>
      <c r="G1160" s="24" t="inlineStr">
        <is>
          <t>Fiona Crawley</t>
        </is>
      </c>
      <c r="H1160" s="24" t="inlineStr">
        <is>
          <t>moneyline</t>
        </is>
      </c>
      <c r="I1160" s="24" t="inlineStr">
        <is>
          <t>away</t>
        </is>
      </c>
      <c r="J1160" s="25" t="n"/>
      <c r="K1160" s="24" t="inlineStr">
        <is>
          <t>polymarket_us</t>
        </is>
      </c>
      <c r="L1160" s="26" t="n">
        <v>-186</v>
      </c>
      <c r="M1160" s="27" t="n">
        <v>1.537634</v>
      </c>
      <c r="N1160" s="28" t="n">
        <v>0.65035</v>
      </c>
      <c r="O1160" s="28" t="n">
        <v>0.5462</v>
      </c>
      <c r="P1160" s="28" t="n">
        <v>0.05</v>
      </c>
      <c r="Q1160" s="28" t="n">
        <v>-0.10415</v>
      </c>
      <c r="R1160" s="26" t="n">
        <v>0</v>
      </c>
      <c r="S1160" s="29" t="n">
        <v>1</v>
      </c>
      <c r="T1160" s="24" t="inlineStr">
        <is>
          <t>tennis-surface-elo-v1</t>
        </is>
      </c>
      <c r="U1160" s="24" t="inlineStr">
        <is>
          <t>settled</t>
        </is>
      </c>
      <c r="V1160" s="24" t="inlineStr">
        <is>
          <t>loss</t>
        </is>
      </c>
      <c r="W1160" s="26" t="n">
        <v>0</v>
      </c>
      <c r="X1160" s="26" t="n">
        <v>1</v>
      </c>
      <c r="Y1160" s="25" t="n"/>
      <c r="Z1160" s="26" t="n">
        <v>-186</v>
      </c>
      <c r="AA1160" s="28" t="n">
        <v>0.65</v>
      </c>
      <c r="AB1160" s="28" t="n">
        <v>-0.00035</v>
      </c>
      <c r="AC1160" s="30" t="n">
        <v>-1</v>
      </c>
      <c r="AD1160" s="24" t="inlineStr">
        <is>
          <t>2026-09-27T22:01:12.093714Z</t>
        </is>
      </c>
      <c r="AE1160" s="31" t="inlineStr">
        <is>
          <t>Surface-blended Elo on Hard: Lois Boisson p=0.546 vs Fiona Crawley. Executable ask 0.6500 (aec-wta-fiocra-loiboi-2026-09-27).</t>
        </is>
      </c>
      <c r="AF1160" s="31" t="inlineStr">
        <is>
          <t>Surface-blended Elo model; singles only, WTA+ATP market coverage, not yet locked-holdout qualified -- promoted by explicit operator directive, not genuine walk-forward validation.</t>
        </is>
      </c>
      <c r="AG1160" s="24" t="inlineStr">
        <is>
          <t>review_required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PAPER_CALL_LOW_EDGE</t>
        </is>
      </c>
      <c r="AP1160" s="24" t="inlineStr">
        <is>
          <t>Lois Boisson</t>
        </is>
      </c>
      <c r="AQ1160" s="24" t="inlineStr">
        <is>
          <t>Lois Boisson</t>
        </is>
      </c>
      <c r="AR1160" s="24" t="inlineStr">
        <is>
          <t>Lois Boisson</t>
        </is>
      </c>
      <c r="AS1160" s="24" t="inlineStr">
        <is>
          <t>Fiona Crawley</t>
        </is>
      </c>
      <c r="AT1160" s="24" t="inlineStr">
        <is>
          <t>Fiona Crawley</t>
        </is>
      </c>
      <c r="AU1160" s="24" t="inlineStr">
        <is>
          <t>Fiona Crawley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inlineStr">
        <is>
          <t>6c67e999d2a03612e30f4032c8e5e77e8becfbc79e05f4c8993e726b90d34d54</t>
        </is>
      </c>
      <c r="BB1160" s="24" t="inlineStr">
        <is>
          <t>surface_blended_elo</t>
        </is>
      </c>
      <c r="BC1160" s="24" t="inlineStr">
        <is>
          <t>tennis-surface-elo-v1</t>
        </is>
      </c>
      <c r="BD1160" s="24" t="inlineStr">
        <is>
          <t>6c67e999d2a03612e30f4032c8e5e77e8becfbc79e05f4c8993e726b90d34d54</t>
        </is>
      </c>
      <c r="BE1160" s="24" t="inlineStr">
        <is>
          <t>tennis-surface-elo-v1</t>
        </is>
      </c>
      <c r="BF1160" s="24" t="inlineStr">
        <is>
          <t>1</t>
        </is>
      </c>
      <c r="BG1160" s="24" t="inlineStr">
        <is>
          <t>6c67e999d2a03612e30f4032c8e5e77e8becfbc79e05f4c8993e726b90d34d54</t>
        </is>
      </c>
      <c r="BH1160" s="24" t="inlineStr">
        <is>
          <t>2026-09-27T10:23:19.115897Z</t>
        </is>
      </c>
      <c r="BI1160" s="24" t="inlineStr">
        <is>
          <t>["same_event","same_team_same_day","same_league_same_day"]</t>
        </is>
      </c>
      <c r="BJ1160" s="25" t="n"/>
      <c r="BK1160" s="26" t="n">
        <v>-186</v>
      </c>
      <c r="BL1160" s="27" t="n">
        <v>1.537634</v>
      </c>
      <c r="BM1160" s="28" t="n">
        <v>0.65035</v>
      </c>
      <c r="BN1160" s="28" t="n"/>
      <c r="BO1160" s="28" t="n"/>
      <c r="BP1160" s="25" t="n"/>
      <c r="BQ1160" s="27" t="n">
        <v>1.537634</v>
      </c>
      <c r="BR1160" s="28" t="n">
        <v>0.65</v>
      </c>
      <c r="BS1160" s="28" t="n"/>
      <c r="BT1160" s="28" t="n"/>
      <c r="BU1160" s="25" t="n"/>
      <c r="BV1160" s="29" t="n"/>
      <c r="BW1160" s="24" t="n"/>
      <c r="BX1160" s="30" t="n"/>
      <c r="BY1160" s="27" t="n"/>
      <c r="BZ1160" s="24" t="n"/>
      <c r="CA1160" s="31" t="n"/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False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inlineStr">
        <is>
          <t>180cf4a279d12dc0af3b5c8c38e866b5ecadd401721bac0f35ab1eaf1924e72a</t>
        </is>
      </c>
      <c r="DE1160" s="24" t="inlineStr">
        <is>
          <t>/Users/vincentc9002/model-prediction/data/odds/tennis/2026-09-27/polymarket_snapshots.jsonl</t>
        </is>
      </c>
      <c r="DF1160" s="24" t="inlineStr">
        <is>
          <t>1066569:2026-09-27T10:23:19.115897Z</t>
        </is>
      </c>
      <c r="DG1160" s="24" t="n"/>
      <c r="DH1160" s="24" t="n"/>
      <c r="DI1160" s="24" t="n"/>
      <c r="DJ1160" s="24" t="inlineStr">
        <is>
          <t>0.65035</t>
        </is>
      </c>
      <c r="DK1160" s="24" t="n"/>
      <c r="DL1160" s="24" t="n"/>
      <c r="DM1160" s="24" t="n"/>
      <c r="DN1160" s="24" t="n"/>
      <c r="DO1160" s="24" t="n"/>
      <c r="DP1160" s="24" t="n"/>
      <c r="DQ1160" s="24" t="inlineStr">
        <is>
          <t>{"artifact_hash": "6c67e999d2a03612e30f4032c8e5e77e8becfbc79e05f4c8993e726b90d34d54", "away_team": "Lois Boisson", "event_id": "1078-2026:186195", "event_start_utc": "2026-09-27T13:30Z", "features": {"elo_p1_surface": 1546.1, "elo_p2_surface": 1519.1, "expected_games_p1": 13.05, "expected_games_p2": 11.5, "expected_total_games": 24.55, "history_matches": 16373, "min_player_matches": 13,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[1584.3058831867022, 1536.3599942681062], "players": ["Lois Boisson", "Fiona Crawley"], "sport": "TENNIS", "surface": "Hard", "surface_counts": [30, 10], "surface_ratings": [1546.1221399085105, 1519.134039676865]}, "market_type": "moneyline", "model_version": "tennis-surface-elo-v1", "observed_at_utc": "2026-09-27T10:29:25.669192+00:00", "probabilities": {"away": 0.5462, "home": 0.4538}, "replay_scope": "Exact full-precision serving state and rounding; upstream historical observation times are not certified.", "schema": "coded-moneyline-replay-v1", "snapshot_hash": "d8d428acdc14374a61734b91e841df0f18191b7d054ef88704f1600c532cace7", "sport": "TENNIS"}</t>
        </is>
      </c>
    </row>
    <row r="1161" ht="36" customHeight="1">
      <c r="A1161" s="24" t="inlineStr">
        <is>
          <t>6cc1eb668e5c4f77</t>
        </is>
      </c>
      <c r="B1161" s="24" t="inlineStr">
        <is>
          <t>2026-09-27T22:11:12.556445Z</t>
        </is>
      </c>
      <c r="C1161" s="24" t="inlineStr">
        <is>
          <t>2026-09-28T03:00Z</t>
        </is>
      </c>
      <c r="D1161" s="24" t="inlineStr">
        <is>
          <t>959-2026:186257</t>
        </is>
      </c>
      <c r="E1161" s="24" t="inlineStr">
        <is>
          <t>TENNIS</t>
        </is>
      </c>
      <c r="F1161" s="24" t="inlineStr">
        <is>
          <t>Tomas Machac</t>
        </is>
      </c>
      <c r="G1161" s="24" t="inlineStr">
        <is>
          <t>Yannick Hanfmann</t>
        </is>
      </c>
      <c r="H1161" s="24" t="inlineStr">
        <is>
          <t>moneyline</t>
        </is>
      </c>
      <c r="I1161" s="24" t="inlineStr">
        <is>
          <t>home</t>
        </is>
      </c>
      <c r="J1161" s="25" t="n"/>
      <c r="K1161" s="24" t="inlineStr">
        <is>
          <t>polymarket_us</t>
        </is>
      </c>
      <c r="L1161" s="26" t="n">
        <v>-133</v>
      </c>
      <c r="M1161" s="27" t="n">
        <v>1.75188</v>
      </c>
      <c r="N1161" s="28" t="n">
        <v>0.570815</v>
      </c>
      <c r="O1161" s="28" t="n">
        <v>0.5506</v>
      </c>
      <c r="P1161" s="28" t="n">
        <v>0.05</v>
      </c>
      <c r="Q1161" s="28" t="n">
        <v>-0.020215</v>
      </c>
      <c r="R1161" s="26" t="n">
        <v>10</v>
      </c>
      <c r="S1161" s="29" t="n">
        <v>1</v>
      </c>
      <c r="T1161" s="24" t="inlineStr">
        <is>
          <t>tennis-surface-elo-v1</t>
        </is>
      </c>
      <c r="U1161" s="24" t="inlineStr">
        <is>
          <t>settled</t>
        </is>
      </c>
      <c r="V1161" s="24" t="inlineStr">
        <is>
          <t>loss</t>
        </is>
      </c>
      <c r="W1161" s="26" t="n">
        <v>1</v>
      </c>
      <c r="X1161" s="26" t="n">
        <v>0</v>
      </c>
      <c r="Y1161" s="25" t="n"/>
      <c r="Z1161" s="26" t="n">
        <v>-133</v>
      </c>
      <c r="AA1161" s="28" t="n">
        <v>0.57</v>
      </c>
      <c r="AB1161" s="28" t="n">
        <v>-0.000815</v>
      </c>
      <c r="AC1161" s="30" t="n">
        <v>-1</v>
      </c>
      <c r="AD1161" s="24" t="inlineStr">
        <is>
          <t>2026-09-28T10:00:15.722665Z</t>
        </is>
      </c>
      <c r="AE1161" s="31" t="inlineStr">
        <is>
          <t>Surface-blended Elo on Hard: Tomas Machac p=0.449 vs Yannick Hanfmann. Executable ask 0.5700 (aec-atp-yanhan-tommac-2026-09-27).</t>
        </is>
      </c>
      <c r="AF1161" s="31" t="inlineStr">
        <is>
          <t>Surface-blended Elo model; singles only, WTA+ATP market coverage, not yet locked-holdout qualified -- promoted by explicit operator directive, not genuine walk-forward validation.</t>
        </is>
      </c>
      <c r="AG1161" s="24" t="inlineStr">
        <is>
          <t>review_required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PAPER_CALL_LOW_EDGE</t>
        </is>
      </c>
      <c r="AP1161" s="24" t="inlineStr">
        <is>
          <t>Tomas Machac</t>
        </is>
      </c>
      <c r="AQ1161" s="24" t="inlineStr">
        <is>
          <t>Tomas Machac</t>
        </is>
      </c>
      <c r="AR1161" s="24" t="inlineStr">
        <is>
          <t>Tomas Machac</t>
        </is>
      </c>
      <c r="AS1161" s="24" t="inlineStr">
        <is>
          <t>Yannick Hanfmann</t>
        </is>
      </c>
      <c r="AT1161" s="24" t="inlineStr">
        <is>
          <t>Yannick Hanfmann</t>
        </is>
      </c>
      <c r="AU1161" s="24" t="inlineStr">
        <is>
          <t>Yannick Hanfmann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inlineStr">
        <is>
          <t>6c67e999d2a03612e30f4032c8e5e77e8becfbc79e05f4c8993e726b90d34d54</t>
        </is>
      </c>
      <c r="BB1161" s="24" t="inlineStr">
        <is>
          <t>surface_blended_elo</t>
        </is>
      </c>
      <c r="BC1161" s="24" t="inlineStr">
        <is>
          <t>tennis-surface-elo-v1</t>
        </is>
      </c>
      <c r="BD1161" s="24" t="inlineStr">
        <is>
          <t>6c67e999d2a03612e30f4032c8e5e77e8becfbc79e05f4c8993e726b90d34d54</t>
        </is>
      </c>
      <c r="BE1161" s="24" t="inlineStr">
        <is>
          <t>tennis-surface-elo-v1</t>
        </is>
      </c>
      <c r="BF1161" s="24" t="inlineStr">
        <is>
          <t>1</t>
        </is>
      </c>
      <c r="BG1161" s="24" t="inlineStr">
        <is>
          <t>6c67e999d2a03612e30f4032c8e5e77e8becfbc79e05f4c8993e726b90d34d54</t>
        </is>
      </c>
      <c r="BH1161" s="24" t="inlineStr">
        <is>
          <t>2026-09-27T22:10:24.719703Z</t>
        </is>
      </c>
      <c r="BI1161" s="24" t="inlineStr">
        <is>
          <t>["same_event","same_team_same_day","same_league_same_day"]</t>
        </is>
      </c>
      <c r="BJ1161" s="25" t="n"/>
      <c r="BK1161" s="26" t="n">
        <v>-133</v>
      </c>
      <c r="BL1161" s="27" t="n">
        <v>1.75188</v>
      </c>
      <c r="BM1161" s="28" t="n">
        <v>0.570815</v>
      </c>
      <c r="BN1161" s="28" t="n"/>
      <c r="BO1161" s="28" t="n"/>
      <c r="BP1161" s="25" t="n"/>
      <c r="BQ1161" s="27" t="n">
        <v>1.75188</v>
      </c>
      <c r="BR1161" s="28" t="n">
        <v>0.57</v>
      </c>
      <c r="BS1161" s="28" t="n"/>
      <c r="BT1161" s="28" t="n"/>
      <c r="BU1161" s="25" t="n"/>
      <c r="BV1161" s="29" t="n"/>
      <c r="BW1161" s="24" t="n"/>
      <c r="BX1161" s="30" t="n"/>
      <c r="BY1161" s="27" t="n"/>
      <c r="BZ1161" s="24" t="n"/>
      <c r="CA1161" s="31" t="n"/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inlineStr">
        <is>
          <t>a6ebd8d52c392f562eec898a0563da4487f101d81e1e55c2cd5e808fc9652564</t>
        </is>
      </c>
      <c r="DE1161" s="24" t="inlineStr">
        <is>
          <t>/Users/vincentc9002/model-prediction/data/odds/tennis/2026-09-27/polymarket_snapshots.jsonl</t>
        </is>
      </c>
      <c r="DF1161" s="24" t="inlineStr">
        <is>
          <t>1091955:2026-09-27T22:10:24.719703Z</t>
        </is>
      </c>
      <c r="DG1161" s="24" t="n"/>
      <c r="DH1161" s="24" t="n"/>
      <c r="DI1161" s="24" t="n"/>
      <c r="DJ1161" s="24" t="inlineStr">
        <is>
          <t>0.570815</t>
        </is>
      </c>
      <c r="DK1161" s="24" t="n"/>
      <c r="DL1161" s="24" t="n"/>
      <c r="DM1161" s="24" t="n"/>
      <c r="DN1161" s="24" t="n"/>
      <c r="DO1161" s="24" t="n"/>
      <c r="DP1161" s="24" t="n"/>
      <c r="DQ1161" s="24" t="inlineStr">
        <is>
          <t>{"artifact_hash": "6c67e999d2a03612e30f4032c8e5e77e8becfbc79e05f4c8993e726b90d34d54", "away_team": "Tomas Machac", "event_id": "959-2026:186257", "event_start_utc": "2026-09-28T03:00Z", "features": {"elo_p1_surface": 1577.6, "elo_p2_surface": 1622.4, "expected_games_p1": 11.94, "expected_games_p2": 13.28, "expected_total_games": 25.21, "history_matches": 11273, "min_player_matches": 127,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[1624.3959648303542, 1635.3292236996058], "players": ["Tomas Machac", "Yannick Hanfmann"], "sport": "TENNIS", "surface": "Hard", "surface_counts": [87, 101], "surface_ratings": [1577.618379236994, 1622.3663462175855]}, "market_type": "moneyline", "model_version": "tennis-surface-elo-v1", "observed_at_utc": "2026-09-27T22:11:11.907015+00:00", "probabilities": {"away": 0.4494, "home": 0.5506}, "replay_scope": "Exact full-precision serving state and rounding; upstream historical observation times are not certified.", "schema": "coded-moneyline-replay-v1", "snapshot_hash": "189fc26316848080e5ae1ede86cae9d6700396f28c8663b7e4bff9df01419b2c", "sport": "TENNIS"}</t>
        </is>
      </c>
    </row>
    <row r="1162" ht="36" customHeight="1">
      <c r="A1162" s="24" t="inlineStr">
        <is>
          <t>50f08689c0954001</t>
        </is>
      </c>
      <c r="B1162" s="24" t="inlineStr">
        <is>
          <t>2026-09-28T04:41:12.413369Z</t>
        </is>
      </c>
      <c r="C1162" s="24" t="inlineStr">
        <is>
          <t>2026-09-28T06:00Z</t>
        </is>
      </c>
      <c r="D1162" s="24" t="inlineStr">
        <is>
          <t>959-2026:186215</t>
        </is>
      </c>
      <c r="E1162" s="24" t="inlineStr">
        <is>
          <t>TENNIS</t>
        </is>
      </c>
      <c r="F1162" s="24" t="inlineStr">
        <is>
          <t>Shi Han</t>
        </is>
      </c>
      <c r="G1162" s="24" t="inlineStr">
        <is>
          <t>Tereza Mihalikova</t>
        </is>
      </c>
      <c r="H1162" s="24" t="inlineStr">
        <is>
          <t>moneyline</t>
        </is>
      </c>
      <c r="I1162" s="24" t="inlineStr">
        <is>
          <t>home</t>
        </is>
      </c>
      <c r="J1162" s="25" t="n"/>
      <c r="K1162" s="24" t="inlineStr">
        <is>
          <t>polymarket_us</t>
        </is>
      </c>
      <c r="L1162" s="26" t="n">
        <v>1567</v>
      </c>
      <c r="M1162" s="27" t="n">
        <v>16.67</v>
      </c>
      <c r="N1162" s="28" t="n">
        <v>0.059988</v>
      </c>
      <c r="O1162" s="28" t="n">
        <v>0.5631</v>
      </c>
      <c r="P1162" s="28" t="n">
        <v>0.05</v>
      </c>
      <c r="Q1162" s="28" t="n">
        <v>0.503112</v>
      </c>
      <c r="R1162" s="26" t="n">
        <v>100</v>
      </c>
      <c r="S1162" s="29" t="n">
        <v>2</v>
      </c>
      <c r="T1162" s="24" t="inlineStr">
        <is>
          <t>tennis-surface-elo-v1</t>
        </is>
      </c>
      <c r="U1162" s="24" t="inlineStr">
        <is>
          <t>settled</t>
        </is>
      </c>
      <c r="V1162" s="24" t="inlineStr">
        <is>
          <t>loss</t>
        </is>
      </c>
      <c r="W1162" s="26" t="n">
        <v>1</v>
      </c>
      <c r="X1162" s="26" t="n">
        <v>0</v>
      </c>
      <c r="Y1162" s="25" t="n"/>
      <c r="Z1162" s="26" t="n">
        <v>1567</v>
      </c>
      <c r="AA1162" s="28" t="n">
        <v>0.06</v>
      </c>
      <c r="AB1162" s="28" t="n">
        <v>1.2e-05</v>
      </c>
      <c r="AC1162" s="30" t="n">
        <v>-2</v>
      </c>
      <c r="AD1162" s="24" t="inlineStr">
        <is>
          <t>2026-09-28T10:00:16.168852Z</t>
        </is>
      </c>
      <c r="AE1162" s="31" t="inlineStr">
        <is>
          <t>Surface-blended Elo on Hard: Shi Han p=0.437 vs Tereza Mihalikova. Executable ask 0.0600 (aec-wta-termih-hanshi-2026-09-28).</t>
        </is>
      </c>
      <c r="AF1162" s="31" t="inlineStr">
        <is>
          <t>Surface-blended Elo model; singles only, WTA+ATP market coverage, not yet locked-holdout qualified -- promoted by explicit operator directive, not genuine walk-forward validation.</t>
        </is>
      </c>
      <c r="AG1162" s="24" t="inlineStr">
        <is>
          <t>review_required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PAPER_CALL_MODEL_UNVALIDATED</t>
        </is>
      </c>
      <c r="AP1162" s="24" t="inlineStr">
        <is>
          <t>Shi Han</t>
        </is>
      </c>
      <c r="AQ1162" s="24" t="inlineStr">
        <is>
          <t>Shi Han</t>
        </is>
      </c>
      <c r="AR1162" s="24" t="inlineStr">
        <is>
          <t>Shi Han</t>
        </is>
      </c>
      <c r="AS1162" s="24" t="inlineStr">
        <is>
          <t>Tereza Mihalikova</t>
        </is>
      </c>
      <c r="AT1162" s="24" t="inlineStr">
        <is>
          <t>Tereza Mihalikova</t>
        </is>
      </c>
      <c r="AU1162" s="24" t="inlineStr">
        <is>
          <t>Tereza Mihalikova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inlineStr">
        <is>
          <t>6c67e999d2a03612e30f4032c8e5e77e8becfbc79e05f4c8993e726b90d34d54</t>
        </is>
      </c>
      <c r="BB1162" s="24" t="inlineStr">
        <is>
          <t>surface_blended_elo</t>
        </is>
      </c>
      <c r="BC1162" s="24" t="inlineStr">
        <is>
          <t>tennis-surface-elo-v1</t>
        </is>
      </c>
      <c r="BD1162" s="24" t="inlineStr">
        <is>
          <t>6c67e999d2a03612e30f4032c8e5e77e8becfbc79e05f4c8993e726b90d34d54</t>
        </is>
      </c>
      <c r="BE1162" s="24" t="inlineStr">
        <is>
          <t>tennis-surface-elo-v1</t>
        </is>
      </c>
      <c r="BF1162" s="24" t="inlineStr">
        <is>
          <t>1</t>
        </is>
      </c>
      <c r="BG1162" s="24" t="inlineStr">
        <is>
          <t>6c67e999d2a03612e30f4032c8e5e77e8becfbc79e05f4c8993e726b90d34d54</t>
        </is>
      </c>
      <c r="BH1162" s="24" t="inlineStr">
        <is>
          <t>2026-09-28T04:35:29.292139Z</t>
        </is>
      </c>
      <c r="BI1162" s="24" t="inlineStr">
        <is>
          <t>["same_event","same_team_same_day","same_league_same_day"]</t>
        </is>
      </c>
      <c r="BJ1162" s="25" t="n"/>
      <c r="BK1162" s="26" t="n">
        <v>1567</v>
      </c>
      <c r="BL1162" s="27" t="n">
        <v>16.67</v>
      </c>
      <c r="BM1162" s="28" t="n">
        <v>0.059988</v>
      </c>
      <c r="BN1162" s="28" t="n"/>
      <c r="BO1162" s="28" t="n"/>
      <c r="BP1162" s="25" t="n"/>
      <c r="BQ1162" s="27" t="n">
        <v>16.67</v>
      </c>
      <c r="BR1162" s="28" t="n">
        <v>0.06</v>
      </c>
      <c r="BS1162" s="28" t="n"/>
      <c r="BT1162" s="28" t="n"/>
      <c r="BU1162" s="25" t="n"/>
      <c r="BV1162" s="29" t="n"/>
      <c r="BW1162" s="24" t="n"/>
      <c r="BX1162" s="30" t="n"/>
      <c r="BY1162" s="27" t="n"/>
      <c r="BZ1162" s="24" t="n"/>
      <c r="CA1162" s="31" t="n"/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inlineStr">
        <is>
          <t>9ed861819bedfcf9cedac9d9a7e8a624e86f7eb78b075a7c25dfd702724c77c1</t>
        </is>
      </c>
      <c r="DE1162" s="24" t="inlineStr">
        <is>
          <t>/Users/vincentc9002/model-prediction/data/odds/tennis/2026-09-28/polymarket_snapshots.jsonl</t>
        </is>
      </c>
      <c r="DF1162" s="24" t="inlineStr">
        <is>
          <t>1096307:2026-09-28T04:35:29.292139Z</t>
        </is>
      </c>
      <c r="DG1162" s="24" t="n"/>
      <c r="DH1162" s="24" t="n"/>
      <c r="DI1162" s="24" t="n"/>
      <c r="DJ1162" s="24" t="inlineStr">
        <is>
          <t>0.059988</t>
        </is>
      </c>
      <c r="DK1162" s="24" t="n"/>
      <c r="DL1162" s="24" t="n"/>
      <c r="DM1162" s="24" t="n"/>
      <c r="DN1162" s="24" t="n"/>
      <c r="DO1162" s="24" t="n"/>
      <c r="DP1162" s="24" t="n"/>
      <c r="DQ1162" s="24" t="inlineStr">
        <is>
          <t>{"artifact_hash": "6c67e999d2a03612e30f4032c8e5e77e8becfbc79e05f4c8993e726b90d34d54", "away_team": "Shi Han", "event_id": "959-2026:186215", "event_start_utc": "2026-09-28T06:00Z", "features": {"elo_p1_surface": 1443.2, "elo_p2_surface": 1484.0, "expected_games_p1": 11.47, "expected_games_p2": 12.97, "expected_total_games": 24.44, "history_matches": 16386, "min_player_matches": 1, "surface": "Hard"}, "historical_source_observation_times_verified": false, "home_team": "Tereza Mihalikova", "inference_inputs": {"code_sha256": {"features/elo_ratings.py": "8525faf022a6343c452286dbfeb17dbb043744c6bdabbe448b6b371216da439b", "models/tennis.py": "6c67e999d2a03612e30f4032c8e5e77e8becfbc79e05f4c8993e726b90d34d54"}, "overall_ratings": [1436.029592694985, 1484.0], "players": ["Shi Han", "Tereza Mihalikova"], "sport": "TENNIS", "surface": "Hard", "surface_counts": [26, 1], "surface_ratings": [1443.2356899700353, 1484.0]}, "market_type": "moneyline", "model_version": "tennis-surface-elo-v1", "observed_at_utc": "2026-09-28T04:41:11.953668+00:00", "probabilities": {"away": 0.4369, "home": 0.5631}, "replay_scope": "Exact full-precision serving state and rounding; upstream historical observation times are not certified.", "schema": "coded-moneyline-replay-v1", "snapshot_hash": "b05ca15dc7be48a036e8cf1d1ea2d40cd6ea45ad2ff0b71432f2e56b6493ffa8", "sport": "TENNIS"}</t>
        </is>
      </c>
    </row>
    <row r="1163" ht="36" customHeight="1">
      <c r="A1163" s="24" t="inlineStr">
        <is>
          <t>2a987f35bf80411d</t>
        </is>
      </c>
      <c r="B1163" s="24" t="inlineStr">
        <is>
          <t>2026-09-28T04:41:12.413369Z</t>
        </is>
      </c>
      <c r="C1163" s="24" t="inlineStr">
        <is>
          <t>2026-09-28T06:00Z</t>
        </is>
      </c>
      <c r="D1163" s="24" t="inlineStr">
        <is>
          <t>959-2026:186232</t>
        </is>
      </c>
      <c r="E1163" s="24" t="inlineStr">
        <is>
          <t>TENNIS</t>
        </is>
      </c>
      <c r="F1163" s="24" t="inlineStr">
        <is>
          <t>Linda Fruhvirtova</t>
        </is>
      </c>
      <c r="G1163" s="24" t="inlineStr">
        <is>
          <t>Ye Shiyu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614</v>
      </c>
      <c r="M1163" s="27" t="n">
        <v>7.14</v>
      </c>
      <c r="N1163" s="28" t="n">
        <v>0.140056</v>
      </c>
      <c r="O1163" s="28" t="n">
        <v>0.5012</v>
      </c>
      <c r="P1163" s="28" t="n">
        <v>0.05</v>
      </c>
      <c r="Q1163" s="28" t="n">
        <v>0.361144</v>
      </c>
      <c r="R1163" s="26" t="n">
        <v>100</v>
      </c>
      <c r="S1163" s="29" t="n">
        <v>2</v>
      </c>
      <c r="T1163" s="24" t="inlineStr">
        <is>
          <t>tennis-surface-elo-v1</t>
        </is>
      </c>
      <c r="U1163" s="24" t="inlineStr">
        <is>
          <t>settled</t>
        </is>
      </c>
      <c r="V1163" s="24" t="inlineStr">
        <is>
          <t>loss</t>
        </is>
      </c>
      <c r="W1163" s="26" t="n">
        <v>1</v>
      </c>
      <c r="X1163" s="26" t="n">
        <v>0</v>
      </c>
      <c r="Y1163" s="25" t="n"/>
      <c r="Z1163" s="26" t="n"/>
      <c r="AA1163" s="28" t="n"/>
      <c r="AB1163" s="28" t="n"/>
      <c r="AC1163" s="30" t="n">
        <v>-2</v>
      </c>
      <c r="AD1163" s="24" t="inlineStr">
        <is>
          <t>2026-09-28T10:00:16.614903Z</t>
        </is>
      </c>
      <c r="AE1163" s="31" t="inlineStr">
        <is>
          <t>Surface-blended Elo on Hard: Linda Fruhvirtova p=0.499 vs Ye Shiyu. Executable ask 0.1400 (aec-wta-shiye-linfru-2026-09-28).</t>
        </is>
      </c>
      <c r="AF1163" s="31" t="inlineStr">
        <is>
          <t>Surface-blended Elo model; singles only, WTA+ATP market coverage, not yet locked-holdout qualified -- promoted by explicit operator directive, not genuine walk-forward validation.</t>
        </is>
      </c>
      <c r="AG1163" s="24" t="inlineStr">
        <is>
          <t>review_required</t>
        </is>
      </c>
      <c r="AH1163" s="24" t="n"/>
      <c r="AI1163" s="31" t="n"/>
      <c r="AJ1163" s="31" t="n"/>
      <c r="AK1163" s="24" t="inlineStr">
        <is>
          <t>paper_call</t>
        </is>
      </c>
      <c r="AL1163" s="26" t="n">
        <v>4</v>
      </c>
      <c r="AM1163" s="24" t="inlineStr">
        <is>
          <t>RESEARCH_OBSERVATION</t>
        </is>
      </c>
      <c r="AN1163" s="24" t="inlineStr">
        <is>
          <t>CALL</t>
        </is>
      </c>
      <c r="AO1163" s="24" t="inlineStr">
        <is>
          <t>PAPER_CALL_MODEL_UNVALIDATED</t>
        </is>
      </c>
      <c r="AP1163" s="24" t="inlineStr">
        <is>
          <t>Linda Fruhvirtova</t>
        </is>
      </c>
      <c r="AQ1163" s="24" t="inlineStr">
        <is>
          <t>Linda Fruhvirtova</t>
        </is>
      </c>
      <c r="AR1163" s="24" t="inlineStr">
        <is>
          <t>Linda Fruhvirtova</t>
        </is>
      </c>
      <c r="AS1163" s="24" t="inlineStr">
        <is>
          <t>Ye Shiyu</t>
        </is>
      </c>
      <c r="AT1163" s="24" t="inlineStr">
        <is>
          <t>Ye Shiyu</t>
        </is>
      </c>
      <c r="AU1163" s="24" t="inlineStr">
        <is>
          <t>Ye Shiyu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6c67e999d2a03612e30f4032c8e5e77e8becfbc79e05f4c8993e726b90d34d54</t>
        </is>
      </c>
      <c r="BB1163" s="24" t="inlineStr">
        <is>
          <t>surface_blended_elo</t>
        </is>
      </c>
      <c r="BC1163" s="24" t="inlineStr">
        <is>
          <t>tennis-surface-elo-v1</t>
        </is>
      </c>
      <c r="BD1163" s="24" t="inlineStr">
        <is>
          <t>6c67e999d2a03612e30f4032c8e5e77e8becfbc79e05f4c8993e726b90d34d54</t>
        </is>
      </c>
      <c r="BE1163" s="24" t="inlineStr">
        <is>
          <t>tennis-surface-elo-v1</t>
        </is>
      </c>
      <c r="BF1163" s="24" t="inlineStr">
        <is>
          <t>1</t>
        </is>
      </c>
      <c r="BG1163" s="24" t="inlineStr">
        <is>
          <t>6c67e999d2a03612e30f4032c8e5e77e8becfbc79e05f4c8993e726b90d34d54</t>
        </is>
      </c>
      <c r="BH1163" s="24" t="inlineStr">
        <is>
          <t>2026-09-28T04:35:18.719975Z</t>
        </is>
      </c>
      <c r="BI1163" s="24" t="inlineStr">
        <is>
          <t>["same_event","same_team_same_day","same_league_same_day"]</t>
        </is>
      </c>
      <c r="BJ1163" s="25" t="n"/>
      <c r="BK1163" s="26" t="n">
        <v>614</v>
      </c>
      <c r="BL1163" s="27" t="n">
        <v>7.14</v>
      </c>
      <c r="BM1163" s="28" t="n">
        <v>0.140056</v>
      </c>
      <c r="BN1163" s="28" t="n"/>
      <c r="BO1163" s="28" t="n"/>
      <c r="BP1163" s="25" t="n"/>
      <c r="BQ1163" s="27" t="n"/>
      <c r="BR1163" s="28" t="n"/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n"/>
      <c r="CD1163" s="24" t="n"/>
      <c r="CE1163" s="24" t="n"/>
      <c r="CF1163" s="24" t="n"/>
      <c r="CG1163" s="24" t="n"/>
      <c r="CH1163" s="24" t="n"/>
      <c r="CI1163" s="24" t="n"/>
      <c r="CJ1163" s="24" t="n"/>
      <c r="CK1163" s="24" t="n"/>
      <c r="CL1163" s="24" t="n"/>
      <c r="CM1163" s="24" t="n"/>
      <c r="CN1163" s="24" t="n"/>
      <c r="CO1163" s="24" t="n"/>
      <c r="CP1163" s="24" t="n"/>
      <c r="CQ1163" s="24" t="n"/>
      <c r="CR1163" s="24" t="n"/>
      <c r="CS1163" s="24" t="inlineStr">
        <is>
          <t>True</t>
        </is>
      </c>
      <c r="CT1163" s="24" t="n"/>
      <c r="CU1163" s="24" t="n"/>
      <c r="CV1163" s="24" t="n"/>
      <c r="CW1163" s="24" t="n"/>
      <c r="CX1163" s="24" t="n"/>
      <c r="CY1163" s="24" t="n"/>
      <c r="CZ1163" s="24" t="n"/>
      <c r="DA1163" s="24" t="n"/>
      <c r="DB1163" s="24" t="n"/>
      <c r="DC1163" s="24" t="n"/>
      <c r="DD1163" s="24" t="inlineStr">
        <is>
          <t>5f7e56de7a73739aabf8e7b0c2531e1895d18745ac023c4af64e327044a46348</t>
        </is>
      </c>
      <c r="DE1163" s="24" t="inlineStr">
        <is>
          <t>/Users/vincentc9002/model-prediction/data/odds/tennis/2026-09-28/polymarket_snapshots.jsonl</t>
        </is>
      </c>
      <c r="DF1163" s="24" t="inlineStr">
        <is>
          <t>1096304:2026-09-28T04:35:18.719975Z</t>
        </is>
      </c>
      <c r="DG1163" s="24" t="n"/>
      <c r="DH1163" s="24" t="n"/>
      <c r="DI1163" s="24" t="n"/>
      <c r="DJ1163" s="24" t="inlineStr">
        <is>
          <t>0.140056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{"artifact_hash": "6c67e999d2a03612e30f4032c8e5e77e8becfbc79e05f4c8993e726b90d34d54", "away_team": "Linda Fruhvirtova", "event_id": "959-2026:186232", "event_start_utc": "2026-09-28T06:00Z", "features": {"elo_p1_surface": 1485.1, "elo_p2_surface": 1484.2, "expected_games_p1": 12.57, "expected_games_p2": 12.21, "expected_total_games": 24.78, "history_matches": 16386, "min_player_matches": 1, "surface": "Hard"}, "historical_source_observation_times_verified": false, "home_team": "Ye Shiyu", "inference_inputs": {"code_sha256": {"features/elo_ratings.py": "8525faf022a6343c452286dbfeb17dbb043744c6bdabbe448b6b371216da439b", "models/tennis.py": "6c67e999d2a03612e30f4032c8e5e77e8becfbc79e05f4c8993e726b90d34d54"}, "overall_ratings": [1478.5695344345186, 1484.210880712912], "players": ["Linda Fruhvirtova", "Ye Shiyu"], "sport": "TENNIS", "surface": "Hard", "surface_counts": [93, 1], "surface_ratings": [1485.0914611411267, 1484.2208232321673]}, "market_type": "moneyline", "model_version": "tennis-surface-elo-v1", "observed_at_utc": "2026-09-28T04:41:11.953668+00:00", "probabilities": {"away": 0.4988, "home": 0.5012}, "replay_scope": "Exact full-precision serving state and rounding; upstream historical observation times are not certified.", "schema": "coded-moneyline-replay-v1", "snapshot_hash": "cd05766d4e1162f72421f905b29a793b9eedfe43beef9f86bf4a8e5a024cfaa9", "sport": "TENNIS"}</t>
        </is>
      </c>
    </row>
    <row r="1164" ht="36" customHeight="1">
      <c r="A1164" s="24" t="inlineStr">
        <is>
          <t>270a92202320429c</t>
        </is>
      </c>
      <c r="B1164" s="24" t="inlineStr">
        <is>
          <t>2026-09-28T10:08:57.835325Z</t>
        </is>
      </c>
      <c r="C1164" s="24" t="inlineStr">
        <is>
          <t>2026-09-28T11:30Z</t>
        </is>
      </c>
      <c r="D1164" s="24" t="inlineStr">
        <is>
          <t>1001-2026:183375</t>
        </is>
      </c>
      <c r="E1164" s="24" t="inlineStr">
        <is>
          <t>TENNIS</t>
        </is>
      </c>
      <c r="F1164" s="24" t="inlineStr">
        <is>
          <t>Roman Safiullin</t>
        </is>
      </c>
      <c r="G1164" s="24" t="inlineStr">
        <is>
          <t>Daniil Medvedev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-223</v>
      </c>
      <c r="M1164" s="27" t="n">
        <v>1.44843</v>
      </c>
      <c r="N1164" s="28" t="n">
        <v>0.690402</v>
      </c>
      <c r="O1164" s="28" t="n">
        <v>0.7793</v>
      </c>
      <c r="P1164" s="28" t="n">
        <v>0.05</v>
      </c>
      <c r="Q1164" s="28" t="n">
        <v>0.088898</v>
      </c>
      <c r="R1164" s="26" t="n">
        <v>64</v>
      </c>
      <c r="S1164" s="29" t="n">
        <v>1.25</v>
      </c>
      <c r="T1164" s="24" t="inlineStr">
        <is>
          <t>tennis-surface-elo-v1</t>
        </is>
      </c>
      <c r="U1164" s="24" t="inlineStr">
        <is>
          <t>settled</t>
        </is>
      </c>
      <c r="V1164" s="24" t="inlineStr">
        <is>
          <t>win</t>
        </is>
      </c>
      <c r="W1164" s="26" t="n">
        <v>0</v>
      </c>
      <c r="X1164" s="26" t="n">
        <v>1</v>
      </c>
      <c r="Y1164" s="25" t="n"/>
      <c r="Z1164" s="26" t="n">
        <v>-223</v>
      </c>
      <c r="AA1164" s="28" t="n">
        <v>0.6899999999999999</v>
      </c>
      <c r="AB1164" s="28" t="n">
        <v>-0.000402</v>
      </c>
      <c r="AC1164" s="30" t="n">
        <v>0.5605</v>
      </c>
      <c r="AD1164" s="24" t="inlineStr">
        <is>
          <t>2026-09-28T16:01:46.384655Z</t>
        </is>
      </c>
      <c r="AE1164" s="31" t="inlineStr">
        <is>
          <t>Surface-blended Elo on Hard: Roman Safiullin p=0.221 vs Daniil Medvedev. Executable ask 0.6900 (aec-atp-danmed-romsaf-2026-09-28).</t>
        </is>
      </c>
      <c r="AF1164" s="31" t="inlineStr">
        <is>
          <t>Surface-blended Elo model; singles only, WTA+ATP market coverage, not yet locked-holdout qualified -- promoted by explicit operator directive, not genuine walk-forward validation.</t>
        </is>
      </c>
      <c r="AG1164" s="24" t="inlineStr">
        <is>
          <t>not_applicable</t>
        </is>
      </c>
      <c r="AH1164" s="24" t="n"/>
      <c r="AI1164" s="31" t="n"/>
      <c r="AJ1164" s="31" t="n"/>
      <c r="AK1164" s="24" t="inlineStr">
        <is>
          <t>model_qualified</t>
        </is>
      </c>
      <c r="AL1164" s="26" t="n">
        <v>4</v>
      </c>
      <c r="AM1164" s="24" t="inlineStr">
        <is>
          <t>QUALIFIED_SHADOW_CALL</t>
        </is>
      </c>
      <c r="AN1164" s="24" t="inlineStr">
        <is>
          <t>CALL</t>
        </is>
      </c>
      <c r="AO1164" s="24" t="inlineStr">
        <is>
          <t>QUALIFIED</t>
        </is>
      </c>
      <c r="AP1164" s="24" t="inlineStr">
        <is>
          <t>Roman Safiullin</t>
        </is>
      </c>
      <c r="AQ1164" s="24" t="inlineStr">
        <is>
          <t>Roman Safiullin</t>
        </is>
      </c>
      <c r="AR1164" s="24" t="inlineStr">
        <is>
          <t>Roman Safiullin</t>
        </is>
      </c>
      <c r="AS1164" s="24" t="inlineStr">
        <is>
          <t>Daniil Medvedev</t>
        </is>
      </c>
      <c r="AT1164" s="24" t="inlineStr">
        <is>
          <t>Daniil Medvedev</t>
        </is>
      </c>
      <c r="AU1164" s="24" t="inlineStr">
        <is>
          <t>Daniil Medvedev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6c67e999d2a03612e30f4032c8e5e77e8becfbc79e05f4c8993e726b90d34d54</t>
        </is>
      </c>
      <c r="BB1164" s="24" t="inlineStr">
        <is>
          <t>surface_blended_elo</t>
        </is>
      </c>
      <c r="BC1164" s="24" t="inlineStr">
        <is>
          <t>tennis-surface-elo-v1</t>
        </is>
      </c>
      <c r="BD1164" s="24" t="inlineStr">
        <is>
          <t>6c67e999d2a03612e30f4032c8e5e77e8becfbc79e05f4c8993e726b90d34d54</t>
        </is>
      </c>
      <c r="BE1164" s="24" t="inlineStr">
        <is>
          <t>tennis-surface-elo-v1</t>
        </is>
      </c>
      <c r="BF1164" s="24" t="inlineStr">
        <is>
          <t>1</t>
        </is>
      </c>
      <c r="BG1164" s="24" t="inlineStr">
        <is>
          <t>6c67e999d2a03612e30f4032c8e5e77e8becfbc79e05f4c8993e726b90d34d54</t>
        </is>
      </c>
      <c r="BH1164" s="24" t="inlineStr">
        <is>
          <t>2026-09-28T10:05:43.908561Z</t>
        </is>
      </c>
      <c r="BI1164" s="24" t="inlineStr">
        <is>
          <t>["same_event","same_team_same_day","same_league_same_day"]</t>
        </is>
      </c>
      <c r="BJ1164" s="25" t="n"/>
      <c r="BK1164" s="26" t="n">
        <v>-223</v>
      </c>
      <c r="BL1164" s="27" t="n">
        <v>1.44843</v>
      </c>
      <c r="BM1164" s="28" t="n">
        <v>0.690402</v>
      </c>
      <c r="BN1164" s="28" t="n"/>
      <c r="BO1164" s="28" t="n"/>
      <c r="BP1164" s="25" t="n"/>
      <c r="BQ1164" s="27" t="n">
        <v>1.44843</v>
      </c>
      <c r="BR1164" s="28" t="n">
        <v>0.6899999999999999</v>
      </c>
      <c r="BS1164" s="28" t="n"/>
      <c r="BT1164" s="28" t="n"/>
      <c r="BU1164" s="25" t="n"/>
      <c r="BV1164" s="29" t="n"/>
      <c r="BW1164" s="24" t="n"/>
      <c r="BX1164" s="30" t="n"/>
      <c r="BY1164" s="27" t="n"/>
      <c r="BZ1164" s="24" t="n"/>
      <c r="CA1164" s="31" t="n"/>
      <c r="CB1164" s="24" t="n"/>
      <c r="CC1164" s="24" t="n"/>
      <c r="CD1164" s="24" t="n"/>
      <c r="CE1164" s="24" t="n"/>
      <c r="CF1164" s="24" t="n"/>
      <c r="CG1164" s="24" t="n"/>
      <c r="CH1164" s="24" t="n"/>
      <c r="CI1164" s="24" t="n"/>
      <c r="CJ1164" s="24" t="n"/>
      <c r="CK1164" s="24" t="n"/>
      <c r="CL1164" s="24" t="n"/>
      <c r="CM1164" s="24" t="n"/>
      <c r="CN1164" s="24" t="n"/>
      <c r="CO1164" s="24" t="n"/>
      <c r="CP1164" s="24" t="n"/>
      <c r="CQ1164" s="24" t="n"/>
      <c r="CR1164" s="24" t="n"/>
      <c r="CS1164" s="24" t="inlineStr">
        <is>
          <t>True</t>
        </is>
      </c>
      <c r="CT1164" s="24" t="n"/>
      <c r="CU1164" s="24" t="n"/>
      <c r="CV1164" s="24" t="n"/>
      <c r="CW1164" s="24" t="n"/>
      <c r="CX1164" s="24" t="n"/>
      <c r="CY1164" s="24" t="n"/>
      <c r="CZ1164" s="24" t="n"/>
      <c r="DA1164" s="24" t="n"/>
      <c r="DB1164" s="24" t="n"/>
      <c r="DC1164" s="24" t="n"/>
      <c r="DD1164" s="24" t="inlineStr">
        <is>
          <t>8c4b3d1122d2da84189fa8ed4c35e7bb242de32296bbbc9e1acaf9525d06aa1e</t>
        </is>
      </c>
      <c r="DE1164" s="24" t="inlineStr">
        <is>
          <t>/Users/vincentc9002/model-prediction/data/odds/tennis/2026-09-28/polymarket_snapshots.jsonl</t>
        </is>
      </c>
      <c r="DF1164" s="24" t="inlineStr">
        <is>
          <t>1093424:2026-09-28T10:05:43.908561Z</t>
        </is>
      </c>
      <c r="DG1164" s="24" t="n"/>
      <c r="DH1164" s="24" t="n"/>
      <c r="DI1164" s="24" t="n"/>
      <c r="DJ1164" s="24" t="inlineStr">
        <is>
          <t>0.690402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{"artifact_hash": "6c67e999d2a03612e30f4032c8e5e77e8becfbc79e05f4c8993e726b90d34d54", "away_team": "Roman Safiullin", "event_id": "1001-2026:183375", "event_start_utc": "2026-09-28T11:30Z", "features": {"elo_p1_surface": 1530.3, "elo_p2_surface": 1784.2, "expected_games_p1": 5.94, "expected_games_p2": 12.49, "expected_total_games": 18.44, "history_matches": 11283, "min_player_matches": 91, "surface": "Hard"}, "historical_source_observation_times_verified": false, "home_team": "Daniil Medvedev", "inference_inputs": {"code_sha256": {"features/elo_ratings.py": "8525faf022a6343c452286dbfeb17dbb043744c6bdabbe448b6b371216da439b", "models/tennis.py": "6c67e999d2a03612e30f4032c8e5e77e8becfbc79e05f4c8993e726b90d34d54"}, "overall_ratings": [1624.2895787145355, 1762.1195803946255], "players": ["Roman Safiullin", "Daniil Medvedev"], "sport": "TENNIS", "surface": "Hard", "surface_counts": [63, 131], "surface_ratings": [1530.3475271978878, 1784.2016185486902]}, "market_type": "moneyline", "model_version": "tennis-surface-elo-v1", "observed_at_utc": "2026-09-28T10:08:57.337883+00:00", "probabilities": {"away": 0.2207, "home": 0.7793}, "replay_scope": "Exact full-precision serving state and rounding; upstream historical observation times are not certified.", "schema": "coded-moneyline-replay-v1", "snapshot_hash": "0e5527d143e79617d4410d5cbdab4b40cce308a283901fc11e513f7f8697a7d0", "sport": "TENNIS"}</t>
        </is>
      </c>
    </row>
    <row r="1165" ht="36" customHeight="1">
      <c r="A1165" s="24" t="inlineStr">
        <is>
          <t>abe580ac543b477a</t>
        </is>
      </c>
      <c r="B1165" s="24" t="inlineStr">
        <is>
          <t>2026-09-28T22:06:13.647851Z</t>
        </is>
      </c>
      <c r="C1165" s="24" t="inlineStr">
        <is>
          <t>2026-09-29T04:30Z</t>
        </is>
      </c>
      <c r="D1165" s="24" t="inlineStr">
        <is>
          <t>1028-2026:184177</t>
        </is>
      </c>
      <c r="E1165" s="24" t="inlineStr">
        <is>
          <t>TENNIS</t>
        </is>
      </c>
      <c r="F1165" s="24" t="inlineStr">
        <is>
          <t>Sara Sorribes Tormo</t>
        </is>
      </c>
      <c r="G1165" s="24" t="inlineStr">
        <is>
          <t>Viktoria Morvayova</t>
        </is>
      </c>
      <c r="H1165" s="24" t="inlineStr">
        <is>
          <t>moneyline</t>
        </is>
      </c>
      <c r="I1165" s="24" t="inlineStr">
        <is>
          <t>away</t>
        </is>
      </c>
      <c r="J1165" s="25" t="n"/>
      <c r="K1165" s="24" t="inlineStr">
        <is>
          <t>polymarket_us</t>
        </is>
      </c>
      <c r="L1165" s="26" t="n">
        <v>-525</v>
      </c>
      <c r="M1165" s="27" t="n">
        <v>1.190476</v>
      </c>
      <c r="N1165" s="28" t="n">
        <v>0.84</v>
      </c>
      <c r="O1165" s="28" t="n">
        <v>0.6051</v>
      </c>
      <c r="P1165" s="28" t="n">
        <v>0.05</v>
      </c>
      <c r="Q1165" s="28" t="n">
        <v>-0.2349</v>
      </c>
      <c r="R1165" s="26" t="n">
        <v>0</v>
      </c>
      <c r="S1165" s="29" t="n">
        <v>1</v>
      </c>
      <c r="T1165" s="24" t="inlineStr">
        <is>
          <t>tennis-surface-elo-v1</t>
        </is>
      </c>
      <c r="U1165" s="24" t="inlineStr">
        <is>
          <t>settled</t>
        </is>
      </c>
      <c r="V1165" s="24" t="inlineStr">
        <is>
          <t>win</t>
        </is>
      </c>
      <c r="W1165" s="26" t="n">
        <v>1</v>
      </c>
      <c r="X1165" s="26" t="n">
        <v>0</v>
      </c>
      <c r="Y1165" s="25" t="n"/>
      <c r="Z1165" s="26" t="n">
        <v>-525</v>
      </c>
      <c r="AA1165" s="28" t="n">
        <v>0.84</v>
      </c>
      <c r="AB1165" s="28" t="n">
        <v>0</v>
      </c>
      <c r="AC1165" s="30" t="n">
        <v>0.1905</v>
      </c>
      <c r="AD1165" s="24" t="inlineStr">
        <is>
          <t>2026-09-29T10:00:16.372942Z</t>
        </is>
      </c>
      <c r="AE1165" s="31" t="inlineStr">
        <is>
          <t>Surface-blended Elo on Hard: Sara Sorribes Tormo p=0.605 vs Viktoria Morvayova. Executable ask 0.8400 (aec-wta-vikmor-sartor-2026-09-27).</t>
        </is>
      </c>
      <c r="AF1165" s="31" t="inlineStr">
        <is>
          <t>Surface-blended Elo model; singles only, WTA+ATP market coverage, not yet locked-holdout qualified -- promoted by explicit operator directive, not genuine walk-forward validation.</t>
        </is>
      </c>
      <c r="AG1165" s="24" t="inlineStr">
        <is>
          <t>not_applicable</t>
        </is>
      </c>
      <c r="AH1165" s="24" t="n"/>
      <c r="AI1165" s="31" t="n"/>
      <c r="AJ1165" s="31" t="n"/>
      <c r="AK1165" s="24" t="inlineStr">
        <is>
          <t>paper_call</t>
        </is>
      </c>
      <c r="AL1165" s="26" t="n">
        <v>4</v>
      </c>
      <c r="AM1165" s="24" t="inlineStr">
        <is>
          <t>RESEARCH_OBSERVATION</t>
        </is>
      </c>
      <c r="AN1165" s="24" t="inlineStr">
        <is>
          <t>CALL</t>
        </is>
      </c>
      <c r="AO1165" s="24" t="inlineStr">
        <is>
          <t>PAPER_CALL_LOW_EDGE</t>
        </is>
      </c>
      <c r="AP1165" s="24" t="inlineStr">
        <is>
          <t>Sara Sorribes Tormo</t>
        </is>
      </c>
      <c r="AQ1165" s="24" t="inlineStr">
        <is>
          <t>Sara Sorribes Tormo</t>
        </is>
      </c>
      <c r="AR1165" s="24" t="inlineStr">
        <is>
          <t>Sara Sorribes Tormo</t>
        </is>
      </c>
      <c r="AS1165" s="24" t="inlineStr">
        <is>
          <t>Viktoria Morvayova</t>
        </is>
      </c>
      <c r="AT1165" s="24" t="inlineStr">
        <is>
          <t>Viktoria Morvayova</t>
        </is>
      </c>
      <c r="AU1165" s="24" t="inlineStr">
        <is>
          <t>Viktoria Morvayova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shadow_qualified</t>
        </is>
      </c>
      <c r="BA1165" s="24" t="inlineStr">
        <is>
          <t>6c67e999d2a03612e30f4032c8e5e77e8becfbc79e05f4c8993e726b90d34d54</t>
        </is>
      </c>
      <c r="BB1165" s="24" t="inlineStr">
        <is>
          <t>surface_blended_elo</t>
        </is>
      </c>
      <c r="BC1165" s="24" t="inlineStr">
        <is>
          <t>tennis-surface-elo-v1</t>
        </is>
      </c>
      <c r="BD1165" s="24" t="inlineStr">
        <is>
          <t>6c67e999d2a03612e30f4032c8e5e77e8becfbc79e05f4c8993e726b90d34d54</t>
        </is>
      </c>
      <c r="BE1165" s="24" t="inlineStr">
        <is>
          <t>tennis-surface-elo-v1</t>
        </is>
      </c>
      <c r="BF1165" s="24" t="inlineStr">
        <is>
          <t>1</t>
        </is>
      </c>
      <c r="BG1165" s="24" t="inlineStr">
        <is>
          <t>6c67e999d2a03612e30f4032c8e5e77e8becfbc79e05f4c8993e726b90d34d54</t>
        </is>
      </c>
      <c r="BH1165" s="24" t="inlineStr">
        <is>
          <t>2026-09-28T04:36:13.049487Z</t>
        </is>
      </c>
      <c r="BI1165" s="24" t="inlineStr">
        <is>
          <t>["same_event","same_team_same_day","same_league_same_day"]</t>
        </is>
      </c>
      <c r="BJ1165" s="25" t="n"/>
      <c r="BK1165" s="26" t="n">
        <v>-525</v>
      </c>
      <c r="BL1165" s="27" t="n">
        <v>1.190476</v>
      </c>
      <c r="BM1165" s="28" t="n">
        <v>0.84</v>
      </c>
      <c r="BN1165" s="28" t="n"/>
      <c r="BO1165" s="28" t="n"/>
      <c r="BP1165" s="25" t="n"/>
      <c r="BQ1165" s="27" t="n">
        <v>1.190476</v>
      </c>
      <c r="BR1165" s="28" t="n">
        <v>0.84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False</t>
        </is>
      </c>
      <c r="CT1165" s="24" t="n"/>
      <c r="CU1165" s="24" t="n"/>
      <c r="CV1165" s="24" t="n"/>
      <c r="CW1165" s="24" t="n"/>
      <c r="CX1165" s="24" t="n"/>
      <c r="CY1165" s="24" t="n"/>
      <c r="CZ1165" s="24" t="n"/>
      <c r="DA1165" s="24" t="n"/>
      <c r="DB1165" s="24" t="n"/>
      <c r="DC1165" s="24" t="n"/>
      <c r="DD1165" s="24" t="inlineStr">
        <is>
          <t>c48d4a1d21c415f1d059fbf3d5fd83d6d09b112e0c4d89366f8b8351d2fa7791</t>
        </is>
      </c>
      <c r="DE1165" s="24" t="inlineStr">
        <is>
          <t>/Users/vincentc9002/model-prediction/data/odds/tennis/2026-09-28/polymarket_snapshots.jsonl</t>
        </is>
      </c>
      <c r="DF1165" s="24" t="inlineStr">
        <is>
          <t>1083357:2026-09-28T04:36:13.049487Z</t>
        </is>
      </c>
      <c r="DG1165" s="24" t="n"/>
      <c r="DH1165" s="24" t="n"/>
      <c r="DI1165" s="24" t="n"/>
      <c r="DJ1165" s="24" t="inlineStr">
        <is>
          <t>0.84</t>
        </is>
      </c>
      <c r="DK1165" s="24" t="n"/>
      <c r="DL1165" s="24" t="n"/>
      <c r="DM1165" s="24" t="n"/>
      <c r="DN1165" s="24" t="n"/>
      <c r="DO1165" s="24" t="n"/>
      <c r="DP1165" s="24" t="n"/>
      <c r="DQ1165" s="24" t="inlineStr">
        <is>
          <t>{"artifact_hash": "6c67e999d2a03612e30f4032c8e5e77e8becfbc79e05f4c8993e726b90d34d54", "away_team": "Sara Sorribes Tormo", "event_id": "1028-2026:184177", "event_start_utc": "2026-09-29T04:30Z", "features": {"elo_p1_surface": 1561.1, "elo_p2_surface": 1484.1, "expected_games_p1": 13.45, "expected_games_p2": 9.84, "expected_total_games": 23.28, "history_matches": 16386, "min_player_matches": 20, "surface": "Hard"}, "historical_source_observation_times_verified": false, "home_team": "Viktoria Morvayova", "inference_inputs": {"code_sha256": {"features/elo_ratings.py": "8525faf022a6343c452286dbfeb17dbb043744c6bdabbe448b6b371216da439b", "models/tennis.py": "6c67e999d2a03612e30f4032c8e5e77e8becfbc79e05f4c8993e726b90d34d54"}, "overall_ratings": [1546.247138780325, 1481.369050886354], "players": ["Sara Sorribes Tormo", "Viktoria Morvayova"], "sport": "TENNIS", "surface": "Hard", "surface_counts": [81, 20], "surface_ratings": [1561.072430243952, 1484.1419315826226]}, "market_type": "moneyline", "model_version": "tennis-surface-elo-v1", "observed_at_utc": "2026-09-28T22:06:13.082890+00:00", "probabilities": {"away": 0.6051, "home": 0.3949}, "replay_scope": "Exact full-precision serving state and rounding; upstream historical observation times are not certified.", "schema": "coded-moneyline-replay-v1", "snapshot_hash": "0f7c37f3fa2d8017fb609b96b40edfeb6b8b328f82f1a34b6cd4337298f96b5a", "sport": "TENNIS"}</t>
        </is>
      </c>
    </row>
    <row r="1166" ht="36" customHeight="1">
      <c r="A1166" s="24" t="inlineStr">
        <is>
          <t>9a2a38a94f5f4549</t>
        </is>
      </c>
      <c r="B1166" s="24" t="inlineStr">
        <is>
          <t>2026-09-28T22:06:13.647851Z</t>
        </is>
      </c>
      <c r="C1166" s="24" t="inlineStr">
        <is>
          <t>2026-09-29T03:00Z</t>
        </is>
      </c>
      <c r="D1166" s="24" t="inlineStr">
        <is>
          <t>959-2026:186206</t>
        </is>
      </c>
      <c r="E1166" s="24" t="inlineStr">
        <is>
          <t>TENNIS</t>
        </is>
      </c>
      <c r="F1166" s="24" t="inlineStr">
        <is>
          <t>Valeria Savinykh</t>
        </is>
      </c>
      <c r="G1166" s="24" t="inlineStr">
        <is>
          <t>Katarzyna Kawa</t>
        </is>
      </c>
      <c r="H1166" s="24" t="inlineStr">
        <is>
          <t>moneyline</t>
        </is>
      </c>
      <c r="I1166" s="24" t="inlineStr">
        <is>
          <t>home</t>
        </is>
      </c>
      <c r="J1166" s="25" t="n"/>
      <c r="K1166" s="24" t="inlineStr">
        <is>
          <t>polymarket_us</t>
        </is>
      </c>
      <c r="L1166" s="26" t="n">
        <v>-614</v>
      </c>
      <c r="M1166" s="27" t="n">
        <v>1.162866</v>
      </c>
      <c r="N1166" s="28" t="n">
        <v>0.859944</v>
      </c>
      <c r="O1166" s="28" t="n">
        <v>0.6602</v>
      </c>
      <c r="P1166" s="28" t="n">
        <v>0.05</v>
      </c>
      <c r="Q1166" s="28" t="n">
        <v>-0.199744</v>
      </c>
      <c r="R1166" s="26" t="n">
        <v>0</v>
      </c>
      <c r="S1166" s="29" t="n">
        <v>1</v>
      </c>
      <c r="T1166" s="24" t="inlineStr">
        <is>
          <t>tennis-surface-elo-v1</t>
        </is>
      </c>
      <c r="U1166" s="24" t="inlineStr">
        <is>
          <t>settled</t>
        </is>
      </c>
      <c r="V1166" s="24" t="inlineStr">
        <is>
          <t>win</t>
        </is>
      </c>
      <c r="W1166" s="26" t="n">
        <v>0</v>
      </c>
      <c r="X1166" s="26" t="n">
        <v>1</v>
      </c>
      <c r="Y1166" s="25" t="n"/>
      <c r="Z1166" s="26" t="n">
        <v>-614</v>
      </c>
      <c r="AA1166" s="28" t="n">
        <v>0.86</v>
      </c>
      <c r="AB1166" s="28" t="n">
        <v>5.6e-05</v>
      </c>
      <c r="AC1166" s="30" t="n">
        <v>0.1629</v>
      </c>
      <c r="AD1166" s="24" t="inlineStr">
        <is>
          <t>2026-09-29T10:00:16.846952Z</t>
        </is>
      </c>
      <c r="AE1166" s="31" t="inlineStr">
        <is>
          <t>Surface-blended Elo on Hard: Valeria Savinykh p=0.340 vs Katarzyna Kawa. Executable ask 0.8600 (aec-wta-katkaw-valsav-2026-09-28).</t>
        </is>
      </c>
      <c r="AF1166" s="31" t="inlineStr">
        <is>
          <t>Surface-blended Elo model; singles only, WTA+ATP market coverage, not yet locked-holdout qualified -- promoted by explicit operator directive, not genuine walk-forward validation.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Valeria Savinykh</t>
        </is>
      </c>
      <c r="AQ1166" s="24" t="inlineStr">
        <is>
          <t>Valeria Savinykh</t>
        </is>
      </c>
      <c r="AR1166" s="24" t="inlineStr">
        <is>
          <t>Valeria Savinykh</t>
        </is>
      </c>
      <c r="AS1166" s="24" t="inlineStr">
        <is>
          <t>Katarzyna Kawa</t>
        </is>
      </c>
      <c r="AT1166" s="24" t="inlineStr">
        <is>
          <t>Katarzyna Kawa</t>
        </is>
      </c>
      <c r="AU1166" s="24" t="inlineStr">
        <is>
          <t>Katarzyna Kawa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shadow_qualified</t>
        </is>
      </c>
      <c r="BA1166" s="24" t="inlineStr">
        <is>
          <t>6c67e999d2a03612e30f4032c8e5e77e8becfbc79e05f4c8993e726b90d34d54</t>
        </is>
      </c>
      <c r="BB1166" s="24" t="inlineStr">
        <is>
          <t>surface_blended_elo</t>
        </is>
      </c>
      <c r="BC1166" s="24" t="inlineStr">
        <is>
          <t>tennis-surface-elo-v1</t>
        </is>
      </c>
      <c r="BD1166" s="24" t="inlineStr">
        <is>
          <t>6c67e999d2a03612e30f4032c8e5e77e8becfbc79e05f4c8993e726b90d34d54</t>
        </is>
      </c>
      <c r="BE1166" s="24" t="inlineStr">
        <is>
          <t>tennis-surface-elo-v1</t>
        </is>
      </c>
      <c r="BF1166" s="24" t="inlineStr">
        <is>
          <t>1</t>
        </is>
      </c>
      <c r="BG1166" s="24" t="inlineStr">
        <is>
          <t>6c67e999d2a03612e30f4032c8e5e77e8becfbc79e05f4c8993e726b90d34d54</t>
        </is>
      </c>
      <c r="BH1166" s="24" t="inlineStr">
        <is>
          <t>2026-09-28T10:04:52.495442Z</t>
        </is>
      </c>
      <c r="BI1166" s="24" t="inlineStr">
        <is>
          <t>["same_event","same_team_same_day","same_league_same_day"]</t>
        </is>
      </c>
      <c r="BJ1166" s="25" t="n"/>
      <c r="BK1166" s="26" t="n">
        <v>-614</v>
      </c>
      <c r="BL1166" s="27" t="n">
        <v>1.162866</v>
      </c>
      <c r="BM1166" s="28" t="n">
        <v>0.859944</v>
      </c>
      <c r="BN1166" s="28" t="n"/>
      <c r="BO1166" s="28" t="n"/>
      <c r="BP1166" s="25" t="n"/>
      <c r="BQ1166" s="27" t="n">
        <v>1.162866</v>
      </c>
      <c r="BR1166" s="28" t="n">
        <v>0.86</v>
      </c>
      <c r="BS1166" s="28" t="n"/>
      <c r="BT1166" s="28" t="n"/>
      <c r="BU1166" s="25" t="n"/>
      <c r="BV1166" s="29" t="n"/>
      <c r="BW1166" s="24" t="n"/>
      <c r="BX1166" s="30" t="n"/>
      <c r="BY1166" s="27" t="n"/>
      <c r="BZ1166" s="24" t="n"/>
      <c r="CA1166" s="31" t="n"/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False</t>
        </is>
      </c>
      <c r="CT1166" s="24" t="n"/>
      <c r="CU1166" s="24" t="n"/>
      <c r="CV1166" s="24" t="n"/>
      <c r="CW1166" s="24" t="n"/>
      <c r="CX1166" s="24" t="n"/>
      <c r="CY1166" s="24" t="n"/>
      <c r="CZ1166" s="24" t="n"/>
      <c r="DA1166" s="24" t="n"/>
      <c r="DB1166" s="24" t="n"/>
      <c r="DC1166" s="24" t="n"/>
      <c r="DD1166" s="24" t="inlineStr">
        <is>
          <t>9d6fc47da1e81065d532546e50c27cb2f96186424738488ff14505040c349c43</t>
        </is>
      </c>
      <c r="DE1166" s="24" t="inlineStr">
        <is>
          <t>/Users/vincentc9002/model-prediction/data/odds/tennis/2026-09-28/polymarket_snapshots.jsonl</t>
        </is>
      </c>
      <c r="DF1166" s="24" t="inlineStr">
        <is>
          <t>1108964:2026-09-28T10:04:52.495442Z</t>
        </is>
      </c>
      <c r="DG1166" s="24" t="n"/>
      <c r="DH1166" s="24" t="n"/>
      <c r="DI1166" s="24" t="n"/>
      <c r="DJ1166" s="24" t="inlineStr">
        <is>
          <t>0.859944</t>
        </is>
      </c>
      <c r="DK1166" s="24" t="n"/>
      <c r="DL1166" s="24" t="n"/>
      <c r="DM1166" s="24" t="n"/>
      <c r="DN1166" s="24" t="n"/>
      <c r="DO1166" s="24" t="n"/>
      <c r="DP1166" s="24" t="n"/>
      <c r="DQ1166" s="24" t="inlineStr">
        <is>
          <t>{"artifact_hash": "6c67e999d2a03612e30f4032c8e5e77e8becfbc79e05f4c8993e726b90d34d54", "away_team": "Valeria Savinykh", "event_id": "959-2026:186206", "event_start_utc": "2026-09-29T03:00Z", "features": {"elo_p1_surface": 1435.7, "elo_p2_surface": 1557.1, "expected_games_p1": 8.72, "expected_games_p2": 13.23, "expected_total_games": 21.95, "history_matches": 16386, "min_player_matches": 9, "surface": "Hard"}, "historical_source_observation_times_verified": false, "home_team": "Katarzyna Kawa", "inference_inputs": {"code_sha256": {"features/elo_ratings.py": "8525faf022a6343c452286dbfeb17dbb043744c6bdabbe448b6b371216da439b", "models/tennis.py": "6c67e999d2a03612e30f4032c8e5e77e8becfbc79e05f4c8993e726b90d34d54"}, "overall_ratings": [1436.125827146309, 1535.2134598234998], "players": ["Valeria Savinykh", "Katarzyna Kawa"], "sport": "TENNIS", "surface": "Hard", "surface_counts": [9, 99], "surface_ratings": [1435.6911258366513, 1557.0673038435614]}, "market_type": "moneyline", "model_version": "tennis-surface-elo-v1", "observed_at_utc": "2026-09-28T22:06:13.082890+00:00", "probabilities": {"away": 0.3398, "home": 0.6602}, "replay_scope": "Exact full-precision serving state and rounding; upstream historical observation times are not certified.", "schema": "coded-moneyline-replay-v1", "snapshot_hash": "5c213b683a28b3a09417014746c49fa2d1e200e5aeb9df88ee466d71ccefe8b0", "sport": "TENNIS"}</t>
        </is>
      </c>
    </row>
    <row r="1167" ht="36" customHeight="1">
      <c r="A1167" s="24" t="inlineStr">
        <is>
          <t>40c0340df0b14618</t>
        </is>
      </c>
      <c r="B1167" s="24" t="inlineStr">
        <is>
          <t>2026-09-28T22:06:13.647851Z</t>
        </is>
      </c>
      <c r="C1167" s="24" t="inlineStr">
        <is>
          <t>2026-09-29T03:00Z</t>
        </is>
      </c>
      <c r="D1167" s="24" t="inlineStr">
        <is>
          <t>959-2026:186260</t>
        </is>
      </c>
      <c r="E1167" s="24" t="inlineStr">
        <is>
          <t>TENNIS</t>
        </is>
      </c>
      <c r="F1167" s="24" t="inlineStr">
        <is>
          <t>Arthur Gea</t>
        </is>
      </c>
      <c r="G1167" s="24" t="inlineStr">
        <is>
          <t>Tomas Machac</t>
        </is>
      </c>
      <c r="H1167" s="24" t="inlineStr">
        <is>
          <t>moneyline</t>
        </is>
      </c>
      <c r="I1167" s="24" t="inlineStr">
        <is>
          <t>away</t>
        </is>
      </c>
      <c r="J1167" s="25" t="n"/>
      <c r="K1167" s="24" t="inlineStr">
        <is>
          <t>polymarket_us</t>
        </is>
      </c>
      <c r="L1167" s="26" t="n">
        <v>-127</v>
      </c>
      <c r="M1167" s="27" t="n">
        <v>1.787402</v>
      </c>
      <c r="N1167" s="28" t="n">
        <v>0.5594710000000001</v>
      </c>
      <c r="O1167" s="28" t="n">
        <v>0.5042</v>
      </c>
      <c r="P1167" s="28" t="n">
        <v>0.05</v>
      </c>
      <c r="Q1167" s="28" t="n">
        <v>-0.055271</v>
      </c>
      <c r="R1167" s="26" t="n">
        <v>0</v>
      </c>
      <c r="S1167" s="29" t="n">
        <v>1</v>
      </c>
      <c r="T1167" s="24" t="inlineStr">
        <is>
          <t>tennis-surface-elo-v1</t>
        </is>
      </c>
      <c r="U1167" s="24" t="inlineStr">
        <is>
          <t>settled</t>
        </is>
      </c>
      <c r="V1167" s="24" t="inlineStr">
        <is>
          <t>win</t>
        </is>
      </c>
      <c r="W1167" s="26" t="n">
        <v>1</v>
      </c>
      <c r="X1167" s="26" t="n">
        <v>0</v>
      </c>
      <c r="Y1167" s="25" t="n"/>
      <c r="Z1167" s="26" t="n">
        <v>-127</v>
      </c>
      <c r="AA1167" s="28" t="n">
        <v>0.5600000000000001</v>
      </c>
      <c r="AB1167" s="28" t="n">
        <v>0.000529</v>
      </c>
      <c r="AC1167" s="30" t="n">
        <v>0.7874</v>
      </c>
      <c r="AD1167" s="24" t="inlineStr">
        <is>
          <t>2026-09-29T10:00:17.294566Z</t>
        </is>
      </c>
      <c r="AE1167" s="31" t="inlineStr">
        <is>
          <t>Surface-blended Elo on Hard: Arthur Gea p=0.504 vs Tomas Machac. Executable ask 0.5600 (aec-atp-tommac-artgea-2026-09-28).</t>
        </is>
      </c>
      <c r="AF1167" s="31" t="inlineStr">
        <is>
          <t>Surface-blended Elo model; singles only, WTA+ATP market coverage, not yet locked-holdout qualified -- promoted by explicit operator directive, not genuine walk-forward validation.</t>
        </is>
      </c>
      <c r="AG1167" s="24" t="inlineStr">
        <is>
          <t>not_applicable</t>
        </is>
      </c>
      <c r="AH1167" s="24" t="n"/>
      <c r="AI1167" s="31" t="n"/>
      <c r="AJ1167" s="31" t="n"/>
      <c r="AK1167" s="24" t="inlineStr">
        <is>
          <t>paper_call</t>
        </is>
      </c>
      <c r="AL1167" s="26" t="n">
        <v>4</v>
      </c>
      <c r="AM1167" s="24" t="inlineStr">
        <is>
          <t>RESEARCH_OBSERVATION</t>
        </is>
      </c>
      <c r="AN1167" s="24" t="inlineStr">
        <is>
          <t>CALL</t>
        </is>
      </c>
      <c r="AO1167" s="24" t="inlineStr">
        <is>
          <t>PAPER_CALL_LOW_EDGE</t>
        </is>
      </c>
      <c r="AP1167" s="24" t="inlineStr">
        <is>
          <t>Arthur Gea</t>
        </is>
      </c>
      <c r="AQ1167" s="24" t="inlineStr">
        <is>
          <t>Arthur Gea</t>
        </is>
      </c>
      <c r="AR1167" s="24" t="inlineStr">
        <is>
          <t>Arthur Gea</t>
        </is>
      </c>
      <c r="AS1167" s="24" t="inlineStr">
        <is>
          <t>Tomas Machac</t>
        </is>
      </c>
      <c r="AT1167" s="24" t="inlineStr">
        <is>
          <t>Tomas Machac</t>
        </is>
      </c>
      <c r="AU1167" s="24" t="inlineStr">
        <is>
          <t>Tomas Machac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shadow_qualified</t>
        </is>
      </c>
      <c r="BA1167" s="24" t="inlineStr">
        <is>
          <t>6c67e999d2a03612e30f4032c8e5e77e8becfbc79e05f4c8993e726b90d34d54</t>
        </is>
      </c>
      <c r="BB1167" s="24" t="inlineStr">
        <is>
          <t>surface_blended_elo</t>
        </is>
      </c>
      <c r="BC1167" s="24" t="inlineStr">
        <is>
          <t>tennis-surface-elo-v1</t>
        </is>
      </c>
      <c r="BD1167" s="24" t="inlineStr">
        <is>
          <t>6c67e999d2a03612e30f4032c8e5e77e8becfbc79e05f4c8993e726b90d34d54</t>
        </is>
      </c>
      <c r="BE1167" s="24" t="inlineStr">
        <is>
          <t>tennis-surface-elo-v1</t>
        </is>
      </c>
      <c r="BF1167" s="24" t="inlineStr">
        <is>
          <t>1</t>
        </is>
      </c>
      <c r="BG1167" s="24" t="inlineStr">
        <is>
          <t>6c67e999d2a03612e30f4032c8e5e77e8becfbc79e05f4c8993e726b90d34d54</t>
        </is>
      </c>
      <c r="BH1167" s="24" t="inlineStr">
        <is>
          <t>2026-09-28T16:09:52.129447Z</t>
        </is>
      </c>
      <c r="BI1167" s="24" t="inlineStr">
        <is>
          <t>["same_event","same_team_same_day","same_league_same_day"]</t>
        </is>
      </c>
      <c r="BJ1167" s="25" t="n"/>
      <c r="BK1167" s="26" t="n">
        <v>-127</v>
      </c>
      <c r="BL1167" s="27" t="n">
        <v>1.787402</v>
      </c>
      <c r="BM1167" s="28" t="n">
        <v>0.5594710000000001</v>
      </c>
      <c r="BN1167" s="28" t="n"/>
      <c r="BO1167" s="28" t="n"/>
      <c r="BP1167" s="25" t="n"/>
      <c r="BQ1167" s="27" t="n">
        <v>1.787402</v>
      </c>
      <c r="BR1167" s="28" t="n">
        <v>0.5600000000000001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False</t>
        </is>
      </c>
      <c r="CT1167" s="24" t="n"/>
      <c r="CU1167" s="24" t="n"/>
      <c r="CV1167" s="24" t="n"/>
      <c r="CW1167" s="24" t="n"/>
      <c r="CX1167" s="24" t="n"/>
      <c r="CY1167" s="24" t="n"/>
      <c r="CZ1167" s="24" t="n"/>
      <c r="DA1167" s="24" t="n"/>
      <c r="DB1167" s="24" t="n"/>
      <c r="DC1167" s="24" t="n"/>
      <c r="DD1167" s="24" t="inlineStr">
        <is>
          <t>05dc5ee6d1048090f39be57c83d0b0302b11169dea73baf5cf7bb6f9c6231e21</t>
        </is>
      </c>
      <c r="DE1167" s="24" t="inlineStr">
        <is>
          <t>/Users/vincentc9002/model-prediction/data/odds/tennis/2026-09-28/polymarket_snapshots.jsonl</t>
        </is>
      </c>
      <c r="DF1167" s="24" t="inlineStr">
        <is>
          <t>1106292:2026-09-28T16:09:52.129447Z</t>
        </is>
      </c>
      <c r="DG1167" s="24" t="n"/>
      <c r="DH1167" s="24" t="n"/>
      <c r="DI1167" s="24" t="n"/>
      <c r="DJ1167" s="24" t="inlineStr">
        <is>
          <t>0.559471</t>
        </is>
      </c>
      <c r="DK1167" s="24" t="n"/>
      <c r="DL1167" s="24" t="n"/>
      <c r="DM1167" s="24" t="n"/>
      <c r="DN1167" s="24" t="n"/>
      <c r="DO1167" s="24" t="n"/>
      <c r="DP1167" s="24" t="n"/>
      <c r="DQ1167" s="24" t="inlineStr">
        <is>
          <t>{"artifact_hash": "6c67e999d2a03612e30f4032c8e5e77e8becfbc79e05f4c8993e726b90d34d54", "away_team": "Arthur Gea", "event_id": "959-2026:186260", "event_start_utc": "2026-09-29T03:00Z", "features": {"elo_p1_surface": 1612.1, "elo_p2_surface": 1577.6, "expected_games_p1": 13.51, "expected_games_p2": 11.7, "expected_total_games": 25.21, "history_matches": 11283, "min_player_matches": 29, "surface": "Hard"}, "historical_source_observation_times_verified": false, "home_team": "Tomas Machac", "inference_inputs": {"code_sha256": {"features/elo_ratings.py": "8525faf022a6343c452286dbfeb17dbb043744c6bdabbe448b6b371216da439b", "models/tennis.py": "6c67e999d2a03612e30f4032c8e5e77e8becfbc79e05f4c8993e726b90d34d54"}, "overall_ratings": [1577.180467727301, 1624.3959648303542], "players": ["Arthur Gea", "Tomas Machac"], "sport": "TENNIS", "surface": "Hard", "surface_counts": [18, 87], "surface_ratings": [1612.11525193042, 1577.618379236994]}, "market_type": "moneyline", "model_version": "tennis-surface-elo-v1", "observed_at_utc": "2026-09-28T22:06:13.082890+00:00", "probabilities": {"away": 0.5042, "home": 0.4958}, "replay_scope": "Exact full-precision serving state and rounding; upstream historical observation times are not certified.", "schema": "coded-moneyline-replay-v1", "snapshot_hash": "44e0b564c22c7006f2fcda0f924b61edd5e6e52740d1c2f0aa4c2c82de2fbcc2", "sport": "TENNIS"}</t>
        </is>
      </c>
    </row>
    <row r="1168" ht="36" customHeight="1">
      <c r="A1168" s="24" t="inlineStr">
        <is>
          <t>e54e5bb164b646a6</t>
        </is>
      </c>
      <c r="B1168" s="24" t="inlineStr">
        <is>
          <t>2026-09-29T04:39:17.882350Z</t>
        </is>
      </c>
      <c r="C1168" s="24" t="inlineStr">
        <is>
          <t>2026-09-29T09:00Z</t>
        </is>
      </c>
      <c r="D1168" s="24" t="inlineStr">
        <is>
          <t>1078-2026:184145</t>
        </is>
      </c>
      <c r="E1168" s="24" t="inlineStr">
        <is>
          <t>TENNIS</t>
        </is>
      </c>
      <c r="F1168" s="24" t="inlineStr">
        <is>
          <t>Ayla Aksu</t>
        </is>
      </c>
      <c r="G1168" s="24" t="inlineStr">
        <is>
          <t>Elena Pridankina</t>
        </is>
      </c>
      <c r="H1168" s="24" t="inlineStr">
        <is>
          <t>moneyline</t>
        </is>
      </c>
      <c r="I1168" s="24" t="inlineStr">
        <is>
          <t>home</t>
        </is>
      </c>
      <c r="J1168" s="25" t="n"/>
      <c r="K1168" s="24" t="inlineStr">
        <is>
          <t>polymarket_us</t>
        </is>
      </c>
      <c r="L1168" s="26" t="n">
        <v>-669</v>
      </c>
      <c r="M1168" s="27" t="n">
        <v>1.149477</v>
      </c>
      <c r="N1168" s="28" t="n">
        <v>0.869961</v>
      </c>
      <c r="O1168" s="28" t="n">
        <v>0.6188</v>
      </c>
      <c r="P1168" s="28" t="n">
        <v>0.05</v>
      </c>
      <c r="Q1168" s="28" t="n">
        <v>-0.251161</v>
      </c>
      <c r="R1168" s="26" t="n">
        <v>0</v>
      </c>
      <c r="S1168" s="29" t="n">
        <v>1</v>
      </c>
      <c r="T1168" s="24" t="inlineStr">
        <is>
          <t>tennis-surface-elo-v1</t>
        </is>
      </c>
      <c r="U1168" s="24" t="inlineStr">
        <is>
          <t>settled</t>
        </is>
      </c>
      <c r="V1168" s="24" t="inlineStr">
        <is>
          <t>win</t>
        </is>
      </c>
      <c r="W1168" s="26" t="n">
        <v>0</v>
      </c>
      <c r="X1168" s="26" t="n">
        <v>1</v>
      </c>
      <c r="Y1168" s="25" t="n"/>
      <c r="Z1168" s="26" t="n">
        <v>-669</v>
      </c>
      <c r="AA1168" s="28" t="n">
        <v>0.87</v>
      </c>
      <c r="AB1168" s="28" t="n">
        <v>3.9e-05</v>
      </c>
      <c r="AC1168" s="30" t="n">
        <v>0.1495</v>
      </c>
      <c r="AD1168" s="24" t="inlineStr">
        <is>
          <t>2026-09-29T22:00:15.886994Z</t>
        </is>
      </c>
      <c r="AE1168" s="31" t="inlineStr">
        <is>
          <t>Surface-blended Elo on Hard: Ayla Aksu p=0.381 vs Elena Pridankina. Executable ask 0.8700 (aec-wta-elepri-aylaks-2026-09-28).</t>
        </is>
      </c>
      <c r="AF1168" s="31" t="inlineStr">
        <is>
          <t>Surface-blended Elo model; singles only, WTA+ATP market coverage, not yet locked-holdout qualified -- promoted by explicit operator directive, not genuine walk-forward validation.</t>
        </is>
      </c>
      <c r="AG1168" s="24" t="inlineStr">
        <is>
          <t>not_applicable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PAPER_CALL_LOW_EDGE</t>
        </is>
      </c>
      <c r="AP1168" s="24" t="inlineStr">
        <is>
          <t>Ayla Aksu</t>
        </is>
      </c>
      <c r="AQ1168" s="24" t="inlineStr">
        <is>
          <t>Ayla Aksu</t>
        </is>
      </c>
      <c r="AR1168" s="24" t="inlineStr">
        <is>
          <t>Ayla Aksu</t>
        </is>
      </c>
      <c r="AS1168" s="24" t="inlineStr">
        <is>
          <t>Elena Pridankina</t>
        </is>
      </c>
      <c r="AT1168" s="24" t="inlineStr">
        <is>
          <t>Elena Pridankina</t>
        </is>
      </c>
      <c r="AU1168" s="24" t="inlineStr">
        <is>
          <t>Elena Pridankina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shadow_qualified</t>
        </is>
      </c>
      <c r="BA1168" s="24" t="inlineStr">
        <is>
          <t>6c67e999d2a03612e30f4032c8e5e77e8becfbc79e05f4c8993e726b90d34d54</t>
        </is>
      </c>
      <c r="BB1168" s="24" t="inlineStr">
        <is>
          <t>surface_blended_elo</t>
        </is>
      </c>
      <c r="BC1168" s="24" t="inlineStr">
        <is>
          <t>tennis-surface-elo-v1</t>
        </is>
      </c>
      <c r="BD1168" s="24" t="inlineStr">
        <is>
          <t>6c67e999d2a03612e30f4032c8e5e77e8becfbc79e05f4c8993e726b90d34d54</t>
        </is>
      </c>
      <c r="BE1168" s="24" t="inlineStr">
        <is>
          <t>tennis-surface-elo-v1</t>
        </is>
      </c>
      <c r="BF1168" s="24" t="inlineStr">
        <is>
          <t>1</t>
        </is>
      </c>
      <c r="BG1168" s="24" t="inlineStr">
        <is>
          <t>6c67e999d2a03612e30f4032c8e5e77e8becfbc79e05f4c8993e726b90d34d54</t>
        </is>
      </c>
      <c r="BH1168" s="24" t="inlineStr">
        <is>
          <t>2026-09-28T04:59:30.619278Z</t>
        </is>
      </c>
      <c r="BI1168" s="24" t="inlineStr">
        <is>
          <t>["same_event","same_team_same_day","same_league_same_day"]</t>
        </is>
      </c>
      <c r="BJ1168" s="25" t="n"/>
      <c r="BK1168" s="26" t="n">
        <v>-669</v>
      </c>
      <c r="BL1168" s="27" t="n">
        <v>1.149477</v>
      </c>
      <c r="BM1168" s="28" t="n">
        <v>0.869961</v>
      </c>
      <c r="BN1168" s="28" t="n"/>
      <c r="BO1168" s="28" t="n"/>
      <c r="BP1168" s="25" t="n"/>
      <c r="BQ1168" s="27" t="n">
        <v>1.149477</v>
      </c>
      <c r="BR1168" s="28" t="n">
        <v>0.87</v>
      </c>
      <c r="BS1168" s="28" t="n"/>
      <c r="BT1168" s="28" t="n"/>
      <c r="BU1168" s="25" t="n"/>
      <c r="BV1168" s="29" t="n"/>
      <c r="BW1168" s="24" t="n"/>
      <c r="BX1168" s="30" t="n"/>
      <c r="BY1168" s="27" t="n"/>
      <c r="BZ1168" s="24" t="n"/>
      <c r="CA1168" s="31" t="n"/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n"/>
      <c r="CU1168" s="24" t="n"/>
      <c r="CV1168" s="24" t="n"/>
      <c r="CW1168" s="24" t="n"/>
      <c r="CX1168" s="24" t="n"/>
      <c r="CY1168" s="24" t="n"/>
      <c r="CZ1168" s="24" t="n"/>
      <c r="DA1168" s="24" t="n"/>
      <c r="DB1168" s="24" t="n"/>
      <c r="DC1168" s="24" t="n"/>
      <c r="DD1168" s="24" t="inlineStr">
        <is>
          <t>c6df032ee1e80871c699ead320b3fd731fd6e89d31a366205688259f743936b8</t>
        </is>
      </c>
      <c r="DE1168" s="24" t="inlineStr">
        <is>
          <t>/Users/vincentc9002/model-prediction/data/odds/tennis/2026-09-29/polymarket_snapshots.jsonl</t>
        </is>
      </c>
      <c r="DF1168" s="24" t="inlineStr">
        <is>
          <t>1096311:2026-09-28T04:59:30.619278Z</t>
        </is>
      </c>
      <c r="DG1168" s="24" t="n"/>
      <c r="DH1168" s="24" t="n"/>
      <c r="DI1168" s="24" t="n"/>
      <c r="DJ1168" s="24" t="inlineStr">
        <is>
          <t>0.869961</t>
        </is>
      </c>
      <c r="DK1168" s="24" t="n"/>
      <c r="DL1168" s="24" t="n"/>
      <c r="DM1168" s="24" t="n"/>
      <c r="DN1168" s="24" t="n"/>
      <c r="DO1168" s="24" t="n"/>
      <c r="DP1168" s="24" t="n"/>
      <c r="DQ1168" s="24" t="inlineStr">
        <is>
          <t>{"artifact_hash": "6c67e999d2a03612e30f4032c8e5e77e8becfbc79e05f4c8993e726b90d34d54", "away_team": "Ayla Aksu", "event_id": "1078-2026:184145", "event_start_utc": "2026-09-29T09:00Z", "features": {"elo_p1_surface": 1485.1, "elo_p2_surface": 1562.3, "expected_games_p1": 10.26, "expected_games_p2": 13.26, "expected_total_games": 23.53, "history_matches": 16422, "min_player_matches": 31,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[1481.9557480585431, 1580.924983892602], "players": ["Ayla Aksu", "Elena Pridankina"], "sport": "TENNIS", "surface": "Hard", "surface_counts": [31, 69], "surface_ratings": [1485.1195468465164, 1562.2693478677668]}, "market_type": "moneyline", "model_version": "tennis-surface-elo-v1", "observed_at_utc": "2026-09-29T04:39:16.002849+00:00", "probabilities": {"away": 0.3812, "home": 0.6188}, "replay_scope": "Exact full-precision serving state and rounding; upstream historical observation times are not certified.", "schema": "coded-moneyline-replay-v1", "snapshot_hash": "461cfb06fe1f3df0c915009849bef893af2772f57f53b5f8e8d8d610a62834a2", "sport": "TENNIS"}</t>
        </is>
      </c>
    </row>
    <row r="1169" ht="36" customHeight="1">
      <c r="A1169" s="24" t="inlineStr">
        <is>
          <t>d1eacdbc7f0a4fb0</t>
        </is>
      </c>
      <c r="B1169" s="24" t="inlineStr">
        <is>
          <t>2026-09-29T22:06:33.788343Z</t>
        </is>
      </c>
      <c r="C1169" s="24" t="inlineStr">
        <is>
          <t>2026-09-30T03:00Z</t>
        </is>
      </c>
      <c r="D1169" s="24" t="inlineStr">
        <is>
          <t>959-2026:184239</t>
        </is>
      </c>
      <c r="E1169" s="24" t="inlineStr">
        <is>
          <t>TENNIS</t>
        </is>
      </c>
      <c r="F1169" s="24" t="inlineStr">
        <is>
          <t>Maria Timofeeva</t>
        </is>
      </c>
      <c r="G1169" s="24" t="inlineStr">
        <is>
          <t>Darja Vidmanova</t>
        </is>
      </c>
      <c r="H1169" s="24" t="inlineStr">
        <is>
          <t>moneyline</t>
        </is>
      </c>
      <c r="I1169" s="24" t="inlineStr">
        <is>
          <t>away</t>
        </is>
      </c>
      <c r="J1169" s="25" t="n"/>
      <c r="K1169" s="24" t="inlineStr">
        <is>
          <t>polymarket_us</t>
        </is>
      </c>
      <c r="L1169" s="26" t="n">
        <v>-150</v>
      </c>
      <c r="M1169" s="27" t="n">
        <v>1.666667</v>
      </c>
      <c r="N1169" s="28" t="n">
        <v>0.6</v>
      </c>
      <c r="O1169" s="28" t="n">
        <v>0.6157</v>
      </c>
      <c r="P1169" s="28" t="n">
        <v>0.05</v>
      </c>
      <c r="Q1169" s="28" t="n">
        <v>0.0157</v>
      </c>
      <c r="R1169" s="26" t="n">
        <v>28</v>
      </c>
      <c r="S1169" s="29" t="n">
        <v>1</v>
      </c>
      <c r="T1169" s="24" t="inlineStr">
        <is>
          <t>tennis-surface-elo-v1</t>
        </is>
      </c>
      <c r="U1169" s="24" t="inlineStr">
        <is>
          <t>settled</t>
        </is>
      </c>
      <c r="V1169" s="24" t="inlineStr">
        <is>
          <t>win</t>
        </is>
      </c>
      <c r="W1169" s="26" t="n">
        <v>1</v>
      </c>
      <c r="X1169" s="26" t="n">
        <v>0</v>
      </c>
      <c r="Y1169" s="25" t="n"/>
      <c r="Z1169" s="26" t="n">
        <v>-150</v>
      </c>
      <c r="AA1169" s="28" t="n">
        <v>0.6</v>
      </c>
      <c r="AB1169" s="28" t="n">
        <v>0</v>
      </c>
      <c r="AC1169" s="30" t="n">
        <v>0.6667</v>
      </c>
      <c r="AD1169" s="24" t="inlineStr">
        <is>
          <t>2026-09-30T10:00:28.874005Z</t>
        </is>
      </c>
      <c r="AE1169" s="31" t="inlineStr">
        <is>
          <t>Surface-blended Elo on Hard: Maria Timofeeva p=0.616 vs Darja Vidmanova. Executable ask 0.6000 (aec-wta-darvid-martim-2026-09-28).</t>
        </is>
      </c>
      <c r="AF1169" s="31" t="inlineStr">
        <is>
          <t>Surface-blended Elo model; singles only, WTA+ATP market coverage, not yet locked-holdout qualified -- promoted by explicit operator directive, not genuine walk-forward validation.</t>
        </is>
      </c>
      <c r="AG1169" s="24" t="inlineStr">
        <is>
          <t>not_applicable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PAPER_CALL_LOW_EDGE</t>
        </is>
      </c>
      <c r="AP1169" s="24" t="inlineStr">
        <is>
          <t>Maria Timofeeva</t>
        </is>
      </c>
      <c r="AQ1169" s="24" t="inlineStr">
        <is>
          <t>Maria Timofeeva</t>
        </is>
      </c>
      <c r="AR1169" s="24" t="inlineStr">
        <is>
          <t>Maria Timofeeva</t>
        </is>
      </c>
      <c r="AS1169" s="24" t="inlineStr">
        <is>
          <t>Darja Vidmanova</t>
        </is>
      </c>
      <c r="AT1169" s="24" t="inlineStr">
        <is>
          <t>Darja Vidmanova</t>
        </is>
      </c>
      <c r="AU1169" s="24" t="inlineStr">
        <is>
          <t>Darja Vidmanova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6c67e999d2a03612e30f4032c8e5e77e8becfbc79e05f4c8993e726b90d34d54</t>
        </is>
      </c>
      <c r="BB1169" s="24" t="inlineStr">
        <is>
          <t>surface_blended_elo</t>
        </is>
      </c>
      <c r="BC1169" s="24" t="inlineStr">
        <is>
          <t>tennis-surface-elo-v1</t>
        </is>
      </c>
      <c r="BD1169" s="24" t="inlineStr">
        <is>
          <t>6c67e999d2a03612e30f4032c8e5e77e8becfbc79e05f4c8993e726b90d34d54</t>
        </is>
      </c>
      <c r="BE1169" s="24" t="inlineStr">
        <is>
          <t>tennis-surface-elo-v1</t>
        </is>
      </c>
      <c r="BF1169" s="24" t="inlineStr">
        <is>
          <t>1</t>
        </is>
      </c>
      <c r="BG1169" s="24" t="inlineStr">
        <is>
          <t>6c67e999d2a03612e30f4032c8e5e77e8becfbc79e05f4c8993e726b90d34d54</t>
        </is>
      </c>
      <c r="BH1169" s="24" t="inlineStr">
        <is>
          <t>2026-09-29T04:33:46.190503Z</t>
        </is>
      </c>
      <c r="BI1169" s="24" t="inlineStr">
        <is>
          <t>["same_event","same_team_same_day","same_league_same_day"]</t>
        </is>
      </c>
      <c r="BJ1169" s="25" t="n"/>
      <c r="BK1169" s="26" t="n">
        <v>-150</v>
      </c>
      <c r="BL1169" s="27" t="n">
        <v>1.666667</v>
      </c>
      <c r="BM1169" s="28" t="n">
        <v>0.6</v>
      </c>
      <c r="BN1169" s="28" t="n"/>
      <c r="BO1169" s="28" t="n"/>
      <c r="BP1169" s="25" t="n"/>
      <c r="BQ1169" s="27" t="n">
        <v>1.666667</v>
      </c>
      <c r="BR1169" s="28" t="n">
        <v>0.6</v>
      </c>
      <c r="BS1169" s="28" t="n"/>
      <c r="BT1169" s="28" t="n"/>
      <c r="BU1169" s="25" t="n"/>
      <c r="BV1169" s="29" t="n"/>
      <c r="BW1169" s="24" t="n"/>
      <c r="BX1169" s="30" t="n"/>
      <c r="BY1169" s="27" t="n"/>
      <c r="BZ1169" s="24" t="n"/>
      <c r="CA1169" s="31" t="n"/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inlineStr">
        <is>
          <t>a28059f8aee5b350113c4d11626cfc7996fef5795f722a5e8fb6b70a82dac1cb</t>
        </is>
      </c>
      <c r="DE1169" s="24" t="inlineStr">
        <is>
          <t>/Users/vincentc9002/model-prediction/data/odds/tennis/2026-09-29/polymarket_snapshots.jsonl</t>
        </is>
      </c>
      <c r="DF1169" s="24" t="inlineStr">
        <is>
          <t>1107452:2026-09-29T04:33:46.190503Z</t>
        </is>
      </c>
      <c r="DG1169" s="24" t="n"/>
      <c r="DH1169" s="24" t="n"/>
      <c r="DI1169" s="24" t="n"/>
      <c r="DJ1169" s="24" t="inlineStr">
        <is>
          <t>0.6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{"artifact_hash": "6c67e999d2a03612e30f4032c8e5e77e8becfbc79e05f4c8993e726b90d34d54", "away_team": "Maria Timofeeva", "event_id": "959-2026:184239", "event_start_utc": "2026-09-30T03:00Z", "features": {"elo_p1_surface": 1687.1, "elo_p2_surface": 1607.7, "expected_games_p1": 13.45, "expected_games_p2": 9.75, "expected_total_games": 23.2, "history_matches": 16422, "min_player_matches": 58, "surface": "Hard"}, "historical_source_observation_times_verified": false, "home_team": "Darja Vidmanova", "inference_inputs": {"code_sha256": {"features/elo_ratings.py": "8525faf022a6343c452286dbfeb17dbb043744c6bdabbe448b6b371216da439b", "models/tennis.py": "6c67e999d2a03612e30f4032c8e5e77e8becfbc79e05f4c8993e726b90d34d54"}, "overall_ratings": [1692.6004209102323, 1604.5571369058425], "players": ["Maria Timofeeva", "Darja Vidmanova"], "sport": "TENNIS", "surface": "Hard", "surface_counts": [94, 54], "surface_ratings": [1687.080174091281, 1607.7355764637869]}, "market_type": "moneyline", "model_version": "tennis-surface-elo-v1", "observed_at_utc": "2026-09-29T22:06:31.290572+00:00", "probabilities": {"away": 0.6157, "home": 0.3843}, "replay_scope": "Exact full-precision serving state and rounding; upstream historical observation times are not certified.", "schema": "coded-moneyline-replay-v1", "snapshot_hash": "967597aff9517289288002c55bc9261e138c1907a70339147ac3f0d9e10a5bea", "sport": "TENNIS"}</t>
        </is>
      </c>
    </row>
    <row r="1170" ht="36" customHeight="1">
      <c r="A1170" s="24" t="inlineStr">
        <is>
          <t>bac4e22dc7b2452f</t>
        </is>
      </c>
      <c r="B1170" s="24" t="inlineStr">
        <is>
          <t>2026-09-29T22:06:33.788343Z</t>
        </is>
      </c>
      <c r="C1170" s="24" t="inlineStr">
        <is>
          <t>2026-09-30T03:00Z</t>
        </is>
      </c>
      <c r="D1170" s="24" t="inlineStr">
        <is>
          <t>959-2026:184242</t>
        </is>
      </c>
      <c r="E1170" s="24" t="inlineStr">
        <is>
          <t>TENNIS</t>
        </is>
      </c>
      <c r="F1170" s="24" t="inlineStr">
        <is>
          <t>Sinja Kraus</t>
        </is>
      </c>
      <c r="G1170" s="24" t="inlineStr">
        <is>
          <t>Maya Joint</t>
        </is>
      </c>
      <c r="H1170" s="24" t="inlineStr">
        <is>
          <t>moneyline</t>
        </is>
      </c>
      <c r="I1170" s="24" t="inlineStr">
        <is>
          <t>home</t>
        </is>
      </c>
      <c r="J1170" s="25" t="n"/>
      <c r="K1170" s="24" t="inlineStr">
        <is>
          <t>polymarket_us</t>
        </is>
      </c>
      <c r="L1170" s="26" t="n">
        <v>-285</v>
      </c>
      <c r="M1170" s="27" t="n">
        <v>1.350877</v>
      </c>
      <c r="N1170" s="28" t="n">
        <v>0.74026</v>
      </c>
      <c r="O1170" s="28" t="n">
        <v>0.5392</v>
      </c>
      <c r="P1170" s="28" t="n">
        <v>0.05</v>
      </c>
      <c r="Q1170" s="28" t="n">
        <v>-0.20106</v>
      </c>
      <c r="R1170" s="26" t="n">
        <v>0</v>
      </c>
      <c r="S1170" s="29" t="n">
        <v>1</v>
      </c>
      <c r="T1170" s="24" t="inlineStr">
        <is>
          <t>tennis-surface-elo-v1</t>
        </is>
      </c>
      <c r="U1170" s="24" t="inlineStr">
        <is>
          <t>settled</t>
        </is>
      </c>
      <c r="V1170" s="24" t="inlineStr">
        <is>
          <t>loss</t>
        </is>
      </c>
      <c r="W1170" s="26" t="n">
        <v>1</v>
      </c>
      <c r="X1170" s="26" t="n">
        <v>0</v>
      </c>
      <c r="Y1170" s="25" t="n"/>
      <c r="Z1170" s="26" t="n">
        <v>-285</v>
      </c>
      <c r="AA1170" s="28" t="n">
        <v>0.74</v>
      </c>
      <c r="AB1170" s="28" t="n">
        <v>-0.00026</v>
      </c>
      <c r="AC1170" s="30" t="n">
        <v>-1</v>
      </c>
      <c r="AD1170" s="24" t="inlineStr">
        <is>
          <t>2026-09-30T10:00:29.317590Z</t>
        </is>
      </c>
      <c r="AE1170" s="31" t="inlineStr">
        <is>
          <t>Surface-blended Elo on Hard: Sinja Kraus p=0.461 vs Maya Joint. Executable ask 0.7400 (aec-wta-mayjoi-sinkra-2026-09-28).</t>
        </is>
      </c>
      <c r="AF1170" s="31" t="inlineStr">
        <is>
          <t>Surface-blended Elo model; singles only, WTA+ATP market coverage, not yet locked-holdout qualified -- promoted by explicit operator directive, not genuine walk-forward validation.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PAPER_CALL_LOW_EDGE</t>
        </is>
      </c>
      <c r="AP1170" s="24" t="inlineStr">
        <is>
          <t>Sinja Kraus</t>
        </is>
      </c>
      <c r="AQ1170" s="24" t="inlineStr">
        <is>
          <t>Sinja Kraus</t>
        </is>
      </c>
      <c r="AR1170" s="24" t="inlineStr">
        <is>
          <t>Sinja Kraus</t>
        </is>
      </c>
      <c r="AS1170" s="24" t="inlineStr">
        <is>
          <t>Maya Joint</t>
        </is>
      </c>
      <c r="AT1170" s="24" t="inlineStr">
        <is>
          <t>Maya Joint</t>
        </is>
      </c>
      <c r="AU1170" s="24" t="inlineStr">
        <is>
          <t>Maya Joint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6c67e999d2a03612e30f4032c8e5e77e8becfbc79e05f4c8993e726b90d34d54</t>
        </is>
      </c>
      <c r="BB1170" s="24" t="inlineStr">
        <is>
          <t>surface_blended_elo</t>
        </is>
      </c>
      <c r="BC1170" s="24" t="inlineStr">
        <is>
          <t>tennis-surface-elo-v1</t>
        </is>
      </c>
      <c r="BD1170" s="24" t="inlineStr">
        <is>
          <t>6c67e999d2a03612e30f4032c8e5e77e8becfbc79e05f4c8993e726b90d34d54</t>
        </is>
      </c>
      <c r="BE1170" s="24" t="inlineStr">
        <is>
          <t>tennis-surface-elo-v1</t>
        </is>
      </c>
      <c r="BF1170" s="24" t="inlineStr">
        <is>
          <t>1</t>
        </is>
      </c>
      <c r="BG1170" s="24" t="inlineStr">
        <is>
          <t>6c67e999d2a03612e30f4032c8e5e77e8becfbc79e05f4c8993e726b90d34d54</t>
        </is>
      </c>
      <c r="BH1170" s="24" t="inlineStr">
        <is>
          <t>2026-09-29T10:04:13.040893Z</t>
        </is>
      </c>
      <c r="BI1170" s="24" t="inlineStr">
        <is>
          <t>["same_event","same_team_same_day","same_league_same_day"]</t>
        </is>
      </c>
      <c r="BJ1170" s="25" t="n"/>
      <c r="BK1170" s="26" t="n">
        <v>-285</v>
      </c>
      <c r="BL1170" s="27" t="n">
        <v>1.350877</v>
      </c>
      <c r="BM1170" s="28" t="n">
        <v>0.74026</v>
      </c>
      <c r="BN1170" s="28" t="n"/>
      <c r="BO1170" s="28" t="n"/>
      <c r="BP1170" s="25" t="n"/>
      <c r="BQ1170" s="27" t="n">
        <v>1.350877</v>
      </c>
      <c r="BR1170" s="28" t="n">
        <v>0.74</v>
      </c>
      <c r="BS1170" s="28" t="n"/>
      <c r="BT1170" s="28" t="n"/>
      <c r="BU1170" s="25" t="n"/>
      <c r="BV1170" s="29" t="n"/>
      <c r="BW1170" s="24" t="n"/>
      <c r="BX1170" s="30" t="n"/>
      <c r="BY1170" s="27" t="n"/>
      <c r="BZ1170" s="24" t="n"/>
      <c r="CA1170" s="31" t="n"/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False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inlineStr">
        <is>
          <t>17038e9829465430aaacc09f1f793fb9e2f2eee9eaa8ebec0fe8b10b8350fd92</t>
        </is>
      </c>
      <c r="DE1170" s="24" t="inlineStr">
        <is>
          <t>/Users/vincentc9002/model-prediction/data/odds/tennis/2026-09-29/polymarket_snapshots.jsonl</t>
        </is>
      </c>
      <c r="DF1170" s="24" t="inlineStr">
        <is>
          <t>1107450:2026-09-29T10:04:13.040893Z</t>
        </is>
      </c>
      <c r="DG1170" s="24" t="n"/>
      <c r="DH1170" s="24" t="n"/>
      <c r="DI1170" s="24" t="n"/>
      <c r="DJ1170" s="24" t="inlineStr">
        <is>
          <t>0.74026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{"artifact_hash": "6c67e999d2a03612e30f4032c8e5e77e8becfbc79e05f4c8993e726b90d34d54", "away_team": "Sinja Kraus", "event_id": "959-2026:184242", "event_start_utc": "2026-09-30T03:00Z", "features": {"elo_p1_surface": 1646.4, "elo_p2_surface": 1673.9, "expected_games_p1": 11.86, "expected_games_p2": 12.78, "expected_total_games": 24.64, "history_matches": 16422, "min_player_matches": 121, "surface": "Hard"}, "historical_source_observation_times_verified": false, "home_team": "Maya Joint", "inference_inputs": {"code_sha256": {"features/elo_ratings.py": "8525faf022a6343c452286dbfeb17dbb043744c6bdabbe448b6b371216da439b", "models/tennis.py": "6c67e999d2a03612e30f4032c8e5e77e8becfbc79e05f4c8993e726b90d34d54"}, "overall_ratings": [1643.3997247108, 1670.188385605911], "players": ["Sinja Kraus", "Maya Joint"], "sport": "TENNIS", "surface": "Hard", "surface_counts": [100, 118], "surface_ratings": [1646.4477207817656, 1673.8714823097537]}, "market_type": "moneyline", "model_version": "tennis-surface-elo-v1", "observed_at_utc": "2026-09-29T22:06:31.290572+00:00", "probabilities": {"away": 0.4608, "home": 0.5392}, "replay_scope": "Exact full-precision serving state and rounding; upstream historical observation times are not certified.", "schema": "coded-moneyline-replay-v1", "snapshot_hash": "b4b4894e5243ed66dbfe27162e017109722e480802588a49bc75d357e88fc2e9", "sport": "TENNIS"}</t>
        </is>
      </c>
    </row>
    <row r="1171" ht="36" customHeight="1">
      <c r="A1171" s="24" t="inlineStr">
        <is>
          <t>940d33a4e7834b1b</t>
        </is>
      </c>
      <c r="B1171" s="24" t="inlineStr">
        <is>
          <t>2026-09-29T22:06:33.788343Z</t>
        </is>
      </c>
      <c r="C1171" s="24" t="inlineStr">
        <is>
          <t>2026-09-30T03:00Z</t>
        </is>
      </c>
      <c r="D1171" s="24" t="inlineStr">
        <is>
          <t>959-2026:184249</t>
        </is>
      </c>
      <c r="E1171" s="24" t="inlineStr">
        <is>
          <t>TENNIS</t>
        </is>
      </c>
      <c r="F1171" s="24" t="inlineStr">
        <is>
          <t>Dayana Yastremska</t>
        </is>
      </c>
      <c r="G1171" s="24" t="inlineStr">
        <is>
          <t>Catherine McNally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-178</v>
      </c>
      <c r="M1171" s="27" t="n">
        <v>1.561798</v>
      </c>
      <c r="N1171" s="28" t="n">
        <v>0.640288</v>
      </c>
      <c r="O1171" s="28" t="n">
        <v>0.6468</v>
      </c>
      <c r="P1171" s="28" t="n">
        <v>0.05</v>
      </c>
      <c r="Q1171" s="28" t="n">
        <v>0.006512</v>
      </c>
      <c r="R1171" s="26" t="n">
        <v>23</v>
      </c>
      <c r="S1171" s="29" t="n">
        <v>1</v>
      </c>
      <c r="T1171" s="24" t="inlineStr">
        <is>
          <t>tennis-surface-elo-v1</t>
        </is>
      </c>
      <c r="U1171" s="24" t="inlineStr">
        <is>
          <t>settled</t>
        </is>
      </c>
      <c r="V1171" s="24" t="inlineStr">
        <is>
          <t>loss</t>
        </is>
      </c>
      <c r="W1171" s="26" t="n">
        <v>1</v>
      </c>
      <c r="X1171" s="26" t="n">
        <v>0</v>
      </c>
      <c r="Y1171" s="25" t="n"/>
      <c r="Z1171" s="26" t="n"/>
      <c r="AA1171" s="28" t="n"/>
      <c r="AB1171" s="28" t="n"/>
      <c r="AC1171" s="30" t="n">
        <v>-1</v>
      </c>
      <c r="AD1171" s="24" t="inlineStr">
        <is>
          <t>2026-09-30T10:00:29.774653Z</t>
        </is>
      </c>
      <c r="AE1171" s="31" t="inlineStr">
        <is>
          <t>Surface-blended Elo on Hard: Dayana Yastremska p=0.353 vs Catherine McNally. Executable ask 0.6400 (aec-wta-catmcn-dayyas-2026-09-28).</t>
        </is>
      </c>
      <c r="AF1171" s="31" t="inlineStr">
        <is>
          <t>Surface-blended Elo model; singles only, WTA+ATP market coverage, not yet locked-holdout qualified -- promoted by explicit operator directive, not genuine walk-forward validation.</t>
        </is>
      </c>
      <c r="AG1171" s="24" t="inlineStr">
        <is>
          <t>review_required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PAPER_CALL_LOW_EDGE</t>
        </is>
      </c>
      <c r="AP1171" s="24" t="inlineStr">
        <is>
          <t>Dayana Yastremska</t>
        </is>
      </c>
      <c r="AQ1171" s="24" t="inlineStr">
        <is>
          <t>Dayana Yastremska</t>
        </is>
      </c>
      <c r="AR1171" s="24" t="inlineStr">
        <is>
          <t>Dayana Yastremska</t>
        </is>
      </c>
      <c r="AS1171" s="24" t="inlineStr">
        <is>
          <t>Catherine McNally</t>
        </is>
      </c>
      <c r="AT1171" s="24" t="inlineStr">
        <is>
          <t>Catherine McNally</t>
        </is>
      </c>
      <c r="AU1171" s="24" t="inlineStr">
        <is>
          <t>Catherine McNally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6c67e999d2a03612e30f4032c8e5e77e8becfbc79e05f4c8993e726b90d34d54</t>
        </is>
      </c>
      <c r="BB1171" s="24" t="inlineStr">
        <is>
          <t>surface_blended_elo</t>
        </is>
      </c>
      <c r="BC1171" s="24" t="inlineStr">
        <is>
          <t>tennis-surface-elo-v1</t>
        </is>
      </c>
      <c r="BD1171" s="24" t="inlineStr">
        <is>
          <t>6c67e999d2a03612e30f4032c8e5e77e8becfbc79e05f4c8993e726b90d34d54</t>
        </is>
      </c>
      <c r="BE1171" s="24" t="inlineStr">
        <is>
          <t>tennis-surface-elo-v1</t>
        </is>
      </c>
      <c r="BF1171" s="24" t="inlineStr">
        <is>
          <t>1</t>
        </is>
      </c>
      <c r="BG1171" s="24" t="inlineStr">
        <is>
          <t>6c67e999d2a03612e30f4032c8e5e77e8becfbc79e05f4c8993e726b90d34d54</t>
        </is>
      </c>
      <c r="BH1171" s="24" t="inlineStr">
        <is>
          <t>2026-09-29T10:04:13.038476Z</t>
        </is>
      </c>
      <c r="BI1171" s="24" t="inlineStr">
        <is>
          <t>["same_event","same_team_same_day","same_league_same_day"]</t>
        </is>
      </c>
      <c r="BJ1171" s="25" t="n"/>
      <c r="BK1171" s="26" t="n">
        <v>-178</v>
      </c>
      <c r="BL1171" s="27" t="n">
        <v>1.561798</v>
      </c>
      <c r="BM1171" s="28" t="n">
        <v>0.640288</v>
      </c>
      <c r="BN1171" s="28" t="n"/>
      <c r="BO1171" s="28" t="n"/>
      <c r="BP1171" s="25" t="n"/>
      <c r="BQ1171" s="27" t="n"/>
      <c r="BR1171" s="28" t="n"/>
      <c r="BS1171" s="28" t="n"/>
      <c r="BT1171" s="28" t="n"/>
      <c r="BU1171" s="25" t="n"/>
      <c r="BV1171" s="29" t="n"/>
      <c r="BW1171" s="24" t="n"/>
      <c r="BX1171" s="30" t="n"/>
      <c r="BY1171" s="27" t="n"/>
      <c r="BZ1171" s="24" t="n"/>
      <c r="CA1171" s="31" t="n"/>
      <c r="CB1171" s="24" t="n"/>
      <c r="CC1171" s="24" t="n"/>
      <c r="CD1171" s="24" t="n"/>
      <c r="CE1171" s="24" t="n"/>
      <c r="CF1171" s="24" t="n"/>
      <c r="CG1171" s="24" t="n"/>
      <c r="CH1171" s="24" t="n"/>
      <c r="CI1171" s="24" t="n"/>
      <c r="CJ1171" s="24" t="n"/>
      <c r="CK1171" s="24" t="n"/>
      <c r="CL1171" s="24" t="n"/>
      <c r="CM1171" s="24" t="n"/>
      <c r="CN1171" s="24" t="n"/>
      <c r="CO1171" s="24" t="n"/>
      <c r="CP1171" s="24" t="n"/>
      <c r="CQ1171" s="24" t="n"/>
      <c r="CR1171" s="24" t="n"/>
      <c r="CS1171" s="24" t="inlineStr">
        <is>
          <t>True</t>
        </is>
      </c>
      <c r="CT1171" s="24" t="n"/>
      <c r="CU1171" s="24" t="n"/>
      <c r="CV1171" s="24" t="n"/>
      <c r="CW1171" s="24" t="n"/>
      <c r="CX1171" s="24" t="n"/>
      <c r="CY1171" s="24" t="n"/>
      <c r="CZ1171" s="24" t="n"/>
      <c r="DA1171" s="24" t="n"/>
      <c r="DB1171" s="24" t="n"/>
      <c r="DC1171" s="24" t="n"/>
      <c r="DD1171" s="24" t="inlineStr">
        <is>
          <t>bb2a160f8f66c6508c4dbc0873068846757ddbe394de8a2cba74a6fc6c6bf1fd</t>
        </is>
      </c>
      <c r="DE1171" s="24" t="inlineStr">
        <is>
          <t>/Users/vincentc9002/model-prediction/data/odds/tennis/2026-09-29/polymarket_snapshots.jsonl</t>
        </is>
      </c>
      <c r="DF1171" s="24" t="inlineStr">
        <is>
          <t>1107448:2026-09-29T10:04:13.038476Z</t>
        </is>
      </c>
      <c r="DG1171" s="24" t="n"/>
      <c r="DH1171" s="24" t="n"/>
      <c r="DI1171" s="24" t="n"/>
      <c r="DJ1171" s="24" t="inlineStr">
        <is>
          <t>0.640288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{"artifact_hash": "6c67e999d2a03612e30f4032c8e5e77e8becfbc79e05f4c8993e726b90d34d54", "away_team": "Dayana Yastremska", "event_id": "959-2026:184249", "event_start_utc": "2026-09-30T03:00Z", "features": {"elo_p1_surface": 1547.0, "elo_p2_surface": 1639.0, "expected_games_p1": 9.75, "expected_games_p2": 13.29, "expected_total_games": 23.03, "history_matches": 16422, "min_player_matches": 84, "surface": "Hard"}, "historical_source_observation_times_verified": false, "home_team": "Catherine McNally", "inference_inputs": {"code_sha256": {"features/elo_ratings.py": "8525faf022a6343c452286dbfeb17dbb043744c6bdabbe448b6b371216da439b", "models/tennis.py": "6c67e999d2a03612e30f4032c8e5e77e8becfbc79e05f4c8993e726b90d34d54"}, "overall_ratings": [1589.160466709593, 1719.1246979272678], "players": ["Dayana Yastremska", "Catherine McNally"], "sport": "TENNIS", "surface": "Hard", "surface_counts": [91, 67], "surface_ratings": [1546.9540764025444, 1638.951604717523]}, "market_type": "moneyline", "model_version": "tennis-surface-elo-v1", "observed_at_utc": "2026-09-29T22:06:31.290572+00:00", "probabilities": {"away": 0.3532, "home": 0.6468}, "replay_scope": "Exact full-precision serving state and rounding; upstream historical observation times are not certified.", "schema": "coded-moneyline-replay-v1", "snapshot_hash": "ec546c2b13e915f6fbd2bd33ec33b6d5d94889d75d0a985b1c68ffa444069153", "sport": "TENNIS"}</t>
        </is>
      </c>
    </row>
    <row r="1172" ht="36" customHeight="1">
      <c r="A1172" s="24" t="inlineStr">
        <is>
          <t>aa1e730b623b4b4a</t>
        </is>
      </c>
      <c r="B1172" s="24" t="inlineStr">
        <is>
          <t>2026-09-29T22:06:33.788343Z</t>
        </is>
      </c>
      <c r="C1172" s="24" t="inlineStr">
        <is>
          <t>2026-09-30T03:00Z</t>
        </is>
      </c>
      <c r="D1172" s="24" t="inlineStr">
        <is>
          <t>959-2026:184258</t>
        </is>
      </c>
      <c r="E1172" s="24" t="inlineStr">
        <is>
          <t>TENNIS</t>
        </is>
      </c>
      <c r="F1172" s="24" t="inlineStr">
        <is>
          <t>Anhelina Kalinina</t>
        </is>
      </c>
      <c r="G1172" s="24" t="inlineStr">
        <is>
          <t>Janice Tjen</t>
        </is>
      </c>
      <c r="H1172" s="24" t="inlineStr">
        <is>
          <t>moneyline</t>
        </is>
      </c>
      <c r="I1172" s="24" t="inlineStr">
        <is>
          <t>away</t>
        </is>
      </c>
      <c r="J1172" s="25" t="n"/>
      <c r="K1172" s="24" t="inlineStr">
        <is>
          <t>polymarket_us</t>
        </is>
      </c>
      <c r="L1172" s="26" t="n">
        <v>100</v>
      </c>
      <c r="M1172" s="27" t="n">
        <v>2</v>
      </c>
      <c r="N1172" s="28" t="n">
        <v>0.5</v>
      </c>
      <c r="O1172" s="28" t="n">
        <v>0.6252</v>
      </c>
      <c r="P1172" s="28" t="n">
        <v>0.05</v>
      </c>
      <c r="Q1172" s="28" t="n">
        <v>0.1252</v>
      </c>
      <c r="R1172" s="26" t="n">
        <v>83</v>
      </c>
      <c r="S1172" s="29" t="n">
        <v>1.5</v>
      </c>
      <c r="T1172" s="24" t="inlineStr">
        <is>
          <t>tennis-surface-elo-v1</t>
        </is>
      </c>
      <c r="U1172" s="24" t="inlineStr">
        <is>
          <t>settled</t>
        </is>
      </c>
      <c r="V1172" s="24" t="inlineStr">
        <is>
          <t>loss</t>
        </is>
      </c>
      <c r="W1172" s="26" t="n">
        <v>0</v>
      </c>
      <c r="X1172" s="26" t="n">
        <v>1</v>
      </c>
      <c r="Y1172" s="25" t="n"/>
      <c r="Z1172" s="26" t="n">
        <v>100</v>
      </c>
      <c r="AA1172" s="28" t="n">
        <v>0.5</v>
      </c>
      <c r="AB1172" s="28" t="n">
        <v>0</v>
      </c>
      <c r="AC1172" s="30" t="n">
        <v>-1.5</v>
      </c>
      <c r="AD1172" s="24" t="inlineStr">
        <is>
          <t>2026-09-30T10:00:30.223950Z</t>
        </is>
      </c>
      <c r="AE1172" s="31" t="inlineStr">
        <is>
          <t>Surface-blended Elo on Hard: Anhelina Kalinina p=0.625 vs Janice Tjen. Executable ask 0.5000 (aec-wta-jantje-anhkal-2026-09-28).</t>
        </is>
      </c>
      <c r="AF1172" s="31" t="inlineStr">
        <is>
          <t>Surface-blended Elo model; singles only, WTA+ATP market coverage, not yet locked-holdout qualified -- promoted by explicit operator directive, not genuine walk-forward validation.</t>
        </is>
      </c>
      <c r="AG1172" s="24" t="inlineStr">
        <is>
          <t>review_required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Anhelina Kalinina</t>
        </is>
      </c>
      <c r="AQ1172" s="24" t="inlineStr">
        <is>
          <t>Anhelina Kalinina</t>
        </is>
      </c>
      <c r="AR1172" s="24" t="inlineStr">
        <is>
          <t>Anhelina Kalinina</t>
        </is>
      </c>
      <c r="AS1172" s="24" t="inlineStr">
        <is>
          <t>Janice Tjen</t>
        </is>
      </c>
      <c r="AT1172" s="24" t="inlineStr">
        <is>
          <t>Janice Tjen</t>
        </is>
      </c>
      <c r="AU1172" s="24" t="inlineStr">
        <is>
          <t>Janice Tjen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shadow_qualified</t>
        </is>
      </c>
      <c r="BA1172" s="24" t="inlineStr">
        <is>
          <t>6c67e999d2a03612e30f4032c8e5e77e8becfbc79e05f4c8993e726b90d34d54</t>
        </is>
      </c>
      <c r="BB1172" s="24" t="inlineStr">
        <is>
          <t>surface_blended_elo</t>
        </is>
      </c>
      <c r="BC1172" s="24" t="inlineStr">
        <is>
          <t>tennis-surface-elo-v1</t>
        </is>
      </c>
      <c r="BD1172" s="24" t="inlineStr">
        <is>
          <t>6c67e999d2a03612e30f4032c8e5e77e8becfbc79e05f4c8993e726b90d34d54</t>
        </is>
      </c>
      <c r="BE1172" s="24" t="inlineStr">
        <is>
          <t>tennis-surface-elo-v1</t>
        </is>
      </c>
      <c r="BF1172" s="24" t="inlineStr">
        <is>
          <t>1</t>
        </is>
      </c>
      <c r="BG1172" s="24" t="inlineStr">
        <is>
          <t>6c67e999d2a03612e30f4032c8e5e77e8becfbc79e05f4c8993e726b90d34d54</t>
        </is>
      </c>
      <c r="BH1172" s="24" t="inlineStr">
        <is>
          <t>2026-09-29T22:05:30.919386Z</t>
        </is>
      </c>
      <c r="BI1172" s="24" t="inlineStr">
        <is>
          <t>["same_event","same_team_same_day","same_league_same_day"]</t>
        </is>
      </c>
      <c r="BJ1172" s="25" t="n"/>
      <c r="BK1172" s="26" t="n">
        <v>100</v>
      </c>
      <c r="BL1172" s="27" t="n">
        <v>2</v>
      </c>
      <c r="BM1172" s="28" t="n">
        <v>0.5</v>
      </c>
      <c r="BN1172" s="28" t="n"/>
      <c r="BO1172" s="28" t="n"/>
      <c r="BP1172" s="25" t="n"/>
      <c r="BQ1172" s="27" t="n">
        <v>2</v>
      </c>
      <c r="BR1172" s="28" t="n">
        <v>0.5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n"/>
      <c r="CU1172" s="24" t="n"/>
      <c r="CV1172" s="24" t="n"/>
      <c r="CW1172" s="24" t="n"/>
      <c r="CX1172" s="24" t="n"/>
      <c r="CY1172" s="24" t="n"/>
      <c r="CZ1172" s="24" t="n"/>
      <c r="DA1172" s="24" t="n"/>
      <c r="DB1172" s="24" t="n"/>
      <c r="DC1172" s="24" t="n"/>
      <c r="DD1172" s="24" t="inlineStr">
        <is>
          <t>08c0a20dfdb40b0a2adfed0aa663c7e453b928a62b44a10edb0f15171b412527</t>
        </is>
      </c>
      <c r="DE1172" s="24" t="inlineStr">
        <is>
          <t>/Users/vincentc9002/model-prediction/data/odds/tennis/2026-09-29/polymarket_snapshots.jsonl</t>
        </is>
      </c>
      <c r="DF1172" s="24" t="inlineStr">
        <is>
          <t>1107460:2026-09-29T22:05:30.919386Z</t>
        </is>
      </c>
      <c r="DG1172" s="24" t="n"/>
      <c r="DH1172" s="24" t="n"/>
      <c r="DI1172" s="24" t="n"/>
      <c r="DJ1172" s="24" t="inlineStr">
        <is>
          <t>0.5</t>
        </is>
      </c>
      <c r="DK1172" s="24" t="n"/>
      <c r="DL1172" s="24" t="n"/>
      <c r="DM1172" s="24" t="n"/>
      <c r="DN1172" s="24" t="n"/>
      <c r="DO1172" s="24" t="n"/>
      <c r="DP1172" s="24" t="n"/>
      <c r="DQ1172" s="24" t="inlineStr">
        <is>
          <t>{"artifact_hash": "6c67e999d2a03612e30f4032c8e5e77e8becfbc79e05f4c8993e726b90d34d54", "away_team": "Anhelina Kalinina", "event_id": "959-2026:184258", "event_start_utc": "2026-09-30T03:00Z", "features": {"elo_p1_surface": 1675.7, "elo_p2_surface": 1586.3, "expected_games_p1": 13.45, "expected_games_p2": 9.39, "expected_total_games": 22.84, "history_matches": 16422, "min_player_matches": 63,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[1651.9005355513627, 1569.5402777392492], "players": ["Anhelina Kalinina", "Janice Tjen"], "sport": "TENNIS", "surface": "Hard", "surface_counts": [102, 53], "surface_ratings": [1675.7067678700712, 1586.3061378106195]}, "market_type": "moneyline", "model_version": "tennis-surface-elo-v1", "observed_at_utc": "2026-09-29T22:06:31.290572+00:00", "probabilities": {"away": 0.6252, "home": 0.3748}, "replay_scope": "Exact full-precision serving state and rounding; upstream historical observation times are not certified.", "schema": "coded-moneyline-replay-v1", "snapshot_hash": "6b7e1678e59a80f82db020199b7c751a2f7a680ee20f15fb25cfd131119dd915", "sport": "TENNIS"}</t>
        </is>
      </c>
    </row>
    <row r="1173" ht="36" customHeight="1">
      <c r="A1173" s="24" t="inlineStr">
        <is>
          <t>8591a53409b04814</t>
        </is>
      </c>
      <c r="B1173" s="24" t="inlineStr">
        <is>
          <t>2026-09-29T22:06:33.788343Z</t>
        </is>
      </c>
      <c r="C1173" s="24" t="inlineStr">
        <is>
          <t>2026-09-30T02:00Z</t>
        </is>
      </c>
      <c r="D1173" s="24" t="inlineStr">
        <is>
          <t>5-2026:183496</t>
        </is>
      </c>
      <c r="E1173" s="24" t="inlineStr">
        <is>
          <t>TENNIS</t>
        </is>
      </c>
      <c r="F1173" s="24" t="inlineStr">
        <is>
          <t>Alexander Blockx</t>
        </is>
      </c>
      <c r="G1173" s="24" t="inlineStr">
        <is>
          <t>Valentin Vacherot</t>
        </is>
      </c>
      <c r="H1173" s="24" t="inlineStr">
        <is>
          <t>moneyline</t>
        </is>
      </c>
      <c r="I1173" s="24" t="inlineStr">
        <is>
          <t>away</t>
        </is>
      </c>
      <c r="J1173" s="25" t="n"/>
      <c r="K1173" s="24" t="inlineStr">
        <is>
          <t>polymarket_us</t>
        </is>
      </c>
      <c r="L1173" s="26" t="n">
        <v>-144</v>
      </c>
      <c r="M1173" s="27" t="n">
        <v>1.694444</v>
      </c>
      <c r="N1173" s="28" t="n">
        <v>0.590164</v>
      </c>
      <c r="O1173" s="28" t="n">
        <v>0.5412</v>
      </c>
      <c r="P1173" s="28" t="n">
        <v>0.05</v>
      </c>
      <c r="Q1173" s="28" t="n">
        <v>-0.048964</v>
      </c>
      <c r="R1173" s="26" t="n">
        <v>0</v>
      </c>
      <c r="S1173" s="29" t="n">
        <v>1</v>
      </c>
      <c r="T1173" s="24" t="inlineStr">
        <is>
          <t>tennis-surface-elo-v1</t>
        </is>
      </c>
      <c r="U1173" s="24" t="inlineStr">
        <is>
          <t>settled</t>
        </is>
      </c>
      <c r="V1173" s="24" t="inlineStr">
        <is>
          <t>loss</t>
        </is>
      </c>
      <c r="W1173" s="26" t="n">
        <v>0</v>
      </c>
      <c r="X1173" s="26" t="n">
        <v>1</v>
      </c>
      <c r="Y1173" s="25" t="n"/>
      <c r="Z1173" s="26" t="n">
        <v>-144</v>
      </c>
      <c r="AA1173" s="28" t="n">
        <v>0.59</v>
      </c>
      <c r="AB1173" s="28" t="n">
        <v>-0.000164</v>
      </c>
      <c r="AC1173" s="30" t="n">
        <v>-1</v>
      </c>
      <c r="AD1173" s="24" t="inlineStr">
        <is>
          <t>2026-09-30T04:30:32.746523Z</t>
        </is>
      </c>
      <c r="AE1173" s="31" t="inlineStr">
        <is>
          <t>Surface-blended Elo on Hard: Alexander Blockx p=0.541 vs Valentin Vacherot. Executable ask 0.5900 (aec-atp-valvac-aleblo-2026-09-28).</t>
        </is>
      </c>
      <c r="AF1173" s="31" t="inlineStr">
        <is>
          <t>Surface-blended Elo model; singles only, WTA+ATP market coverage, not yet locked-holdout qualified -- promoted by explicit operator directive, not genuine walk-forward validation.</t>
        </is>
      </c>
      <c r="AG1173" s="24" t="inlineStr">
        <is>
          <t>review_required</t>
        </is>
      </c>
      <c r="AH1173" s="24" t="n"/>
      <c r="AI1173" s="31" t="n"/>
      <c r="AJ1173" s="31" t="n"/>
      <c r="AK1173" s="24" t="inlineStr">
        <is>
          <t>paper_call</t>
        </is>
      </c>
      <c r="AL1173" s="26" t="n">
        <v>4</v>
      </c>
      <c r="AM1173" s="24" t="inlineStr">
        <is>
          <t>RESEARCH_OBSERVATION</t>
        </is>
      </c>
      <c r="AN1173" s="24" t="inlineStr">
        <is>
          <t>CALL</t>
        </is>
      </c>
      <c r="AO1173" s="24" t="inlineStr">
        <is>
          <t>PAPER_CALL_LOW_EDGE</t>
        </is>
      </c>
      <c r="AP1173" s="24" t="inlineStr">
        <is>
          <t>Alexander Blockx</t>
        </is>
      </c>
      <c r="AQ1173" s="24" t="inlineStr">
        <is>
          <t>Alexander Blockx</t>
        </is>
      </c>
      <c r="AR1173" s="24" t="inlineStr">
        <is>
          <t>Alexander Blockx</t>
        </is>
      </c>
      <c r="AS1173" s="24" t="inlineStr">
        <is>
          <t>Valentin Vacherot</t>
        </is>
      </c>
      <c r="AT1173" s="24" t="inlineStr">
        <is>
          <t>Valentin Vacherot</t>
        </is>
      </c>
      <c r="AU1173" s="24" t="inlineStr">
        <is>
          <t>Valentin Vacherot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shadow_qualified</t>
        </is>
      </c>
      <c r="BA1173" s="24" t="inlineStr">
        <is>
          <t>6c67e999d2a03612e30f4032c8e5e77e8becfbc79e05f4c8993e726b90d34d54</t>
        </is>
      </c>
      <c r="BB1173" s="24" t="inlineStr">
        <is>
          <t>surface_blended_elo</t>
        </is>
      </c>
      <c r="BC1173" s="24" t="inlineStr">
        <is>
          <t>tennis-surface-elo-v1</t>
        </is>
      </c>
      <c r="BD1173" s="24" t="inlineStr">
        <is>
          <t>6c67e999d2a03612e30f4032c8e5e77e8becfbc79e05f4c8993e726b90d34d54</t>
        </is>
      </c>
      <c r="BE1173" s="24" t="inlineStr">
        <is>
          <t>tennis-surface-elo-v1</t>
        </is>
      </c>
      <c r="BF1173" s="24" t="inlineStr">
        <is>
          <t>1</t>
        </is>
      </c>
      <c r="BG1173" s="24" t="inlineStr">
        <is>
          <t>6c67e999d2a03612e30f4032c8e5e77e8becfbc79e05f4c8993e726b90d34d54</t>
        </is>
      </c>
      <c r="BH1173" s="24" t="inlineStr">
        <is>
          <t>2026-09-29T04:36:31.010229Z</t>
        </is>
      </c>
      <c r="BI1173" s="24" t="inlineStr">
        <is>
          <t>["same_event","same_team_same_day","same_league_same_day"]</t>
        </is>
      </c>
      <c r="BJ1173" s="25" t="n"/>
      <c r="BK1173" s="26" t="n">
        <v>-144</v>
      </c>
      <c r="BL1173" s="27" t="n">
        <v>1.694444</v>
      </c>
      <c r="BM1173" s="28" t="n">
        <v>0.590164</v>
      </c>
      <c r="BN1173" s="28" t="n"/>
      <c r="BO1173" s="28" t="n"/>
      <c r="BP1173" s="25" t="n"/>
      <c r="BQ1173" s="27" t="n">
        <v>1.694444</v>
      </c>
      <c r="BR1173" s="28" t="n">
        <v>0.59</v>
      </c>
      <c r="BS1173" s="28" t="n"/>
      <c r="BT1173" s="28" t="n"/>
      <c r="BU1173" s="25" t="n"/>
      <c r="BV1173" s="29" t="n"/>
      <c r="BW1173" s="24" t="n"/>
      <c r="BX1173" s="30" t="n"/>
      <c r="BY1173" s="27" t="n"/>
      <c r="BZ1173" s="24" t="n"/>
      <c r="CA1173" s="31" t="n"/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False</t>
        </is>
      </c>
      <c r="CT1173" s="24" t="n"/>
      <c r="CU1173" s="24" t="n"/>
      <c r="CV1173" s="24" t="n"/>
      <c r="CW1173" s="24" t="n"/>
      <c r="CX1173" s="24" t="n"/>
      <c r="CY1173" s="24" t="n"/>
      <c r="CZ1173" s="24" t="n"/>
      <c r="DA1173" s="24" t="n"/>
      <c r="DB1173" s="24" t="n"/>
      <c r="DC1173" s="24" t="n"/>
      <c r="DD1173" s="24" t="inlineStr">
        <is>
          <t>0d743366ccae814c8c35f5f7df93377e8da92177da2f89c69923898f8b3e7fe6</t>
        </is>
      </c>
      <c r="DE1173" s="24" t="inlineStr">
        <is>
          <t>/Users/vincentc9002/model-prediction/data/odds/tennis/2026-09-29/polymarket_snapshots.jsonl</t>
        </is>
      </c>
      <c r="DF1173" s="24" t="inlineStr">
        <is>
          <t>1105284:2026-09-29T04:36:31.010229Z</t>
        </is>
      </c>
      <c r="DG1173" s="24" t="n"/>
      <c r="DH1173" s="24" t="n"/>
      <c r="DI1173" s="24" t="n"/>
      <c r="DJ1173" s="24" t="inlineStr">
        <is>
          <t>0.590164</t>
        </is>
      </c>
      <c r="DK1173" s="24" t="n"/>
      <c r="DL1173" s="24" t="n"/>
      <c r="DM1173" s="24" t="n"/>
      <c r="DN1173" s="24" t="n"/>
      <c r="DO1173" s="24" t="n"/>
      <c r="DP1173" s="24" t="n"/>
      <c r="DQ1173" s="24" t="inlineStr">
        <is>
          <t>{"artifact_hash": "6c67e999d2a03612e30f4032c8e5e77e8becfbc79e05f4c8993e726b90d34d54", "away_team": "Alexander Blockx", "event_id": "5-2026:183496", "event_start_utc": "2026-09-30T02:00Z", "features": {"elo_p1_surface": 1617.2, "elo_p2_surface": 1615.1, "expected_games_p1": 13.04, "expected_games_p2": 12.52, "expected_total_games": 25.57, "history_matches": 11304, "min_player_matches": 71,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[1716.8774907684779, 1643.1624451041896], "players": ["Alexander Blockx", "Valentin Vacherot"], "sport": "TENNIS", "surface": "Hard", "surface_counts": [45, 52], "surface_ratings": [1617.164359492176, 1615.0517292634097]}, "market_type": "moneyline", "model_version": "tennis-surface-elo-v1", "observed_at_utc": "2026-09-29T22:06:31.290572+00:00", "probabilities": {"away": 0.5412, "home": 0.4588}, "replay_scope": "Exact full-precision serving state and rounding; upstream historical observation times are not certified.", "schema": "coded-moneyline-replay-v1", "snapshot_hash": "3614d860548cc75d1332a2182a5ade90413594c820cf7f2763bf34414fc23ce7", "sport": "TENNIS"}</t>
        </is>
      </c>
    </row>
    <row r="1174" ht="36" customHeight="1">
      <c r="A1174" s="24" t="inlineStr">
        <is>
          <t>a2ccd5ad60f844b9</t>
        </is>
      </c>
      <c r="B1174" s="24" t="inlineStr">
        <is>
          <t>2026-09-29T22:06:33.788343Z</t>
        </is>
      </c>
      <c r="C1174" s="24" t="inlineStr">
        <is>
          <t>2026-09-30T03:30Z</t>
        </is>
      </c>
      <c r="D1174" s="24" t="inlineStr">
        <is>
          <t>5-2026:183488</t>
        </is>
      </c>
      <c r="E1174" s="24" t="inlineStr">
        <is>
          <t>TENNIS</t>
        </is>
      </c>
      <c r="F1174" s="24" t="inlineStr">
        <is>
          <t>Tommy Paul</t>
        </is>
      </c>
      <c r="G1174" s="24" t="inlineStr">
        <is>
          <t>Alejandro Tabilo</t>
        </is>
      </c>
      <c r="H1174" s="24" t="inlineStr">
        <is>
          <t>moneyline</t>
        </is>
      </c>
      <c r="I1174" s="24" t="inlineStr">
        <is>
          <t>away</t>
        </is>
      </c>
      <c r="J1174" s="25" t="n"/>
      <c r="K1174" s="24" t="inlineStr">
        <is>
          <t>polymarket_us</t>
        </is>
      </c>
      <c r="L1174" s="26" t="n">
        <v>-245</v>
      </c>
      <c r="M1174" s="27" t="n">
        <v>1.408163</v>
      </c>
      <c r="N1174" s="28" t="n">
        <v>0.710145</v>
      </c>
      <c r="O1174" s="28" t="n">
        <v>0.7547</v>
      </c>
      <c r="P1174" s="28" t="n">
        <v>0.05</v>
      </c>
      <c r="Q1174" s="28" t="n">
        <v>0.044555</v>
      </c>
      <c r="R1174" s="26" t="n">
        <v>42</v>
      </c>
      <c r="S1174" s="29" t="n">
        <v>1</v>
      </c>
      <c r="T1174" s="24" t="inlineStr">
        <is>
          <t>tennis-surface-elo-v1</t>
        </is>
      </c>
      <c r="U1174" s="24" t="inlineStr">
        <is>
          <t>settled</t>
        </is>
      </c>
      <c r="V1174" s="24" t="inlineStr">
        <is>
          <t>loss</t>
        </is>
      </c>
      <c r="W1174" s="26" t="n">
        <v>0</v>
      </c>
      <c r="X1174" s="26" t="n">
        <v>1</v>
      </c>
      <c r="Y1174" s="25" t="n"/>
      <c r="Z1174" s="26" t="n">
        <v>-245</v>
      </c>
      <c r="AA1174" s="28" t="n">
        <v>0.71</v>
      </c>
      <c r="AB1174" s="28" t="n">
        <v>-0.000145</v>
      </c>
      <c r="AC1174" s="30" t="n">
        <v>-1</v>
      </c>
      <c r="AD1174" s="24" t="inlineStr">
        <is>
          <t>2026-09-30T10:00:30.669142Z</t>
        </is>
      </c>
      <c r="AE1174" s="31" t="inlineStr">
        <is>
          <t>Surface-blended Elo on Hard: Tommy Paul p=0.755 vs Alejandro Tabilo. Executable ask 0.7100 (aec-atp-aletab-tompau-2026-09-28).</t>
        </is>
      </c>
      <c r="AF1174" s="31" t="inlineStr">
        <is>
          <t>Surface-blended Elo model; singles only, WTA+ATP market coverage, not yet locked-holdout qualified -- promoted by explicit operator directive, not genuine walk-forward validation.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PAPER_CALL_LOW_EDGE</t>
        </is>
      </c>
      <c r="AP1174" s="24" t="inlineStr">
        <is>
          <t>Tommy Paul</t>
        </is>
      </c>
      <c r="AQ1174" s="24" t="inlineStr">
        <is>
          <t>Tommy Paul</t>
        </is>
      </c>
      <c r="AR1174" s="24" t="inlineStr">
        <is>
          <t>Tommy Paul</t>
        </is>
      </c>
      <c r="AS1174" s="24" t="inlineStr">
        <is>
          <t>Alejandro Tabilo</t>
        </is>
      </c>
      <c r="AT1174" s="24" t="inlineStr">
        <is>
          <t>Alejandro Tabilo</t>
        </is>
      </c>
      <c r="AU1174" s="24" t="inlineStr">
        <is>
          <t>Alejandro Tabilo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6c67e999d2a03612e30f4032c8e5e77e8becfbc79e05f4c8993e726b90d34d54</t>
        </is>
      </c>
      <c r="BB1174" s="24" t="inlineStr">
        <is>
          <t>surface_blended_elo</t>
        </is>
      </c>
      <c r="BC1174" s="24" t="inlineStr">
        <is>
          <t>tennis-surface-elo-v1</t>
        </is>
      </c>
      <c r="BD1174" s="24" t="inlineStr">
        <is>
          <t>6c67e999d2a03612e30f4032c8e5e77e8becfbc79e05f4c8993e726b90d34d54</t>
        </is>
      </c>
      <c r="BE1174" s="24" t="inlineStr">
        <is>
          <t>tennis-surface-elo-v1</t>
        </is>
      </c>
      <c r="BF1174" s="24" t="inlineStr">
        <is>
          <t>1</t>
        </is>
      </c>
      <c r="BG1174" s="24" t="inlineStr">
        <is>
          <t>6c67e999d2a03612e30f4032c8e5e77e8becfbc79e05f4c8993e726b90d34d54</t>
        </is>
      </c>
      <c r="BH1174" s="24" t="inlineStr">
        <is>
          <t>2026-09-29T22:05:53.891076Z</t>
        </is>
      </c>
      <c r="BI1174" s="24" t="inlineStr">
        <is>
          <t>["same_event","same_team_same_day","same_league_same_day"]</t>
        </is>
      </c>
      <c r="BJ1174" s="25" t="n"/>
      <c r="BK1174" s="26" t="n">
        <v>-245</v>
      </c>
      <c r="BL1174" s="27" t="n">
        <v>1.408163</v>
      </c>
      <c r="BM1174" s="28" t="n">
        <v>0.710145</v>
      </c>
      <c r="BN1174" s="28" t="n"/>
      <c r="BO1174" s="28" t="n"/>
      <c r="BP1174" s="25" t="n"/>
      <c r="BQ1174" s="27" t="n">
        <v>1.408163</v>
      </c>
      <c r="BR1174" s="28" t="n">
        <v>0.71</v>
      </c>
      <c r="BS1174" s="28" t="n"/>
      <c r="BT1174" s="28" t="n"/>
      <c r="BU1174" s="25" t="n"/>
      <c r="BV1174" s="29" t="n"/>
      <c r="BW1174" s="24" t="n"/>
      <c r="BX1174" s="30" t="n"/>
      <c r="BY1174" s="27" t="n"/>
      <c r="BZ1174" s="24" t="n"/>
      <c r="CA1174" s="31" t="n"/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inlineStr">
        <is>
          <t>4bb083ac1ae4b164dfa1687dc99b5d897df26d5e0e15c46cb77e9caf94cb1156</t>
        </is>
      </c>
      <c r="DE1174" s="24" t="inlineStr">
        <is>
          <t>/Users/vincentc9002/model-prediction/data/odds/tennis/2026-09-29/polymarket_snapshots.jsonl</t>
        </is>
      </c>
      <c r="DF1174" s="24" t="inlineStr">
        <is>
          <t>1105300:2026-09-29T22:05:53.891076Z</t>
        </is>
      </c>
      <c r="DG1174" s="24" t="n"/>
      <c r="DH1174" s="24" t="n"/>
      <c r="DI1174" s="24" t="n"/>
      <c r="DJ1174" s="24" t="inlineStr">
        <is>
          <t>0.710145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{"artifact_hash": "6c67e999d2a03612e30f4032c8e5e77e8becfbc79e05f4c8993e726b90d34d54", "away_team": "Tommy Paul", "event_id": "5-2026:183488", "event_start_utc": "2026-09-30T03:30Z", "features": {"elo_p1_surface": 1801.5, "elo_p2_surface": 1607.1, "expected_games_p1": 12.97, "expected_games_p2": 6.68, "expected_total_games": 19.65, "history_matches": 11304, "min_player_matches": 138, "surface": "Hard"}, "historical_source_observation_times_verified": false, "home_team": "Alejandro Tabilo", "inference_inputs": {"code_sha256": {"features/elo_ratings.py": "8525faf022a6343c452286dbfeb17dbb043744c6bdabbe448b6b371216da439b", "models/tennis.py": "6c67e999d2a03612e30f4032c8e5e77e8becfbc79e05f4c8993e726b90d34d54"}, "overall_ratings": [1812.919896591147, 1614.69833438164], "players": ["Tommy Paul", "Alejandro Tabilo"], "sport": "TENNIS", "surface": "Hard", "surface_counts": [116, 104], "surface_ratings": [1801.5485414795107, 1607.1409394443103]}, "market_type": "moneyline", "model_version": "tennis-surface-elo-v1", "observed_at_utc": "2026-09-29T22:06:31.290572+00:00", "probabilities": {"away": 0.7547, "home": 0.2453}, "replay_scope": "Exact full-precision serving state and rounding; upstream historical observation times are not certified.", "schema": "coded-moneyline-replay-v1", "snapshot_hash": "c8718c71be992cb93ce81f5a57487eba9ca53fdadbb3109d58f609e7a6ecb8cf", "sport": "TENNIS"}</t>
        </is>
      </c>
    </row>
    <row r="1175" ht="36" customHeight="1">
      <c r="A1175" s="24" t="inlineStr">
        <is>
          <t>d87f05bf7b064636</t>
        </is>
      </c>
      <c r="B1175" s="24" t="inlineStr">
        <is>
          <t>2026-09-30T04:38:56.922964Z</t>
        </is>
      </c>
      <c r="C1175" s="24" t="inlineStr">
        <is>
          <t>2026-09-30T09:00Z</t>
        </is>
      </c>
      <c r="D1175" s="24" t="inlineStr">
        <is>
          <t>1078-2026:184136</t>
        </is>
      </c>
      <c r="E1175" s="24" t="inlineStr">
        <is>
          <t>TENNIS</t>
        </is>
      </c>
      <c r="F1175" s="24" t="inlineStr">
        <is>
          <t>Julia Riera</t>
        </is>
      </c>
      <c r="G1175" s="24" t="inlineStr">
        <is>
          <t>Antonia Ruzic</t>
        </is>
      </c>
      <c r="H1175" s="24" t="inlineStr">
        <is>
          <t>moneyline</t>
        </is>
      </c>
      <c r="I1175" s="24" t="inlineStr">
        <is>
          <t>home</t>
        </is>
      </c>
      <c r="J1175" s="25" t="n"/>
      <c r="K1175" s="24" t="inlineStr">
        <is>
          <t>polymarket_us</t>
        </is>
      </c>
      <c r="L1175" s="26" t="n">
        <v>-194</v>
      </c>
      <c r="M1175" s="27" t="n">
        <v>1.515464</v>
      </c>
      <c r="N1175" s="28" t="n">
        <v>0.659864</v>
      </c>
      <c r="O1175" s="28" t="n">
        <v>0.6016</v>
      </c>
      <c r="P1175" s="28" t="n">
        <v>0.05</v>
      </c>
      <c r="Q1175" s="28" t="n">
        <v>-0.058264</v>
      </c>
      <c r="R1175" s="26" t="n">
        <v>0</v>
      </c>
      <c r="S1175" s="29" t="n">
        <v>1</v>
      </c>
      <c r="T1175" s="24" t="inlineStr">
        <is>
          <t>tennis-surface-elo-v1</t>
        </is>
      </c>
      <c r="U1175" s="24" t="inlineStr">
        <is>
          <t>settled</t>
        </is>
      </c>
      <c r="V1175" s="24" t="inlineStr">
        <is>
          <t>win</t>
        </is>
      </c>
      <c r="W1175" s="26" t="n">
        <v>0</v>
      </c>
      <c r="X1175" s="26" t="n">
        <v>1</v>
      </c>
      <c r="Y1175" s="25" t="n"/>
      <c r="Z1175" s="26" t="n">
        <v>-194</v>
      </c>
      <c r="AA1175" s="28" t="n">
        <v>0.66</v>
      </c>
      <c r="AB1175" s="28" t="n">
        <v>0.000136</v>
      </c>
      <c r="AC1175" s="30" t="n">
        <v>0.5155</v>
      </c>
      <c r="AD1175" s="24" t="inlineStr">
        <is>
          <t>2026-09-30T16:00:41.971746Z</t>
        </is>
      </c>
      <c r="AE1175" s="31" t="inlineStr">
        <is>
          <t>Surface-blended Elo on Hard: Julia Riera p=0.398 vs Antonia Ruzic. Executable ask 0.6600 (aec-wta-antruz-julrie-2026-09-30).</t>
        </is>
      </c>
      <c r="AF1175" s="31" t="inlineStr">
        <is>
          <t>Surface-blended Elo model; singles only, WTA+ATP market coverage, not yet locked-holdout qualified -- promoted by explicit operator directive, not genuine walk-forward validation.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paper_call</t>
        </is>
      </c>
      <c r="AL1175" s="26" t="n">
        <v>4</v>
      </c>
      <c r="AM1175" s="24" t="inlineStr">
        <is>
          <t>RESEARCH_OBSERVATION</t>
        </is>
      </c>
      <c r="AN1175" s="24" t="inlineStr">
        <is>
          <t>CALL</t>
        </is>
      </c>
      <c r="AO1175" s="24" t="inlineStr">
        <is>
          <t>PAPER_CALL_LOW_EDGE</t>
        </is>
      </c>
      <c r="AP1175" s="24" t="inlineStr">
        <is>
          <t>Julia Riera</t>
        </is>
      </c>
      <c r="AQ1175" s="24" t="inlineStr">
        <is>
          <t>Julia Riera</t>
        </is>
      </c>
      <c r="AR1175" s="24" t="inlineStr">
        <is>
          <t>Julia Riera</t>
        </is>
      </c>
      <c r="AS1175" s="24" t="inlineStr">
        <is>
          <t>Antonia Ruzic</t>
        </is>
      </c>
      <c r="AT1175" s="24" t="inlineStr">
        <is>
          <t>Antonia Ruzic</t>
        </is>
      </c>
      <c r="AU1175" s="24" t="inlineStr">
        <is>
          <t>Antonia Ruzic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6c67e999d2a03612e30f4032c8e5e77e8becfbc79e05f4c8993e726b90d34d54</t>
        </is>
      </c>
      <c r="BB1175" s="24" t="inlineStr">
        <is>
          <t>surface_blended_elo</t>
        </is>
      </c>
      <c r="BC1175" s="24" t="inlineStr">
        <is>
          <t>tennis-surface-elo-v1</t>
        </is>
      </c>
      <c r="BD1175" s="24" t="inlineStr">
        <is>
          <t>6c67e999d2a03612e30f4032c8e5e77e8becfbc79e05f4c8993e726b90d34d54</t>
        </is>
      </c>
      <c r="BE1175" s="24" t="inlineStr">
        <is>
          <t>tennis-surface-elo-v1</t>
        </is>
      </c>
      <c r="BF1175" s="24" t="inlineStr">
        <is>
          <t>1</t>
        </is>
      </c>
      <c r="BG1175" s="24" t="inlineStr">
        <is>
          <t>6c67e999d2a03612e30f4032c8e5e77e8becfbc79e05f4c8993e726b90d34d54</t>
        </is>
      </c>
      <c r="BH1175" s="24" t="inlineStr">
        <is>
          <t>2026-09-29T04:48:21.534191Z</t>
        </is>
      </c>
      <c r="BI1175" s="24" t="inlineStr">
        <is>
          <t>["same_event","same_team_same_day","same_league_same_day"]</t>
        </is>
      </c>
      <c r="BJ1175" s="25" t="n"/>
      <c r="BK1175" s="26" t="n">
        <v>-194</v>
      </c>
      <c r="BL1175" s="27" t="n">
        <v>1.515464</v>
      </c>
      <c r="BM1175" s="28" t="n">
        <v>0.659864</v>
      </c>
      <c r="BN1175" s="28" t="n"/>
      <c r="BO1175" s="28" t="n"/>
      <c r="BP1175" s="25" t="n"/>
      <c r="BQ1175" s="27" t="n">
        <v>1.515464</v>
      </c>
      <c r="BR1175" s="28" t="n">
        <v>0.66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n"/>
      <c r="CD1175" s="24" t="n"/>
      <c r="CE1175" s="24" t="n"/>
      <c r="CF1175" s="24" t="n"/>
      <c r="CG1175" s="24" t="n"/>
      <c r="CH1175" s="24" t="n"/>
      <c r="CI1175" s="24" t="n"/>
      <c r="CJ1175" s="24" t="n"/>
      <c r="CK1175" s="24" t="n"/>
      <c r="CL1175" s="24" t="n"/>
      <c r="CM1175" s="24" t="n"/>
      <c r="CN1175" s="24" t="n"/>
      <c r="CO1175" s="24" t="n"/>
      <c r="CP1175" s="24" t="n"/>
      <c r="CQ1175" s="24" t="n"/>
      <c r="CR1175" s="24" t="n"/>
      <c r="CS1175" s="24" t="inlineStr">
        <is>
          <t>False</t>
        </is>
      </c>
      <c r="CT1175" s="24" t="n"/>
      <c r="CU1175" s="24" t="n"/>
      <c r="CV1175" s="24" t="n"/>
      <c r="CW1175" s="24" t="n"/>
      <c r="CX1175" s="24" t="n"/>
      <c r="CY1175" s="24" t="n"/>
      <c r="CZ1175" s="24" t="n"/>
      <c r="DA1175" s="24" t="n"/>
      <c r="DB1175" s="24" t="n"/>
      <c r="DC1175" s="24" t="n"/>
      <c r="DD1175" s="24" t="inlineStr">
        <is>
          <t>837ef81038667915c2243c3a10894d9a74d74c78c5a807039a7826f03c8d17e3</t>
        </is>
      </c>
      <c r="DE1175" s="24" t="inlineStr">
        <is>
          <t>/Users/vincentc9002/model-prediction/data/odds/tennis/2026-09-30/polymarket_snapshots.jsonl</t>
        </is>
      </c>
      <c r="DF1175" s="24" t="inlineStr">
        <is>
          <t>1109320:2026-09-29T04:48:21.534191Z</t>
        </is>
      </c>
      <c r="DG1175" s="24" t="n"/>
      <c r="DH1175" s="24" t="n"/>
      <c r="DI1175" s="24" t="n"/>
      <c r="DJ1175" s="24" t="inlineStr">
        <is>
          <t>0.659864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{"artifact_hash": "6c67e999d2a03612e30f4032c8e5e77e8becfbc79e05f4c8993e726b90d34d54", "away_team": "Julia Riera", "event_id": "1078-2026:184136", "event_start_utc": "2026-09-30T09:00Z", "features": {"elo_p1_surface": 1500.0, "elo_p2_surface": 1572.3, "expected_games_p1": 10.43, "expected_games_p2": 13.24, "expected_total_games": 23.67, "history_matches": 16452, "min_player_matches": 101, "surface": "Hard"}, "historical_source_observation_times_verified": false, "home_team": "Antonia Ruzic", "inference_inputs": {"code_sha256": {"features/elo_ratings.py": "8525faf022a6343c452286dbfeb17dbb043744c6bdabbe448b6b371216da439b", "models/tennis.py": "6c67e999d2a03612e30f4032c8e5e77e8becfbc79e05f4c8993e726b90d34d54"}, "overall_ratings": [1517.8627154301341, 1587.8501041888376], "players": ["Julia Riera", "Antonia Ruzic"], "sport": "TENNIS", "surface": "Hard", "surface_counts": [82, 86], "surface_ratings": [1499.9694969493453, 1572.3453521498336]}, "market_type": "moneyline", "model_version": "tennis-surface-elo-v1", "observed_at_utc": "2026-09-30T04:38:55.649078+00:00", "probabilities": {"away": 0.3984, "home": 0.6016}, "replay_scope": "Exact full-precision serving state and rounding; upstream historical observation times are not certified.", "schema": "coded-moneyline-replay-v1", "snapshot_hash": "4f0a4221c01a01635af1bbea1fabd875e835ac22a89e30e695a95e39ca8c1e94", "sport": "TENNIS"}</t>
        </is>
      </c>
    </row>
    <row r="1176" ht="36" customHeight="1">
      <c r="A1176" s="24" t="inlineStr">
        <is>
          <t>c5bd06283a054055</t>
        </is>
      </c>
      <c r="B1176" s="24" t="inlineStr">
        <is>
          <t>2026-09-30T04:38:56.922964Z</t>
        </is>
      </c>
      <c r="C1176" s="24" t="inlineStr">
        <is>
          <t>2026-09-30T06:00Z</t>
        </is>
      </c>
      <c r="D1176" s="24" t="inlineStr">
        <is>
          <t>959-2026:184240</t>
        </is>
      </c>
      <c r="E1176" s="24" t="inlineStr">
        <is>
          <t>TENNIS</t>
        </is>
      </c>
      <c r="F1176" s="24" t="inlineStr">
        <is>
          <t>Zeynep Sonmez</t>
        </is>
      </c>
      <c r="G1176" s="24" t="inlineStr">
        <is>
          <t>Maddison Inglis</t>
        </is>
      </c>
      <c r="H1176" s="24" t="inlineStr">
        <is>
          <t>moneyline</t>
        </is>
      </c>
      <c r="I1176" s="24" t="inlineStr">
        <is>
          <t>away</t>
        </is>
      </c>
      <c r="J1176" s="25" t="n"/>
      <c r="K1176" s="24" t="inlineStr">
        <is>
          <t>polymarket_us</t>
        </is>
      </c>
      <c r="L1176" s="26" t="n">
        <v>-203</v>
      </c>
      <c r="M1176" s="27" t="n">
        <v>1.492611</v>
      </c>
      <c r="N1176" s="28" t="n">
        <v>0.669967</v>
      </c>
      <c r="O1176" s="28" t="n">
        <v>0.6325</v>
      </c>
      <c r="P1176" s="28" t="n">
        <v>0.05</v>
      </c>
      <c r="Q1176" s="28" t="n">
        <v>-0.037467</v>
      </c>
      <c r="R1176" s="26" t="n">
        <v>1</v>
      </c>
      <c r="S1176" s="29" t="n">
        <v>1</v>
      </c>
      <c r="T1176" s="24" t="inlineStr">
        <is>
          <t>tennis-surface-elo-v1</t>
        </is>
      </c>
      <c r="U1176" s="24" t="inlineStr">
        <is>
          <t>settled</t>
        </is>
      </c>
      <c r="V1176" s="24" t="inlineStr">
        <is>
          <t>loss</t>
        </is>
      </c>
      <c r="W1176" s="26" t="n">
        <v>0</v>
      </c>
      <c r="X1176" s="26" t="n">
        <v>1</v>
      </c>
      <c r="Y1176" s="25" t="n"/>
      <c r="Z1176" s="26" t="n">
        <v>-203</v>
      </c>
      <c r="AA1176" s="28" t="n">
        <v>0.67</v>
      </c>
      <c r="AB1176" s="28" t="n">
        <v>3.3e-05</v>
      </c>
      <c r="AC1176" s="30" t="n">
        <v>-1</v>
      </c>
      <c r="AD1176" s="24" t="inlineStr">
        <is>
          <t>2026-09-30T10:00:31.126416Z</t>
        </is>
      </c>
      <c r="AE1176" s="31" t="inlineStr">
        <is>
          <t>Surface-blended Elo on Hard: Zeynep Sonmez p=0.633 vs Maddison Inglis. Executable ask 0.6700 (aec-wta-mading-zeyson-2026-09-29).</t>
        </is>
      </c>
      <c r="AF1176" s="31" t="inlineStr">
        <is>
          <t>Surface-blended Elo model; singles only, WTA+ATP market coverage, not yet locked-holdout qualified -- promoted by explicit operator directive, not genuine walk-forward validation.</t>
        </is>
      </c>
      <c r="AG1176" s="24" t="inlineStr">
        <is>
          <t>review_required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PAPER_CALL_LOW_EDGE</t>
        </is>
      </c>
      <c r="AP1176" s="24" t="inlineStr">
        <is>
          <t>Zeynep Sonmez</t>
        </is>
      </c>
      <c r="AQ1176" s="24" t="inlineStr">
        <is>
          <t>Zeynep Sonmez</t>
        </is>
      </c>
      <c r="AR1176" s="24" t="inlineStr">
        <is>
          <t>Zeynep Sonmez</t>
        </is>
      </c>
      <c r="AS1176" s="24" t="inlineStr">
        <is>
          <t>Maddison Inglis</t>
        </is>
      </c>
      <c r="AT1176" s="24" t="inlineStr">
        <is>
          <t>Maddison Inglis</t>
        </is>
      </c>
      <c r="AU1176" s="24" t="inlineStr">
        <is>
          <t>Maddison Inglis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6c67e999d2a03612e30f4032c8e5e77e8becfbc79e05f4c8993e726b90d34d54</t>
        </is>
      </c>
      <c r="BB1176" s="24" t="inlineStr">
        <is>
          <t>surface_blended_elo</t>
        </is>
      </c>
      <c r="BC1176" s="24" t="inlineStr">
        <is>
          <t>tennis-surface-elo-v1</t>
        </is>
      </c>
      <c r="BD1176" s="24" t="inlineStr">
        <is>
          <t>6c67e999d2a03612e30f4032c8e5e77e8becfbc79e05f4c8993e726b90d34d54</t>
        </is>
      </c>
      <c r="BE1176" s="24" t="inlineStr">
        <is>
          <t>tennis-surface-elo-v1</t>
        </is>
      </c>
      <c r="BF1176" s="24" t="inlineStr">
        <is>
          <t>1</t>
        </is>
      </c>
      <c r="BG1176" s="24" t="inlineStr">
        <is>
          <t>6c67e999d2a03612e30f4032c8e5e77e8becfbc79e05f4c8993e726b90d34d54</t>
        </is>
      </c>
      <c r="BH1176" s="24" t="inlineStr">
        <is>
          <t>2026-09-30T04:34:24.298837Z</t>
        </is>
      </c>
      <c r="BI1176" s="24" t="inlineStr">
        <is>
          <t>["same_event","same_team_same_day","same_league_same_day"]</t>
        </is>
      </c>
      <c r="BJ1176" s="25" t="n"/>
      <c r="BK1176" s="26" t="n">
        <v>-203</v>
      </c>
      <c r="BL1176" s="27" t="n">
        <v>1.492611</v>
      </c>
      <c r="BM1176" s="28" t="n">
        <v>0.669967</v>
      </c>
      <c r="BN1176" s="28" t="n"/>
      <c r="BO1176" s="28" t="n"/>
      <c r="BP1176" s="25" t="n"/>
      <c r="BQ1176" s="27" t="n">
        <v>1.492611</v>
      </c>
      <c r="BR1176" s="28" t="n">
        <v>0.67</v>
      </c>
      <c r="BS1176" s="28" t="n"/>
      <c r="BT1176" s="28" t="n"/>
      <c r="BU1176" s="25" t="n"/>
      <c r="BV1176" s="29" t="n"/>
      <c r="BW1176" s="24" t="n"/>
      <c r="BX1176" s="30" t="n"/>
      <c r="BY1176" s="27" t="n"/>
      <c r="BZ1176" s="24" t="n"/>
      <c r="CA1176" s="31" t="n"/>
      <c r="CB1176" s="24" t="n"/>
      <c r="CC1176" s="24" t="n"/>
      <c r="CD1176" s="24" t="n"/>
      <c r="CE1176" s="24" t="n"/>
      <c r="CF1176" s="24" t="n"/>
      <c r="CG1176" s="24" t="n"/>
      <c r="CH1176" s="24" t="n"/>
      <c r="CI1176" s="24" t="n"/>
      <c r="CJ1176" s="24" t="n"/>
      <c r="CK1176" s="24" t="n"/>
      <c r="CL1176" s="24" t="n"/>
      <c r="CM1176" s="24" t="n"/>
      <c r="CN1176" s="24" t="n"/>
      <c r="CO1176" s="24" t="n"/>
      <c r="CP1176" s="24" t="n"/>
      <c r="CQ1176" s="24" t="n"/>
      <c r="CR1176" s="24" t="n"/>
      <c r="CS1176" s="24" t="inlineStr">
        <is>
          <t>False</t>
        </is>
      </c>
      <c r="CT1176" s="24" t="n"/>
      <c r="CU1176" s="24" t="n"/>
      <c r="CV1176" s="24" t="n"/>
      <c r="CW1176" s="24" t="n"/>
      <c r="CX1176" s="24" t="n"/>
      <c r="CY1176" s="24" t="n"/>
      <c r="CZ1176" s="24" t="n"/>
      <c r="DA1176" s="24" t="n"/>
      <c r="DB1176" s="24" t="n"/>
      <c r="DC1176" s="24" t="n"/>
      <c r="DD1176" s="24" t="inlineStr">
        <is>
          <t>829424032a687ebd7e86c4c28fa6ae58dc5901f7f902377809c50e5f02bb15c8</t>
        </is>
      </c>
      <c r="DE1176" s="24" t="inlineStr">
        <is>
          <t>/Users/vincentc9002/model-prediction/data/odds/tennis/2026-09-30/polymarket_snapshots.jsonl</t>
        </is>
      </c>
      <c r="DF1176" s="24" t="inlineStr">
        <is>
          <t>1127152:2026-09-30T04:34:24.298837Z</t>
        </is>
      </c>
      <c r="DG1176" s="24" t="n"/>
      <c r="DH1176" s="24" t="n"/>
      <c r="DI1176" s="24" t="n"/>
      <c r="DJ1176" s="24" t="inlineStr">
        <is>
          <t>0.669967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{"artifact_hash": "6c67e999d2a03612e30f4032c8e5e77e8becfbc79e05f4c8993e726b90d34d54", "away_team": "Zeynep Sonmez", "event_id": "959-2026:184240", "event_start_utc": "2026-09-30T06:00Z", "features": {"elo_p1_surface": 1651.9, "elo_p2_surface": 1580.2, "expected_games_p1": 13.44, "expected_games_p2": 10.02, "expected_total_games": 23.46, "history_matches": 16452, "min_player_matches": 70, "surface": "Hard"}, "historical_source_observation_times_verified": false, "home_team": "Maddison Inglis", "inference_inputs": {"code_sha256": {"features/elo_ratings.py": "8525faf022a6343c452286dbfeb17dbb043744c6bdabbe448b6b371216da439b", "models/tennis.py": "6c67e999d2a03612e30f4032c8e5e77e8becfbc79e05f4c8993e726b90d34d54"}, "overall_ratings": [1695.8129154653104, 1544.5975078391864], "players": ["Zeynep Sonmez", "Maddison Inglis"], "sport": "TENNIS", "surface": "Hard", "surface_counts": [108, 59], "surface_ratings": [1651.9146781795998, 1580.1796711735858]}, "market_type": "moneyline", "model_version": "tennis-surface-elo-v1", "observed_at_utc": "2026-09-30T04:38:55.649078+00:00", "probabilities": {"away": 0.6325, "home": 0.3675}, "replay_scope": "Exact full-precision serving state and rounding; upstream historical observation times are not certified.", "schema": "coded-moneyline-replay-v1", "snapshot_hash": "fa805e708abd2aa613850133241a9c4b1baad35537a3bcf93a18447d54c56cfb", "sport": "TENNIS"}</t>
        </is>
      </c>
    </row>
    <row r="1177" ht="36" customHeight="1">
      <c r="A1177" s="24" t="inlineStr">
        <is>
          <t>53fda496842648f3</t>
        </is>
      </c>
      <c r="B1177" s="24" t="inlineStr">
        <is>
          <t>2026-09-30T10:08:54.114103Z</t>
        </is>
      </c>
      <c r="C1177" s="24" t="inlineStr">
        <is>
          <t>2026-09-30T11:00Z</t>
        </is>
      </c>
      <c r="D1177" s="24" t="inlineStr">
        <is>
          <t>1078-2026:184139</t>
        </is>
      </c>
      <c r="E1177" s="24" t="inlineStr">
        <is>
          <t>TENNIS</t>
        </is>
      </c>
      <c r="F1177" s="24" t="inlineStr">
        <is>
          <t>Anna Blinkova</t>
        </is>
      </c>
      <c r="G1177" s="24" t="inlineStr">
        <is>
          <t>Viktoria Hruncakova</t>
        </is>
      </c>
      <c r="H1177" s="24" t="inlineStr">
        <is>
          <t>moneyline</t>
        </is>
      </c>
      <c r="I1177" s="24" t="inlineStr">
        <is>
          <t>away</t>
        </is>
      </c>
      <c r="J1177" s="25" t="n"/>
      <c r="K1177" s="24" t="inlineStr">
        <is>
          <t>polymarket_us</t>
        </is>
      </c>
      <c r="L1177" s="26" t="n">
        <v>-669</v>
      </c>
      <c r="M1177" s="27" t="n">
        <v>1.149477</v>
      </c>
      <c r="N1177" s="28" t="n">
        <v>0.869961</v>
      </c>
      <c r="O1177" s="28" t="n">
        <v>0.7594</v>
      </c>
      <c r="P1177" s="28" t="n">
        <v>0.05</v>
      </c>
      <c r="Q1177" s="28" t="n">
        <v>-0.110561</v>
      </c>
      <c r="R1177" s="26" t="n">
        <v>0</v>
      </c>
      <c r="S1177" s="29" t="n">
        <v>1</v>
      </c>
      <c r="T1177" s="24" t="inlineStr">
        <is>
          <t>tennis-surface-elo-v1</t>
        </is>
      </c>
      <c r="U1177" s="24" t="inlineStr">
        <is>
          <t>settled</t>
        </is>
      </c>
      <c r="V1177" s="24" t="inlineStr">
        <is>
          <t>win</t>
        </is>
      </c>
      <c r="W1177" s="26" t="n">
        <v>1</v>
      </c>
      <c r="X1177" s="26" t="n">
        <v>0</v>
      </c>
      <c r="Y1177" s="25" t="n"/>
      <c r="Z1177" s="26" t="n">
        <v>-669</v>
      </c>
      <c r="AA1177" s="28" t="n">
        <v>0.87</v>
      </c>
      <c r="AB1177" s="28" t="n">
        <v>3.9e-05</v>
      </c>
      <c r="AC1177" s="30" t="n">
        <v>0.1495</v>
      </c>
      <c r="AD1177" s="24" t="inlineStr">
        <is>
          <t>2026-09-30T16:00:43.197412Z</t>
        </is>
      </c>
      <c r="AE1177" s="31" t="inlineStr">
        <is>
          <t>Surface-blended Elo on Hard: Anna Blinkova p=0.759 vs Viktoria Hruncakova. Executable ask 0.8700 (aec-wta-vikhru-annbli-2026-09-30).</t>
        </is>
      </c>
      <c r="AF1177" s="31" t="inlineStr">
        <is>
          <t>Surface-blended Elo model; singles only, WTA+ATP market coverage, not yet locked-holdout qualified -- promoted by explicit operator directive, not genuine walk-forward validation.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PAPER_CALL_LOW_EDGE</t>
        </is>
      </c>
      <c r="AP1177" s="24" t="inlineStr">
        <is>
          <t>Anna Blinkova</t>
        </is>
      </c>
      <c r="AQ1177" s="24" t="inlineStr">
        <is>
          <t>Anna Blinkova</t>
        </is>
      </c>
      <c r="AR1177" s="24" t="inlineStr">
        <is>
          <t>Anna Blinkova</t>
        </is>
      </c>
      <c r="AS1177" s="24" t="inlineStr">
        <is>
          <t>Viktoria Hruncakova</t>
        </is>
      </c>
      <c r="AT1177" s="24" t="inlineStr">
        <is>
          <t>Viktoria Hruncakova</t>
        </is>
      </c>
      <c r="AU1177" s="24" t="inlineStr">
        <is>
          <t>Viktoria Hruncakova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6c67e999d2a03612e30f4032c8e5e77e8becfbc79e05f4c8993e726b90d34d54</t>
        </is>
      </c>
      <c r="BB1177" s="24" t="inlineStr">
        <is>
          <t>surface_blended_elo</t>
        </is>
      </c>
      <c r="BC1177" s="24" t="inlineStr">
        <is>
          <t>tennis-surface-elo-v1</t>
        </is>
      </c>
      <c r="BD1177" s="24" t="inlineStr">
        <is>
          <t>6c67e999d2a03612e30f4032c8e5e77e8becfbc79e05f4c8993e726b90d34d54</t>
        </is>
      </c>
      <c r="BE1177" s="24" t="inlineStr">
        <is>
          <t>tennis-surface-elo-v1</t>
        </is>
      </c>
      <c r="BF1177" s="24" t="inlineStr">
        <is>
          <t>1</t>
        </is>
      </c>
      <c r="BG1177" s="24" t="inlineStr">
        <is>
          <t>6c67e999d2a03612e30f4032c8e5e77e8becfbc79e05f4c8993e726b90d34d54</t>
        </is>
      </c>
      <c r="BH1177" s="24" t="inlineStr">
        <is>
          <t>2026-09-29T04:48:21.535972Z</t>
        </is>
      </c>
      <c r="BI1177" s="24" t="inlineStr">
        <is>
          <t>["same_event","same_team_same_day","same_league_same_day"]</t>
        </is>
      </c>
      <c r="BJ1177" s="25" t="n"/>
      <c r="BK1177" s="26" t="n">
        <v>-669</v>
      </c>
      <c r="BL1177" s="27" t="n">
        <v>1.149477</v>
      </c>
      <c r="BM1177" s="28" t="n">
        <v>0.869961</v>
      </c>
      <c r="BN1177" s="28" t="n"/>
      <c r="BO1177" s="28" t="n"/>
      <c r="BP1177" s="25" t="n"/>
      <c r="BQ1177" s="27" t="n">
        <v>1.149477</v>
      </c>
      <c r="BR1177" s="28" t="n">
        <v>0.87</v>
      </c>
      <c r="BS1177" s="28" t="n"/>
      <c r="BT1177" s="28" t="n"/>
      <c r="BU1177" s="25" t="n"/>
      <c r="BV1177" s="29" t="n"/>
      <c r="BW1177" s="24" t="n"/>
      <c r="BX1177" s="30" t="n"/>
      <c r="BY1177" s="27" t="n"/>
      <c r="BZ1177" s="24" t="n"/>
      <c r="CA1177" s="31" t="n"/>
      <c r="CB1177" s="24" t="n"/>
      <c r="CC1177" s="24" t="n"/>
      <c r="CD1177" s="24" t="n"/>
      <c r="CE1177" s="24" t="n"/>
      <c r="CF1177" s="24" t="n"/>
      <c r="CG1177" s="24" t="n"/>
      <c r="CH1177" s="24" t="n"/>
      <c r="CI1177" s="24" t="n"/>
      <c r="CJ1177" s="24" t="n"/>
      <c r="CK1177" s="24" t="n"/>
      <c r="CL1177" s="24" t="n"/>
      <c r="CM1177" s="24" t="n"/>
      <c r="CN1177" s="24" t="n"/>
      <c r="CO1177" s="24" t="n"/>
      <c r="CP1177" s="24" t="n"/>
      <c r="CQ1177" s="24" t="n"/>
      <c r="CR1177" s="24" t="n"/>
      <c r="CS1177" s="24" t="inlineStr">
        <is>
          <t>False</t>
        </is>
      </c>
      <c r="CT1177" s="24" t="n"/>
      <c r="CU1177" s="24" t="n"/>
      <c r="CV1177" s="24" t="n"/>
      <c r="CW1177" s="24" t="n"/>
      <c r="CX1177" s="24" t="n"/>
      <c r="CY1177" s="24" t="n"/>
      <c r="CZ1177" s="24" t="n"/>
      <c r="DA1177" s="24" t="n"/>
      <c r="DB1177" s="24" t="n"/>
      <c r="DC1177" s="24" t="n"/>
      <c r="DD1177" s="24" t="inlineStr">
        <is>
          <t>e4c9b0231698be9c42372844e1118cd9dd668b42b95145cd3a7ed37ddde24d0d</t>
        </is>
      </c>
      <c r="DE1177" s="24" t="inlineStr">
        <is>
          <t>/Users/vincentc9002/model-prediction/data/odds/tennis/2026-09-30/polymarket_snapshots.jsonl</t>
        </is>
      </c>
      <c r="DF1177" s="24" t="inlineStr">
        <is>
          <t>1110448:2026-09-29T04:48:21.535972Z</t>
        </is>
      </c>
      <c r="DG1177" s="24" t="n"/>
      <c r="DH1177" s="24" t="n"/>
      <c r="DI1177" s="24" t="n"/>
      <c r="DJ1177" s="24" t="inlineStr">
        <is>
          <t>0.869961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{"artifact_hash": "6c67e999d2a03612e30f4032c8e5e77e8becfbc79e05f4c8993e726b90d34d54", "away_team": "Anna Blinkova", "event_id": "1078-2026:184139", "event_start_utc": "2026-09-30T11:00Z", "features": {"elo_p1_surface": 1645.7, "elo_p2_surface": 1442.7, "expected_games_p1": 12.73, "expected_games_p2": 5.76, "expected_total_games": 18.49, "history_matches": 16452, "min_player_matches": 42,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[1652.7284632832987, 1455.0129193814244], "players": ["Anna Blinkova", "Viktoria Hruncakova"], "sport": "TENNIS", "surface": "Hard", "surface_counts": [132, 34], "surface_ratings": [1645.6989655325522, 1442.6560234602155]}, "market_type": "moneyline", "model_version": "tennis-surface-elo-v1", "observed_at_utc": "2026-09-30T10:08:52.888164+00:00", "probabilities": {"away": 0.7594, "home": 0.2406}, "replay_scope": "Exact full-precision serving state and rounding; upstream historical observation times are not certified.", "schema": "coded-moneyline-replay-v1", "snapshot_hash": "7e52cc71518d10ef1cc8a9c7a51e7626050b527d1bcad172cca74334bc418bfc", "sport": "TENNIS"}</t>
        </is>
      </c>
    </row>
    <row r="1178" ht="36" customHeight="1">
      <c r="A1178" s="24" t="inlineStr">
        <is>
          <t>7bc88813c8254316</t>
        </is>
      </c>
      <c r="B1178" s="24" t="inlineStr">
        <is>
          <t>2026-09-30T22:04:40.840360Z</t>
        </is>
      </c>
      <c r="C1178" s="24" t="inlineStr">
        <is>
          <t>2026-10-01T03:00Z</t>
        </is>
      </c>
      <c r="D1178" s="24" t="inlineStr">
        <is>
          <t>959-2026:184252</t>
        </is>
      </c>
      <c r="E1178" s="24" t="inlineStr">
        <is>
          <t>TENNIS</t>
        </is>
      </c>
      <c r="F1178" s="24" t="inlineStr">
        <is>
          <t>Robin Montgomery</t>
        </is>
      </c>
      <c r="G1178" s="24" t="inlineStr">
        <is>
          <t>Katie Volynets</t>
        </is>
      </c>
      <c r="H1178" s="24" t="inlineStr">
        <is>
          <t>moneyline</t>
        </is>
      </c>
      <c r="I1178" s="24" t="inlineStr">
        <is>
          <t>home</t>
        </is>
      </c>
      <c r="J1178" s="25" t="n"/>
      <c r="K1178" s="24" t="inlineStr">
        <is>
          <t>polymarket_us</t>
        </is>
      </c>
      <c r="L1178" s="26" t="n">
        <v>-133</v>
      </c>
      <c r="M1178" s="27" t="n">
        <v>1.75188</v>
      </c>
      <c r="N1178" s="28" t="n">
        <v>0.570815</v>
      </c>
      <c r="O1178" s="28" t="n">
        <v>0.5276999999999999</v>
      </c>
      <c r="P1178" s="28" t="n">
        <v>0.05</v>
      </c>
      <c r="Q1178" s="28" t="n">
        <v>-0.043115</v>
      </c>
      <c r="R1178" s="26" t="n">
        <v>0</v>
      </c>
      <c r="S1178" s="29" t="n">
        <v>1</v>
      </c>
      <c r="T1178" s="24" t="inlineStr">
        <is>
          <t>tennis-surface-elo-v1</t>
        </is>
      </c>
      <c r="U1178" s="24" t="inlineStr">
        <is>
          <t>settled</t>
        </is>
      </c>
      <c r="V1178" s="24" t="inlineStr">
        <is>
          <t>win</t>
        </is>
      </c>
      <c r="W1178" s="26" t="n">
        <v>0</v>
      </c>
      <c r="X1178" s="26" t="n">
        <v>1</v>
      </c>
      <c r="Y1178" s="25" t="n"/>
      <c r="Z1178" s="26" t="n">
        <v>-133</v>
      </c>
      <c r="AA1178" s="28" t="n">
        <v>0.57</v>
      </c>
      <c r="AB1178" s="28" t="n">
        <v>-0.000815</v>
      </c>
      <c r="AC1178" s="30" t="n">
        <v>0.7519</v>
      </c>
      <c r="AD1178" s="24" t="inlineStr">
        <is>
          <t>2026-10-01T10:00:27.534097Z</t>
        </is>
      </c>
      <c r="AE1178" s="31" t="inlineStr">
        <is>
          <t>Surface-blended Elo on Hard: Robin Montgomery p=0.472 vs Katie Volynets. Executable ask 0.5700 (aec-wta-katvol-robmon-2026-09-29).</t>
        </is>
      </c>
      <c r="AF1178" s="31" t="inlineStr">
        <is>
          <t>Surface-blended Elo model; singles only, WTA+ATP market coverage, not yet locked-holdout qualified -- promoted by explicit operator directive, not genuine walk-forward validation.</t>
        </is>
      </c>
      <c r="AG1178" s="24" t="inlineStr">
        <is>
          <t>not_applicable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PAPER_CALL_LOW_EDGE</t>
        </is>
      </c>
      <c r="AP1178" s="24" t="inlineStr">
        <is>
          <t>Robin Montgomery</t>
        </is>
      </c>
      <c r="AQ1178" s="24" t="inlineStr">
        <is>
          <t>Robin Montgomery</t>
        </is>
      </c>
      <c r="AR1178" s="24" t="inlineStr">
        <is>
          <t>Robin Montgomery</t>
        </is>
      </c>
      <c r="AS1178" s="24" t="inlineStr">
        <is>
          <t>Katie Volynets</t>
        </is>
      </c>
      <c r="AT1178" s="24" t="inlineStr">
        <is>
          <t>Katie Volynets</t>
        </is>
      </c>
      <c r="AU1178" s="24" t="inlineStr">
        <is>
          <t>Katie Volynets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6c67e999d2a03612e30f4032c8e5e77e8becfbc79e05f4c8993e726b90d34d54</t>
        </is>
      </c>
      <c r="BB1178" s="24" t="inlineStr">
        <is>
          <t>surface_blended_elo</t>
        </is>
      </c>
      <c r="BC1178" s="24" t="inlineStr">
        <is>
          <t>tennis-surface-elo-v1</t>
        </is>
      </c>
      <c r="BD1178" s="24" t="inlineStr">
        <is>
          <t>6c67e999d2a03612e30f4032c8e5e77e8becfbc79e05f4c8993e726b90d34d54</t>
        </is>
      </c>
      <c r="BE1178" s="24" t="inlineStr">
        <is>
          <t>tennis-surface-elo-v1</t>
        </is>
      </c>
      <c r="BF1178" s="24" t="inlineStr">
        <is>
          <t>1</t>
        </is>
      </c>
      <c r="BG1178" s="24" t="inlineStr">
        <is>
          <t>6c67e999d2a03612e30f4032c8e5e77e8becfbc79e05f4c8993e726b90d34d54</t>
        </is>
      </c>
      <c r="BH1178" s="24" t="inlineStr">
        <is>
          <t>2026-09-30T10:05:17.197375Z</t>
        </is>
      </c>
      <c r="BI1178" s="24" t="inlineStr">
        <is>
          <t>["same_event","same_team_same_day","same_league_same_day"]</t>
        </is>
      </c>
      <c r="BJ1178" s="25" t="n"/>
      <c r="BK1178" s="26" t="n">
        <v>-133</v>
      </c>
      <c r="BL1178" s="27" t="n">
        <v>1.75188</v>
      </c>
      <c r="BM1178" s="28" t="n">
        <v>0.570815</v>
      </c>
      <c r="BN1178" s="28" t="n"/>
      <c r="BO1178" s="28" t="n"/>
      <c r="BP1178" s="25" t="n"/>
      <c r="BQ1178" s="27" t="n">
        <v>1.75188</v>
      </c>
      <c r="BR1178" s="28" t="n">
        <v>0.57</v>
      </c>
      <c r="BS1178" s="28" t="n"/>
      <c r="BT1178" s="28" t="n"/>
      <c r="BU1178" s="25" t="n"/>
      <c r="BV1178" s="29" t="n"/>
      <c r="BW1178" s="24" t="n"/>
      <c r="BX1178" s="30" t="n"/>
      <c r="BY1178" s="27" t="n"/>
      <c r="BZ1178" s="24" t="n"/>
      <c r="CA1178" s="31" t="n"/>
      <c r="CB1178" s="24" t="n"/>
      <c r="CC1178" s="24" t="n"/>
      <c r="CD1178" s="24" t="n"/>
      <c r="CE1178" s="24" t="n"/>
      <c r="CF1178" s="24" t="n"/>
      <c r="CG1178" s="24" t="n"/>
      <c r="CH1178" s="24" t="n"/>
      <c r="CI1178" s="24" t="n"/>
      <c r="CJ1178" s="24" t="n"/>
      <c r="CK1178" s="24" t="n"/>
      <c r="CL1178" s="24" t="n"/>
      <c r="CM1178" s="24" t="n"/>
      <c r="CN1178" s="24" t="n"/>
      <c r="CO1178" s="24" t="n"/>
      <c r="CP1178" s="24" t="n"/>
      <c r="CQ1178" s="24" t="n"/>
      <c r="CR1178" s="24" t="n"/>
      <c r="CS1178" s="24" t="inlineStr">
        <is>
          <t>False</t>
        </is>
      </c>
      <c r="CT1178" s="24" t="n"/>
      <c r="CU1178" s="24" t="n"/>
      <c r="CV1178" s="24" t="n"/>
      <c r="CW1178" s="24" t="n"/>
      <c r="CX1178" s="24" t="n"/>
      <c r="CY1178" s="24" t="n"/>
      <c r="CZ1178" s="24" t="n"/>
      <c r="DA1178" s="24" t="n"/>
      <c r="DB1178" s="24" t="n"/>
      <c r="DC1178" s="24" t="n"/>
      <c r="DD1178" s="24" t="inlineStr">
        <is>
          <t>1151d2fffb5b2632b7bf178181f66d55fe04be0f874e2164c76eeb18b3aa81c3</t>
        </is>
      </c>
      <c r="DE1178" s="24" t="inlineStr">
        <is>
          <t>/Users/vincentc9002/model-prediction/data/odds/tennis/2026-09-30/polymarket_snapshots.jsonl</t>
        </is>
      </c>
      <c r="DF1178" s="24" t="inlineStr">
        <is>
          <t>1127159:2026-09-30T10:05:17.197375Z</t>
        </is>
      </c>
      <c r="DG1178" s="24" t="n"/>
      <c r="DH1178" s="24" t="n"/>
      <c r="DI1178" s="24" t="n"/>
      <c r="DJ1178" s="24" t="inlineStr">
        <is>
          <t>0.570815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{"artifact_hash": "6c67e999d2a03612e30f4032c8e5e77e8becfbc79e05f4c8993e726b90d34d54", "away_team": "Robin Montgomery", "event_id": "959-2026:184252", "event_start_utc": "2026-10-01T03:00Z", "features": {"elo_p1_surface": 1667.4, "elo_p2_surface": 1683.6, "expected_games_p1": 12.17, "expected_games_p2": 12.58, "expected_total_games": 24.75, "history_matches": 16452, "min_player_matches": 100, "surface": "Hard"}, "historical_source_observation_times_verified": false, "home_team": "Katie Volynets", "inference_inputs": {"code_sha256": {"features/elo_ratings.py": "8525faf022a6343c452286dbfeb17dbb043744c6bdabbe448b6b371216da439b", "models/tennis.py": "6c67e999d2a03612e30f4032c8e5e77e8becfbc79e05f4c8993e726b90d34d54"}, "overall_ratings": [1680.2319025997456, 1713.6166706481563], "players": ["Robin Montgomery", "Katie Volynets"], "sport": "TENNIS", "surface": "Hard", "surface_counts": [72, 149], "surface_ratings": [1667.4031609335257, 1683.612233047866]}, "market_type": "moneyline", "model_version": "tennis-surface-elo-v1", "observed_at_utc": "2026-09-30T22:04:40.020307+00:00", "probabilities": {"away": 0.4723, "home": 0.5277}, "replay_scope": "Exact full-precision serving state and rounding; upstream historical observation times are not certified.", "schema": "coded-moneyline-replay-v1", "snapshot_hash": "042b6e88afacd2c814889c2d869256a0449005686de65495ac462b3565fdbea3", "sport": "TENNIS"}</t>
        </is>
      </c>
    </row>
    <row r="1179" ht="36" customHeight="1">
      <c r="A1179" s="24" t="inlineStr">
        <is>
          <t>a7dad8ece8a44f39</t>
        </is>
      </c>
      <c r="B1179" s="24" t="inlineStr">
        <is>
          <t>2026-09-30T22:04:40.840360Z</t>
        </is>
      </c>
      <c r="C1179" s="24" t="inlineStr">
        <is>
          <t>2026-10-01T04:30Z</t>
        </is>
      </c>
      <c r="D1179" s="24" t="inlineStr">
        <is>
          <t>959-2026:184244</t>
        </is>
      </c>
      <c r="E1179" s="24" t="inlineStr">
        <is>
          <t>TENNIS</t>
        </is>
      </c>
      <c r="F1179" s="24" t="inlineStr">
        <is>
          <t>Daria Kasatkina</t>
        </is>
      </c>
      <c r="G1179" s="24" t="inlineStr">
        <is>
          <t>Paula Badosa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-233</v>
      </c>
      <c r="M1179" s="27" t="n">
        <v>1.429185</v>
      </c>
      <c r="N1179" s="28" t="n">
        <v>0.6997</v>
      </c>
      <c r="O1179" s="28" t="n">
        <v>0.6454</v>
      </c>
      <c r="P1179" s="28" t="n">
        <v>0.05</v>
      </c>
      <c r="Q1179" s="28" t="n">
        <v>-0.0543</v>
      </c>
      <c r="R1179" s="26" t="n">
        <v>0</v>
      </c>
      <c r="S1179" s="29" t="n">
        <v>1</v>
      </c>
      <c r="T1179" s="24" t="inlineStr">
        <is>
          <t>tennis-surface-elo-v1</t>
        </is>
      </c>
      <c r="U1179" s="24" t="inlineStr">
        <is>
          <t>settled</t>
        </is>
      </c>
      <c r="V1179" s="24" t="inlineStr">
        <is>
          <t>win</t>
        </is>
      </c>
      <c r="W1179" s="26" t="n">
        <v>0</v>
      </c>
      <c r="X1179" s="26" t="n">
        <v>1</v>
      </c>
      <c r="Y1179" s="25" t="n"/>
      <c r="Z1179" s="26" t="n">
        <v>-233</v>
      </c>
      <c r="AA1179" s="28" t="n">
        <v>0.7</v>
      </c>
      <c r="AB1179" s="28" t="n">
        <v>0.0003</v>
      </c>
      <c r="AC1179" s="30" t="n">
        <v>0.4292</v>
      </c>
      <c r="AD1179" s="24" t="inlineStr">
        <is>
          <t>2026-10-01T10:00:27.986474Z</t>
        </is>
      </c>
      <c r="AE1179" s="31" t="inlineStr">
        <is>
          <t>Surface-blended Elo on Hard: Daria Kasatkina p=0.355 vs Paula Badosa. Executable ask 0.7000 (aec-wta-paubad-darkas-2026-09-28).</t>
        </is>
      </c>
      <c r="AF1179" s="31" t="inlineStr">
        <is>
          <t>Surface-blended Elo model; singles only, WTA+ATP market coverage, not yet locked-holdout qualified -- promoted by explicit operator directive, not genuine walk-forward validation.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PAPER_CALL_LOW_EDGE</t>
        </is>
      </c>
      <c r="AP1179" s="24" t="inlineStr">
        <is>
          <t>Daria Kasatkina</t>
        </is>
      </c>
      <c r="AQ1179" s="24" t="inlineStr">
        <is>
          <t>Daria Kasatkina</t>
        </is>
      </c>
      <c r="AR1179" s="24" t="inlineStr">
        <is>
          <t>Daria Kasatkina</t>
        </is>
      </c>
      <c r="AS1179" s="24" t="inlineStr">
        <is>
          <t>Paula Badosa</t>
        </is>
      </c>
      <c r="AT1179" s="24" t="inlineStr">
        <is>
          <t>Paula Badosa</t>
        </is>
      </c>
      <c r="AU1179" s="24" t="inlineStr">
        <is>
          <t>Paula Badosa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6c67e999d2a03612e30f4032c8e5e77e8becfbc79e05f4c8993e726b90d34d54</t>
        </is>
      </c>
      <c r="BB1179" s="24" t="inlineStr">
        <is>
          <t>surface_blended_elo</t>
        </is>
      </c>
      <c r="BC1179" s="24" t="inlineStr">
        <is>
          <t>tennis-surface-elo-v1</t>
        </is>
      </c>
      <c r="BD1179" s="24" t="inlineStr">
        <is>
          <t>6c67e999d2a03612e30f4032c8e5e77e8becfbc79e05f4c8993e726b90d34d54</t>
        </is>
      </c>
      <c r="BE1179" s="24" t="inlineStr">
        <is>
          <t>tennis-surface-elo-v1</t>
        </is>
      </c>
      <c r="BF1179" s="24" t="inlineStr">
        <is>
          <t>1</t>
        </is>
      </c>
      <c r="BG1179" s="24" t="inlineStr">
        <is>
          <t>6c67e999d2a03612e30f4032c8e5e77e8becfbc79e05f4c8993e726b90d34d54</t>
        </is>
      </c>
      <c r="BH1179" s="24" t="inlineStr">
        <is>
          <t>2026-09-30T04:35:00.156099Z</t>
        </is>
      </c>
      <c r="BI1179" s="24" t="inlineStr">
        <is>
          <t>["same_event","same_team_same_day","same_league_same_day"]</t>
        </is>
      </c>
      <c r="BJ1179" s="25" t="n"/>
      <c r="BK1179" s="26" t="n">
        <v>-233</v>
      </c>
      <c r="BL1179" s="27" t="n">
        <v>1.429185</v>
      </c>
      <c r="BM1179" s="28" t="n">
        <v>0.6997</v>
      </c>
      <c r="BN1179" s="28" t="n"/>
      <c r="BO1179" s="28" t="n"/>
      <c r="BP1179" s="25" t="n"/>
      <c r="BQ1179" s="27" t="n">
        <v>1.429185</v>
      </c>
      <c r="BR1179" s="28" t="n">
        <v>0.7</v>
      </c>
      <c r="BS1179" s="28" t="n"/>
      <c r="BT1179" s="28" t="n"/>
      <c r="BU1179" s="25" t="n"/>
      <c r="BV1179" s="29" t="n"/>
      <c r="BW1179" s="24" t="n"/>
      <c r="BX1179" s="30" t="n"/>
      <c r="BY1179" s="27" t="n"/>
      <c r="BZ1179" s="24" t="n"/>
      <c r="CA1179" s="31" t="n"/>
      <c r="CB1179" s="24" t="n"/>
      <c r="CC1179" s="24" t="n"/>
      <c r="CD1179" s="24" t="n"/>
      <c r="CE1179" s="24" t="n"/>
      <c r="CF1179" s="24" t="n"/>
      <c r="CG1179" s="24" t="n"/>
      <c r="CH1179" s="24" t="n"/>
      <c r="CI1179" s="24" t="n"/>
      <c r="CJ1179" s="24" t="n"/>
      <c r="CK1179" s="24" t="n"/>
      <c r="CL1179" s="24" t="n"/>
      <c r="CM1179" s="24" t="n"/>
      <c r="CN1179" s="24" t="n"/>
      <c r="CO1179" s="24" t="n"/>
      <c r="CP1179" s="24" t="n"/>
      <c r="CQ1179" s="24" t="n"/>
      <c r="CR1179" s="24" t="n"/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n"/>
      <c r="CZ1179" s="24" t="n"/>
      <c r="DA1179" s="24" t="n"/>
      <c r="DB1179" s="24" t="n"/>
      <c r="DC1179" s="24" t="n"/>
      <c r="DD1179" s="24" t="inlineStr">
        <is>
          <t>08656f15f76ce1a26a11ff1266c840d3ec1152260b2c9ef8e321fa619c64a79e</t>
        </is>
      </c>
      <c r="DE1179" s="24" t="inlineStr">
        <is>
          <t>/Users/vincentc9002/model-prediction/data/odds/tennis/2026-09-30/polymarket_snapshots.jsonl</t>
        </is>
      </c>
      <c r="DF1179" s="24" t="inlineStr">
        <is>
          <t>1107470:2026-09-30T04:35:00.156099Z</t>
        </is>
      </c>
      <c r="DG1179" s="24" t="n"/>
      <c r="DH1179" s="24" t="n"/>
      <c r="DI1179" s="24" t="n"/>
      <c r="DJ1179" s="24" t="inlineStr">
        <is>
          <t>0.6997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{"artifact_hash": "6c67e999d2a03612e30f4032c8e5e77e8becfbc79e05f4c8993e726b90d34d54", "away_team": "Daria Kasatkina", "event_id": "959-2026:184244", "event_start_utc": "2026-10-01T04:30Z", "features": {"elo_p1_surface": 1628.7, "elo_p2_surface": 1729.9, "expected_games_p1": 9.42, "expected_games_p2": 13.28, "expected_total_games": 22.7, "history_matches": 16452, "min_player_matches": 131, "surface": "Hard"}, "historical_source_observation_times_verified": false, "home_team": "Paula Badosa", "inference_inputs": {"code_sha256": {"features/elo_ratings.py": "8525faf022a6343c452286dbfeb17dbb043744c6bdabbe448b6b371216da439b", "models/tennis.py": "6c67e999d2a03612e30f4032c8e5e77e8becfbc79e05f4c8993e726b90d34d54"}, "overall_ratings": [1630.9482251578836, 1742.898462040827], "players": ["Daria Kasatkina", "Paula Badosa"], "sport": "TENNIS", "surface": "Hard", "surface_counts": [106, 104], "surface_ratings": [1628.6903208457495, 1729.9468362413982]}, "market_type": "moneyline", "model_version": "tennis-surface-elo-v1", "observed_at_utc": "2026-09-30T22:04:40.020307+00:00", "probabilities": {"away": 0.3546, "home": 0.6454}, "replay_scope": "Exact full-precision serving state and rounding; upstream historical observation times are not certified.", "schema": "coded-moneyline-replay-v1", "snapshot_hash": "fb0968d4d6a665c3dfb2be1fa0cb1ad4d6f14c3a25873c1ec3ce12cd84b22c68", "sport": "TENNIS"}</t>
        </is>
      </c>
    </row>
    <row r="1180" ht="36" customHeight="1">
      <c r="A1180" s="24" t="inlineStr">
        <is>
          <t>4225add6f8544c7e</t>
        </is>
      </c>
      <c r="B1180" s="24" t="inlineStr">
        <is>
          <t>2026-09-30T22:04:40.840360Z</t>
        </is>
      </c>
      <c r="C1180" s="24" t="inlineStr">
        <is>
          <t>2026-10-01T03:00Z</t>
        </is>
      </c>
      <c r="D1180" s="24" t="inlineStr">
        <is>
          <t>959-2026:183458</t>
        </is>
      </c>
      <c r="E1180" s="24" t="inlineStr">
        <is>
          <t>TENNIS</t>
        </is>
      </c>
      <c r="F1180" s="24" t="inlineStr">
        <is>
          <t>Mariano Navone</t>
        </is>
      </c>
      <c r="G1180" s="24" t="inlineStr">
        <is>
          <t>Alex de Minaur</t>
        </is>
      </c>
      <c r="H1180" s="24" t="inlineStr">
        <is>
          <t>moneyline</t>
        </is>
      </c>
      <c r="I1180" s="24" t="inlineStr">
        <is>
          <t>home</t>
        </is>
      </c>
      <c r="J1180" s="25" t="n"/>
      <c r="K1180" s="24" t="inlineStr">
        <is>
          <t>polymarket_us</t>
        </is>
      </c>
      <c r="L1180" s="26" t="n">
        <v>-400</v>
      </c>
      <c r="M1180" s="27" t="n">
        <v>1.25</v>
      </c>
      <c r="N1180" s="28" t="n">
        <v>0.8</v>
      </c>
      <c r="O1180" s="28" t="n">
        <v>0.704</v>
      </c>
      <c r="P1180" s="28" t="n">
        <v>0.05</v>
      </c>
      <c r="Q1180" s="28" t="n">
        <v>-0.096</v>
      </c>
      <c r="R1180" s="26" t="n">
        <v>0</v>
      </c>
      <c r="S1180" s="29" t="n">
        <v>1</v>
      </c>
      <c r="T1180" s="24" t="inlineStr">
        <is>
          <t>tennis-surface-elo-v1</t>
        </is>
      </c>
      <c r="U1180" s="24" t="inlineStr">
        <is>
          <t>settled</t>
        </is>
      </c>
      <c r="V1180" s="24" t="inlineStr">
        <is>
          <t>win</t>
        </is>
      </c>
      <c r="W1180" s="26" t="n">
        <v>0</v>
      </c>
      <c r="X1180" s="26" t="n">
        <v>1</v>
      </c>
      <c r="Y1180" s="25" t="n"/>
      <c r="Z1180" s="26" t="n">
        <v>-400</v>
      </c>
      <c r="AA1180" s="28" t="n">
        <v>0.8</v>
      </c>
      <c r="AB1180" s="28" t="n">
        <v>0</v>
      </c>
      <c r="AC1180" s="30" t="n">
        <v>0.25</v>
      </c>
      <c r="AD1180" s="24" t="inlineStr">
        <is>
          <t>2026-10-01T10:00:28.440978Z</t>
        </is>
      </c>
      <c r="AE1180" s="31" t="inlineStr">
        <is>
          <t>Surface-blended Elo on Hard: Mariano Navone p=0.296 vs Alex de Minaur. Executable ask 0.8000 (aec-atp-alemin-marnav-2026-09-28).</t>
        </is>
      </c>
      <c r="AF1180" s="31" t="inlineStr">
        <is>
          <t>Surface-blended Elo model; singles only, WTA+ATP market coverage, not yet locked-holdout qualified -- promoted by explicit operator directive, not genuine walk-forward validation.</t>
        </is>
      </c>
      <c r="AG1180" s="24" t="inlineStr">
        <is>
          <t>not_applicable</t>
        </is>
      </c>
      <c r="AH1180" s="24" t="n"/>
      <c r="AI1180" s="31" t="n"/>
      <c r="AJ1180" s="31" t="n"/>
      <c r="AK1180" s="24" t="inlineStr">
        <is>
          <t>paper_call</t>
        </is>
      </c>
      <c r="AL1180" s="26" t="n">
        <v>4</v>
      </c>
      <c r="AM1180" s="24" t="inlineStr">
        <is>
          <t>RESEARCH_OBSERVATION</t>
        </is>
      </c>
      <c r="AN1180" s="24" t="inlineStr">
        <is>
          <t>CALL</t>
        </is>
      </c>
      <c r="AO1180" s="24" t="inlineStr">
        <is>
          <t>PAPER_CALL_LOW_EDGE</t>
        </is>
      </c>
      <c r="AP1180" s="24" t="inlineStr">
        <is>
          <t>Mariano Navone</t>
        </is>
      </c>
      <c r="AQ1180" s="24" t="inlineStr">
        <is>
          <t>Mariano Navone</t>
        </is>
      </c>
      <c r="AR1180" s="24" t="inlineStr">
        <is>
          <t>Mariano Navone</t>
        </is>
      </c>
      <c r="AS1180" s="24" t="inlineStr">
        <is>
          <t>Alex de Minaur</t>
        </is>
      </c>
      <c r="AT1180" s="24" t="inlineStr">
        <is>
          <t>Alex de Minaur</t>
        </is>
      </c>
      <c r="AU1180" s="24" t="inlineStr">
        <is>
          <t>Alex de Minaur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6c67e999d2a03612e30f4032c8e5e77e8becfbc79e05f4c8993e726b90d34d54</t>
        </is>
      </c>
      <c r="BB1180" s="24" t="inlineStr">
        <is>
          <t>surface_blended_elo</t>
        </is>
      </c>
      <c r="BC1180" s="24" t="inlineStr">
        <is>
          <t>tennis-surface-elo-v1</t>
        </is>
      </c>
      <c r="BD1180" s="24" t="inlineStr">
        <is>
          <t>6c67e999d2a03612e30f4032c8e5e77e8becfbc79e05f4c8993e726b90d34d54</t>
        </is>
      </c>
      <c r="BE1180" s="24" t="inlineStr">
        <is>
          <t>tennis-surface-elo-v1</t>
        </is>
      </c>
      <c r="BF1180" s="24" t="inlineStr">
        <is>
          <t>1</t>
        </is>
      </c>
      <c r="BG1180" s="24" t="inlineStr">
        <is>
          <t>6c67e999d2a03612e30f4032c8e5e77e8becfbc79e05f4c8993e726b90d34d54</t>
        </is>
      </c>
      <c r="BH1180" s="24" t="inlineStr">
        <is>
          <t>2026-09-30T16:56:05.385437Z</t>
        </is>
      </c>
      <c r="BI1180" s="24" t="inlineStr">
        <is>
          <t>["same_event","same_team_same_day","same_league_same_day"]</t>
        </is>
      </c>
      <c r="BJ1180" s="25" t="n"/>
      <c r="BK1180" s="26" t="n">
        <v>-400</v>
      </c>
      <c r="BL1180" s="27" t="n">
        <v>1.25</v>
      </c>
      <c r="BM1180" s="28" t="n">
        <v>0.8</v>
      </c>
      <c r="BN1180" s="28" t="n"/>
      <c r="BO1180" s="28" t="n"/>
      <c r="BP1180" s="25" t="n"/>
      <c r="BQ1180" s="27" t="n">
        <v>1.25</v>
      </c>
      <c r="BR1180" s="28" t="n">
        <v>0.8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n"/>
      <c r="CD1180" s="24" t="n"/>
      <c r="CE1180" s="24" t="n"/>
      <c r="CF1180" s="24" t="n"/>
      <c r="CG1180" s="24" t="n"/>
      <c r="CH1180" s="24" t="n"/>
      <c r="CI1180" s="24" t="n"/>
      <c r="CJ1180" s="24" t="n"/>
      <c r="CK1180" s="24" t="n"/>
      <c r="CL1180" s="24" t="n"/>
      <c r="CM1180" s="24" t="n"/>
      <c r="CN1180" s="24" t="n"/>
      <c r="CO1180" s="24" t="n"/>
      <c r="CP1180" s="24" t="n"/>
      <c r="CQ1180" s="24" t="n"/>
      <c r="CR1180" s="24" t="n"/>
      <c r="CS1180" s="24" t="inlineStr">
        <is>
          <t>False</t>
        </is>
      </c>
      <c r="CT1180" s="24" t="n"/>
      <c r="CU1180" s="24" t="n"/>
      <c r="CV1180" s="24" t="n"/>
      <c r="CW1180" s="24" t="n"/>
      <c r="CX1180" s="24" t="n"/>
      <c r="CY1180" s="24" t="n"/>
      <c r="CZ1180" s="24" t="n"/>
      <c r="DA1180" s="24" t="n"/>
      <c r="DB1180" s="24" t="n"/>
      <c r="DC1180" s="24" t="n"/>
      <c r="DD1180" s="24" t="inlineStr">
        <is>
          <t>dc05bede91effe690666c716fc96637060eb82b8abbd88d60ac7c9e885a4998a</t>
        </is>
      </c>
      <c r="DE1180" s="24" t="inlineStr">
        <is>
          <t>/Users/vincentc9002/model-prediction/data/odds/tennis/2026-09-30/polymarket_snapshots.jsonl</t>
        </is>
      </c>
      <c r="DF1180" s="24" t="inlineStr">
        <is>
          <t>1106613:2026-09-30T16:56:05.385437Z</t>
        </is>
      </c>
      <c r="DG1180" s="24" t="n"/>
      <c r="DH1180" s="24" t="n"/>
      <c r="DI1180" s="24" t="n"/>
      <c r="DJ1180" s="24" t="inlineStr">
        <is>
          <t>0.8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{"artifact_hash": "6c67e999d2a03612e30f4032c8e5e77e8becfbc79e05f4c8993e726b90d34d54", "away_team": "Mariano Navone", "event_id": "959-2026:183458", "event_start_utc": "2026-10-01T03:00Z", "features": {"elo_p1_surface": 1578.1, "elo_p2_surface": 1744.4, "expected_games_p1": 8.13, "expected_games_p2": 13.12, "expected_total_games": 21.25, "history_matches": 11311, "min_player_matches": 137, "surface": "Hard"}, "historical_source_observation_times_verified": false, "home_team": "Alex de Minaur", "inference_inputs": {"code_sha256": {"features/elo_ratings.py": "8525faf022a6343c452286dbfeb17dbb043744c6bdabbe448b6b371216da439b", "models/tennis.py": "6c67e999d2a03612e30f4032c8e5e77e8becfbc79e05f4c8993e726b90d34d54"}, "overall_ratings": [1639.6388478772622, 1746.1815326985816], "players": ["Mariano Navone", "Alex de Minaur"], "sport": "TENNIS", "surface": "Hard", "surface_counts": [97, 127], "surface_ratings": [1578.077864591016, 1744.4457092477196]}, "market_type": "moneyline", "model_version": "tennis-surface-elo-v1", "observed_at_utc": "2026-09-30T22:04:40.020307+00:00", "probabilities": {"away": 0.296, "home": 0.704}, "replay_scope": "Exact full-precision serving state and rounding; upstream historical observation times are not certified.", "schema": "coded-moneyline-replay-v1", "snapshot_hash": "946fb11c03c0db6587bbfed48bf7a9b25f8acf5854ced486b509324fd974bd96", "sport": "TENNIS"}</t>
        </is>
      </c>
    </row>
    <row r="1181" ht="36" customHeight="1">
      <c r="A1181" s="24" t="inlineStr">
        <is>
          <t>7a326b9c14774265</t>
        </is>
      </c>
      <c r="B1181" s="24" t="inlineStr">
        <is>
          <t>2026-09-30T22:04:40.840360Z</t>
        </is>
      </c>
      <c r="C1181" s="24" t="inlineStr">
        <is>
          <t>2026-10-01T04:30Z</t>
        </is>
      </c>
      <c r="D1181" s="24" t="inlineStr">
        <is>
          <t>959-2026:183445</t>
        </is>
      </c>
      <c r="E1181" s="24" t="inlineStr">
        <is>
          <t>TENNIS</t>
        </is>
      </c>
      <c r="F1181" s="24" t="inlineStr">
        <is>
          <t>Quentin Halys</t>
        </is>
      </c>
      <c r="G1181" s="24" t="inlineStr">
        <is>
          <t>Ignacio Buse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-122</v>
      </c>
      <c r="M1181" s="27" t="n">
        <v>1.819672</v>
      </c>
      <c r="N1181" s="28" t="n">
        <v>0.54955</v>
      </c>
      <c r="O1181" s="28" t="n">
        <v>0.5248</v>
      </c>
      <c r="P1181" s="28" t="n">
        <v>0.05</v>
      </c>
      <c r="Q1181" s="28" t="n">
        <v>-0.02475</v>
      </c>
      <c r="R1181" s="26" t="n">
        <v>8</v>
      </c>
      <c r="S1181" s="29" t="n">
        <v>1</v>
      </c>
      <c r="T1181" s="24" t="inlineStr">
        <is>
          <t>tennis-surface-elo-v1</t>
        </is>
      </c>
      <c r="U1181" s="24" t="inlineStr">
        <is>
          <t>settled</t>
        </is>
      </c>
      <c r="V1181" s="24" t="inlineStr">
        <is>
          <t>win</t>
        </is>
      </c>
      <c r="W1181" s="26" t="n">
        <v>1</v>
      </c>
      <c r="X1181" s="26" t="n">
        <v>0</v>
      </c>
      <c r="Y1181" s="25" t="n"/>
      <c r="Z1181" s="26" t="n">
        <v>-122</v>
      </c>
      <c r="AA1181" s="28" t="n">
        <v>0.55</v>
      </c>
      <c r="AB1181" s="28" t="n">
        <v>0.00045</v>
      </c>
      <c r="AC1181" s="30" t="n">
        <v>0.8197</v>
      </c>
      <c r="AD1181" s="24" t="inlineStr">
        <is>
          <t>2026-10-01T10:00:28.891467Z</t>
        </is>
      </c>
      <c r="AE1181" s="31" t="inlineStr">
        <is>
          <t>Surface-blended Elo on Hard: Quentin Halys p=0.525 vs Ignacio Buse. Executable ask 0.5500 (aec-atp-ignbus-quehal-2026-09-28).</t>
        </is>
      </c>
      <c r="AF1181" s="31" t="inlineStr">
        <is>
          <t>Surface-blended Elo model; singles only, WTA+ATP market coverage, not yet locked-holdout qualified -- promoted by explicit operator directive, not genuine walk-forward validation.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paper_call</t>
        </is>
      </c>
      <c r="AL1181" s="26" t="n">
        <v>4</v>
      </c>
      <c r="AM1181" s="24" t="inlineStr">
        <is>
          <t>RESEARCH_OBSERVATION</t>
        </is>
      </c>
      <c r="AN1181" s="24" t="inlineStr">
        <is>
          <t>CALL</t>
        </is>
      </c>
      <c r="AO1181" s="24" t="inlineStr">
        <is>
          <t>PAPER_CALL_LOW_EDGE</t>
        </is>
      </c>
      <c r="AP1181" s="24" t="inlineStr">
        <is>
          <t>Quentin Halys</t>
        </is>
      </c>
      <c r="AQ1181" s="24" t="inlineStr">
        <is>
          <t>Quentin Halys</t>
        </is>
      </c>
      <c r="AR1181" s="24" t="inlineStr">
        <is>
          <t>Quentin Halys</t>
        </is>
      </c>
      <c r="AS1181" s="24" t="inlineStr">
        <is>
          <t>Ignacio Buse</t>
        </is>
      </c>
      <c r="AT1181" s="24" t="inlineStr">
        <is>
          <t>Ignacio Buse</t>
        </is>
      </c>
      <c r="AU1181" s="24" t="inlineStr">
        <is>
          <t>Ignacio Buse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6c67e999d2a03612e30f4032c8e5e77e8becfbc79e05f4c8993e726b90d34d54</t>
        </is>
      </c>
      <c r="BB1181" s="24" t="inlineStr">
        <is>
          <t>surface_blended_elo</t>
        </is>
      </c>
      <c r="BC1181" s="24" t="inlineStr">
        <is>
          <t>tennis-surface-elo-v1</t>
        </is>
      </c>
      <c r="BD1181" s="24" t="inlineStr">
        <is>
          <t>6c67e999d2a03612e30f4032c8e5e77e8becfbc79e05f4c8993e726b90d34d54</t>
        </is>
      </c>
      <c r="BE1181" s="24" t="inlineStr">
        <is>
          <t>tennis-surface-elo-v1</t>
        </is>
      </c>
      <c r="BF1181" s="24" t="inlineStr">
        <is>
          <t>1</t>
        </is>
      </c>
      <c r="BG1181" s="24" t="inlineStr">
        <is>
          <t>6c67e999d2a03612e30f4032c8e5e77e8becfbc79e05f4c8993e726b90d34d54</t>
        </is>
      </c>
      <c r="BH1181" s="24" t="inlineStr">
        <is>
          <t>2026-09-30T10:06:23.068950Z</t>
        </is>
      </c>
      <c r="BI1181" s="24" t="inlineStr">
        <is>
          <t>["same_event","same_team_same_day","same_league_same_day"]</t>
        </is>
      </c>
      <c r="BJ1181" s="25" t="n"/>
      <c r="BK1181" s="26" t="n">
        <v>-122</v>
      </c>
      <c r="BL1181" s="27" t="n">
        <v>1.819672</v>
      </c>
      <c r="BM1181" s="28" t="n">
        <v>0.54955</v>
      </c>
      <c r="BN1181" s="28" t="n"/>
      <c r="BO1181" s="28" t="n"/>
      <c r="BP1181" s="25" t="n"/>
      <c r="BQ1181" s="27" t="n">
        <v>1.819672</v>
      </c>
      <c r="BR1181" s="28" t="n">
        <v>0.55</v>
      </c>
      <c r="BS1181" s="28" t="n"/>
      <c r="BT1181" s="28" t="n"/>
      <c r="BU1181" s="25" t="n"/>
      <c r="BV1181" s="29" t="n"/>
      <c r="BW1181" s="24" t="n"/>
      <c r="BX1181" s="30" t="n"/>
      <c r="BY1181" s="27" t="n"/>
      <c r="BZ1181" s="24" t="n"/>
      <c r="CA1181" s="31" t="n"/>
      <c r="CB1181" s="24" t="n"/>
      <c r="CC1181" s="24" t="n"/>
      <c r="CD1181" s="24" t="n"/>
      <c r="CE1181" s="24" t="n"/>
      <c r="CF1181" s="24" t="n"/>
      <c r="CG1181" s="24" t="n"/>
      <c r="CH1181" s="24" t="n"/>
      <c r="CI1181" s="24" t="n"/>
      <c r="CJ1181" s="24" t="n"/>
      <c r="CK1181" s="24" t="n"/>
      <c r="CL1181" s="24" t="n"/>
      <c r="CM1181" s="24" t="n"/>
      <c r="CN1181" s="24" t="n"/>
      <c r="CO1181" s="24" t="n"/>
      <c r="CP1181" s="24" t="n"/>
      <c r="CQ1181" s="24" t="n"/>
      <c r="CR1181" s="24" t="n"/>
      <c r="CS1181" s="24" t="inlineStr">
        <is>
          <t>False</t>
        </is>
      </c>
      <c r="CT1181" s="24" t="n"/>
      <c r="CU1181" s="24" t="n"/>
      <c r="CV1181" s="24" t="n"/>
      <c r="CW1181" s="24" t="n"/>
      <c r="CX1181" s="24" t="n"/>
      <c r="CY1181" s="24" t="n"/>
      <c r="CZ1181" s="24" t="n"/>
      <c r="DA1181" s="24" t="n"/>
      <c r="DB1181" s="24" t="n"/>
      <c r="DC1181" s="24" t="n"/>
      <c r="DD1181" s="24" t="inlineStr">
        <is>
          <t>96af4248d865e6e5985caa8a4a514aaacc11c57d03df27d173b9c1185faf502b</t>
        </is>
      </c>
      <c r="DE1181" s="24" t="inlineStr">
        <is>
          <t>/Users/vincentc9002/model-prediction/data/odds/tennis/2026-09-30/polymarket_snapshots.jsonl</t>
        </is>
      </c>
      <c r="DF1181" s="24" t="inlineStr">
        <is>
          <t>1106611:2026-09-30T10:06:23.068950Z</t>
        </is>
      </c>
      <c r="DG1181" s="24" t="n"/>
      <c r="DH1181" s="24" t="n"/>
      <c r="DI1181" s="24" t="n"/>
      <c r="DJ1181" s="24" t="inlineStr">
        <is>
          <t>0.54955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{"artifact_hash": "6c67e999d2a03612e30f4032c8e5e77e8becfbc79e05f4c8993e726b90d34d54", "away_team": "Quentin Halys", "event_id": "959-2026:183445", "event_start_utc": "2026-10-01T04:30Z", "features": {"elo_p1_surface": 1619.2, "elo_p2_surface": 1583.1, "expected_games_p1": 13.53, "expected_games_p2": 11.66, "expected_total_games": 25.18, "history_matches": 11311, "min_player_matches": 64, "surface": "Hard"}, "historical_source_observation_times_verified": false, "home_team": "Ignacio Buse", "inference_inputs": {"code_sha256": {"features/elo_ratings.py": "8525faf022a6343c452286dbfeb17dbb043744c6bdabbe448b6b371216da439b", "models/tennis.py": "6c67e999d2a03612e30f4032c8e5e77e8becfbc79e05f4c8993e726b90d34d54"}, "overall_ratings": [1634.5913777439334, 1641.0361677454368], "players": ["Quentin Halys", "Ignacio Buse"], "sport": "TENNIS", "surface": "Hard", "surface_counts": [97, 37], "surface_ratings": [1619.1642429692338, 1583.0765501226804]}, "market_type": "moneyline", "model_version": "tennis-surface-elo-v1", "observed_at_utc": "2026-09-30T22:04:40.020307+00:00", "probabilities": {"away": 0.5248, "home": 0.4752}, "replay_scope": "Exact full-precision serving state and rounding; upstream historical observation times are not certified.", "schema": "coded-moneyline-replay-v1", "snapshot_hash": "7765901e2b5e8c3899842a88b8f3b9cbdb09cb7c11e21044501701cef39ab461", "sport": "TENNIS"}</t>
        </is>
      </c>
    </row>
    <row r="1182" ht="36" customHeight="1">
      <c r="A1182" s="24" t="inlineStr">
        <is>
          <t>f9c95f39f5e44134</t>
        </is>
      </c>
      <c r="B1182" s="24" t="inlineStr">
        <is>
          <t>2026-09-30T22:04:40.840360Z</t>
        </is>
      </c>
      <c r="C1182" s="24" t="inlineStr">
        <is>
          <t>2026-10-01T02:00Z</t>
        </is>
      </c>
      <c r="D1182" s="24" t="inlineStr">
        <is>
          <t>5-2026:183485</t>
        </is>
      </c>
      <c r="E1182" s="24" t="inlineStr">
        <is>
          <t>TENNIS</t>
        </is>
      </c>
      <c r="F1182" s="24" t="inlineStr">
        <is>
          <t>Arthur Fery</t>
        </is>
      </c>
      <c r="G1182" s="24" t="inlineStr">
        <is>
          <t>Jaime Faria</t>
        </is>
      </c>
      <c r="H1182" s="24" t="inlineStr">
        <is>
          <t>moneyline</t>
        </is>
      </c>
      <c r="I1182" s="24" t="inlineStr">
        <is>
          <t>away</t>
        </is>
      </c>
      <c r="J1182" s="25" t="n"/>
      <c r="K1182" s="24" t="inlineStr">
        <is>
          <t>polymarket_us</t>
        </is>
      </c>
      <c r="L1182" s="26" t="n">
        <v>104</v>
      </c>
      <c r="M1182" s="27" t="n">
        <v>2.04</v>
      </c>
      <c r="N1182" s="28" t="n">
        <v>0.490196</v>
      </c>
      <c r="O1182" s="28" t="n">
        <v>0.5453</v>
      </c>
      <c r="P1182" s="28" t="n">
        <v>0.05</v>
      </c>
      <c r="Q1182" s="28" t="n">
        <v>0.055104</v>
      </c>
      <c r="R1182" s="26" t="n">
        <v>48</v>
      </c>
      <c r="S1182" s="29" t="n">
        <v>1</v>
      </c>
      <c r="T1182" s="24" t="inlineStr">
        <is>
          <t>tennis-surface-elo-v1</t>
        </is>
      </c>
      <c r="U1182" s="24" t="inlineStr">
        <is>
          <t>settled</t>
        </is>
      </c>
      <c r="V1182" s="24" t="inlineStr">
        <is>
          <t>loss</t>
        </is>
      </c>
      <c r="W1182" s="26" t="n">
        <v>0</v>
      </c>
      <c r="X1182" s="26" t="n">
        <v>1</v>
      </c>
      <c r="Y1182" s="25" t="n"/>
      <c r="Z1182" s="26" t="n">
        <v>104</v>
      </c>
      <c r="AA1182" s="28" t="n">
        <v>0.49</v>
      </c>
      <c r="AB1182" s="28" t="n">
        <v>-0.000196</v>
      </c>
      <c r="AC1182" s="30" t="n">
        <v>-1</v>
      </c>
      <c r="AD1182" s="24" t="inlineStr">
        <is>
          <t>2026-10-01T04:30:42.538309Z</t>
        </is>
      </c>
      <c r="AE1182" s="31" t="inlineStr">
        <is>
          <t>Surface-blended Elo on Hard: Arthur Fery p=0.545 vs Jaime Faria. Executable ask 0.4900 (aec-atp-jaifar-artfer-2026-09-30).</t>
        </is>
      </c>
      <c r="AF1182" s="31" t="inlineStr">
        <is>
          <t>Surface-blended Elo model; singles only, WTA+ATP market coverage, not yet locked-holdout qualified -- promoted by explicit operator directive, not genuine walk-forward validation.</t>
        </is>
      </c>
      <c r="AG1182" s="24" t="inlineStr">
        <is>
          <t>review_required</t>
        </is>
      </c>
      <c r="AH1182" s="24" t="n"/>
      <c r="AI1182" s="31" t="n"/>
      <c r="AJ1182" s="31" t="n"/>
      <c r="AK1182" s="24" t="inlineStr">
        <is>
          <t>model_qualified</t>
        </is>
      </c>
      <c r="AL1182" s="26" t="n">
        <v>4</v>
      </c>
      <c r="AM1182" s="24" t="inlineStr">
        <is>
          <t>QUALIFIED_SHADOW_CALL</t>
        </is>
      </c>
      <c r="AN1182" s="24" t="inlineStr">
        <is>
          <t>CALL</t>
        </is>
      </c>
      <c r="AO1182" s="24" t="inlineStr">
        <is>
          <t>QUALIFIED</t>
        </is>
      </c>
      <c r="AP1182" s="24" t="inlineStr">
        <is>
          <t>Arthur Fery</t>
        </is>
      </c>
      <c r="AQ1182" s="24" t="inlineStr">
        <is>
          <t>Arthur Fery</t>
        </is>
      </c>
      <c r="AR1182" s="24" t="inlineStr">
        <is>
          <t>Arthur Fery</t>
        </is>
      </c>
      <c r="AS1182" s="24" t="inlineStr">
        <is>
          <t>Jaime Faria</t>
        </is>
      </c>
      <c r="AT1182" s="24" t="inlineStr">
        <is>
          <t>Jaime Faria</t>
        </is>
      </c>
      <c r="AU1182" s="24" t="inlineStr">
        <is>
          <t>Jaime Faria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6c67e999d2a03612e30f4032c8e5e77e8becfbc79e05f4c8993e726b90d34d54</t>
        </is>
      </c>
      <c r="BB1182" s="24" t="inlineStr">
        <is>
          <t>surface_blended_elo</t>
        </is>
      </c>
      <c r="BC1182" s="24" t="inlineStr">
        <is>
          <t>tennis-surface-elo-v1</t>
        </is>
      </c>
      <c r="BD1182" s="24" t="inlineStr">
        <is>
          <t>6c67e999d2a03612e30f4032c8e5e77e8becfbc79e05f4c8993e726b90d34d54</t>
        </is>
      </c>
      <c r="BE1182" s="24" t="inlineStr">
        <is>
          <t>tennis-surface-elo-v1</t>
        </is>
      </c>
      <c r="BF1182" s="24" t="inlineStr">
        <is>
          <t>1</t>
        </is>
      </c>
      <c r="BG1182" s="24" t="inlineStr">
        <is>
          <t>6c67e999d2a03612e30f4032c8e5e77e8becfbc79e05f4c8993e726b90d34d54</t>
        </is>
      </c>
      <c r="BH1182" s="24" t="inlineStr">
        <is>
          <t>2026-09-30T22:03:48.034046Z</t>
        </is>
      </c>
      <c r="BI1182" s="24" t="inlineStr">
        <is>
          <t>["same_event","same_team_same_day","same_league_same_day"]</t>
        </is>
      </c>
      <c r="BJ1182" s="25" t="n"/>
      <c r="BK1182" s="26" t="n">
        <v>104</v>
      </c>
      <c r="BL1182" s="27" t="n">
        <v>2.04</v>
      </c>
      <c r="BM1182" s="28" t="n">
        <v>0.490196</v>
      </c>
      <c r="BN1182" s="28" t="n"/>
      <c r="BO1182" s="28" t="n"/>
      <c r="BP1182" s="25" t="n"/>
      <c r="BQ1182" s="27" t="n">
        <v>2.04</v>
      </c>
      <c r="BR1182" s="28" t="n">
        <v>0.49</v>
      </c>
      <c r="BS1182" s="28" t="n"/>
      <c r="BT1182" s="28" t="n"/>
      <c r="BU1182" s="25" t="n"/>
      <c r="BV1182" s="29" t="n"/>
      <c r="BW1182" s="24" t="n"/>
      <c r="BX1182" s="30" t="n"/>
      <c r="BY1182" s="27" t="n"/>
      <c r="BZ1182" s="24" t="n"/>
      <c r="CA1182" s="31" t="n"/>
      <c r="CB1182" s="24" t="n"/>
      <c r="CC1182" s="24" t="n"/>
      <c r="CD1182" s="24" t="n"/>
      <c r="CE1182" s="24" t="n"/>
      <c r="CF1182" s="24" t="n"/>
      <c r="CG1182" s="24" t="n"/>
      <c r="CH1182" s="24" t="n"/>
      <c r="CI1182" s="24" t="n"/>
      <c r="CJ1182" s="24" t="n"/>
      <c r="CK1182" s="24" t="n"/>
      <c r="CL1182" s="24" t="n"/>
      <c r="CM1182" s="24" t="n"/>
      <c r="CN1182" s="24" t="n"/>
      <c r="CO1182" s="24" t="n"/>
      <c r="CP1182" s="24" t="n"/>
      <c r="CQ1182" s="24" t="n"/>
      <c r="CR1182" s="24" t="n"/>
      <c r="CS1182" s="24" t="inlineStr">
        <is>
          <t>True</t>
        </is>
      </c>
      <c r="CT1182" s="24" t="n"/>
      <c r="CU1182" s="24" t="n"/>
      <c r="CV1182" s="24" t="n"/>
      <c r="CW1182" s="24" t="n"/>
      <c r="CX1182" s="24" t="n"/>
      <c r="CY1182" s="24" t="n"/>
      <c r="CZ1182" s="24" t="n"/>
      <c r="DA1182" s="24" t="n"/>
      <c r="DB1182" s="24" t="n"/>
      <c r="DC1182" s="24" t="n"/>
      <c r="DD1182" s="24" t="inlineStr">
        <is>
          <t>646646b004e710e326d610d394cc27192678c1f5783796cb82fe6e650fd508bf</t>
        </is>
      </c>
      <c r="DE1182" s="24" t="inlineStr">
        <is>
          <t>/Users/vincentc9002/model-prediction/data/odds/tennis/2026-09-30/polymarket_snapshots.jsonl</t>
        </is>
      </c>
      <c r="DF1182" s="24" t="inlineStr">
        <is>
          <t>1141874:2026-09-30T22:03:48.034046Z</t>
        </is>
      </c>
      <c r="DG1182" s="24" t="n"/>
      <c r="DH1182" s="24" t="n"/>
      <c r="DI1182" s="24" t="n"/>
      <c r="DJ1182" s="24" t="inlineStr">
        <is>
          <t>0.490196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{"artifact_hash": "6c67e999d2a03612e30f4032c8e5e77e8becfbc79e05f4c8993e726b90d34d54", "away_team": "Arthur Fery", "event_id": "5-2026:183485", "event_start_utc": "2026-10-01T02:00Z", "features": {"elo_p1_surface": 1614.4, "elo_p2_surface": 1582.5, "expected_games_p1": 13.48, "expected_games_p2": 11.78, "expected_total_games": 25.26, "history_matches": 11311, "min_player_matches": 38,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[1669.5953648135828, 1659.3796764662136], "players": ["Arthur Fery", "Jaime Faria"], "sport": "TENNIS", "surface": "Hard", "surface_counts": [24, 50], "surface_ratings": [1614.3624808339305, 1582.493334933869]}, "market_type": "moneyline", "model_version": "tennis-surface-elo-v1", "observed_at_utc": "2026-09-30T22:04:40.020307+00:00", "probabilities": {"away": 0.5453, "home": 0.4547}, "replay_scope": "Exact full-precision serving state and rounding; upstream historical observation times are not certified.", "schema": "coded-moneyline-replay-v1", "snapshot_hash": "626dcbafb3bdd5432dff0255f564582b04c21a90c61f435780ce52d322363faf", "sport": "TENNIS"}</t>
        </is>
      </c>
    </row>
    <row r="1183" ht="36" customHeight="1">
      <c r="A1183" s="24" t="inlineStr">
        <is>
          <t>963457d597dc4b7f</t>
        </is>
      </c>
      <c r="B1183" s="24" t="inlineStr">
        <is>
          <t>2026-09-30T22:04:40.840360Z</t>
        </is>
      </c>
      <c r="C1183" s="24" t="inlineStr">
        <is>
          <t>2026-10-01T02:00Z</t>
        </is>
      </c>
      <c r="D1183" s="24" t="inlineStr">
        <is>
          <t>5-2026:183486</t>
        </is>
      </c>
      <c r="E1183" s="24" t="inlineStr">
        <is>
          <t>TENNIS</t>
        </is>
      </c>
      <c r="F1183" s="24" t="inlineStr">
        <is>
          <t>Jaume Munar</t>
        </is>
      </c>
      <c r="G1183" s="24" t="inlineStr">
        <is>
          <t>Taylor Fritz</t>
        </is>
      </c>
      <c r="H1183" s="24" t="inlineStr">
        <is>
          <t>moneyline</t>
        </is>
      </c>
      <c r="I1183" s="24" t="inlineStr">
        <is>
          <t>home</t>
        </is>
      </c>
      <c r="J1183" s="25" t="n"/>
      <c r="K1183" s="24" t="inlineStr">
        <is>
          <t>polymarket_us</t>
        </is>
      </c>
      <c r="L1183" s="26" t="n">
        <v>-426</v>
      </c>
      <c r="M1183" s="27" t="n">
        <v>1.234742</v>
      </c>
      <c r="N1183" s="28" t="n">
        <v>0.809886</v>
      </c>
      <c r="O1183" s="28" t="n">
        <v>0.6669</v>
      </c>
      <c r="P1183" s="28" t="n">
        <v>0.05</v>
      </c>
      <c r="Q1183" s="28" t="n">
        <v>-0.142986</v>
      </c>
      <c r="R1183" s="26" t="n">
        <v>0</v>
      </c>
      <c r="S1183" s="29" t="n">
        <v>1</v>
      </c>
      <c r="T1183" s="24" t="inlineStr">
        <is>
          <t>tennis-surface-elo-v1</t>
        </is>
      </c>
      <c r="U1183" s="24" t="inlineStr">
        <is>
          <t>settled</t>
        </is>
      </c>
      <c r="V1183" s="24" t="inlineStr">
        <is>
          <t>loss</t>
        </is>
      </c>
      <c r="W1183" s="26" t="n">
        <v>1</v>
      </c>
      <c r="X1183" s="26" t="n">
        <v>0</v>
      </c>
      <c r="Y1183" s="25" t="n"/>
      <c r="Z1183" s="26" t="n">
        <v>-426</v>
      </c>
      <c r="AA1183" s="28" t="n">
        <v>0.8100000000000001</v>
      </c>
      <c r="AB1183" s="28" t="n">
        <v>0.000114</v>
      </c>
      <c r="AC1183" s="30" t="n">
        <v>-1</v>
      </c>
      <c r="AD1183" s="24" t="inlineStr">
        <is>
          <t>2026-10-01T10:00:29.341140Z</t>
        </is>
      </c>
      <c r="AE1183" s="31" t="inlineStr">
        <is>
          <t>Surface-blended Elo on Hard: Jaume Munar p=0.333 vs Taylor Fritz. Executable ask 0.8100 (aec-atp-tayfri-jaumun-2026-09-29).</t>
        </is>
      </c>
      <c r="AF1183" s="31" t="inlineStr">
        <is>
          <t>Surface-blended Elo model; singles only, WTA+ATP market coverage, not yet locked-holdout qualified -- promoted by explicit operator directive, not genuine walk-forward validation.</t>
        </is>
      </c>
      <c r="AG1183" s="24" t="inlineStr">
        <is>
          <t>review_required</t>
        </is>
      </c>
      <c r="AH1183" s="24" t="n"/>
      <c r="AI1183" s="31" t="n"/>
      <c r="AJ1183" s="31" t="n"/>
      <c r="AK1183" s="24" t="inlineStr">
        <is>
          <t>paper_call</t>
        </is>
      </c>
      <c r="AL1183" s="26" t="n">
        <v>4</v>
      </c>
      <c r="AM1183" s="24" t="inlineStr">
        <is>
          <t>RESEARCH_OBSERVATION</t>
        </is>
      </c>
      <c r="AN1183" s="24" t="inlineStr">
        <is>
          <t>CALL</t>
        </is>
      </c>
      <c r="AO1183" s="24" t="inlineStr">
        <is>
          <t>PAPER_CALL_LOW_EDGE</t>
        </is>
      </c>
      <c r="AP1183" s="24" t="inlineStr">
        <is>
          <t>Jaume Munar</t>
        </is>
      </c>
      <c r="AQ1183" s="24" t="inlineStr">
        <is>
          <t>Jaume Munar</t>
        </is>
      </c>
      <c r="AR1183" s="24" t="inlineStr">
        <is>
          <t>Jaume Munar</t>
        </is>
      </c>
      <c r="AS1183" s="24" t="inlineStr">
        <is>
          <t>Taylor Fritz</t>
        </is>
      </c>
      <c r="AT1183" s="24" t="inlineStr">
        <is>
          <t>Taylor Fritz</t>
        </is>
      </c>
      <c r="AU1183" s="24" t="inlineStr">
        <is>
          <t>Taylor Fritz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6c67e999d2a03612e30f4032c8e5e77e8becfbc79e05f4c8993e726b90d34d54</t>
        </is>
      </c>
      <c r="BB1183" s="24" t="inlineStr">
        <is>
          <t>surface_blended_elo</t>
        </is>
      </c>
      <c r="BC1183" s="24" t="inlineStr">
        <is>
          <t>tennis-surface-elo-v1</t>
        </is>
      </c>
      <c r="BD1183" s="24" t="inlineStr">
        <is>
          <t>6c67e999d2a03612e30f4032c8e5e77e8becfbc79e05f4c8993e726b90d34d54</t>
        </is>
      </c>
      <c r="BE1183" s="24" t="inlineStr">
        <is>
          <t>tennis-surface-elo-v1</t>
        </is>
      </c>
      <c r="BF1183" s="24" t="inlineStr">
        <is>
          <t>1</t>
        </is>
      </c>
      <c r="BG1183" s="24" t="inlineStr">
        <is>
          <t>6c67e999d2a03612e30f4032c8e5e77e8becfbc79e05f4c8993e726b90d34d54</t>
        </is>
      </c>
      <c r="BH1183" s="24" t="inlineStr">
        <is>
          <t>2026-09-30T04:36:29.061395Z</t>
        </is>
      </c>
      <c r="BI1183" s="24" t="inlineStr">
        <is>
          <t>["same_event","same_team_same_day","same_league_same_day"]</t>
        </is>
      </c>
      <c r="BJ1183" s="25" t="n"/>
      <c r="BK1183" s="26" t="n">
        <v>-426</v>
      </c>
      <c r="BL1183" s="27" t="n">
        <v>1.234742</v>
      </c>
      <c r="BM1183" s="28" t="n">
        <v>0.809886</v>
      </c>
      <c r="BN1183" s="28" t="n"/>
      <c r="BO1183" s="28" t="n"/>
      <c r="BP1183" s="25" t="n"/>
      <c r="BQ1183" s="27" t="n">
        <v>1.234742</v>
      </c>
      <c r="BR1183" s="28" t="n">
        <v>0.8100000000000001</v>
      </c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n"/>
      <c r="CD1183" s="24" t="n"/>
      <c r="CE1183" s="24" t="n"/>
      <c r="CF1183" s="24" t="n"/>
      <c r="CG1183" s="24" t="n"/>
      <c r="CH1183" s="24" t="n"/>
      <c r="CI1183" s="24" t="n"/>
      <c r="CJ1183" s="24" t="n"/>
      <c r="CK1183" s="24" t="n"/>
      <c r="CL1183" s="24" t="n"/>
      <c r="CM1183" s="24" t="n"/>
      <c r="CN1183" s="24" t="n"/>
      <c r="CO1183" s="24" t="n"/>
      <c r="CP1183" s="24" t="n"/>
      <c r="CQ1183" s="24" t="n"/>
      <c r="CR1183" s="24" t="n"/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n"/>
      <c r="CZ1183" s="24" t="n"/>
      <c r="DA1183" s="24" t="n"/>
      <c r="DB1183" s="24" t="n"/>
      <c r="DC1183" s="24" t="n"/>
      <c r="DD1183" s="24" t="inlineStr">
        <is>
          <t>9fa8a50ab920d5db176f4cf8473b7b96a1bb5061fb8d9cef25d8f3e676f53c17</t>
        </is>
      </c>
      <c r="DE1183" s="24" t="inlineStr">
        <is>
          <t>/Users/vincentc9002/model-prediction/data/odds/tennis/2026-09-30/polymarket_snapshots.jsonl</t>
        </is>
      </c>
      <c r="DF1183" s="24" t="inlineStr">
        <is>
          <t>1126617:2026-09-30T04:36:29.061395Z</t>
        </is>
      </c>
      <c r="DG1183" s="24" t="n"/>
      <c r="DH1183" s="24" t="n"/>
      <c r="DI1183" s="24" t="n"/>
      <c r="DJ1183" s="24" t="inlineStr">
        <is>
          <t>0.809886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{"artifact_hash": "6c67e999d2a03612e30f4032c8e5e77e8becfbc79e05f4c8993e726b90d34d54", "away_team": "Jaume Munar", "event_id": "5-2026:183486", "event_start_utc": "2026-10-01T02:00Z", "features": {"elo_p1_surface": 1643.8, "elo_p2_surface": 1749.1, "expected_games_p1": 10.05, "expected_games_p2": 13.47, "expected_total_games": 23.52, "history_matches": 11311, "min_player_matches": 130, "surface": "Hard"}, "historical_source_observation_times_verified": false, "home_team": "Taylor Fritz", "inference_inputs": {"code_sha256": {"features/elo_ratings.py": "8525faf022a6343c452286dbfeb17dbb043744c6bdabbe448b6b371216da439b", "models/tennis.py": "6c67e999d2a03612e30f4032c8e5e77e8becfbc79e05f4c8993e726b90d34d54"}, "overall_ratings": [1621.6855790766922, 1786.8075539776612], "players": ["Jaume Munar", "Taylor Fritz"], "sport": "TENNIS", "surface": "Hard", "surface_counts": [84, 124], "surface_ratings": [1643.8169089487747, 1749.1356166366859]}, "market_type": "moneyline", "model_version": "tennis-surface-elo-v1", "observed_at_utc": "2026-09-30T22:04:40.020307+00:00", "probabilities": {"away": 0.3331, "home": 0.6669}, "replay_scope": "Exact full-precision serving state and rounding; upstream historical observation times are not certified.", "schema": "coded-moneyline-replay-v1", "snapshot_hash": "8a996d28afed6abf2591632bfd56342b412ec8ddde83d52c8bbadc7549996db9", "sport": "TENNIS"}</t>
        </is>
      </c>
    </row>
    <row r="1184" ht="36" customHeight="1">
      <c r="A1184" s="24" t="inlineStr">
        <is>
          <t>aabe1cb1c89b46b0</t>
        </is>
      </c>
      <c r="B1184" s="24" t="inlineStr">
        <is>
          <t>2026-09-30T22:04:40.840360Z</t>
        </is>
      </c>
      <c r="C1184" s="24" t="inlineStr">
        <is>
          <t>2026-10-01T02:00Z</t>
        </is>
      </c>
      <c r="D1184" s="24" t="inlineStr">
        <is>
          <t>5-2026:183492</t>
        </is>
      </c>
      <c r="E1184" s="24" t="inlineStr">
        <is>
          <t>TENNIS</t>
        </is>
      </c>
      <c r="F1184" s="24" t="inlineStr">
        <is>
          <t>Casper Ruud</t>
        </is>
      </c>
      <c r="G1184" s="24" t="inlineStr">
        <is>
          <t>Luciano Darderi</t>
        </is>
      </c>
      <c r="H1184" s="24" t="inlineStr">
        <is>
          <t>moneyline</t>
        </is>
      </c>
      <c r="I1184" s="24" t="inlineStr">
        <is>
          <t>home</t>
        </is>
      </c>
      <c r="J1184" s="25" t="n"/>
      <c r="K1184" s="24" t="inlineStr">
        <is>
          <t>polymarket_us</t>
        </is>
      </c>
      <c r="L1184" s="26" t="n">
        <v>203</v>
      </c>
      <c r="M1184" s="27" t="n">
        <v>3.03</v>
      </c>
      <c r="N1184" s="28" t="n">
        <v>0.330033</v>
      </c>
      <c r="O1184" s="28" t="n">
        <v>0.5247000000000001</v>
      </c>
      <c r="P1184" s="28" t="n">
        <v>0.05</v>
      </c>
      <c r="Q1184" s="28" t="n">
        <v>0.194667</v>
      </c>
      <c r="R1184" s="26" t="n">
        <v>100</v>
      </c>
      <c r="S1184" s="29" t="n">
        <v>2</v>
      </c>
      <c r="T1184" s="24" t="inlineStr">
        <is>
          <t>tennis-surface-elo-v1</t>
        </is>
      </c>
      <c r="U1184" s="24" t="inlineStr">
        <is>
          <t>settled</t>
        </is>
      </c>
      <c r="V1184" s="24" t="inlineStr">
        <is>
          <t>win</t>
        </is>
      </c>
      <c r="W1184" s="26" t="n">
        <v>0</v>
      </c>
      <c r="X1184" s="26" t="n">
        <v>1</v>
      </c>
      <c r="Y1184" s="25" t="n"/>
      <c r="Z1184" s="26" t="n">
        <v>203</v>
      </c>
      <c r="AA1184" s="28" t="n">
        <v>0.33</v>
      </c>
      <c r="AB1184" s="28" t="n">
        <v>-3.3e-05</v>
      </c>
      <c r="AC1184" s="30" t="n">
        <v>4.06</v>
      </c>
      <c r="AD1184" s="24" t="inlineStr">
        <is>
          <t>2026-10-01T04:30:43.000306Z</t>
        </is>
      </c>
      <c r="AE1184" s="31" t="inlineStr">
        <is>
          <t>Surface-blended Elo on Hard: Casper Ruud p=0.475 vs Luciano Darderi. Executable ask 0.3300 (aec-atp-lucdar-casruu-2026-09-28).</t>
        </is>
      </c>
      <c r="AF1184" s="31" t="inlineStr">
        <is>
          <t>Surface-blended Elo model; singles only, WTA+ATP market coverage, not yet locked-holdout qualified -- promoted by explicit operator directive, not genuine walk-forward validation.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PAPER_CALL_LOW_EDGE</t>
        </is>
      </c>
      <c r="AP1184" s="24" t="inlineStr">
        <is>
          <t>Casper Ruud</t>
        </is>
      </c>
      <c r="AQ1184" s="24" t="inlineStr">
        <is>
          <t>Casper Ruud</t>
        </is>
      </c>
      <c r="AR1184" s="24" t="inlineStr">
        <is>
          <t>Casper Ruud</t>
        </is>
      </c>
      <c r="AS1184" s="24" t="inlineStr">
        <is>
          <t>Luciano Darderi</t>
        </is>
      </c>
      <c r="AT1184" s="24" t="inlineStr">
        <is>
          <t>Luciano Darderi</t>
        </is>
      </c>
      <c r="AU1184" s="24" t="inlineStr">
        <is>
          <t>Luciano Darderi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6c67e999d2a03612e30f4032c8e5e77e8becfbc79e05f4c8993e726b90d34d54</t>
        </is>
      </c>
      <c r="BB1184" s="24" t="inlineStr">
        <is>
          <t>surface_blended_elo</t>
        </is>
      </c>
      <c r="BC1184" s="24" t="inlineStr">
        <is>
          <t>tennis-surface-elo-v1</t>
        </is>
      </c>
      <c r="BD1184" s="24" t="inlineStr">
        <is>
          <t>6c67e999d2a03612e30f4032c8e5e77e8becfbc79e05f4c8993e726b90d34d54</t>
        </is>
      </c>
      <c r="BE1184" s="24" t="inlineStr">
        <is>
          <t>tennis-surface-elo-v1</t>
        </is>
      </c>
      <c r="BF1184" s="24" t="inlineStr">
        <is>
          <t>1</t>
        </is>
      </c>
      <c r="BG1184" s="24" t="inlineStr">
        <is>
          <t>6c67e999d2a03612e30f4032c8e5e77e8becfbc79e05f4c8993e726b90d34d54</t>
        </is>
      </c>
      <c r="BH1184" s="24" t="inlineStr">
        <is>
          <t>2026-09-30T04:36:40.230091Z</t>
        </is>
      </c>
      <c r="BI1184" s="24" t="inlineStr">
        <is>
          <t>["same_event","same_team_same_day","same_league_same_day"]</t>
        </is>
      </c>
      <c r="BJ1184" s="25" t="n"/>
      <c r="BK1184" s="26" t="n">
        <v>203</v>
      </c>
      <c r="BL1184" s="27" t="n">
        <v>3.03</v>
      </c>
      <c r="BM1184" s="28" t="n">
        <v>0.330033</v>
      </c>
      <c r="BN1184" s="28" t="n"/>
      <c r="BO1184" s="28" t="n"/>
      <c r="BP1184" s="25" t="n"/>
      <c r="BQ1184" s="27" t="n">
        <v>3.03</v>
      </c>
      <c r="BR1184" s="28" t="n">
        <v>0.33</v>
      </c>
      <c r="BS1184" s="28" t="n"/>
      <c r="BT1184" s="28" t="n"/>
      <c r="BU1184" s="25" t="n"/>
      <c r="BV1184" s="29" t="n"/>
      <c r="BW1184" s="24" t="n"/>
      <c r="BX1184" s="30" t="n"/>
      <c r="BY1184" s="27" t="n"/>
      <c r="BZ1184" s="24" t="n"/>
      <c r="CA1184" s="31" t="n"/>
      <c r="CB1184" s="24" t="n"/>
      <c r="CC1184" s="24" t="n"/>
      <c r="CD1184" s="24" t="n"/>
      <c r="CE1184" s="24" t="n"/>
      <c r="CF1184" s="24" t="n"/>
      <c r="CG1184" s="24" t="n"/>
      <c r="CH1184" s="24" t="n"/>
      <c r="CI1184" s="24" t="n"/>
      <c r="CJ1184" s="24" t="n"/>
      <c r="CK1184" s="24" t="n"/>
      <c r="CL1184" s="24" t="n"/>
      <c r="CM1184" s="24" t="n"/>
      <c r="CN1184" s="24" t="n"/>
      <c r="CO1184" s="24" t="n"/>
      <c r="CP1184" s="24" t="n"/>
      <c r="CQ1184" s="24" t="n"/>
      <c r="CR1184" s="24" t="n"/>
      <c r="CS1184" s="24" t="inlineStr">
        <is>
          <t>True</t>
        </is>
      </c>
      <c r="CT1184" s="24" t="n"/>
      <c r="CU1184" s="24" t="n"/>
      <c r="CV1184" s="24" t="n"/>
      <c r="CW1184" s="24" t="n"/>
      <c r="CX1184" s="24" t="n"/>
      <c r="CY1184" s="24" t="n"/>
      <c r="CZ1184" s="24" t="n"/>
      <c r="DA1184" s="24" t="n"/>
      <c r="DB1184" s="24" t="n"/>
      <c r="DC1184" s="24" t="n"/>
      <c r="DD1184" s="24" t="inlineStr">
        <is>
          <t>9486a4166f9093ec5eb4699bd772d33a4c557c6505bf52752d4dfa81adb34388</t>
        </is>
      </c>
      <c r="DE1184" s="24" t="inlineStr">
        <is>
          <t>/Users/vincentc9002/model-prediction/data/odds/tennis/2026-09-30/polymarket_snapshots.jsonl</t>
        </is>
      </c>
      <c r="DF1184" s="24" t="inlineStr">
        <is>
          <t>1105294:2026-09-30T04:36:40.230091Z</t>
        </is>
      </c>
      <c r="DG1184" s="24" t="n"/>
      <c r="DH1184" s="24" t="n"/>
      <c r="DI1184" s="24" t="n"/>
      <c r="DJ1184" s="24" t="inlineStr">
        <is>
          <t>0.330033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{"artifact_hash": "6c67e999d2a03612e30f4032c8e5e77e8becfbc79e05f4c8993e726b90d34d54", "away_team": "Casper Ruud", "event_id": "5-2026:183492", "event_start_utc": "2026-10-01T02:00Z", "features": {"elo_p1_surface": 1611.4, "elo_p2_surface": 1649.0, "expected_games_p1": 12.13, "expected_games_p2": 13.2, "expected_total_games": 25.33, "history_matches": 11311, "min_player_matches": 161, "surface": "Hard"}, "historical_source_observation_times_verified": false, "home_team": "Luciano Darderi", "inference_inputs": {"code_sha256": {"features/elo_ratings.py": "8525faf022a6343c452286dbfeb17dbb043744c6bdabbe448b6b371216da439b", "models/tennis.py": "6c67e999d2a03612e30f4032c8e5e77e8becfbc79e05f4c8993e726b90d34d54"}, "overall_ratings": [1730.118352942698, 1695.7561924044892], "players": ["Casper Ruud", "Luciano Darderi"], "sport": "TENNIS", "surface": "Hard", "surface_counts": [89, 107], "surface_ratings": [1611.3693859775349, 1649.0375864531911]}, "market_type": "moneyline", "model_version": "tennis-surface-elo-v1", "observed_at_utc": "2026-09-30T22:04:40.020307+00:00", "probabilities": {"away": 0.4753, "home": 0.5247}, "replay_scope": "Exact full-precision serving state and rounding; upstream historical observation times are not certified.", "schema": "coded-moneyline-replay-v1", "snapshot_hash": "8ef16bdc9839de0b4c655be0241046bacd4c2bf34321237aa1efc3c239785aa6", "sport": "TENNIS"}</t>
        </is>
      </c>
    </row>
    <row r="1185" ht="36" customHeight="1">
      <c r="A1185" s="24" t="inlineStr">
        <is>
          <t>2480667452af4cbc</t>
        </is>
      </c>
      <c r="B1185" s="24" t="inlineStr">
        <is>
          <t>2026-10-01T04:39:44.984346Z</t>
        </is>
      </c>
      <c r="C1185" s="24" t="inlineStr">
        <is>
          <t>2026-10-01T07:30Z</t>
        </is>
      </c>
      <c r="D1185" s="24" t="inlineStr">
        <is>
          <t>959-2026:184292</t>
        </is>
      </c>
      <c r="E1185" s="24" t="inlineStr">
        <is>
          <t>TENNIS</t>
        </is>
      </c>
      <c r="F1185" s="24" t="inlineStr">
        <is>
          <t>Kamilla Rakhimova</t>
        </is>
      </c>
      <c r="G1185" s="24" t="inlineStr">
        <is>
          <t>Marina Bassols Ribera</t>
        </is>
      </c>
      <c r="H1185" s="24" t="inlineStr">
        <is>
          <t>moneyline</t>
        </is>
      </c>
      <c r="I1185" s="24" t="inlineStr">
        <is>
          <t>away</t>
        </is>
      </c>
      <c r="J1185" s="25" t="n"/>
      <c r="K1185" s="24" t="inlineStr">
        <is>
          <t>polymarket_us</t>
        </is>
      </c>
      <c r="L1185" s="26" t="n">
        <v>-270</v>
      </c>
      <c r="M1185" s="27" t="n">
        <v>1.37037</v>
      </c>
      <c r="N1185" s="28" t="n">
        <v>0.72973</v>
      </c>
      <c r="O1185" s="28" t="n">
        <v>0.6268</v>
      </c>
      <c r="P1185" s="28" t="n">
        <v>0.05</v>
      </c>
      <c r="Q1185" s="28" t="n">
        <v>-0.10293</v>
      </c>
      <c r="R1185" s="26" t="n">
        <v>0</v>
      </c>
      <c r="S1185" s="29" t="n">
        <v>1</v>
      </c>
      <c r="T1185" s="24" t="inlineStr">
        <is>
          <t>tennis-surface-elo-v1</t>
        </is>
      </c>
      <c r="U1185" s="24" t="inlineStr">
        <is>
          <t>settled</t>
        </is>
      </c>
      <c r="V1185" s="24" t="inlineStr">
        <is>
          <t>win</t>
        </is>
      </c>
      <c r="W1185" s="26" t="n">
        <v>1</v>
      </c>
      <c r="X1185" s="26" t="n">
        <v>0</v>
      </c>
      <c r="Y1185" s="25" t="n"/>
      <c r="Z1185" s="26" t="n">
        <v>-270</v>
      </c>
      <c r="AA1185" s="28" t="n">
        <v>0.73</v>
      </c>
      <c r="AB1185" s="28" t="n">
        <v>0.00027</v>
      </c>
      <c r="AC1185" s="30" t="n">
        <v>0.3704</v>
      </c>
      <c r="AD1185" s="24" t="inlineStr">
        <is>
          <t>2026-10-01T10:00:29.792552Z</t>
        </is>
      </c>
      <c r="AE1185" s="31" t="inlineStr">
        <is>
          <t>Surface-blended Elo on Hard: Kamilla Rakhimova p=0.627 vs Marina Bassols Ribera. Executable ask 0.7300 (aec-wta-marrib-kamrak-2026-09-29).</t>
        </is>
      </c>
      <c r="AF1185" s="31" t="inlineStr">
        <is>
          <t>Surface-blended Elo model; singles only, WTA+ATP market coverage, not yet locked-holdout qualified -- promoted by explicit operator directive, not genuine walk-forward validation.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PAPER_CALL_LOW_EDGE</t>
        </is>
      </c>
      <c r="AP1185" s="24" t="inlineStr">
        <is>
          <t>Kamilla Rakhimova</t>
        </is>
      </c>
      <c r="AQ1185" s="24" t="inlineStr">
        <is>
          <t>Kamilla Rakhimova</t>
        </is>
      </c>
      <c r="AR1185" s="24" t="inlineStr">
        <is>
          <t>Kamilla Rakhimova</t>
        </is>
      </c>
      <c r="AS1185" s="24" t="inlineStr">
        <is>
          <t>Marina Bassols Ribera</t>
        </is>
      </c>
      <c r="AT1185" s="24" t="inlineStr">
        <is>
          <t>Marina Bassols Ribera</t>
        </is>
      </c>
      <c r="AU1185" s="24" t="inlineStr">
        <is>
          <t>Marina Bassols Ribera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6c67e999d2a03612e30f4032c8e5e77e8becfbc79e05f4c8993e726b90d34d54</t>
        </is>
      </c>
      <c r="BB1185" s="24" t="inlineStr">
        <is>
          <t>surface_blended_elo</t>
        </is>
      </c>
      <c r="BC1185" s="24" t="inlineStr">
        <is>
          <t>tennis-surface-elo-v1</t>
        </is>
      </c>
      <c r="BD1185" s="24" t="inlineStr">
        <is>
          <t>6c67e999d2a03612e30f4032c8e5e77e8becfbc79e05f4c8993e726b90d34d54</t>
        </is>
      </c>
      <c r="BE1185" s="24" t="inlineStr">
        <is>
          <t>tennis-surface-elo-v1</t>
        </is>
      </c>
      <c r="BF1185" s="24" t="inlineStr">
        <is>
          <t>1</t>
        </is>
      </c>
      <c r="BG1185" s="24" t="inlineStr">
        <is>
          <t>6c67e999d2a03612e30f4032c8e5e77e8becfbc79e05f4c8993e726b90d34d54</t>
        </is>
      </c>
      <c r="BH1185" s="24" t="inlineStr">
        <is>
          <t>2026-10-01T04:36:11.897842Z</t>
        </is>
      </c>
      <c r="BI1185" s="24" t="inlineStr">
        <is>
          <t>["same_event","same_team_same_day","same_league_same_day"]</t>
        </is>
      </c>
      <c r="BJ1185" s="25" t="n"/>
      <c r="BK1185" s="26" t="n">
        <v>-270</v>
      </c>
      <c r="BL1185" s="27" t="n">
        <v>1.37037</v>
      </c>
      <c r="BM1185" s="28" t="n">
        <v>0.72973</v>
      </c>
      <c r="BN1185" s="28" t="n"/>
      <c r="BO1185" s="28" t="n"/>
      <c r="BP1185" s="25" t="n"/>
      <c r="BQ1185" s="27" t="n">
        <v>1.37037</v>
      </c>
      <c r="BR1185" s="28" t="n">
        <v>0.73</v>
      </c>
      <c r="BS1185" s="28" t="n"/>
      <c r="BT1185" s="28" t="n"/>
      <c r="BU1185" s="25" t="n"/>
      <c r="BV1185" s="29" t="n"/>
      <c r="BW1185" s="24" t="n"/>
      <c r="BX1185" s="30" t="n"/>
      <c r="BY1185" s="27" t="n"/>
      <c r="BZ1185" s="24" t="n"/>
      <c r="CA1185" s="31" t="n"/>
      <c r="CB1185" s="24" t="n"/>
      <c r="CC1185" s="24" t="n"/>
      <c r="CD1185" s="24" t="n"/>
      <c r="CE1185" s="24" t="n"/>
      <c r="CF1185" s="24" t="n"/>
      <c r="CG1185" s="24" t="n"/>
      <c r="CH1185" s="24" t="n"/>
      <c r="CI1185" s="24" t="n"/>
      <c r="CJ1185" s="24" t="n"/>
      <c r="CK1185" s="24" t="n"/>
      <c r="CL1185" s="24" t="n"/>
      <c r="CM1185" s="24" t="n"/>
      <c r="CN1185" s="24" t="n"/>
      <c r="CO1185" s="24" t="n"/>
      <c r="CP1185" s="24" t="n"/>
      <c r="CQ1185" s="24" t="n"/>
      <c r="CR1185" s="24" t="n"/>
      <c r="CS1185" s="24" t="inlineStr">
        <is>
          <t>False</t>
        </is>
      </c>
      <c r="CT1185" s="24" t="n"/>
      <c r="CU1185" s="24" t="n"/>
      <c r="CV1185" s="24" t="n"/>
      <c r="CW1185" s="24" t="n"/>
      <c r="CX1185" s="24" t="n"/>
      <c r="CY1185" s="24" t="n"/>
      <c r="CZ1185" s="24" t="n"/>
      <c r="DA1185" s="24" t="n"/>
      <c r="DB1185" s="24" t="n"/>
      <c r="DC1185" s="24" t="n"/>
      <c r="DD1185" s="24" t="inlineStr">
        <is>
          <t>7cb63ed997f1fc642130376b4538147e20f2c6430f33ec830af5a0b7cc96c3ea</t>
        </is>
      </c>
      <c r="DE1185" s="24" t="inlineStr">
        <is>
          <t>/Users/vincentc9002/model-prediction/data/odds/tennis/2026-10-01/polymarket_snapshots.jsonl</t>
        </is>
      </c>
      <c r="DF1185" s="24" t="inlineStr">
        <is>
          <t>1127158:2026-10-01T04:36:11.897842Z</t>
        </is>
      </c>
      <c r="DG1185" s="24" t="n"/>
      <c r="DH1185" s="24" t="n"/>
      <c r="DI1185" s="24" t="n"/>
      <c r="DJ1185" s="24" t="inlineStr">
        <is>
          <t>0.72973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{"artifact_hash": "6c67e999d2a03612e30f4032c8e5e77e8becfbc79e05f4c8993e726b90d34d54", "away_team": "Kamilla Rakhimova", "event_id": "959-2026:184292", "event_start_utc": "2026-10-01T07:30Z", "features": {"elo_p1_surface": 1622.1, "elo_p2_surface": 1516.0, "expected_games_p1": 13.42, "expected_games_p2": 8.79, "expected_total_games": 22.21, "history_matches": 16479, "min_player_matches": 82, "surface": "Hard"}, "historical_source_observation_times_verified": false, "home_team": "Marina Bassols Ribera", "inference_inputs": {"code_sha256": {"features/elo_ratings.py": "8525faf022a6343c452286dbfeb17dbb043744c6bdabbe448b6b371216da439b", "models/tennis.py": "6c67e999d2a03612e30f4032c8e5e77e8becfbc79e05f4c8993e726b90d34d54"}, "overall_ratings": [1631.9337995482274, 1573.975598626627], "players": ["Kamilla Rakhimova", "Marina Bassols Ribera"], "sport": "TENNIS", "surface": "Hard", "surface_counts": [152, 62], "surface_ratings": [1622.1112068498694, 1515.9880738356026]}, "market_type": "moneyline", "model_version": "tennis-surface-elo-v1", "observed_at_utc": "2026-10-01T04:39:44.091070+00:00", "probabilities": {"away": 0.6268, "home": 0.3732}, "replay_scope": "Exact full-precision serving state and rounding; upstream historical observation times are not certified.", "schema": "coded-moneyline-replay-v1", "snapshot_hash": "09691de7d82e03ed01586a1bfe81526211414d336697d6c9d3d6423097803c2b", "sport": "TENNIS"}</t>
        </is>
      </c>
    </row>
    <row r="1186" ht="36" customHeight="1">
      <c r="A1186" s="24" t="inlineStr">
        <is>
          <t>057fbcf1f55e4284</t>
        </is>
      </c>
      <c r="B1186" s="24" t="inlineStr">
        <is>
          <t>2026-10-01T10:09:47.462658Z</t>
        </is>
      </c>
      <c r="C1186" s="24" t="inlineStr">
        <is>
          <t>2026-10-01T10:20Z</t>
        </is>
      </c>
      <c r="D1186" s="24" t="inlineStr">
        <is>
          <t>959-2026:184232</t>
        </is>
      </c>
      <c r="E1186" s="24" t="inlineStr">
        <is>
          <t>TENNIS</t>
        </is>
      </c>
      <c r="F1186" s="24" t="inlineStr">
        <is>
          <t>Camila Osorio</t>
        </is>
      </c>
      <c r="G1186" s="24" t="inlineStr">
        <is>
          <t>Lanlana Tararudee</t>
        </is>
      </c>
      <c r="H1186" s="24" t="inlineStr">
        <is>
          <t>moneyline</t>
        </is>
      </c>
      <c r="I1186" s="24" t="inlineStr">
        <is>
          <t>home</t>
        </is>
      </c>
      <c r="J1186" s="25" t="n"/>
      <c r="K1186" s="24" t="inlineStr">
        <is>
          <t>polymarket_us</t>
        </is>
      </c>
      <c r="L1186" s="26" t="n">
        <v>-108</v>
      </c>
      <c r="M1186" s="27" t="n">
        <v>1.925926</v>
      </c>
      <c r="N1186" s="28" t="n">
        <v>0.519231</v>
      </c>
      <c r="O1186" s="28" t="n">
        <v>0.5758</v>
      </c>
      <c r="P1186" s="28" t="n">
        <v>0.05</v>
      </c>
      <c r="Q1186" s="28" t="n">
        <v>0.056569</v>
      </c>
      <c r="R1186" s="26" t="n">
        <v>48</v>
      </c>
      <c r="S1186" s="29" t="n">
        <v>1</v>
      </c>
      <c r="T1186" s="24" t="inlineStr">
        <is>
          <t>tennis-surface-elo-v1</t>
        </is>
      </c>
      <c r="U1186" s="24" t="inlineStr">
        <is>
          <t>settled</t>
        </is>
      </c>
      <c r="V1186" s="24" t="inlineStr">
        <is>
          <t>loss</t>
        </is>
      </c>
      <c r="W1186" s="26" t="n">
        <v>1</v>
      </c>
      <c r="X1186" s="26" t="n">
        <v>0</v>
      </c>
      <c r="Y1186" s="25" t="n"/>
      <c r="Z1186" s="26" t="n">
        <v>-108</v>
      </c>
      <c r="AA1186" s="28" t="n">
        <v>0.52</v>
      </c>
      <c r="AB1186" s="28" t="n">
        <v>0.000769</v>
      </c>
      <c r="AC1186" s="30" t="n">
        <v>-1</v>
      </c>
      <c r="AD1186" s="24" t="inlineStr">
        <is>
          <t>2026-10-01T16:00:19.485846Z</t>
        </is>
      </c>
      <c r="AE1186" s="31" t="inlineStr">
        <is>
          <t>Surface-blended Elo on Hard: Camila Osorio p=0.424 vs Lanlana Tararudee. Executable ask 0.5200 (aec-wta-lantar-camoso-2026-09-28).</t>
        </is>
      </c>
      <c r="AF1186" s="31" t="inlineStr">
        <is>
          <t>Surface-blended Elo model; singles only, WTA+ATP market coverage, not yet locked-holdout qualified -- promoted by explicit operator directive, not genuine walk-forward validation.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model_qualified</t>
        </is>
      </c>
      <c r="AL1186" s="26" t="n">
        <v>4</v>
      </c>
      <c r="AM1186" s="24" t="inlineStr">
        <is>
          <t>QUALIFIED_SHADOW_CALL</t>
        </is>
      </c>
      <c r="AN1186" s="24" t="inlineStr">
        <is>
          <t>CALL</t>
        </is>
      </c>
      <c r="AO1186" s="24" t="inlineStr">
        <is>
          <t>QUALIFIED</t>
        </is>
      </c>
      <c r="AP1186" s="24" t="inlineStr">
        <is>
          <t>Camila Osorio</t>
        </is>
      </c>
      <c r="AQ1186" s="24" t="inlineStr">
        <is>
          <t>Camila Osorio</t>
        </is>
      </c>
      <c r="AR1186" s="24" t="inlineStr">
        <is>
          <t>Camila Osorio</t>
        </is>
      </c>
      <c r="AS1186" s="24" t="inlineStr">
        <is>
          <t>Lanlana Tararudee</t>
        </is>
      </c>
      <c r="AT1186" s="24" t="inlineStr">
        <is>
          <t>Lanlana Tararudee</t>
        </is>
      </c>
      <c r="AU1186" s="24" t="inlineStr">
        <is>
          <t>Lanlana Tararudee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6c67e999d2a03612e30f4032c8e5e77e8becfbc79e05f4c8993e726b90d34d54</t>
        </is>
      </c>
      <c r="BB1186" s="24" t="inlineStr">
        <is>
          <t>surface_blended_elo</t>
        </is>
      </c>
      <c r="BC1186" s="24" t="inlineStr">
        <is>
          <t>tennis-surface-elo-v1</t>
        </is>
      </c>
      <c r="BD1186" s="24" t="inlineStr">
        <is>
          <t>6c67e999d2a03612e30f4032c8e5e77e8becfbc79e05f4c8993e726b90d34d54</t>
        </is>
      </c>
      <c r="BE1186" s="24" t="inlineStr">
        <is>
          <t>tennis-surface-elo-v1</t>
        </is>
      </c>
      <c r="BF1186" s="24" t="inlineStr">
        <is>
          <t>1</t>
        </is>
      </c>
      <c r="BG1186" s="24" t="inlineStr">
        <is>
          <t>6c67e999d2a03612e30f4032c8e5e77e8becfbc79e05f4c8993e726b90d34d54</t>
        </is>
      </c>
      <c r="BH1186" s="24" t="inlineStr">
        <is>
          <t>2026-10-01T10:06:29.126215Z</t>
        </is>
      </c>
      <c r="BI1186" s="24" t="inlineStr">
        <is>
          <t>["same_event","same_team_same_day","same_league_same_day"]</t>
        </is>
      </c>
      <c r="BJ1186" s="25" t="n"/>
      <c r="BK1186" s="26" t="n">
        <v>-108</v>
      </c>
      <c r="BL1186" s="27" t="n">
        <v>1.925926</v>
      </c>
      <c r="BM1186" s="28" t="n">
        <v>0.519231</v>
      </c>
      <c r="BN1186" s="28" t="n"/>
      <c r="BO1186" s="28" t="n"/>
      <c r="BP1186" s="25" t="n"/>
      <c r="BQ1186" s="27" t="n">
        <v>1.925926</v>
      </c>
      <c r="BR1186" s="28" t="n">
        <v>0.52</v>
      </c>
      <c r="BS1186" s="28" t="n"/>
      <c r="BT1186" s="28" t="n"/>
      <c r="BU1186" s="25" t="n"/>
      <c r="BV1186" s="29" t="n"/>
      <c r="BW1186" s="24" t="n"/>
      <c r="BX1186" s="30" t="n"/>
      <c r="BY1186" s="27" t="n"/>
      <c r="BZ1186" s="24" t="n"/>
      <c r="CA1186" s="31" t="n"/>
      <c r="CB1186" s="24" t="n"/>
      <c r="CC1186" s="24" t="n"/>
      <c r="CD1186" s="24" t="n"/>
      <c r="CE1186" s="24" t="n"/>
      <c r="CF1186" s="24" t="n"/>
      <c r="CG1186" s="24" t="n"/>
      <c r="CH1186" s="24" t="n"/>
      <c r="CI1186" s="24" t="n"/>
      <c r="CJ1186" s="24" t="n"/>
      <c r="CK1186" s="24" t="n"/>
      <c r="CL1186" s="24" t="n"/>
      <c r="CM1186" s="24" t="n"/>
      <c r="CN1186" s="24" t="n"/>
      <c r="CO1186" s="24" t="n"/>
      <c r="CP1186" s="24" t="n"/>
      <c r="CQ1186" s="24" t="n"/>
      <c r="CR1186" s="24" t="n"/>
      <c r="CS1186" s="24" t="inlineStr">
        <is>
          <t>True</t>
        </is>
      </c>
      <c r="CT1186" s="24" t="n"/>
      <c r="CU1186" s="24" t="n"/>
      <c r="CV1186" s="24" t="n"/>
      <c r="CW1186" s="24" t="n"/>
      <c r="CX1186" s="24" t="n"/>
      <c r="CY1186" s="24" t="n"/>
      <c r="CZ1186" s="24" t="n"/>
      <c r="DA1186" s="24" t="n"/>
      <c r="DB1186" s="24" t="n"/>
      <c r="DC1186" s="24" t="n"/>
      <c r="DD1186" s="24" t="inlineStr">
        <is>
          <t>6998e7b17a66aa900ac59bfb443df442ce2f5d93c55b1069ff7103abd7289f98</t>
        </is>
      </c>
      <c r="DE1186" s="24" t="inlineStr">
        <is>
          <t>/Users/vincentc9002/model-prediction/data/odds/tennis/2026-10-01/polymarket_snapshots.jsonl</t>
        </is>
      </c>
      <c r="DF1186" s="24" t="inlineStr">
        <is>
          <t>1107472:2026-10-01T10:06:29.126215Z</t>
        </is>
      </c>
      <c r="DG1186" s="24" t="n"/>
      <c r="DH1186" s="24" t="n"/>
      <c r="DI1186" s="24" t="n"/>
      <c r="DJ1186" s="24" t="inlineStr">
        <is>
          <t>0.519231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{"artifact_hash": "6c67e999d2a03612e30f4032c8e5e77e8becfbc79e05f4c8993e726b90d34d54", "away_team": "Camila Osorio", "event_id": "959-2026:184232", "event_start_utc": "2026-10-01T10:20Z", "features": {"elo_p1_surface": 1638.1, "elo_p2_surface": 1696.1, "expected_games_p1": 10.92, "expected_games_p2": 13.15, "expected_total_games": 24.07, "history_matches": 16479, "min_player_matches": 90,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[1637.8495399062929, 1678.6876301596753], "players": ["Camila Osorio", "Lanlana Tararudee"], "sport": "TENNIS", "surface": "Hard", "surface_counts": [108, 78], "surface_ratings": [1638.1213101239657, 1696.112803965635]}, "market_type": "moneyline", "model_version": "tennis-surface-elo-v1", "observed_at_utc": "2026-10-01T10:09:46.212195+00:00", "probabilities": {"away": 0.4242, "home": 0.5758}, "replay_scope": "Exact full-precision serving state and rounding; upstream historical observation times are not certified.", "schema": "coded-moneyline-replay-v1", "snapshot_hash": "0b710d704be6a4edb9da5ccce2416302d40670d512faa47d13e24a47f7b99a5e", "sport": "TENNIS"}</t>
        </is>
      </c>
    </row>
    <row r="1187" ht="36" customHeight="1">
      <c r="A1187" s="24" t="inlineStr">
        <is>
          <t>e57a2140008b4b28</t>
        </is>
      </c>
      <c r="B1187" s="24" t="inlineStr">
        <is>
          <t>2026-10-01T10:09:47.462658Z</t>
        </is>
      </c>
      <c r="C1187" s="24" t="inlineStr">
        <is>
          <t>2026-10-01T11:00Z</t>
        </is>
      </c>
      <c r="D1187" s="24" t="inlineStr">
        <is>
          <t>959-2026:183438</t>
        </is>
      </c>
      <c r="E1187" s="24" t="inlineStr">
        <is>
          <t>TENNIS</t>
        </is>
      </c>
      <c r="F1187" s="24" t="inlineStr">
        <is>
          <t>Hubert Hurkacz</t>
        </is>
      </c>
      <c r="G1187" s="24" t="inlineStr">
        <is>
          <t>Learner Tien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-163</v>
      </c>
      <c r="M1187" s="27" t="n">
        <v>1.613497</v>
      </c>
      <c r="N1187" s="28" t="n">
        <v>0.619772</v>
      </c>
      <c r="O1187" s="28" t="n">
        <v>0.6682</v>
      </c>
      <c r="P1187" s="28" t="n">
        <v>0.05</v>
      </c>
      <c r="Q1187" s="28" t="n">
        <v>0.048428</v>
      </c>
      <c r="R1187" s="26" t="n">
        <v>44</v>
      </c>
      <c r="S1187" s="29" t="n">
        <v>1</v>
      </c>
      <c r="T1187" s="24" t="inlineStr">
        <is>
          <t>tennis-surface-elo-v1</t>
        </is>
      </c>
      <c r="U1187" s="24" t="inlineStr">
        <is>
          <t>settled</t>
        </is>
      </c>
      <c r="V1187" s="24" t="inlineStr">
        <is>
          <t>loss</t>
        </is>
      </c>
      <c r="W1187" s="26" t="n">
        <v>1</v>
      </c>
      <c r="X1187" s="26" t="n">
        <v>0</v>
      </c>
      <c r="Y1187" s="25" t="n"/>
      <c r="Z1187" s="26" t="n">
        <v>-163</v>
      </c>
      <c r="AA1187" s="28" t="n">
        <v>0.62</v>
      </c>
      <c r="AB1187" s="28" t="n">
        <v>0.000228</v>
      </c>
      <c r="AC1187" s="30" t="n">
        <v>-1</v>
      </c>
      <c r="AD1187" s="24" t="inlineStr">
        <is>
          <t>2026-10-01T16:00:19.994953Z</t>
        </is>
      </c>
      <c r="AE1187" s="31" t="inlineStr">
        <is>
          <t>Surface-blended Elo on Hard: Hubert Hurkacz p=0.332 vs Learner Tien. Executable ask 0.6200 (aec-atp-leatie-hubhur-2026-09-28).</t>
        </is>
      </c>
      <c r="AF1187" s="31" t="inlineStr">
        <is>
          <t>Surface-blended Elo model; singles only, WTA+ATP market coverage, not yet locked-holdout qualified -- promoted by explicit operator directive, not genuine walk-forward validation.</t>
        </is>
      </c>
      <c r="AG1187" s="24" t="inlineStr">
        <is>
          <t>review_required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PAPER_CALL_LOW_EDGE</t>
        </is>
      </c>
      <c r="AP1187" s="24" t="inlineStr">
        <is>
          <t>Hubert Hurkacz</t>
        </is>
      </c>
      <c r="AQ1187" s="24" t="inlineStr">
        <is>
          <t>Hubert Hurkacz</t>
        </is>
      </c>
      <c r="AR1187" s="24" t="inlineStr">
        <is>
          <t>Hubert Hurkacz</t>
        </is>
      </c>
      <c r="AS1187" s="24" t="inlineStr">
        <is>
          <t>Learner Tien</t>
        </is>
      </c>
      <c r="AT1187" s="24" t="inlineStr">
        <is>
          <t>Learner Tien</t>
        </is>
      </c>
      <c r="AU1187" s="24" t="inlineStr">
        <is>
          <t>Learner Tien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6c67e999d2a03612e30f4032c8e5e77e8becfbc79e05f4c8993e726b90d34d54</t>
        </is>
      </c>
      <c r="BB1187" s="24" t="inlineStr">
        <is>
          <t>surface_blended_elo</t>
        </is>
      </c>
      <c r="BC1187" s="24" t="inlineStr">
        <is>
          <t>tennis-surface-elo-v1</t>
        </is>
      </c>
      <c r="BD1187" s="24" t="inlineStr">
        <is>
          <t>6c67e999d2a03612e30f4032c8e5e77e8becfbc79e05f4c8993e726b90d34d54</t>
        </is>
      </c>
      <c r="BE1187" s="24" t="inlineStr">
        <is>
          <t>tennis-surface-elo-v1</t>
        </is>
      </c>
      <c r="BF1187" s="24" t="inlineStr">
        <is>
          <t>1</t>
        </is>
      </c>
      <c r="BG1187" s="24" t="inlineStr">
        <is>
          <t>6c67e999d2a03612e30f4032c8e5e77e8becfbc79e05f4c8993e726b90d34d54</t>
        </is>
      </c>
      <c r="BH1187" s="24" t="inlineStr">
        <is>
          <t>2026-10-01T10:07:02.011216Z</t>
        </is>
      </c>
      <c r="BI1187" s="24" t="inlineStr">
        <is>
          <t>["same_event","same_team_same_day","same_league_same_day"]</t>
        </is>
      </c>
      <c r="BJ1187" s="25" t="n"/>
      <c r="BK1187" s="26" t="n">
        <v>-163</v>
      </c>
      <c r="BL1187" s="27" t="n">
        <v>1.613497</v>
      </c>
      <c r="BM1187" s="28" t="n">
        <v>0.619772</v>
      </c>
      <c r="BN1187" s="28" t="n"/>
      <c r="BO1187" s="28" t="n"/>
      <c r="BP1187" s="25" t="n"/>
      <c r="BQ1187" s="27" t="n">
        <v>1.613497</v>
      </c>
      <c r="BR1187" s="28" t="n">
        <v>0.62</v>
      </c>
      <c r="BS1187" s="28" t="n"/>
      <c r="BT1187" s="28" t="n"/>
      <c r="BU1187" s="25" t="n"/>
      <c r="BV1187" s="29" t="n"/>
      <c r="BW1187" s="24" t="n"/>
      <c r="BX1187" s="30" t="n"/>
      <c r="BY1187" s="27" t="n"/>
      <c r="BZ1187" s="24" t="n"/>
      <c r="CA1187" s="31" t="n"/>
      <c r="CB1187" s="24" t="n"/>
      <c r="CC1187" s="24" t="n"/>
      <c r="CD1187" s="24" t="n"/>
      <c r="CE1187" s="24" t="n"/>
      <c r="CF1187" s="24" t="n"/>
      <c r="CG1187" s="24" t="n"/>
      <c r="CH1187" s="24" t="n"/>
      <c r="CI1187" s="24" t="n"/>
      <c r="CJ1187" s="24" t="n"/>
      <c r="CK1187" s="24" t="n"/>
      <c r="CL1187" s="24" t="n"/>
      <c r="CM1187" s="24" t="n"/>
      <c r="CN1187" s="24" t="n"/>
      <c r="CO1187" s="24" t="n"/>
      <c r="CP1187" s="24" t="n"/>
      <c r="CQ1187" s="24" t="n"/>
      <c r="CR1187" s="24" t="n"/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n"/>
      <c r="CZ1187" s="24" t="n"/>
      <c r="DA1187" s="24" t="n"/>
      <c r="DB1187" s="24" t="n"/>
      <c r="DC1187" s="24" t="n"/>
      <c r="DD1187" s="24" t="inlineStr">
        <is>
          <t>e87aca1a0864ecaf9e3190d711d12f50aded0f8bd955dc2344b1499069b7fc9d</t>
        </is>
      </c>
      <c r="DE1187" s="24" t="inlineStr">
        <is>
          <t>/Users/vincentc9002/model-prediction/data/odds/tennis/2026-10-01/polymarket_snapshots.jsonl</t>
        </is>
      </c>
      <c r="DF1187" s="24" t="inlineStr">
        <is>
          <t>1106602:2026-10-01T10:07:02.011216Z</t>
        </is>
      </c>
      <c r="DG1187" s="24" t="n"/>
      <c r="DH1187" s="24" t="n"/>
      <c r="DI1187" s="24" t="n"/>
      <c r="DJ1187" s="24" t="inlineStr">
        <is>
          <t>0.619772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{"artifact_hash": "6c67e999d2a03612e30f4032c8e5e77e8becfbc79e05f4c8993e726b90d34d54", "away_team": "Hubert Hurkacz", "event_id": "959-2026:183438", "event_start_utc": "2026-10-01T11:00Z", "features": {"elo_p1_surface": 1619.3, "elo_p2_surface": 1761.8, "expected_games_p1": 8.85, "expected_games_p2": 13.29, "expected_total_games": 22.15, "history_matches": 11322, "min_player_matches": 108, "surface": "Hard"}, "historical_source_observation_times_verified": false, "home_team": "Learner Tien", "inference_inputs": {"code_sha256": {"features/elo_ratings.py": "8525faf022a6343c452286dbfeb17dbb043744c6bdabbe448b6b371216da439b", "models/tennis.py": "6c67e999d2a03612e30f4032c8e5e77e8becfbc79e05f4c8993e726b90d34d54"}, "overall_ratings": [1697.22760498312, 1778.1775804859772], "players": ["Hubert Hurkacz", "Learner Tien"], "sport": "TENNIS", "surface": "Hard", "surface_counts": [58, 97], "surface_ratings": [1619.2568731589743, 1761.8457074961836]}, "market_type": "moneyline", "model_version": "tennis-surface-elo-v1", "observed_at_utc": "2026-10-01T10:09:46.212195+00:00", "probabilities": {"away": 0.3318, "home": 0.6682}, "replay_scope": "Exact full-precision serving state and rounding; upstream historical observation times are not certified.", "schema": "coded-moneyline-replay-v1", "snapshot_hash": "b81080825dea0c562e6e1ad27ef7d8929d4551941d3c30cae6bc375380c918b1", "sport": "TENNIS"}</t>
        </is>
      </c>
    </row>
    <row r="1188" ht="36" customHeight="1">
      <c r="A1188" s="24" t="inlineStr">
        <is>
          <t>2e469e40a1fd42a4</t>
        </is>
      </c>
      <c r="B1188" s="24" t="inlineStr">
        <is>
          <t>2026-10-01T22:06:47.003722Z</t>
        </is>
      </c>
      <c r="C1188" s="24" t="inlineStr">
        <is>
          <t>2026-10-02T03:00Z</t>
        </is>
      </c>
      <c r="D1188" s="24" t="inlineStr">
        <is>
          <t>1028-2026:184196</t>
        </is>
      </c>
      <c r="E1188" s="24" t="inlineStr">
        <is>
          <t>TENNIS</t>
        </is>
      </c>
      <c r="F1188" s="24" t="inlineStr">
        <is>
          <t>Emerson Jones</t>
        </is>
      </c>
      <c r="G1188" s="24" t="inlineStr">
        <is>
          <t>Kyoka Okamura</t>
        </is>
      </c>
      <c r="H1188" s="24" t="inlineStr">
        <is>
          <t>moneyline</t>
        </is>
      </c>
      <c r="I1188" s="24" t="inlineStr">
        <is>
          <t>home</t>
        </is>
      </c>
      <c r="J1188" s="25" t="n"/>
      <c r="K1188" s="24" t="inlineStr">
        <is>
          <t>polymarket_us</t>
        </is>
      </c>
      <c r="L1188" s="26" t="n">
        <v>376</v>
      </c>
      <c r="M1188" s="27" t="n">
        <v>4.76</v>
      </c>
      <c r="N1188" s="28" t="n">
        <v>0.210084</v>
      </c>
      <c r="O1188" s="28" t="n">
        <v>0.5085</v>
      </c>
      <c r="P1188" s="28" t="n">
        <v>0.05</v>
      </c>
      <c r="Q1188" s="28" t="n">
        <v>0.298416</v>
      </c>
      <c r="R1188" s="26" t="n">
        <v>100</v>
      </c>
      <c r="S1188" s="29" t="n">
        <v>2</v>
      </c>
      <c r="T1188" s="24" t="inlineStr">
        <is>
          <t>tennis-surface-elo-v1</t>
        </is>
      </c>
      <c r="U1188" s="24" t="inlineStr">
        <is>
          <t>settled</t>
        </is>
      </c>
      <c r="V1188" s="24" t="inlineStr">
        <is>
          <t>loss</t>
        </is>
      </c>
      <c r="W1188" s="26" t="n">
        <v>1</v>
      </c>
      <c r="X1188" s="26" t="n">
        <v>0</v>
      </c>
      <c r="Y1188" s="25" t="n"/>
      <c r="Z1188" s="26" t="n">
        <v>376</v>
      </c>
      <c r="AA1188" s="28" t="n">
        <v>0.21</v>
      </c>
      <c r="AB1188" s="28" t="n">
        <v>-8.4e-05</v>
      </c>
      <c r="AC1188" s="30" t="n">
        <v>-2</v>
      </c>
      <c r="AD1188" s="24" t="inlineStr">
        <is>
          <t>2026-10-02T10:00:28.277117Z</t>
        </is>
      </c>
      <c r="AE1188" s="31" t="inlineStr">
        <is>
          <t>Surface-blended Elo on Hard: Emerson Jones p=0.491 vs Kyoka Okamura. Executable ask 0.2100 (aec-wta-kyooka-emejon-2026-10-01).</t>
        </is>
      </c>
      <c r="AF1188" s="31" t="inlineStr">
        <is>
          <t>Surface-blended Elo model; singles only, WTA+ATP market coverage, not yet locked-holdout qualified -- promoted by explicit operator directive, not genuine walk-forward validation.</t>
        </is>
      </c>
      <c r="AG1188" s="24" t="inlineStr">
        <is>
          <t>review_required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PAPER_CALL_LOW_EDGE</t>
        </is>
      </c>
      <c r="AP1188" s="24" t="inlineStr">
        <is>
          <t>Emerson Jones</t>
        </is>
      </c>
      <c r="AQ1188" s="24" t="inlineStr">
        <is>
          <t>Emerson Jones</t>
        </is>
      </c>
      <c r="AR1188" s="24" t="inlineStr">
        <is>
          <t>Emerson Jones</t>
        </is>
      </c>
      <c r="AS1188" s="24" t="inlineStr">
        <is>
          <t>Kyoka Okamura</t>
        </is>
      </c>
      <c r="AT1188" s="24" t="inlineStr">
        <is>
          <t>Kyoka Okamura</t>
        </is>
      </c>
      <c r="AU1188" s="24" t="inlineStr">
        <is>
          <t>Kyoka Okamura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6c67e999d2a03612e30f4032c8e5e77e8becfbc79e05f4c8993e726b90d34d54</t>
        </is>
      </c>
      <c r="BB1188" s="24" t="inlineStr">
        <is>
          <t>surface_blended_elo</t>
        </is>
      </c>
      <c r="BC1188" s="24" t="inlineStr">
        <is>
          <t>tennis-surface-elo-v1</t>
        </is>
      </c>
      <c r="BD1188" s="24" t="inlineStr">
        <is>
          <t>6c67e999d2a03612e30f4032c8e5e77e8becfbc79e05f4c8993e726b90d34d54</t>
        </is>
      </c>
      <c r="BE1188" s="24" t="inlineStr">
        <is>
          <t>tennis-surface-elo-v1</t>
        </is>
      </c>
      <c r="BF1188" s="24" t="inlineStr">
        <is>
          <t>1</t>
        </is>
      </c>
      <c r="BG1188" s="24" t="inlineStr">
        <is>
          <t>6c67e999d2a03612e30f4032c8e5e77e8becfbc79e05f4c8993e726b90d34d54</t>
        </is>
      </c>
      <c r="BH1188" s="24" t="inlineStr">
        <is>
          <t>2026-10-01T22:05:51.053145Z</t>
        </is>
      </c>
      <c r="BI1188" s="24" t="inlineStr">
        <is>
          <t>["same_event","same_team_same_day","same_league_same_day"]</t>
        </is>
      </c>
      <c r="BJ1188" s="25" t="n"/>
      <c r="BK1188" s="26" t="n">
        <v>376</v>
      </c>
      <c r="BL1188" s="27" t="n">
        <v>4.76</v>
      </c>
      <c r="BM1188" s="28" t="n">
        <v>0.210084</v>
      </c>
      <c r="BN1188" s="28" t="n"/>
      <c r="BO1188" s="28" t="n"/>
      <c r="BP1188" s="25" t="n"/>
      <c r="BQ1188" s="27" t="n">
        <v>4.76</v>
      </c>
      <c r="BR1188" s="28" t="n">
        <v>0.21</v>
      </c>
      <c r="BS1188" s="28" t="n"/>
      <c r="BT1188" s="28" t="n"/>
      <c r="BU1188" s="25" t="n"/>
      <c r="BV1188" s="29" t="n"/>
      <c r="BW1188" s="24" t="n"/>
      <c r="BX1188" s="30" t="n"/>
      <c r="BY1188" s="27" t="n"/>
      <c r="BZ1188" s="24" t="n"/>
      <c r="CA1188" s="31" t="n"/>
      <c r="CB1188" s="24" t="n"/>
      <c r="CC1188" s="24" t="n"/>
      <c r="CD1188" s="24" t="n"/>
      <c r="CE1188" s="24" t="n"/>
      <c r="CF1188" s="24" t="n"/>
      <c r="CG1188" s="24" t="n"/>
      <c r="CH1188" s="24" t="n"/>
      <c r="CI1188" s="24" t="n"/>
      <c r="CJ1188" s="24" t="n"/>
      <c r="CK1188" s="24" t="n"/>
      <c r="CL1188" s="24" t="n"/>
      <c r="CM1188" s="24" t="n"/>
      <c r="CN1188" s="24" t="n"/>
      <c r="CO1188" s="24" t="n"/>
      <c r="CP1188" s="24" t="n"/>
      <c r="CQ1188" s="24" t="n"/>
      <c r="CR1188" s="24" t="n"/>
      <c r="CS1188" s="24" t="inlineStr">
        <is>
          <t>True</t>
        </is>
      </c>
      <c r="CT1188" s="24" t="n"/>
      <c r="CU1188" s="24" t="n"/>
      <c r="CV1188" s="24" t="n"/>
      <c r="CW1188" s="24" t="n"/>
      <c r="CX1188" s="24" t="n"/>
      <c r="CY1188" s="24" t="n"/>
      <c r="CZ1188" s="24" t="n"/>
      <c r="DA1188" s="24" t="n"/>
      <c r="DB1188" s="24" t="n"/>
      <c r="DC1188" s="24" t="n"/>
      <c r="DD1188" s="24" t="inlineStr">
        <is>
          <t>a0f5a47a4e4ee56f8d4c6adc81678219911e2010324dacb184319058fb5d5155</t>
        </is>
      </c>
      <c r="DE1188" s="24" t="inlineStr">
        <is>
          <t>/Users/vincentc9002/model-prediction/data/odds/tennis/2026-10-01/polymarket_snapshots.jsonl</t>
        </is>
      </c>
      <c r="DF1188" s="24" t="inlineStr">
        <is>
          <t>1155198:2026-10-01T22:05:51.053145Z</t>
        </is>
      </c>
      <c r="DG1188" s="24" t="n"/>
      <c r="DH1188" s="24" t="n"/>
      <c r="DI1188" s="24" t="n"/>
      <c r="DJ1188" s="24" t="inlineStr">
        <is>
          <t>0.210084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{"artifact_hash": "6c67e999d2a03612e30f4032c8e5e77e8becfbc79e05f4c8993e726b90d34d54", "away_team": "Emerson Jones", "event_id": "1028-2026:184196", "event_start_utc": "2026-10-02T03:00Z", "features": {"elo_p1_surface": 1511.8, "elo_p2_surface": 1521.3, "expected_games_p1": 12.34, "expected_games_p2": 12.44, "expected_total_games": 24.78, "history_matches": 16479, "min_player_matches": 35,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[1508.1473495850478, 1507.000238911501], "players": ["Emerson Jones", "Kyoka Okamura"], "sport": "TENNIS", "surface": "Hard", "surface_counts": [28, 45], "surface_ratings": [1511.8033731885434, 1521.2554382285248]}, "market_type": "moneyline", "model_version": "tennis-surface-elo-v1", "observed_at_utc": "2026-10-01T22:06:45.383901+00:00", "probabilities": {"away": 0.4915, "home": 0.5085}, "replay_scope": "Exact full-precision serving state and rounding; upstream historical observation times are not certified.", "schema": "coded-moneyline-replay-v1", "snapshot_hash": "96c815773973b5d675243ef4a8291f08f9ab2c4bfe86eb5e149048f978f9558a", "sport": "TENNIS"}</t>
        </is>
      </c>
    </row>
    <row r="1189" ht="36" customHeight="1">
      <c r="A1189" s="24" t="inlineStr">
        <is>
          <t>06779358c4224ae6</t>
        </is>
      </c>
      <c r="B1189" s="24" t="inlineStr">
        <is>
          <t>2026-10-01T22:06:47.003722Z</t>
        </is>
      </c>
      <c r="C1189" s="24" t="inlineStr">
        <is>
          <t>2026-10-02T03:00Z</t>
        </is>
      </c>
      <c r="D1189" s="24" t="inlineStr">
        <is>
          <t>959-2026:184300</t>
        </is>
      </c>
      <c r="E1189" s="24" t="inlineStr">
        <is>
          <t>TENNIS</t>
        </is>
      </c>
      <c r="F1189" s="24" t="inlineStr">
        <is>
          <t>Diana Shnaider</t>
        </is>
      </c>
      <c r="G1189" s="24" t="inlineStr">
        <is>
          <t>Janice Tjen</t>
        </is>
      </c>
      <c r="H1189" s="24" t="inlineStr">
        <is>
          <t>moneyline</t>
        </is>
      </c>
      <c r="I1189" s="24" t="inlineStr">
        <is>
          <t>away</t>
        </is>
      </c>
      <c r="J1189" s="25" t="n"/>
      <c r="K1189" s="24" t="inlineStr">
        <is>
          <t>polymarket_us</t>
        </is>
      </c>
      <c r="L1189" s="26" t="n">
        <v>-270</v>
      </c>
      <c r="M1189" s="27" t="n">
        <v>1.37037</v>
      </c>
      <c r="N1189" s="28" t="n">
        <v>0.72973</v>
      </c>
      <c r="O1189" s="28" t="n">
        <v>0.7242</v>
      </c>
      <c r="P1189" s="28" t="n">
        <v>0.05</v>
      </c>
      <c r="Q1189" s="28" t="n">
        <v>-0.00553</v>
      </c>
      <c r="R1189" s="26" t="n">
        <v>17</v>
      </c>
      <c r="S1189" s="29" t="n">
        <v>1</v>
      </c>
      <c r="T1189" s="24" t="inlineStr">
        <is>
          <t>tennis-surface-elo-v1</t>
        </is>
      </c>
      <c r="U1189" s="24" t="inlineStr">
        <is>
          <t>settled</t>
        </is>
      </c>
      <c r="V1189" s="24" t="inlineStr">
        <is>
          <t>win</t>
        </is>
      </c>
      <c r="W1189" s="26" t="n">
        <v>1</v>
      </c>
      <c r="X1189" s="26" t="n">
        <v>0</v>
      </c>
      <c r="Y1189" s="25" t="n"/>
      <c r="Z1189" s="26" t="n">
        <v>-270</v>
      </c>
      <c r="AA1189" s="28" t="n">
        <v>0.73</v>
      </c>
      <c r="AB1189" s="28" t="n">
        <v>0.00027</v>
      </c>
      <c r="AC1189" s="30" t="n">
        <v>0.3704</v>
      </c>
      <c r="AD1189" s="24" t="inlineStr">
        <is>
          <t>2026-10-02T04:30:28.571163Z</t>
        </is>
      </c>
      <c r="AE1189" s="31" t="inlineStr">
        <is>
          <t>Surface-blended Elo on Hard: Diana Shnaider p=0.724 vs Janice Tjen. Executable ask 0.7300 (aec-wta-jantje-diashn-2026-10-01).</t>
        </is>
      </c>
      <c r="AF1189" s="31" t="inlineStr">
        <is>
          <t>Surface-blended Elo model; singles only, WTA+ATP market coverage, not yet locked-holdout qualified -- promoted by explicit operator directive, not genuine walk-forward validation.</t>
        </is>
      </c>
      <c r="AG1189" s="24" t="inlineStr">
        <is>
          <t>not_applicable</t>
        </is>
      </c>
      <c r="AH1189" s="24" t="n"/>
      <c r="AI1189" s="31" t="n"/>
      <c r="AJ1189" s="31" t="n"/>
      <c r="AK1189" s="24" t="inlineStr">
        <is>
          <t>paper_call</t>
        </is>
      </c>
      <c r="AL1189" s="26" t="n">
        <v>4</v>
      </c>
      <c r="AM1189" s="24" t="inlineStr">
        <is>
          <t>RESEARCH_OBSERVATION</t>
        </is>
      </c>
      <c r="AN1189" s="24" t="inlineStr">
        <is>
          <t>CALL</t>
        </is>
      </c>
      <c r="AO1189" s="24" t="inlineStr">
        <is>
          <t>PAPER_CALL_LOW_EDGE</t>
        </is>
      </c>
      <c r="AP1189" s="24" t="inlineStr">
        <is>
          <t>Diana Shnaider</t>
        </is>
      </c>
      <c r="AQ1189" s="24" t="inlineStr">
        <is>
          <t>Diana Shnaider</t>
        </is>
      </c>
      <c r="AR1189" s="24" t="inlineStr">
        <is>
          <t>Diana Shnaider</t>
        </is>
      </c>
      <c r="AS1189" s="24" t="inlineStr">
        <is>
          <t>Janice Tjen</t>
        </is>
      </c>
      <c r="AT1189" s="24" t="inlineStr">
        <is>
          <t>Janice Tjen</t>
        </is>
      </c>
      <c r="AU1189" s="24" t="inlineStr">
        <is>
          <t>Janice Tjen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shadow_qualified</t>
        </is>
      </c>
      <c r="BA1189" s="24" t="inlineStr">
        <is>
          <t>6c67e999d2a03612e30f4032c8e5e77e8becfbc79e05f4c8993e726b90d34d54</t>
        </is>
      </c>
      <c r="BB1189" s="24" t="inlineStr">
        <is>
          <t>surface_blended_elo</t>
        </is>
      </c>
      <c r="BC1189" s="24" t="inlineStr">
        <is>
          <t>tennis-surface-elo-v1</t>
        </is>
      </c>
      <c r="BD1189" s="24" t="inlineStr">
        <is>
          <t>6c67e999d2a03612e30f4032c8e5e77e8becfbc79e05f4c8993e726b90d34d54</t>
        </is>
      </c>
      <c r="BE1189" s="24" t="inlineStr">
        <is>
          <t>tennis-surface-elo-v1</t>
        </is>
      </c>
      <c r="BF1189" s="24" t="inlineStr">
        <is>
          <t>1</t>
        </is>
      </c>
      <c r="BG1189" s="24" t="inlineStr">
        <is>
          <t>6c67e999d2a03612e30f4032c8e5e77e8becfbc79e05f4c8993e726b90d34d54</t>
        </is>
      </c>
      <c r="BH1189" s="24" t="inlineStr">
        <is>
          <t>2026-10-01T22:06:03.936471Z</t>
        </is>
      </c>
      <c r="BI1189" s="24" t="inlineStr">
        <is>
          <t>["same_event","same_team_same_day","same_league_same_day"]</t>
        </is>
      </c>
      <c r="BJ1189" s="25" t="n"/>
      <c r="BK1189" s="26" t="n">
        <v>-270</v>
      </c>
      <c r="BL1189" s="27" t="n">
        <v>1.37037</v>
      </c>
      <c r="BM1189" s="28" t="n">
        <v>0.72973</v>
      </c>
      <c r="BN1189" s="28" t="n"/>
      <c r="BO1189" s="28" t="n"/>
      <c r="BP1189" s="25" t="n"/>
      <c r="BQ1189" s="27" t="n">
        <v>1.37037</v>
      </c>
      <c r="BR1189" s="28" t="n">
        <v>0.73</v>
      </c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False</t>
        </is>
      </c>
      <c r="CT1189" s="24" t="n"/>
      <c r="CU1189" s="24" t="n"/>
      <c r="CV1189" s="24" t="n"/>
      <c r="CW1189" s="24" t="n"/>
      <c r="CX1189" s="24" t="n"/>
      <c r="CY1189" s="24" t="n"/>
      <c r="CZ1189" s="24" t="n"/>
      <c r="DA1189" s="24" t="n"/>
      <c r="DB1189" s="24" t="n"/>
      <c r="DC1189" s="24" t="n"/>
      <c r="DD1189" s="24" t="inlineStr">
        <is>
          <t>1643c8bcae8795fb6f7e4d790015a427881943165a8cd8803bcb3f3cf5ed9005</t>
        </is>
      </c>
      <c r="DE1189" s="24" t="inlineStr">
        <is>
          <t>/Users/vincentc9002/model-prediction/data/odds/tennis/2026-10-01/polymarket_snapshots.jsonl</t>
        </is>
      </c>
      <c r="DF1189" s="24" t="inlineStr">
        <is>
          <t>1142989:2026-10-01T22:06:03.936471Z</t>
        </is>
      </c>
      <c r="DG1189" s="24" t="n"/>
      <c r="DH1189" s="24" t="n"/>
      <c r="DI1189" s="24" t="n"/>
      <c r="DJ1189" s="24" t="inlineStr">
        <is>
          <t>0.72973</t>
        </is>
      </c>
      <c r="DK1189" s="24" t="n"/>
      <c r="DL1189" s="24" t="n"/>
      <c r="DM1189" s="24" t="n"/>
      <c r="DN1189" s="24" t="n"/>
      <c r="DO1189" s="24" t="n"/>
      <c r="DP1189" s="24" t="n"/>
      <c r="DQ1189" s="24" t="inlineStr">
        <is>
          <t>{"artifact_hash": "6c67e999d2a03612e30f4032c8e5e77e8becfbc79e05f4c8993e726b90d34d54", "away_team": "Diana Shnaider", "event_id": "959-2026:184300", "event_start_utc": "2026-10-02T03:00Z", "features": {"elo_p1_surface": 1758.1, "elo_p2_surface": 1606.3, "expected_games_p1": 13.14, "expected_games_p2": 7.24, "expected_total_games": 20.38, "history_matches": 16479, "min_player_matches": 64,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[1802.1449949563475, 1589.2636249084396], "players": ["Diana Shnaider", "Janice Tjen"], "sport": "TENNIS", "surface": "Hard", "surface_counts": [139, 54], "surface_ratings": [1758.0611108242606, 1606.334667489744]}, "market_type": "moneyline", "model_version": "tennis-surface-elo-v1", "observed_at_utc": "2026-10-01T22:06:45.383901+00:00", "probabilities": {"away": 0.7242, "home": 0.2758}, "replay_scope": "Exact full-precision serving state and rounding; upstream historical observation times are not certified.", "schema": "coded-moneyline-replay-v1", "snapshot_hash": "2f6b63dadfbccef0285eee09fd5d07caf680c917a4d92a555267ddde747456f4", "sport": "TENNIS"}</t>
        </is>
      </c>
    </row>
    <row r="1190" ht="36" customHeight="1">
      <c r="A1190" s="24" t="inlineStr">
        <is>
          <t>046a96b6f67e46dd</t>
        </is>
      </c>
      <c r="B1190" s="24" t="inlineStr">
        <is>
          <t>2026-10-01T22:06:47.003722Z</t>
        </is>
      </c>
      <c r="C1190" s="24" t="inlineStr">
        <is>
          <t>2026-10-02T03:00Z</t>
        </is>
      </c>
      <c r="D1190" s="24" t="inlineStr">
        <is>
          <t>959-2026:184303</t>
        </is>
      </c>
      <c r="E1190" s="24" t="inlineStr">
        <is>
          <t>TENNIS</t>
        </is>
      </c>
      <c r="F1190" s="24" t="inlineStr">
        <is>
          <t>Mirra Andreeva</t>
        </is>
      </c>
      <c r="G1190" s="24" t="inlineStr">
        <is>
          <t>Yuan Yue</t>
        </is>
      </c>
      <c r="H1190" s="24" t="inlineStr">
        <is>
          <t>moneyline</t>
        </is>
      </c>
      <c r="I1190" s="24" t="inlineStr">
        <is>
          <t>away</t>
        </is>
      </c>
      <c r="J1190" s="25" t="n"/>
      <c r="K1190" s="24" t="inlineStr">
        <is>
          <t>polymarket_us</t>
        </is>
      </c>
      <c r="L1190" s="26" t="n">
        <v>-1329</v>
      </c>
      <c r="M1190" s="27" t="n">
        <v>1.075245</v>
      </c>
      <c r="N1190" s="28" t="n">
        <v>0.930021</v>
      </c>
      <c r="O1190" s="28" t="n">
        <v>0.8481</v>
      </c>
      <c r="P1190" s="28" t="n">
        <v>0.05</v>
      </c>
      <c r="Q1190" s="28" t="n">
        <v>-0.08192099999999999</v>
      </c>
      <c r="R1190" s="26" t="n">
        <v>0</v>
      </c>
      <c r="S1190" s="29" t="n">
        <v>1</v>
      </c>
      <c r="T1190" s="24" t="inlineStr">
        <is>
          <t>tennis-surface-elo-v1</t>
        </is>
      </c>
      <c r="U1190" s="24" t="inlineStr">
        <is>
          <t>settled</t>
        </is>
      </c>
      <c r="V1190" s="24" t="inlineStr">
        <is>
          <t>win</t>
        </is>
      </c>
      <c r="W1190" s="26" t="n">
        <v>1</v>
      </c>
      <c r="X1190" s="26" t="n">
        <v>0</v>
      </c>
      <c r="Y1190" s="25" t="n"/>
      <c r="Z1190" s="26" t="n">
        <v>-1329</v>
      </c>
      <c r="AA1190" s="28" t="n">
        <v>0.93</v>
      </c>
      <c r="AB1190" s="28" t="n">
        <v>-2.1e-05</v>
      </c>
      <c r="AC1190" s="30" t="n">
        <v>0.0752</v>
      </c>
      <c r="AD1190" s="24" t="inlineStr">
        <is>
          <t>2026-10-02T10:00:28.720262Z</t>
        </is>
      </c>
      <c r="AE1190" s="31" t="inlineStr">
        <is>
          <t>Surface-blended Elo on Hard: Mirra Andreeva p=0.848 vs Yuan Yue. Executable ask 0.9300 (aec-wta-yueyua-mirand-2026-10-01).</t>
        </is>
      </c>
      <c r="AF1190" s="31" t="inlineStr">
        <is>
          <t>Surface-blended Elo model; singles only, WTA+ATP market coverage, not yet locked-holdout qualified -- promoted by explicit operator directive, not genuine walk-forward validation.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PAPER_CALL_LOW_EDGE</t>
        </is>
      </c>
      <c r="AP1190" s="24" t="inlineStr">
        <is>
          <t>Mirra Andreeva</t>
        </is>
      </c>
      <c r="AQ1190" s="24" t="inlineStr">
        <is>
          <t>Mirra Andreeva</t>
        </is>
      </c>
      <c r="AR1190" s="24" t="inlineStr">
        <is>
          <t>Mirra Andreeva</t>
        </is>
      </c>
      <c r="AS1190" s="24" t="inlineStr">
        <is>
          <t>Yuan Yue</t>
        </is>
      </c>
      <c r="AT1190" s="24" t="inlineStr">
        <is>
          <t>Yuan Yue</t>
        </is>
      </c>
      <c r="AU1190" s="24" t="inlineStr">
        <is>
          <t>Yuan Yue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shadow_qualified</t>
        </is>
      </c>
      <c r="BA1190" s="24" t="inlineStr">
        <is>
          <t>6c67e999d2a03612e30f4032c8e5e77e8becfbc79e05f4c8993e726b90d34d54</t>
        </is>
      </c>
      <c r="BB1190" s="24" t="inlineStr">
        <is>
          <t>surface_blended_elo</t>
        </is>
      </c>
      <c r="BC1190" s="24" t="inlineStr">
        <is>
          <t>tennis-surface-elo-v1</t>
        </is>
      </c>
      <c r="BD1190" s="24" t="inlineStr">
        <is>
          <t>6c67e999d2a03612e30f4032c8e5e77e8becfbc79e05f4c8993e726b90d34d54</t>
        </is>
      </c>
      <c r="BE1190" s="24" t="inlineStr">
        <is>
          <t>tennis-surface-elo-v1</t>
        </is>
      </c>
      <c r="BF1190" s="24" t="inlineStr">
        <is>
          <t>1</t>
        </is>
      </c>
      <c r="BG1190" s="24" t="inlineStr">
        <is>
          <t>6c67e999d2a03612e30f4032c8e5e77e8becfbc79e05f4c8993e726b90d34d54</t>
        </is>
      </c>
      <c r="BH1190" s="24" t="inlineStr">
        <is>
          <t>2026-10-01T16:06:06.093576Z</t>
        </is>
      </c>
      <c r="BI1190" s="24" t="inlineStr">
        <is>
          <t>["same_event","same_team_same_day","same_league_same_day"]</t>
        </is>
      </c>
      <c r="BJ1190" s="25" t="n"/>
      <c r="BK1190" s="26" t="n">
        <v>-1329</v>
      </c>
      <c r="BL1190" s="27" t="n">
        <v>1.075245</v>
      </c>
      <c r="BM1190" s="28" t="n">
        <v>0.930021</v>
      </c>
      <c r="BN1190" s="28" t="n"/>
      <c r="BO1190" s="28" t="n"/>
      <c r="BP1190" s="25" t="n"/>
      <c r="BQ1190" s="27" t="n">
        <v>1.075245</v>
      </c>
      <c r="BR1190" s="28" t="n">
        <v>0.93</v>
      </c>
      <c r="BS1190" s="28" t="n"/>
      <c r="BT1190" s="28" t="n"/>
      <c r="BU1190" s="25" t="n"/>
      <c r="BV1190" s="29" t="n"/>
      <c r="BW1190" s="24" t="n"/>
      <c r="BX1190" s="30" t="n"/>
      <c r="BY1190" s="27" t="n"/>
      <c r="BZ1190" s="24" t="n"/>
      <c r="CA1190" s="31" t="n"/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n"/>
      <c r="CU1190" s="24" t="n"/>
      <c r="CV1190" s="24" t="n"/>
      <c r="CW1190" s="24" t="n"/>
      <c r="CX1190" s="24" t="n"/>
      <c r="CY1190" s="24" t="n"/>
      <c r="CZ1190" s="24" t="n"/>
      <c r="DA1190" s="24" t="n"/>
      <c r="DB1190" s="24" t="n"/>
      <c r="DC1190" s="24" t="n"/>
      <c r="DD1190" s="24" t="inlineStr">
        <is>
          <t>896073f99d082222fb6c5af7885abd926c91cfbf1e6a21e94cf3bcead34b90a7</t>
        </is>
      </c>
      <c r="DE1190" s="24" t="inlineStr">
        <is>
          <t>/Users/vincentc9002/model-prediction/data/odds/tennis/2026-10-01/polymarket_snapshots.jsonl</t>
        </is>
      </c>
      <c r="DF1190" s="24" t="inlineStr">
        <is>
          <t>1144292:2026-10-01T16:06:06.093576Z</t>
        </is>
      </c>
      <c r="DG1190" s="24" t="n"/>
      <c r="DH1190" s="24" t="n"/>
      <c r="DI1190" s="24" t="n"/>
      <c r="DJ1190" s="24" t="inlineStr">
        <is>
          <t>0.930021</t>
        </is>
      </c>
      <c r="DK1190" s="24" t="n"/>
      <c r="DL1190" s="24" t="n"/>
      <c r="DM1190" s="24" t="n"/>
      <c r="DN1190" s="24" t="n"/>
      <c r="DO1190" s="24" t="n"/>
      <c r="DP1190" s="24" t="n"/>
      <c r="DQ1190" s="24" t="inlineStr">
        <is>
          <t>{"artifact_hash": "6c67e999d2a03612e30f4032c8e5e77e8becfbc79e05f4c8993e726b90d34d54", "away_team": "Mirra Andreeva", "event_id": "959-2026:184303", "event_start_utc": "2026-10-02T03:00Z", "features": {"elo_p1_surface": 1818.3, "elo_p2_surface": 1546.3, "expected_games_p1": 12.32, "expected_games_p2": 4.25, "expected_total_games": 16.57, "history_matches": 16479, "min_player_matches": 143, "surface": "Hard"}, "historical_source_observation_times_verified": false, "home_team": "Yuan Yue", "inference_inputs": {"code_sha256": {"features/elo_ratings.py": "8525faf022a6343c452286dbfeb17dbb043744c6bdabbe448b6b371216da439b", "models/tennis.py": "6c67e999d2a03612e30f4032c8e5e77e8becfbc79e05f4c8993e726b90d34d54"}, "overall_ratings": [1890.993966534324, 1509.4951219992129], "players": ["Mirra Andreeva", "Yuan Yue"], "sport": "TENNIS", "surface": "Hard", "surface_counts": [117, 124], "surface_ratings": [1818.3373915397729, 1546.3475202365846]}, "market_type": "moneyline", "model_version": "tennis-surface-elo-v1", "observed_at_utc": "2026-10-01T22:06:45.383901+00:00", "probabilities": {"away": 0.8481, "home": 0.1519}, "replay_scope": "Exact full-precision serving state and rounding; upstream historical observation times are not certified.", "schema": "coded-moneyline-replay-v1", "snapshot_hash": "34c09c2e45dc1361c2de15b8ea04a24cedc8525bfd54a418cbc39dff309daf3f", "sport": "TENNIS"}</t>
        </is>
      </c>
    </row>
    <row r="1191" ht="36" customHeight="1">
      <c r="A1191" s="24" t="inlineStr">
        <is>
          <t>0387f724e350405e</t>
        </is>
      </c>
      <c r="B1191" s="24" t="inlineStr">
        <is>
          <t>2026-10-01T22:06:47.003722Z</t>
        </is>
      </c>
      <c r="C1191" s="24" t="inlineStr">
        <is>
          <t>2026-10-02T03:00Z</t>
        </is>
      </c>
      <c r="D1191" s="24" t="inlineStr">
        <is>
          <t>959-2026:184308</t>
        </is>
      </c>
      <c r="E1191" s="24" t="inlineStr">
        <is>
          <t>TENNIS</t>
        </is>
      </c>
      <c r="F1191" s="24" t="inlineStr">
        <is>
          <t>Liudmila Samsonova</t>
        </is>
      </c>
      <c r="G1191" s="24" t="inlineStr">
        <is>
          <t>Linda Fruhvirtova</t>
        </is>
      </c>
      <c r="H1191" s="24" t="inlineStr">
        <is>
          <t>moneyline</t>
        </is>
      </c>
      <c r="I1191" s="24" t="inlineStr">
        <is>
          <t>away</t>
        </is>
      </c>
      <c r="J1191" s="25" t="n"/>
      <c r="K1191" s="24" t="inlineStr">
        <is>
          <t>polymarket_us</t>
        </is>
      </c>
      <c r="L1191" s="26" t="n">
        <v>-355</v>
      </c>
      <c r="M1191" s="27" t="n">
        <v>1.28169</v>
      </c>
      <c r="N1191" s="28" t="n">
        <v>0.78022</v>
      </c>
      <c r="O1191" s="28" t="n">
        <v>0.6866</v>
      </c>
      <c r="P1191" s="28" t="n">
        <v>0.05</v>
      </c>
      <c r="Q1191" s="28" t="n">
        <v>-0.09361999999999999</v>
      </c>
      <c r="R1191" s="26" t="n">
        <v>0</v>
      </c>
      <c r="S1191" s="29" t="n">
        <v>1</v>
      </c>
      <c r="T1191" s="24" t="inlineStr">
        <is>
          <t>tennis-surface-elo-v1</t>
        </is>
      </c>
      <c r="U1191" s="24" t="inlineStr">
        <is>
          <t>settled</t>
        </is>
      </c>
      <c r="V1191" s="24" t="inlineStr">
        <is>
          <t>win</t>
        </is>
      </c>
      <c r="W1191" s="26" t="n">
        <v>1</v>
      </c>
      <c r="X1191" s="26" t="n">
        <v>0</v>
      </c>
      <c r="Y1191" s="25" t="n"/>
      <c r="Z1191" s="26" t="n">
        <v>-355</v>
      </c>
      <c r="AA1191" s="28" t="n">
        <v>0.78</v>
      </c>
      <c r="AB1191" s="28" t="n">
        <v>-0.00022</v>
      </c>
      <c r="AC1191" s="30" t="n">
        <v>0.2817</v>
      </c>
      <c r="AD1191" s="24" t="inlineStr">
        <is>
          <t>2026-10-02T10:00:29.168282Z</t>
        </is>
      </c>
      <c r="AE1191" s="31" t="inlineStr">
        <is>
          <t>Surface-blended Elo on Hard: Liudmila Samsonova p=0.687 vs Linda Fruhvirtova. Executable ask 0.7800 (aec-wta-linfru-liusam-2026-10-01).</t>
        </is>
      </c>
      <c r="AF1191" s="31" t="inlineStr">
        <is>
          <t>Surface-blended Elo model; singles only, WTA+ATP market coverage, not yet locked-holdout qualified -- promoted by explicit operator directive, not genuine walk-forward validation.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paper_call</t>
        </is>
      </c>
      <c r="AL1191" s="26" t="n">
        <v>4</v>
      </c>
      <c r="AM1191" s="24" t="inlineStr">
        <is>
          <t>RESEARCH_OBSERVATION</t>
        </is>
      </c>
      <c r="AN1191" s="24" t="inlineStr">
        <is>
          <t>CALL</t>
        </is>
      </c>
      <c r="AO1191" s="24" t="inlineStr">
        <is>
          <t>PAPER_CALL_LOW_EDGE</t>
        </is>
      </c>
      <c r="AP1191" s="24" t="inlineStr">
        <is>
          <t>Liudmila Samsonova</t>
        </is>
      </c>
      <c r="AQ1191" s="24" t="inlineStr">
        <is>
          <t>Liudmila Samsonova</t>
        </is>
      </c>
      <c r="AR1191" s="24" t="inlineStr">
        <is>
          <t>Liudmila Samsonova</t>
        </is>
      </c>
      <c r="AS1191" s="24" t="inlineStr">
        <is>
          <t>Linda Fruhvirtova</t>
        </is>
      </c>
      <c r="AT1191" s="24" t="inlineStr">
        <is>
          <t>Linda Fruhvirtova</t>
        </is>
      </c>
      <c r="AU1191" s="24" t="inlineStr">
        <is>
          <t>Linda Fruhvirtova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shadow_qualified</t>
        </is>
      </c>
      <c r="BA1191" s="24" t="inlineStr">
        <is>
          <t>6c67e999d2a03612e30f4032c8e5e77e8becfbc79e05f4c8993e726b90d34d54</t>
        </is>
      </c>
      <c r="BB1191" s="24" t="inlineStr">
        <is>
          <t>surface_blended_elo</t>
        </is>
      </c>
      <c r="BC1191" s="24" t="inlineStr">
        <is>
          <t>tennis-surface-elo-v1</t>
        </is>
      </c>
      <c r="BD1191" s="24" t="inlineStr">
        <is>
          <t>6c67e999d2a03612e30f4032c8e5e77e8becfbc79e05f4c8993e726b90d34d54</t>
        </is>
      </c>
      <c r="BE1191" s="24" t="inlineStr">
        <is>
          <t>tennis-surface-elo-v1</t>
        </is>
      </c>
      <c r="BF1191" s="24" t="inlineStr">
        <is>
          <t>1</t>
        </is>
      </c>
      <c r="BG1191" s="24" t="inlineStr">
        <is>
          <t>6c67e999d2a03612e30f4032c8e5e77e8becfbc79e05f4c8993e726b90d34d54</t>
        </is>
      </c>
      <c r="BH1191" s="24" t="inlineStr">
        <is>
          <t>2026-10-01T04:36:23.591460Z</t>
        </is>
      </c>
      <c r="BI1191" s="24" t="inlineStr">
        <is>
          <t>["same_event","same_team_same_day","same_league_same_day"]</t>
        </is>
      </c>
      <c r="BJ1191" s="25" t="n"/>
      <c r="BK1191" s="26" t="n">
        <v>-355</v>
      </c>
      <c r="BL1191" s="27" t="n">
        <v>1.28169</v>
      </c>
      <c r="BM1191" s="28" t="n">
        <v>0.78022</v>
      </c>
      <c r="BN1191" s="28" t="n"/>
      <c r="BO1191" s="28" t="n"/>
      <c r="BP1191" s="25" t="n"/>
      <c r="BQ1191" s="27" t="n">
        <v>1.28169</v>
      </c>
      <c r="BR1191" s="28" t="n">
        <v>0.78</v>
      </c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n"/>
      <c r="CU1191" s="24" t="n"/>
      <c r="CV1191" s="24" t="n"/>
      <c r="CW1191" s="24" t="n"/>
      <c r="CX1191" s="24" t="n"/>
      <c r="CY1191" s="24" t="n"/>
      <c r="CZ1191" s="24" t="n"/>
      <c r="DA1191" s="24" t="n"/>
      <c r="DB1191" s="24" t="n"/>
      <c r="DC1191" s="24" t="n"/>
      <c r="DD1191" s="24" t="inlineStr">
        <is>
          <t>6fbb32d54a2d2c77218de776aa736651a4fa689bcf119e2a59aed5db2375eeec</t>
        </is>
      </c>
      <c r="DE1191" s="24" t="inlineStr">
        <is>
          <t>/Users/vincentc9002/model-prediction/data/odds/tennis/2026-10-01/polymarket_snapshots.jsonl</t>
        </is>
      </c>
      <c r="DF1191" s="24" t="inlineStr">
        <is>
          <t>1144203:2026-10-01T04:36:23.591460Z</t>
        </is>
      </c>
      <c r="DG1191" s="24" t="n"/>
      <c r="DH1191" s="24" t="n"/>
      <c r="DI1191" s="24" t="n"/>
      <c r="DJ1191" s="24" t="inlineStr">
        <is>
          <t>0.78022</t>
        </is>
      </c>
      <c r="DK1191" s="24" t="n"/>
      <c r="DL1191" s="24" t="n"/>
      <c r="DM1191" s="24" t="n"/>
      <c r="DN1191" s="24" t="n"/>
      <c r="DO1191" s="24" t="n"/>
      <c r="DP1191" s="24" t="n"/>
      <c r="DQ1191" s="24" t="inlineStr">
        <is>
          <t>{"artifact_hash": "6c67e999d2a03612e30f4032c8e5e77e8becfbc79e05f4c8993e726b90d34d54", "away_team": "Liudmila Samsonova", "event_id": "959-2026:184308", "event_start_utc": "2026-10-02T03:00Z", "features": {"elo_p1_surface": 1629.7, "elo_p2_surface": 1507.8, "expected_games_p1": 13.34, "expected_games_p2": 8.24, "expected_total_games": 21.58, "history_matches": 16479, "min_player_matches": 128,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[1679.9633764025155, 1501.7846244210846], "players": ["Liudmila Samsonova", "Linda Fruhvirtova"], "sport": "TENNIS", "surface": "Hard", "surface_counts": [107, 96], "surface_ratings": [1629.6756471493866, 1507.8138531728362]}, "market_type": "moneyline", "model_version": "tennis-surface-elo-v1", "observed_at_utc": "2026-10-01T22:06:45.383901+00:00", "probabilities": {"away": 0.6866, "home": 0.3134}, "replay_scope": "Exact full-precision serving state and rounding; upstream historical observation times are not certified.", "schema": "coded-moneyline-replay-v1", "snapshot_hash": "5fb92193991f166ead4706931ac4fd451542bfee8396767a66ac146b37779846", "sport": "TENNIS"}</t>
        </is>
      </c>
    </row>
    <row r="1192" ht="36" customHeight="1">
      <c r="A1192" s="24" t="inlineStr">
        <is>
          <t>d4148e62142f44d0</t>
        </is>
      </c>
      <c r="B1192" s="24" t="inlineStr">
        <is>
          <t>2026-10-01T22:06:47.003722Z</t>
        </is>
      </c>
      <c r="C1192" s="24" t="inlineStr">
        <is>
          <t>2026-10-02T04:30Z</t>
        </is>
      </c>
      <c r="D1192" s="24" t="inlineStr">
        <is>
          <t>959-2026:184305</t>
        </is>
      </c>
      <c r="E1192" s="24" t="inlineStr">
        <is>
          <t>TENNIS</t>
        </is>
      </c>
      <c r="F1192" s="24" t="inlineStr">
        <is>
          <t>Diane Parry</t>
        </is>
      </c>
      <c r="G1192" s="24" t="inlineStr">
        <is>
          <t>Taylah Preston</t>
        </is>
      </c>
      <c r="H1192" s="24" t="inlineStr">
        <is>
          <t>moneyline</t>
        </is>
      </c>
      <c r="I1192" s="24" t="inlineStr">
        <is>
          <t>away</t>
        </is>
      </c>
      <c r="J1192" s="25" t="n"/>
      <c r="K1192" s="24" t="inlineStr">
        <is>
          <t>polymarket_us</t>
        </is>
      </c>
      <c r="L1192" s="26" t="n">
        <v>-156</v>
      </c>
      <c r="M1192" s="27" t="n">
        <v>1.641026</v>
      </c>
      <c r="N1192" s="28" t="n">
        <v>0.609375</v>
      </c>
      <c r="O1192" s="28" t="n">
        <v>0.6839</v>
      </c>
      <c r="P1192" s="28" t="n">
        <v>0.05</v>
      </c>
      <c r="Q1192" s="28" t="n">
        <v>0.07452499999999999</v>
      </c>
      <c r="R1192" s="26" t="n">
        <v>57</v>
      </c>
      <c r="S1192" s="29" t="n">
        <v>1.25</v>
      </c>
      <c r="T1192" s="24" t="inlineStr">
        <is>
          <t>tennis-surface-elo-v1</t>
        </is>
      </c>
      <c r="U1192" s="24" t="inlineStr">
        <is>
          <t>settled</t>
        </is>
      </c>
      <c r="V1192" s="24" t="inlineStr">
        <is>
          <t>loss</t>
        </is>
      </c>
      <c r="W1192" s="26" t="n">
        <v>0</v>
      </c>
      <c r="X1192" s="26" t="n">
        <v>1</v>
      </c>
      <c r="Y1192" s="25" t="n"/>
      <c r="Z1192" s="26" t="n">
        <v>-156</v>
      </c>
      <c r="AA1192" s="28" t="n">
        <v>0.61</v>
      </c>
      <c r="AB1192" s="28" t="n">
        <v>0.000625</v>
      </c>
      <c r="AC1192" s="30" t="n">
        <v>-1.25</v>
      </c>
      <c r="AD1192" s="24" t="inlineStr">
        <is>
          <t>2026-10-02T10:00:29.619024Z</t>
        </is>
      </c>
      <c r="AE1192" s="31" t="inlineStr">
        <is>
          <t>Surface-blended Elo on Hard: Diane Parry p=0.684 vs Taylah Preston. Executable ask 0.6100 (aec-wta-taypre-diapar-2026-10-01).</t>
        </is>
      </c>
      <c r="AF1192" s="31" t="inlineStr">
        <is>
          <t>Surface-blended Elo model; singles only, WTA+ATP market coverage, not yet locked-holdout qualified -- promoted by explicit operator directive, not genuine walk-forward validation.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PAPER_CALL_STALE_DATA</t>
        </is>
      </c>
      <c r="AP1192" s="24" t="inlineStr">
        <is>
          <t>Diane Parry</t>
        </is>
      </c>
      <c r="AQ1192" s="24" t="inlineStr">
        <is>
          <t>Diane Parry</t>
        </is>
      </c>
      <c r="AR1192" s="24" t="inlineStr">
        <is>
          <t>Diane Parry</t>
        </is>
      </c>
      <c r="AS1192" s="24" t="inlineStr">
        <is>
          <t>Taylah Preston</t>
        </is>
      </c>
      <c r="AT1192" s="24" t="inlineStr">
        <is>
          <t>Taylah Preston</t>
        </is>
      </c>
      <c r="AU1192" s="24" t="inlineStr">
        <is>
          <t>Taylah Preston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shadow_qualified</t>
        </is>
      </c>
      <c r="BA1192" s="24" t="inlineStr">
        <is>
          <t>6c67e999d2a03612e30f4032c8e5e77e8becfbc79e05f4c8993e726b90d34d54</t>
        </is>
      </c>
      <c r="BB1192" s="24" t="inlineStr">
        <is>
          <t>surface_blended_elo</t>
        </is>
      </c>
      <c r="BC1192" s="24" t="inlineStr">
        <is>
          <t>tennis-surface-elo-v1</t>
        </is>
      </c>
      <c r="BD1192" s="24" t="inlineStr">
        <is>
          <t>6c67e999d2a03612e30f4032c8e5e77e8becfbc79e05f4c8993e726b90d34d54</t>
        </is>
      </c>
      <c r="BE1192" s="24" t="inlineStr">
        <is>
          <t>tennis-surface-elo-v1</t>
        </is>
      </c>
      <c r="BF1192" s="24" t="inlineStr">
        <is>
          <t>1</t>
        </is>
      </c>
      <c r="BG1192" s="24" t="inlineStr">
        <is>
          <t>6c67e999d2a03612e30f4032c8e5e77e8becfbc79e05f4c8993e726b90d34d54</t>
        </is>
      </c>
      <c r="BH1192" s="24" t="inlineStr">
        <is>
          <t>2026-10-01T04:36:23.574884Z</t>
        </is>
      </c>
      <c r="BI1192" s="24" t="inlineStr">
        <is>
          <t>["same_event","same_team_same_day","same_league_same_day"]</t>
        </is>
      </c>
      <c r="BJ1192" s="25" t="n"/>
      <c r="BK1192" s="26" t="n">
        <v>-156</v>
      </c>
      <c r="BL1192" s="27" t="n">
        <v>1.641026</v>
      </c>
      <c r="BM1192" s="28" t="n">
        <v>0.609375</v>
      </c>
      <c r="BN1192" s="28" t="n"/>
      <c r="BO1192" s="28" t="n"/>
      <c r="BP1192" s="25" t="n"/>
      <c r="BQ1192" s="27" t="n">
        <v>1.641026</v>
      </c>
      <c r="BR1192" s="28" t="n">
        <v>0.61</v>
      </c>
      <c r="BS1192" s="28" t="n"/>
      <c r="BT1192" s="28" t="n"/>
      <c r="BU1192" s="25" t="n"/>
      <c r="BV1192" s="29" t="n"/>
      <c r="BW1192" s="24" t="n"/>
      <c r="BX1192" s="30" t="n"/>
      <c r="BY1192" s="27" t="n"/>
      <c r="BZ1192" s="24" t="n"/>
      <c r="CA1192" s="31" t="n"/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True</t>
        </is>
      </c>
      <c r="CT1192" s="24" t="n"/>
      <c r="CU1192" s="24" t="n"/>
      <c r="CV1192" s="24" t="n"/>
      <c r="CW1192" s="24" t="n"/>
      <c r="CX1192" s="24" t="n"/>
      <c r="CY1192" s="24" t="n"/>
      <c r="CZ1192" s="24" t="n"/>
      <c r="DA1192" s="24" t="n"/>
      <c r="DB1192" s="24" t="n"/>
      <c r="DC1192" s="24" t="n"/>
      <c r="DD1192" s="24" t="inlineStr">
        <is>
          <t>a1b2f4732871cbe2e952dc918b02982245b0ac7720d76d2acb83f78d41c564dd</t>
        </is>
      </c>
      <c r="DE1192" s="24" t="inlineStr">
        <is>
          <t>/Users/vincentc9002/model-prediction/data/odds/tennis/2026-10-01/polymarket_snapshots.jsonl</t>
        </is>
      </c>
      <c r="DF1192" s="24" t="inlineStr">
        <is>
          <t>1144430:2026-10-01T04:36:23.574884Z</t>
        </is>
      </c>
      <c r="DG1192" s="24" t="n"/>
      <c r="DH1192" s="24" t="n"/>
      <c r="DI1192" s="24" t="n"/>
      <c r="DJ1192" s="24" t="inlineStr">
        <is>
          <t>0.609375</t>
        </is>
      </c>
      <c r="DK1192" s="24" t="n"/>
      <c r="DL1192" s="24" t="n"/>
      <c r="DM1192" s="24" t="n"/>
      <c r="DN1192" s="24" t="n"/>
      <c r="DO1192" s="24" t="n"/>
      <c r="DP1192" s="24" t="n"/>
      <c r="DQ1192" s="24" t="inlineStr">
        <is>
          <t>{"artifact_hash": "6c67e999d2a03612e30f4032c8e5e77e8becfbc79e05f4c8993e726b90d34d54", "away_team": "Diane Parry", "event_id": "959-2026:184305", "event_start_utc": "2026-10-02T04:30Z", "features": {"elo_p1_surface": 1662.9, "elo_p2_surface": 1540.5, "expected_games_p1": 13.34, "expected_games_p2": 8.22, "expected_total_games": 21.56, "history_matches": 16479, "min_player_matches": 80, "surface": "Hard"}, "historical_source_observation_times_verified": false, "home_team": "Taylah Preston", "inference_inputs": {"code_sha256": {"features/elo_ratings.py": "8525faf022a6343c452286dbfeb17dbb043744c6bdabbe448b6b371216da439b", "models/tennis.py": "6c67e999d2a03612e30f4032c8e5e77e8becfbc79e05f4c8993e726b90d34d54"}, "overall_ratings": [1713.490670332329, 1543.5285304170661], "players": ["Diane Parry", "Taylah Preston"], "sport": "TENNIS", "surface": "Hard", "surface_counts": [113, 63], "surface_ratings": [1662.8956130368042, 1540.4766989716763]}, "market_type": "moneyline", "model_version": "tennis-surface-elo-v1", "observed_at_utc": "2026-10-01T22:06:45.383901+00:00", "probabilities": {"away": 0.6839, "home": 0.3161}, "replay_scope": "Exact full-precision serving state and rounding; upstream historical observation times are not certified.", "schema": "coded-moneyline-replay-v1", "snapshot_hash": "1b07ee7bd82a68a6c27d8379160358b6905e5d385863ab787dd105d4f6ca2d25", "sport": "TENNIS"}</t>
        </is>
      </c>
    </row>
    <row r="1193" ht="36" customHeight="1">
      <c r="A1193" s="24" t="inlineStr">
        <is>
          <t>26d68dc7d6304ce4</t>
        </is>
      </c>
      <c r="B1193" s="24" t="inlineStr">
        <is>
          <t>2026-10-01T22:06:47.003722Z</t>
        </is>
      </c>
      <c r="C1193" s="24" t="inlineStr">
        <is>
          <t>2026-10-02T04:30Z</t>
        </is>
      </c>
      <c r="D1193" s="24" t="inlineStr">
        <is>
          <t>959-2026:184318</t>
        </is>
      </c>
      <c r="E1193" s="24" t="inlineStr">
        <is>
          <t>TENNIS</t>
        </is>
      </c>
      <c r="F1193" s="24" t="inlineStr">
        <is>
          <t>Elena-Gabriela Ruse</t>
        </is>
      </c>
      <c r="G1193" s="24" t="inlineStr">
        <is>
          <t>Linda Noskova</t>
        </is>
      </c>
      <c r="H1193" s="24" t="inlineStr">
        <is>
          <t>moneyline</t>
        </is>
      </c>
      <c r="I1193" s="24" t="inlineStr">
        <is>
          <t>home</t>
        </is>
      </c>
      <c r="J1193" s="25" t="n"/>
      <c r="K1193" s="24" t="inlineStr">
        <is>
          <t>polymarket_us</t>
        </is>
      </c>
      <c r="L1193" s="26" t="n">
        <v>-2400</v>
      </c>
      <c r="M1193" s="27" t="n">
        <v>1.041667</v>
      </c>
      <c r="N1193" s="28" t="n">
        <v>0.96</v>
      </c>
      <c r="O1193" s="28" t="n">
        <v>0.6656</v>
      </c>
      <c r="P1193" s="28" t="n">
        <v>0.05</v>
      </c>
      <c r="Q1193" s="28" t="n">
        <v>-0.2944</v>
      </c>
      <c r="R1193" s="26" t="n">
        <v>0</v>
      </c>
      <c r="S1193" s="29" t="n">
        <v>1</v>
      </c>
      <c r="T1193" s="24" t="inlineStr">
        <is>
          <t>tennis-surface-elo-v1</t>
        </is>
      </c>
      <c r="U1193" s="24" t="inlineStr">
        <is>
          <t>settled</t>
        </is>
      </c>
      <c r="V1193" s="24" t="inlineStr">
        <is>
          <t>win</t>
        </is>
      </c>
      <c r="W1193" s="26" t="n">
        <v>0</v>
      </c>
      <c r="X1193" s="26" t="n">
        <v>1</v>
      </c>
      <c r="Y1193" s="25" t="n"/>
      <c r="Z1193" s="26" t="n">
        <v>-2400</v>
      </c>
      <c r="AA1193" s="28" t="n">
        <v>0.96</v>
      </c>
      <c r="AB1193" s="28" t="n">
        <v>0</v>
      </c>
      <c r="AC1193" s="30" t="n">
        <v>0.0417</v>
      </c>
      <c r="AD1193" s="24" t="inlineStr">
        <is>
          <t>2026-10-02T10:00:30.068695Z</t>
        </is>
      </c>
      <c r="AE1193" s="31" t="inlineStr">
        <is>
          <t>Surface-blended Elo on Hard: Elena-Gabriela Ruse p=0.334 vs Linda Noskova. Executable ask 0.9600 (aec-wta-linnos-gabrus-2026-10-01).</t>
        </is>
      </c>
      <c r="AF1193" s="31" t="inlineStr">
        <is>
          <t>Surface-blended Elo model; singles only, WTA+ATP market coverage, not yet locked-holdout qualified -- promoted by explicit operator directive, not genuine walk-forward validation.</t>
        </is>
      </c>
      <c r="AG1193" s="24" t="inlineStr">
        <is>
          <t>not_applicable</t>
        </is>
      </c>
      <c r="AH1193" s="24" t="n"/>
      <c r="AI1193" s="31" t="n"/>
      <c r="AJ1193" s="31" t="n"/>
      <c r="AK1193" s="24" t="inlineStr">
        <is>
          <t>paper_call</t>
        </is>
      </c>
      <c r="AL1193" s="26" t="n">
        <v>4</v>
      </c>
      <c r="AM1193" s="24" t="inlineStr">
        <is>
          <t>RESEARCH_OBSERVATION</t>
        </is>
      </c>
      <c r="AN1193" s="24" t="inlineStr">
        <is>
          <t>CALL</t>
        </is>
      </c>
      <c r="AO1193" s="24" t="inlineStr">
        <is>
          <t>PAPER_CALL_LOW_EDGE</t>
        </is>
      </c>
      <c r="AP1193" s="24" t="inlineStr">
        <is>
          <t>Elena-Gabriela Ruse</t>
        </is>
      </c>
      <c r="AQ1193" s="24" t="inlineStr">
        <is>
          <t>Elena-Gabriela Ruse</t>
        </is>
      </c>
      <c r="AR1193" s="24" t="inlineStr">
        <is>
          <t>Elena-Gabriela Ruse</t>
        </is>
      </c>
      <c r="AS1193" s="24" t="inlineStr">
        <is>
          <t>Linda Noskova</t>
        </is>
      </c>
      <c r="AT1193" s="24" t="inlineStr">
        <is>
          <t>Linda Noskova</t>
        </is>
      </c>
      <c r="AU1193" s="24" t="inlineStr">
        <is>
          <t>Linda Noskova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shadow_qualified</t>
        </is>
      </c>
      <c r="BA1193" s="24" t="inlineStr">
        <is>
          <t>6c67e999d2a03612e30f4032c8e5e77e8becfbc79e05f4c8993e726b90d34d54</t>
        </is>
      </c>
      <c r="BB1193" s="24" t="inlineStr">
        <is>
          <t>surface_blended_elo</t>
        </is>
      </c>
      <c r="BC1193" s="24" t="inlineStr">
        <is>
          <t>tennis-surface-elo-v1</t>
        </is>
      </c>
      <c r="BD1193" s="24" t="inlineStr">
        <is>
          <t>6c67e999d2a03612e30f4032c8e5e77e8becfbc79e05f4c8993e726b90d34d54</t>
        </is>
      </c>
      <c r="BE1193" s="24" t="inlineStr">
        <is>
          <t>tennis-surface-elo-v1</t>
        </is>
      </c>
      <c r="BF1193" s="24" t="inlineStr">
        <is>
          <t>1</t>
        </is>
      </c>
      <c r="BG1193" s="24" t="inlineStr">
        <is>
          <t>6c67e999d2a03612e30f4032c8e5e77e8becfbc79e05f4c8993e726b90d34d54</t>
        </is>
      </c>
      <c r="BH1193" s="24" t="inlineStr">
        <is>
          <t>2026-09-30T04:49:00.920880Z</t>
        </is>
      </c>
      <c r="BI1193" s="24" t="inlineStr">
        <is>
          <t>["same_event","same_team_same_day","same_league_same_day"]</t>
        </is>
      </c>
      <c r="BJ1193" s="25" t="n"/>
      <c r="BK1193" s="26" t="n">
        <v>-2400</v>
      </c>
      <c r="BL1193" s="27" t="n">
        <v>1.041667</v>
      </c>
      <c r="BM1193" s="28" t="n">
        <v>0.96</v>
      </c>
      <c r="BN1193" s="28" t="n"/>
      <c r="BO1193" s="28" t="n"/>
      <c r="BP1193" s="25" t="n"/>
      <c r="BQ1193" s="27" t="n">
        <v>1.041667</v>
      </c>
      <c r="BR1193" s="28" t="n">
        <v>0.96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n"/>
      <c r="CU1193" s="24" t="n"/>
      <c r="CV1193" s="24" t="n"/>
      <c r="CW1193" s="24" t="n"/>
      <c r="CX1193" s="24" t="n"/>
      <c r="CY1193" s="24" t="n"/>
      <c r="CZ1193" s="24" t="n"/>
      <c r="DA1193" s="24" t="n"/>
      <c r="DB1193" s="24" t="n"/>
      <c r="DC1193" s="24" t="n"/>
      <c r="DD1193" s="24" t="inlineStr">
        <is>
          <t>6ea824b3c7c527e72a71d898fb1c482ad80f47cdbba2635ec34ebb3afcfa135c</t>
        </is>
      </c>
      <c r="DE1193" s="24" t="inlineStr">
        <is>
          <t>/Users/vincentc9002/model-prediction/data/odds/tennis/2026-10-01/polymarket_snapshots.jsonl</t>
        </is>
      </c>
      <c r="DF1193" s="24" t="inlineStr">
        <is>
          <t>1142692:2026-09-30T04:49:00.920880Z</t>
        </is>
      </c>
      <c r="DG1193" s="24" t="n"/>
      <c r="DH1193" s="24" t="n"/>
      <c r="DI1193" s="24" t="n"/>
      <c r="DJ1193" s="24" t="inlineStr">
        <is>
          <t>0.96</t>
        </is>
      </c>
      <c r="DK1193" s="24" t="n"/>
      <c r="DL1193" s="24" t="n"/>
      <c r="DM1193" s="24" t="n"/>
      <c r="DN1193" s="24" t="n"/>
      <c r="DO1193" s="24" t="n"/>
      <c r="DP1193" s="24" t="n"/>
      <c r="DQ1193" s="24" t="inlineStr">
        <is>
          <t>{"artifact_hash": "6c67e999d2a03612e30f4032c8e5e77e8becfbc79e05f4c8993e726b90d34d54", "away_team": "Elena-Gabriela Ruse", "event_id": "959-2026:184318", "event_start_utc": "2026-10-02T04:30Z", "features": {"elo_p1_surface": 1711.5, "elo_p2_surface": 1798.2, "expected_games_p1": 9.93, "expected_games_p2": 13.28, "expected_total_games": 23.22, "history_matches": 16479, "min_player_matches": 139, "surface": "Hard"}, "historical_source_observation_times_verified": false, "home_team": "Linda Noskova", "inference_inputs": {"code_sha256": {"features/elo_ratings.py": "8525faf022a6343c452286dbfeb17dbb043744c6bdabbe448b6b371216da439b", "models/tennis.py": "6c67e999d2a03612e30f4032c8e5e77e8becfbc79e05f4c8993e726b90d34d54"}, "overall_ratings": [1710.1971385646716, 1929.4115522771754], "players": ["Elena-Gabriela Ruse", "Linda Noskova"], "sport": "TENNIS", "surface": "Hard", "surface_counts": [113, 115], "surface_ratings": [1711.4977109793901, 1798.1840038504702]}, "market_type": "moneyline", "model_version": "tennis-surface-elo-v1", "observed_at_utc": "2026-10-01T22:06:45.383901+00:00", "probabilities": {"away": 0.3344, "home": 0.6656}, "replay_scope": "Exact full-precision serving state and rounding; upstream historical observation times are not certified.", "schema": "coded-moneyline-replay-v1", "snapshot_hash": "e950951095220f6fbdf82a491dc04193088e7814c443403e3d19a41ab6717620", "sport": "TENNIS"}</t>
        </is>
      </c>
    </row>
    <row r="1194" ht="36" customHeight="1">
      <c r="A1194" s="24" t="inlineStr">
        <is>
          <t>000e1ca93b264a43</t>
        </is>
      </c>
      <c r="B1194" s="24" t="inlineStr">
        <is>
          <t>2026-10-01T22:06:47.003722Z</t>
        </is>
      </c>
      <c r="C1194" s="24" t="inlineStr">
        <is>
          <t>2026-10-02T03:30Z</t>
        </is>
      </c>
      <c r="D1194" s="24" t="inlineStr">
        <is>
          <t>5-2026:183506</t>
        </is>
      </c>
      <c r="E1194" s="24" t="inlineStr">
        <is>
          <t>TENNIS</t>
        </is>
      </c>
      <c r="F1194" s="24" t="inlineStr">
        <is>
          <t>Stefanos Tsitsipas</t>
        </is>
      </c>
      <c r="G1194" s="24" t="inlineStr">
        <is>
          <t>Valentin Vacherot</t>
        </is>
      </c>
      <c r="H1194" s="24" t="inlineStr">
        <is>
          <t>moneyline</t>
        </is>
      </c>
      <c r="I1194" s="24" t="inlineStr">
        <is>
          <t>away</t>
        </is>
      </c>
      <c r="J1194" s="25" t="n"/>
      <c r="K1194" s="24" t="inlineStr">
        <is>
          <t>polymarket_us</t>
        </is>
      </c>
      <c r="L1194" s="26" t="n">
        <v>-150</v>
      </c>
      <c r="M1194" s="27" t="n">
        <v>1.666667</v>
      </c>
      <c r="N1194" s="28" t="n">
        <v>0.6</v>
      </c>
      <c r="O1194" s="28" t="n">
        <v>0.5745</v>
      </c>
      <c r="P1194" s="28" t="n">
        <v>0.05</v>
      </c>
      <c r="Q1194" s="28" t="n">
        <v>-0.0255</v>
      </c>
      <c r="R1194" s="26" t="n">
        <v>7</v>
      </c>
      <c r="S1194" s="29" t="n">
        <v>1</v>
      </c>
      <c r="T1194" s="24" t="inlineStr">
        <is>
          <t>tennis-surface-elo-v1</t>
        </is>
      </c>
      <c r="U1194" s="24" t="inlineStr">
        <is>
          <t>settled</t>
        </is>
      </c>
      <c r="V1194" s="24" t="inlineStr">
        <is>
          <t>loss</t>
        </is>
      </c>
      <c r="W1194" s="26" t="n">
        <v>0</v>
      </c>
      <c r="X1194" s="26" t="n">
        <v>1</v>
      </c>
      <c r="Y1194" s="25" t="n"/>
      <c r="Z1194" s="26" t="n">
        <v>-150</v>
      </c>
      <c r="AA1194" s="28" t="n">
        <v>0.6</v>
      </c>
      <c r="AB1194" s="28" t="n">
        <v>0</v>
      </c>
      <c r="AC1194" s="30" t="n">
        <v>-1</v>
      </c>
      <c r="AD1194" s="24" t="inlineStr">
        <is>
          <t>2026-10-02T10:00:30.532797Z</t>
        </is>
      </c>
      <c r="AE1194" s="31" t="inlineStr">
        <is>
          <t>Surface-blended Elo on Hard: Stefanos Tsitsipas p=0.574 vs Valentin Vacherot. Executable ask 0.6000 (aec-atp-valvac-stetsi-2026-10-01).</t>
        </is>
      </c>
      <c r="AF1194" s="31" t="inlineStr">
        <is>
          <t>Surface-blended Elo model; singles only, WTA+ATP market coverage, not yet locked-holdout qualified -- promoted by explicit operator directive, not genuine walk-forward validation.</t>
        </is>
      </c>
      <c r="AG1194" s="24" t="inlineStr">
        <is>
          <t>review_required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PAPER_CALL_LOW_EDGE</t>
        </is>
      </c>
      <c r="AP1194" s="24" t="inlineStr">
        <is>
          <t>Stefanos Tsitsipas</t>
        </is>
      </c>
      <c r="AQ1194" s="24" t="inlineStr">
        <is>
          <t>Stefanos Tsitsipas</t>
        </is>
      </c>
      <c r="AR1194" s="24" t="inlineStr">
        <is>
          <t>Stefanos Tsitsipas</t>
        </is>
      </c>
      <c r="AS1194" s="24" t="inlineStr">
        <is>
          <t>Valentin Vacherot</t>
        </is>
      </c>
      <c r="AT1194" s="24" t="inlineStr">
        <is>
          <t>Valentin Vacherot</t>
        </is>
      </c>
      <c r="AU1194" s="24" t="inlineStr">
        <is>
          <t>Valentin Vacherot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shadow_qualified</t>
        </is>
      </c>
      <c r="BA1194" s="24" t="inlineStr">
        <is>
          <t>6c67e999d2a03612e30f4032c8e5e77e8becfbc79e05f4c8993e726b90d34d54</t>
        </is>
      </c>
      <c r="BB1194" s="24" t="inlineStr">
        <is>
          <t>surface_blended_elo</t>
        </is>
      </c>
      <c r="BC1194" s="24" t="inlineStr">
        <is>
          <t>tennis-surface-elo-v1</t>
        </is>
      </c>
      <c r="BD1194" s="24" t="inlineStr">
        <is>
          <t>6c67e999d2a03612e30f4032c8e5e77e8becfbc79e05f4c8993e726b90d34d54</t>
        </is>
      </c>
      <c r="BE1194" s="24" t="inlineStr">
        <is>
          <t>tennis-surface-elo-v1</t>
        </is>
      </c>
      <c r="BF1194" s="24" t="inlineStr">
        <is>
          <t>1</t>
        </is>
      </c>
      <c r="BG1194" s="24" t="inlineStr">
        <is>
          <t>6c67e999d2a03612e30f4032c8e5e77e8becfbc79e05f4c8993e726b90d34d54</t>
        </is>
      </c>
      <c r="BH1194" s="24" t="inlineStr">
        <is>
          <t>2026-10-01T10:07:46.103793Z</t>
        </is>
      </c>
      <c r="BI1194" s="24" t="inlineStr">
        <is>
          <t>["same_event","same_team_same_day","same_league_same_day"]</t>
        </is>
      </c>
      <c r="BJ1194" s="25" t="n"/>
      <c r="BK1194" s="26" t="n">
        <v>-150</v>
      </c>
      <c r="BL1194" s="27" t="n">
        <v>1.666667</v>
      </c>
      <c r="BM1194" s="28" t="n">
        <v>0.6</v>
      </c>
      <c r="BN1194" s="28" t="n"/>
      <c r="BO1194" s="28" t="n"/>
      <c r="BP1194" s="25" t="n"/>
      <c r="BQ1194" s="27" t="n">
        <v>1.666667</v>
      </c>
      <c r="BR1194" s="28" t="n">
        <v>0.6</v>
      </c>
      <c r="BS1194" s="28" t="n"/>
      <c r="BT1194" s="28" t="n"/>
      <c r="BU1194" s="25" t="n"/>
      <c r="BV1194" s="29" t="n"/>
      <c r="BW1194" s="24" t="n"/>
      <c r="BX1194" s="30" t="n"/>
      <c r="BY1194" s="27" t="n"/>
      <c r="BZ1194" s="24" t="n"/>
      <c r="CA1194" s="31" t="n"/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False</t>
        </is>
      </c>
      <c r="CT1194" s="24" t="n"/>
      <c r="CU1194" s="24" t="n"/>
      <c r="CV1194" s="24" t="n"/>
      <c r="CW1194" s="24" t="n"/>
      <c r="CX1194" s="24" t="n"/>
      <c r="CY1194" s="24" t="n"/>
      <c r="CZ1194" s="24" t="n"/>
      <c r="DA1194" s="24" t="n"/>
      <c r="DB1194" s="24" t="n"/>
      <c r="DC1194" s="24" t="n"/>
      <c r="DD1194" s="24" t="inlineStr">
        <is>
          <t>e99f42a53b47f3d639765149de74f92ac453324ed1e0c79b10c25e7aa24e5ea4</t>
        </is>
      </c>
      <c r="DE1194" s="24" t="inlineStr">
        <is>
          <t>/Users/vincentc9002/model-prediction/data/odds/tennis/2026-10-01/polymarket_snapshots.jsonl</t>
        </is>
      </c>
      <c r="DF1194" s="24" t="inlineStr">
        <is>
          <t>1155065:2026-10-01T10:07:46.103793Z</t>
        </is>
      </c>
      <c r="DG1194" s="24" t="n"/>
      <c r="DH1194" s="24" t="n"/>
      <c r="DI1194" s="24" t="n"/>
      <c r="DJ1194" s="24" t="inlineStr">
        <is>
          <t>0.6</t>
        </is>
      </c>
      <c r="DK1194" s="24" t="n"/>
      <c r="DL1194" s="24" t="n"/>
      <c r="DM1194" s="24" t="n"/>
      <c r="DN1194" s="24" t="n"/>
      <c r="DO1194" s="24" t="n"/>
      <c r="DP1194" s="24" t="n"/>
      <c r="DQ1194" s="24" t="inlineStr">
        <is>
          <t>{"artifact_hash": "6c67e999d2a03612e30f4032c8e5e77e8becfbc79e05f4c8993e726b90d34d54", "away_team": "Stefanos Tsitsipas", "event_id": "5-2026:183506", "event_start_utc": "2026-10-02T03:30Z", "features": {"elo_p1_surface": 1680.0, "elo_p2_surface": 1631.1, "expected_games_p1": 13.63, "expected_games_p2": 11.28, "expected_total_games": 24.91, "history_matches": 11322, "min_player_matches": 76,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[1729.5469277383972, 1662.5071109282967], "players": ["Stefanos Tsitsipas", "Valentin Vacherot"], "sport": "TENNIS", "surface": "Hard", "surface_counts": [83, 53], "surface_ratings": [1679.9967270924114, 1631.149018281788]}, "market_type": "moneyline", "model_version": "tennis-surface-elo-v1", "observed_at_utc": "2026-10-01T22:06:45.383901+00:00", "probabilities": {"away": 0.5745, "home": 0.4255}, "replay_scope": "Exact full-precision serving state and rounding; upstream historical observation times are not certified.", "schema": "coded-moneyline-replay-v1", "snapshot_hash": "c4d5f060e64eadf98eef09dac01a2b7539a37e8dcff3270ecc81c8a21701fc55", "sport": "TENNIS"}</t>
        </is>
      </c>
    </row>
    <row r="1195" ht="36" customHeight="1">
      <c r="A1195" s="24" t="inlineStr">
        <is>
          <t>d13b017b468e4146</t>
        </is>
      </c>
      <c r="B1195" s="24" t="inlineStr">
        <is>
          <t>2026-10-02T04:39:34.646986Z</t>
        </is>
      </c>
      <c r="C1195" s="24" t="inlineStr">
        <is>
          <t>2026-10-02T06:00Z</t>
        </is>
      </c>
      <c r="D1195" s="24" t="inlineStr">
        <is>
          <t>959-2026:184304</t>
        </is>
      </c>
      <c r="E1195" s="24" t="inlineStr">
        <is>
          <t>TENNIS</t>
        </is>
      </c>
      <c r="F1195" s="24" t="inlineStr">
        <is>
          <t>Polina Kudermetova</t>
        </is>
      </c>
      <c r="G1195" s="24" t="inlineStr">
        <is>
          <t>Clara Tauson</t>
        </is>
      </c>
      <c r="H1195" s="24" t="inlineStr">
        <is>
          <t>moneyline</t>
        </is>
      </c>
      <c r="I1195" s="24" t="inlineStr">
        <is>
          <t>home</t>
        </is>
      </c>
      <c r="J1195" s="25" t="n"/>
      <c r="K1195" s="24" t="inlineStr">
        <is>
          <t>polymarket_us</t>
        </is>
      </c>
      <c r="L1195" s="26" t="n">
        <v>-170</v>
      </c>
      <c r="M1195" s="27" t="n">
        <v>1.588235</v>
      </c>
      <c r="N1195" s="28" t="n">
        <v>0.62963</v>
      </c>
      <c r="O1195" s="28" t="n">
        <v>0.5616</v>
      </c>
      <c r="P1195" s="28" t="n">
        <v>0.05</v>
      </c>
      <c r="Q1195" s="28" t="n">
        <v>-0.06802999999999999</v>
      </c>
      <c r="R1195" s="26" t="n">
        <v>0</v>
      </c>
      <c r="S1195" s="29" t="n">
        <v>1</v>
      </c>
      <c r="T1195" s="24" t="inlineStr">
        <is>
          <t>tennis-surface-elo-v1</t>
        </is>
      </c>
      <c r="U1195" s="24" t="inlineStr">
        <is>
          <t>settled</t>
        </is>
      </c>
      <c r="V1195" s="24" t="inlineStr">
        <is>
          <t>loss</t>
        </is>
      </c>
      <c r="W1195" s="26" t="n">
        <v>1</v>
      </c>
      <c r="X1195" s="26" t="n">
        <v>0</v>
      </c>
      <c r="Y1195" s="25" t="n"/>
      <c r="Z1195" s="26" t="n">
        <v>-170</v>
      </c>
      <c r="AA1195" s="28" t="n">
        <v>0.63</v>
      </c>
      <c r="AB1195" s="28" t="n">
        <v>0.00037</v>
      </c>
      <c r="AC1195" s="30" t="n">
        <v>-1</v>
      </c>
      <c r="AD1195" s="24" t="inlineStr">
        <is>
          <t>2026-10-02T10:00:30.975384Z</t>
        </is>
      </c>
      <c r="AE1195" s="31" t="inlineStr">
        <is>
          <t>Surface-blended Elo on Hard: Polina Kudermetova p=0.438 vs Clara Tauson. Executable ask 0.6300 (aec-wta-clatau-polkud-2026-10-01).</t>
        </is>
      </c>
      <c r="AF1195" s="31" t="inlineStr">
        <is>
          <t>Surface-blended Elo model; singles only, WTA+ATP market coverage, not yet locked-holdout qualified -- promoted by explicit operator directive, not genuine walk-forward validation.</t>
        </is>
      </c>
      <c r="AG1195" s="24" t="inlineStr">
        <is>
          <t>review_required</t>
        </is>
      </c>
      <c r="AH1195" s="24" t="n"/>
      <c r="AI1195" s="31" t="n"/>
      <c r="AJ1195" s="31" t="n"/>
      <c r="AK1195" s="24" t="inlineStr">
        <is>
          <t>paper_call</t>
        </is>
      </c>
      <c r="AL1195" s="26" t="n">
        <v>4</v>
      </c>
      <c r="AM1195" s="24" t="inlineStr">
        <is>
          <t>RESEARCH_OBSERVATION</t>
        </is>
      </c>
      <c r="AN1195" s="24" t="inlineStr">
        <is>
          <t>CALL</t>
        </is>
      </c>
      <c r="AO1195" s="24" t="inlineStr">
        <is>
          <t>PAPER_CALL_LOW_EDGE</t>
        </is>
      </c>
      <c r="AP1195" s="24" t="inlineStr">
        <is>
          <t>Polina Kudermetova</t>
        </is>
      </c>
      <c r="AQ1195" s="24" t="inlineStr">
        <is>
          <t>Polina Kudermetova</t>
        </is>
      </c>
      <c r="AR1195" s="24" t="inlineStr">
        <is>
          <t>Polina Kudermetova</t>
        </is>
      </c>
      <c r="AS1195" s="24" t="inlineStr">
        <is>
          <t>Clara Tauson</t>
        </is>
      </c>
      <c r="AT1195" s="24" t="inlineStr">
        <is>
          <t>Clara Tauson</t>
        </is>
      </c>
      <c r="AU1195" s="24" t="inlineStr">
        <is>
          <t>Clara Tauson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shadow_qualified</t>
        </is>
      </c>
      <c r="BA1195" s="24" t="inlineStr">
        <is>
          <t>6c67e999d2a03612e30f4032c8e5e77e8becfbc79e05f4c8993e726b90d34d54</t>
        </is>
      </c>
      <c r="BB1195" s="24" t="inlineStr">
        <is>
          <t>surface_blended_elo</t>
        </is>
      </c>
      <c r="BC1195" s="24" t="inlineStr">
        <is>
          <t>tennis-surface-elo-v1</t>
        </is>
      </c>
      <c r="BD1195" s="24" t="inlineStr">
        <is>
          <t>6c67e999d2a03612e30f4032c8e5e77e8becfbc79e05f4c8993e726b90d34d54</t>
        </is>
      </c>
      <c r="BE1195" s="24" t="inlineStr">
        <is>
          <t>tennis-surface-elo-v1</t>
        </is>
      </c>
      <c r="BF1195" s="24" t="inlineStr">
        <is>
          <t>1</t>
        </is>
      </c>
      <c r="BG1195" s="24" t="inlineStr">
        <is>
          <t>6c67e999d2a03612e30f4032c8e5e77e8becfbc79e05f4c8993e726b90d34d54</t>
        </is>
      </c>
      <c r="BH1195" s="24" t="inlineStr">
        <is>
          <t>2026-10-02T04:35:39.306018Z</t>
        </is>
      </c>
      <c r="BI1195" s="24" t="inlineStr">
        <is>
          <t>["same_event","same_team_same_day","same_league_same_day"]</t>
        </is>
      </c>
      <c r="BJ1195" s="25" t="n"/>
      <c r="BK1195" s="26" t="n">
        <v>-170</v>
      </c>
      <c r="BL1195" s="27" t="n">
        <v>1.588235</v>
      </c>
      <c r="BM1195" s="28" t="n">
        <v>0.62963</v>
      </c>
      <c r="BN1195" s="28" t="n"/>
      <c r="BO1195" s="28" t="n"/>
      <c r="BP1195" s="25" t="n"/>
      <c r="BQ1195" s="27" t="n">
        <v>1.588235</v>
      </c>
      <c r="BR1195" s="28" t="n">
        <v>0.63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n"/>
      <c r="CU1195" s="24" t="n"/>
      <c r="CV1195" s="24" t="n"/>
      <c r="CW1195" s="24" t="n"/>
      <c r="CX1195" s="24" t="n"/>
      <c r="CY1195" s="24" t="n"/>
      <c r="CZ1195" s="24" t="n"/>
      <c r="DA1195" s="24" t="n"/>
      <c r="DB1195" s="24" t="n"/>
      <c r="DC1195" s="24" t="n"/>
      <c r="DD1195" s="24" t="inlineStr">
        <is>
          <t>13ed5949c82da0781ecf49e70b7e7029c03b2f180ef5e3cd374ce84b05e4db34</t>
        </is>
      </c>
      <c r="DE1195" s="24" t="inlineStr">
        <is>
          <t>/Users/vincentc9002/model-prediction/data/odds/tennis/2026-10-02/polymarket_snapshots.jsonl</t>
        </is>
      </c>
      <c r="DF1195" s="24" t="inlineStr">
        <is>
          <t>1143963:2026-10-02T04:35:39.306018Z</t>
        </is>
      </c>
      <c r="DG1195" s="24" t="n"/>
      <c r="DH1195" s="24" t="n"/>
      <c r="DI1195" s="24" t="n"/>
      <c r="DJ1195" s="24" t="inlineStr">
        <is>
          <t>0.62963</t>
        </is>
      </c>
      <c r="DK1195" s="24" t="n"/>
      <c r="DL1195" s="24" t="n"/>
      <c r="DM1195" s="24" t="n"/>
      <c r="DN1195" s="24" t="n"/>
      <c r="DO1195" s="24" t="n"/>
      <c r="DP1195" s="24" t="n"/>
      <c r="DQ1195" s="24" t="inlineStr">
        <is>
          <t>{"artifact_hash": "6c67e999d2a03612e30f4032c8e5e77e8becfbc79e05f4c8993e726b90d34d54", "away_team": "Polina Kudermetova", "event_id": "959-2026:184304", "event_start_utc": "2026-10-02T06:00Z", "features": {"elo_p1_surface": 1591.0, "elo_p2_surface": 1637.9, "expected_games_p1": 11.27, "expected_games_p2": 13.05, "expected_total_games": 24.32, "history_matches": 16501, "min_player_matches": 145, "surface": "Hard"}, "historical_source_observation_times_verified": false, "home_team": "Clara Tauson", "inference_inputs": {"code_sha256": {"features/elo_ratings.py": "8525faf022a6343c452286dbfeb17dbb043744c6bdabbe448b6b371216da439b", "models/tennis.py": "6c67e999d2a03612e30f4032c8e5e77e8becfbc79e05f4c8993e726b90d34d54"}, "overall_ratings": [1609.293191044593, 1640.0318613635504], "players": ["Polina Kudermetova", "Clara Tauson"], "sport": "TENNIS", "surface": "Hard", "surface_counts": [125, 124], "surface_ratings": [1590.9732070948132, 1637.8853018048637]}, "market_type": "moneyline", "model_version": "tennis-surface-elo-v1", "observed_at_utc": "2026-10-02T04:39:34.151636+00:00", "probabilities": {"away": 0.4384, "home": 0.5616}, "replay_scope": "Exact full-precision serving state and rounding; upstream historical observation times are not certified.", "schema": "coded-moneyline-replay-v1", "snapshot_hash": "7d13099c38a18c61e2ef8180ce11c30d8a39a667e074b62c46c85504f42ebfc7", "sport": "TENNIS"}</t>
        </is>
      </c>
    </row>
    <row r="1196" ht="36" customHeight="1">
      <c r="A1196" s="24" t="inlineStr">
        <is>
          <t>747d99f14ede40fa</t>
        </is>
      </c>
      <c r="B1196" s="24" t="inlineStr">
        <is>
          <t>2026-10-02T04:39:34.646986Z</t>
        </is>
      </c>
      <c r="C1196" s="24" t="inlineStr">
        <is>
          <t>2026-10-02T05:00Z</t>
        </is>
      </c>
      <c r="D1196" s="24" t="inlineStr">
        <is>
          <t>959-2026:183439</t>
        </is>
      </c>
      <c r="E1196" s="24" t="inlineStr">
        <is>
          <t>TENNIS</t>
        </is>
      </c>
      <c r="F1196" s="24" t="inlineStr">
        <is>
          <t>Karen Khachanov</t>
        </is>
      </c>
      <c r="G1196" s="24" t="inlineStr">
        <is>
          <t>Alex Molcan</t>
        </is>
      </c>
      <c r="H1196" s="24" t="inlineStr">
        <is>
          <t>moneyline</t>
        </is>
      </c>
      <c r="I1196" s="24" t="inlineStr">
        <is>
          <t>away</t>
        </is>
      </c>
      <c r="J1196" s="25" t="n"/>
      <c r="K1196" s="24" t="inlineStr">
        <is>
          <t>polymarket_us</t>
        </is>
      </c>
      <c r="L1196" s="26" t="n">
        <v>-355</v>
      </c>
      <c r="M1196" s="27" t="n">
        <v>1.28169</v>
      </c>
      <c r="N1196" s="28" t="n">
        <v>0.78022</v>
      </c>
      <c r="O1196" s="28" t="n">
        <v>0.539</v>
      </c>
      <c r="P1196" s="28" t="n">
        <v>0.05</v>
      </c>
      <c r="Q1196" s="28" t="n">
        <v>-0.24122</v>
      </c>
      <c r="R1196" s="26" t="n">
        <v>0</v>
      </c>
      <c r="S1196" s="29" t="n">
        <v>1</v>
      </c>
      <c r="T1196" s="24" t="inlineStr">
        <is>
          <t>tennis-surface-elo-v1</t>
        </is>
      </c>
      <c r="U1196" s="24" t="inlineStr">
        <is>
          <t>settled</t>
        </is>
      </c>
      <c r="V1196" s="24" t="inlineStr">
        <is>
          <t>win</t>
        </is>
      </c>
      <c r="W1196" s="26" t="n">
        <v>1</v>
      </c>
      <c r="X1196" s="26" t="n">
        <v>0</v>
      </c>
      <c r="Y1196" s="25" t="n"/>
      <c r="Z1196" s="26" t="n">
        <v>-355</v>
      </c>
      <c r="AA1196" s="28" t="n">
        <v>0.78</v>
      </c>
      <c r="AB1196" s="28" t="n">
        <v>-0.00022</v>
      </c>
      <c r="AC1196" s="30" t="n">
        <v>0.2817</v>
      </c>
      <c r="AD1196" s="24" t="inlineStr">
        <is>
          <t>2026-10-02T10:00:31.436304Z</t>
        </is>
      </c>
      <c r="AE1196" s="31" t="inlineStr">
        <is>
          <t>Surface-blended Elo on Hard: Karen Khachanov p=0.539 vs Alex Molcan. Executable ask 0.7800 (aec-atp-alemol-karkha-2026-10-01).</t>
        </is>
      </c>
      <c r="AF1196" s="31" t="inlineStr">
        <is>
          <t>Surface-blended Elo model; singles only, WTA+ATP market coverage, not yet locked-holdout qualified -- promoted by explicit operator directive, not genuine walk-forward validation.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PAPER_CALL_LOW_EDGE</t>
        </is>
      </c>
      <c r="AP1196" s="24" t="inlineStr">
        <is>
          <t>Karen Khachanov</t>
        </is>
      </c>
      <c r="AQ1196" s="24" t="inlineStr">
        <is>
          <t>Karen Khachanov</t>
        </is>
      </c>
      <c r="AR1196" s="24" t="inlineStr">
        <is>
          <t>Karen Khachanov</t>
        </is>
      </c>
      <c r="AS1196" s="24" t="inlineStr">
        <is>
          <t>Alex Molcan</t>
        </is>
      </c>
      <c r="AT1196" s="24" t="inlineStr">
        <is>
          <t>Alex Molcan</t>
        </is>
      </c>
      <c r="AU1196" s="24" t="inlineStr">
        <is>
          <t>Alex Molcan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shadow_qualified</t>
        </is>
      </c>
      <c r="BA1196" s="24" t="inlineStr">
        <is>
          <t>6c67e999d2a03612e30f4032c8e5e77e8becfbc79e05f4c8993e726b90d34d54</t>
        </is>
      </c>
      <c r="BB1196" s="24" t="inlineStr">
        <is>
          <t>surface_blended_elo</t>
        </is>
      </c>
      <c r="BC1196" s="24" t="inlineStr">
        <is>
          <t>tennis-surface-elo-v1</t>
        </is>
      </c>
      <c r="BD1196" s="24" t="inlineStr">
        <is>
          <t>6c67e999d2a03612e30f4032c8e5e77e8becfbc79e05f4c8993e726b90d34d54</t>
        </is>
      </c>
      <c r="BE1196" s="24" t="inlineStr">
        <is>
          <t>tennis-surface-elo-v1</t>
        </is>
      </c>
      <c r="BF1196" s="24" t="inlineStr">
        <is>
          <t>1</t>
        </is>
      </c>
      <c r="BG1196" s="24" t="inlineStr">
        <is>
          <t>6c67e999d2a03612e30f4032c8e5e77e8becfbc79e05f4c8993e726b90d34d54</t>
        </is>
      </c>
      <c r="BH1196" s="24" t="inlineStr">
        <is>
          <t>2026-10-02T04:36:37.348358Z</t>
        </is>
      </c>
      <c r="BI1196" s="24" t="inlineStr">
        <is>
          <t>["same_event","same_team_same_day","same_league_same_day"]</t>
        </is>
      </c>
      <c r="BJ1196" s="25" t="n"/>
      <c r="BK1196" s="26" t="n">
        <v>-355</v>
      </c>
      <c r="BL1196" s="27" t="n">
        <v>1.28169</v>
      </c>
      <c r="BM1196" s="28" t="n">
        <v>0.78022</v>
      </c>
      <c r="BN1196" s="28" t="n"/>
      <c r="BO1196" s="28" t="n"/>
      <c r="BP1196" s="25" t="n"/>
      <c r="BQ1196" s="27" t="n">
        <v>1.28169</v>
      </c>
      <c r="BR1196" s="28" t="n">
        <v>0.78</v>
      </c>
      <c r="BS1196" s="28" t="n"/>
      <c r="BT1196" s="28" t="n"/>
      <c r="BU1196" s="25" t="n"/>
      <c r="BV1196" s="29" t="n"/>
      <c r="BW1196" s="24" t="n"/>
      <c r="BX1196" s="30" t="n"/>
      <c r="BY1196" s="27" t="n"/>
      <c r="BZ1196" s="24" t="n"/>
      <c r="CA1196" s="31" t="n"/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False</t>
        </is>
      </c>
      <c r="CT1196" s="24" t="n"/>
      <c r="CU1196" s="24" t="n"/>
      <c r="CV1196" s="24" t="n"/>
      <c r="CW1196" s="24" t="n"/>
      <c r="CX1196" s="24" t="n"/>
      <c r="CY1196" s="24" t="n"/>
      <c r="CZ1196" s="24" t="n"/>
      <c r="DA1196" s="24" t="n"/>
      <c r="DB1196" s="24" t="n"/>
      <c r="DC1196" s="24" t="n"/>
      <c r="DD1196" s="24" t="inlineStr">
        <is>
          <t>893d32e908f09c891f2416403acc03442f5457f454ce9d46e1b888f86528cf10</t>
        </is>
      </c>
      <c r="DE1196" s="24" t="inlineStr">
        <is>
          <t>/Users/vincentc9002/model-prediction/data/odds/tennis/2026-10-02/polymarket_snapshots.jsonl</t>
        </is>
      </c>
      <c r="DF1196" s="24" t="inlineStr">
        <is>
          <t>1154608:2026-10-02T04:36:37.348358Z</t>
        </is>
      </c>
      <c r="DG1196" s="24" t="n"/>
      <c r="DH1196" s="24" t="n"/>
      <c r="DI1196" s="24" t="n"/>
      <c r="DJ1196" s="24" t="inlineStr">
        <is>
          <t>0.78022</t>
        </is>
      </c>
      <c r="DK1196" s="24" t="n"/>
      <c r="DL1196" s="24" t="n"/>
      <c r="DM1196" s="24" t="n"/>
      <c r="DN1196" s="24" t="n"/>
      <c r="DO1196" s="24" t="n"/>
      <c r="DP1196" s="24" t="n"/>
      <c r="DQ1196" s="24" t="inlineStr">
        <is>
          <t>{"artifact_hash": "6c67e999d2a03612e30f4032c8e5e77e8becfbc79e05f4c8993e726b90d34d54", "away_team": "Karen Khachanov", "event_id": "959-2026:183439", "event_start_utc": "2026-10-02T05:00Z", "features": {"elo_p1_surface": 1670.6, "elo_p2_surface": 1641.0, "expected_games_p1": 13.46, "expected_games_p2": 11.84, "expected_total_games": 25.3, "history_matches": 11341, "min_player_matches": 44,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[1701.4583116299657, 1665.9369548540383], "players": ["Karen Khachanov", "Alex Molcan"], "sport": "TENNIS", "surface": "Hard", "surface_counts": [100, 32], "surface_ratings": [1670.6392262069603, 1640.9920076951132]}, "market_type": "moneyline", "model_version": "tennis-surface-elo-v1", "observed_at_utc": "2026-10-02T04:39:34.151636+00:00", "probabilities": {"away": 0.539, "home": 0.461}, "replay_scope": "Exact full-precision serving state and rounding; upstream historical observation times are not certified.", "schema": "coded-moneyline-replay-v1", "snapshot_hash": "2aa73a246e73bcf07cdb1788f45befed4b459eecd50c4195756d1082dbafa42c", "sport": "TENNIS"}</t>
        </is>
      </c>
    </row>
    <row r="1197" ht="36" customHeight="1">
      <c r="A1197" s="24" t="inlineStr">
        <is>
          <t>a7412165b52d4b39</t>
        </is>
      </c>
      <c r="B1197" s="24" t="inlineStr">
        <is>
          <t>2026-10-02T10:08:29.815155Z</t>
        </is>
      </c>
      <c r="C1197" s="24" t="inlineStr">
        <is>
          <t>2026-10-02T12:00Z</t>
        </is>
      </c>
      <c r="D1197" s="24" t="inlineStr">
        <is>
          <t>1078-2026:184149</t>
        </is>
      </c>
      <c r="E1197" s="24" t="inlineStr">
        <is>
          <t>TENNIS</t>
        </is>
      </c>
      <c r="F1197" s="24" t="inlineStr">
        <is>
          <t>Erika Andreeva</t>
        </is>
      </c>
      <c r="G1197" s="24" t="inlineStr">
        <is>
          <t>Elena Pridankina</t>
        </is>
      </c>
      <c r="H1197" s="24" t="inlineStr">
        <is>
          <t>moneyline</t>
        </is>
      </c>
      <c r="I1197" s="24" t="inlineStr">
        <is>
          <t>home</t>
        </is>
      </c>
      <c r="J1197" s="25" t="n"/>
      <c r="K1197" s="24" t="inlineStr">
        <is>
          <t>polymarket_us</t>
        </is>
      </c>
      <c r="L1197" s="26" t="n">
        <v>104</v>
      </c>
      <c r="M1197" s="27" t="n">
        <v>2.04</v>
      </c>
      <c r="N1197" s="28" t="n">
        <v>0.490196</v>
      </c>
      <c r="O1197" s="28" t="n">
        <v>0.633</v>
      </c>
      <c r="P1197" s="28" t="n">
        <v>0.05</v>
      </c>
      <c r="Q1197" s="28" t="n">
        <v>0.142804</v>
      </c>
      <c r="R1197" s="26" t="n">
        <v>91</v>
      </c>
      <c r="S1197" s="29" t="n">
        <v>1.5</v>
      </c>
      <c r="T1197" s="24" t="inlineStr">
        <is>
          <t>tennis-surface-elo-v1</t>
        </is>
      </c>
      <c r="U1197" s="24" t="inlineStr">
        <is>
          <t>settled</t>
        </is>
      </c>
      <c r="V1197" s="24" t="inlineStr">
        <is>
          <t>loss</t>
        </is>
      </c>
      <c r="W1197" s="26" t="n">
        <v>1</v>
      </c>
      <c r="X1197" s="26" t="n">
        <v>0</v>
      </c>
      <c r="Y1197" s="25" t="n"/>
      <c r="Z1197" s="26" t="n">
        <v>104</v>
      </c>
      <c r="AA1197" s="28" t="n">
        <v>0.49</v>
      </c>
      <c r="AB1197" s="28" t="n">
        <v>-0.000196</v>
      </c>
      <c r="AC1197" s="30" t="n">
        <v>-1.5</v>
      </c>
      <c r="AD1197" s="24" t="inlineStr">
        <is>
          <t>2026-10-02T16:00:21.194547Z</t>
        </is>
      </c>
      <c r="AE1197" s="31" t="inlineStr">
        <is>
          <t>Surface-blended Elo on Hard: Erika Andreeva p=0.367 vs Elena Pridankina. Executable ask 0.4900 (aec-wta-elepri-eriand-2026-10-02).</t>
        </is>
      </c>
      <c r="AF1197" s="31" t="inlineStr">
        <is>
          <t>Surface-blended Elo model; singles only, WTA+ATP market coverage, not yet locked-holdout qualified -- promoted by explicit operator directive, not genuine walk-forward validation.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model_qualified</t>
        </is>
      </c>
      <c r="AL1197" s="26" t="n">
        <v>4</v>
      </c>
      <c r="AM1197" s="24" t="inlineStr">
        <is>
          <t>QUALIFIED_SHADOW_CALL</t>
        </is>
      </c>
      <c r="AN1197" s="24" t="inlineStr">
        <is>
          <t>CALL</t>
        </is>
      </c>
      <c r="AO1197" s="24" t="inlineStr">
        <is>
          <t>QUALIFIED</t>
        </is>
      </c>
      <c r="AP1197" s="24" t="inlineStr">
        <is>
          <t>Erika Andreeva</t>
        </is>
      </c>
      <c r="AQ1197" s="24" t="inlineStr">
        <is>
          <t>Erika Andreeva</t>
        </is>
      </c>
      <c r="AR1197" s="24" t="inlineStr">
        <is>
          <t>Erika Andreeva</t>
        </is>
      </c>
      <c r="AS1197" s="24" t="inlineStr">
        <is>
          <t>Elena Pridankina</t>
        </is>
      </c>
      <c r="AT1197" s="24" t="inlineStr">
        <is>
          <t>Elena Pridankina</t>
        </is>
      </c>
      <c r="AU1197" s="24" t="inlineStr">
        <is>
          <t>Elena Pridankina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shadow_qualified</t>
        </is>
      </c>
      <c r="BA1197" s="24" t="inlineStr">
        <is>
          <t>6c67e999d2a03612e30f4032c8e5e77e8becfbc79e05f4c8993e726b90d34d54</t>
        </is>
      </c>
      <c r="BB1197" s="24" t="inlineStr">
        <is>
          <t>surface_blended_elo</t>
        </is>
      </c>
      <c r="BC1197" s="24" t="inlineStr">
        <is>
          <t>tennis-surface-elo-v1</t>
        </is>
      </c>
      <c r="BD1197" s="24" t="inlineStr">
        <is>
          <t>6c67e999d2a03612e30f4032c8e5e77e8becfbc79e05f4c8993e726b90d34d54</t>
        </is>
      </c>
      <c r="BE1197" s="24" t="inlineStr">
        <is>
          <t>tennis-surface-elo-v1</t>
        </is>
      </c>
      <c r="BF1197" s="24" t="inlineStr">
        <is>
          <t>1</t>
        </is>
      </c>
      <c r="BG1197" s="24" t="inlineStr">
        <is>
          <t>6c67e999d2a03612e30f4032c8e5e77e8becfbc79e05f4c8993e726b90d34d54</t>
        </is>
      </c>
      <c r="BH1197" s="24" t="inlineStr">
        <is>
          <t>2026-10-02T04:36:00.799294Z</t>
        </is>
      </c>
      <c r="BI1197" s="24" t="inlineStr">
        <is>
          <t>["same_event","same_team_same_day","same_league_same_day"]</t>
        </is>
      </c>
      <c r="BJ1197" s="25" t="n"/>
      <c r="BK1197" s="26" t="n">
        <v>104</v>
      </c>
      <c r="BL1197" s="27" t="n">
        <v>2.04</v>
      </c>
      <c r="BM1197" s="28" t="n">
        <v>0.490196</v>
      </c>
      <c r="BN1197" s="28" t="n"/>
      <c r="BO1197" s="28" t="n"/>
      <c r="BP1197" s="25" t="n"/>
      <c r="BQ1197" s="27" t="n">
        <v>2.04</v>
      </c>
      <c r="BR1197" s="28" t="n">
        <v>0.49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n"/>
      <c r="CU1197" s="24" t="n"/>
      <c r="CV1197" s="24" t="n"/>
      <c r="CW1197" s="24" t="n"/>
      <c r="CX1197" s="24" t="n"/>
      <c r="CY1197" s="24" t="n"/>
      <c r="CZ1197" s="24" t="n"/>
      <c r="DA1197" s="24" t="n"/>
      <c r="DB1197" s="24" t="n"/>
      <c r="DC1197" s="24" t="n"/>
      <c r="DD1197" s="24" t="inlineStr">
        <is>
          <t>1f9ca39eba0c7a891af5115b918a0d2a1ed4d50f88d538e4b66906fd7b05fed7</t>
        </is>
      </c>
      <c r="DE1197" s="24" t="inlineStr">
        <is>
          <t>/Users/vincentc9002/model-prediction/data/odds/tennis/2026-10-02/polymarket_snapshots.jsonl</t>
        </is>
      </c>
      <c r="DF1197" s="24" t="inlineStr">
        <is>
          <t>1144970:2026-10-02T04:36:00.799294Z</t>
        </is>
      </c>
      <c r="DG1197" s="24" t="n"/>
      <c r="DH1197" s="24" t="n"/>
      <c r="DI1197" s="24" t="n"/>
      <c r="DJ1197" s="24" t="inlineStr">
        <is>
          <t>0.490196</t>
        </is>
      </c>
      <c r="DK1197" s="24" t="n"/>
      <c r="DL1197" s="24" t="n"/>
      <c r="DM1197" s="24" t="n"/>
      <c r="DN1197" s="24" t="n"/>
      <c r="DO1197" s="24" t="n"/>
      <c r="DP1197" s="24" t="n"/>
      <c r="DQ1197" s="24" t="inlineStr">
        <is>
          <t>{"artifact_hash": "6c67e999d2a03612e30f4032c8e5e77e8becfbc79e05f4c8993e726b90d34d54", "away_team": "Erika Andreeva", "event_id": "1078-2026:184149", "event_start_utc": "2026-10-02T12:00Z", "features": {"elo_p1_surface": 1507.4, "elo_p2_surface": 1589.7, "expected_games_p1": 10.09, "expected_games_p2": 13.28, "expected_total_games": 23.36, "history_matches": 16501, "min_player_matches": 84,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[1481.0198386409395, 1607.434279890883], "players": ["Erika Andreeva", "Elena Pridankina"], "sport": "TENNIS", "surface": "Hard", "surface_counts": [93, 71], "surface_ratings": [1507.42702480076, 1589.7243137954717]}, "market_type": "moneyline", "model_version": "tennis-surface-elo-v1", "observed_at_utc": "2026-10-02T10:08:29.291477+00:00", "probabilities": {"away": 0.367, "home": 0.633}, "replay_scope": "Exact full-precision serving state and rounding; upstream historical observation times are not certified.", "schema": "coded-moneyline-replay-v1", "snapshot_hash": "4ba9ef71dac116569c494ec5dfad43e5ca9916b9aafc49893e88e37c4669fc1a", "sport": "TENNIS"}</t>
        </is>
      </c>
    </row>
    <row r="1198" ht="36" customHeight="1">
      <c r="A1198" s="24" t="inlineStr">
        <is>
          <t>86be7e2dea4940ad</t>
        </is>
      </c>
      <c r="B1198" s="24" t="inlineStr">
        <is>
          <t>2026-10-02T10:08:29.815155Z</t>
        </is>
      </c>
      <c r="C1198" s="24" t="inlineStr">
        <is>
          <t>2026-10-02T12:00Z</t>
        </is>
      </c>
      <c r="D1198" s="24" t="inlineStr">
        <is>
          <t>1078-2026:184147</t>
        </is>
      </c>
      <c r="E1198" s="24" t="inlineStr">
        <is>
          <t>TENNIS</t>
        </is>
      </c>
      <c r="F1198" s="24" t="inlineStr">
        <is>
          <t>Lucrezia Stefanini</t>
        </is>
      </c>
      <c r="G1198" s="24" t="inlineStr">
        <is>
          <t>Leolia Jeanjean</t>
        </is>
      </c>
      <c r="H1198" s="24" t="inlineStr">
        <is>
          <t>moneyline</t>
        </is>
      </c>
      <c r="I1198" s="24" t="inlineStr">
        <is>
          <t>away</t>
        </is>
      </c>
      <c r="J1198" s="25" t="n"/>
      <c r="K1198" s="24" t="inlineStr">
        <is>
          <t>polymarket_us</t>
        </is>
      </c>
      <c r="L1198" s="26" t="n">
        <v>-117</v>
      </c>
      <c r="M1198" s="27" t="n">
        <v>1.854701</v>
      </c>
      <c r="N1198" s="28" t="n">
        <v>0.539171</v>
      </c>
      <c r="O1198" s="28" t="n">
        <v>0.5194</v>
      </c>
      <c r="P1198" s="28" t="n">
        <v>0.05</v>
      </c>
      <c r="Q1198" s="28" t="n">
        <v>-0.019771</v>
      </c>
      <c r="R1198" s="26" t="n">
        <v>10</v>
      </c>
      <c r="S1198" s="29" t="n">
        <v>1</v>
      </c>
      <c r="T1198" s="24" t="inlineStr">
        <is>
          <t>tennis-surface-elo-v1</t>
        </is>
      </c>
      <c r="U1198" s="24" t="inlineStr">
        <is>
          <t>settled</t>
        </is>
      </c>
      <c r="V1198" s="24" t="inlineStr">
        <is>
          <t>loss</t>
        </is>
      </c>
      <c r="W1198" s="26" t="n">
        <v>0</v>
      </c>
      <c r="X1198" s="26" t="n">
        <v>1</v>
      </c>
      <c r="Y1198" s="25" t="n"/>
      <c r="Z1198" s="26" t="n">
        <v>-117</v>
      </c>
      <c r="AA1198" s="28" t="n">
        <v>0.54</v>
      </c>
      <c r="AB1198" s="28" t="n">
        <v>0.000829</v>
      </c>
      <c r="AC1198" s="30" t="n">
        <v>-1</v>
      </c>
      <c r="AD1198" s="24" t="inlineStr">
        <is>
          <t>2026-10-02T22:00:18.545227Z</t>
        </is>
      </c>
      <c r="AE1198" s="31" t="inlineStr">
        <is>
          <t>Surface-blended Elo on Hard: Lucrezia Stefanini p=0.519 vs Leolia Jeanjean. Executable ask 0.5400 (aec-wta-leojea-lucste-2026-10-02).</t>
        </is>
      </c>
      <c r="AF1198" s="31" t="inlineStr">
        <is>
          <t>Surface-blended Elo model; singles only, WTA+ATP market coverage, not yet locked-holdout qualified -- promoted by explicit operator directive, not genuine walk-forward validation.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PAPER_CALL_LOW_EDGE</t>
        </is>
      </c>
      <c r="AP1198" s="24" t="inlineStr">
        <is>
          <t>Lucrezia Stefanini</t>
        </is>
      </c>
      <c r="AQ1198" s="24" t="inlineStr">
        <is>
          <t>Lucrezia Stefanini</t>
        </is>
      </c>
      <c r="AR1198" s="24" t="inlineStr">
        <is>
          <t>Lucrezia Stefanini</t>
        </is>
      </c>
      <c r="AS1198" s="24" t="inlineStr">
        <is>
          <t>Leolia Jeanjean</t>
        </is>
      </c>
      <c r="AT1198" s="24" t="inlineStr">
        <is>
          <t>Leolia Jeanjean</t>
        </is>
      </c>
      <c r="AU1198" s="24" t="inlineStr">
        <is>
          <t>Leolia Jeanjean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shadow_qualified</t>
        </is>
      </c>
      <c r="BA1198" s="24" t="inlineStr">
        <is>
          <t>6c67e999d2a03612e30f4032c8e5e77e8becfbc79e05f4c8993e726b90d34d54</t>
        </is>
      </c>
      <c r="BB1198" s="24" t="inlineStr">
        <is>
          <t>surface_blended_elo</t>
        </is>
      </c>
      <c r="BC1198" s="24" t="inlineStr">
        <is>
          <t>tennis-surface-elo-v1</t>
        </is>
      </c>
      <c r="BD1198" s="24" t="inlineStr">
        <is>
          <t>6c67e999d2a03612e30f4032c8e5e77e8becfbc79e05f4c8993e726b90d34d54</t>
        </is>
      </c>
      <c r="BE1198" s="24" t="inlineStr">
        <is>
          <t>tennis-surface-elo-v1</t>
        </is>
      </c>
      <c r="BF1198" s="24" t="inlineStr">
        <is>
          <t>1</t>
        </is>
      </c>
      <c r="BG1198" s="24" t="inlineStr">
        <is>
          <t>6c67e999d2a03612e30f4032c8e5e77e8becfbc79e05f4c8993e726b90d34d54</t>
        </is>
      </c>
      <c r="BH1198" s="24" t="inlineStr">
        <is>
          <t>2026-10-02T10:05:22.031160Z</t>
        </is>
      </c>
      <c r="BI1198" s="24" t="inlineStr">
        <is>
          <t>["same_event","same_team_same_day","same_league_same_day"]</t>
        </is>
      </c>
      <c r="BJ1198" s="25" t="n"/>
      <c r="BK1198" s="26" t="n">
        <v>-117</v>
      </c>
      <c r="BL1198" s="27" t="n">
        <v>1.854701</v>
      </c>
      <c r="BM1198" s="28" t="n">
        <v>0.539171</v>
      </c>
      <c r="BN1198" s="28" t="n"/>
      <c r="BO1198" s="28" t="n"/>
      <c r="BP1198" s="25" t="n"/>
      <c r="BQ1198" s="27" t="n">
        <v>1.854701</v>
      </c>
      <c r="BR1198" s="28" t="n">
        <v>0.54</v>
      </c>
      <c r="BS1198" s="28" t="n"/>
      <c r="BT1198" s="28" t="n"/>
      <c r="BU1198" s="25" t="n"/>
      <c r="BV1198" s="29" t="n"/>
      <c r="BW1198" s="24" t="n"/>
      <c r="BX1198" s="30" t="n"/>
      <c r="BY1198" s="27" t="n"/>
      <c r="BZ1198" s="24" t="n"/>
      <c r="CA1198" s="31" t="n"/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False</t>
        </is>
      </c>
      <c r="CT1198" s="24" t="n"/>
      <c r="CU1198" s="24" t="n"/>
      <c r="CV1198" s="24" t="n"/>
      <c r="CW1198" s="24" t="n"/>
      <c r="CX1198" s="24" t="n"/>
      <c r="CY1198" s="24" t="n"/>
      <c r="CZ1198" s="24" t="n"/>
      <c r="DA1198" s="24" t="n"/>
      <c r="DB1198" s="24" t="n"/>
      <c r="DC1198" s="24" t="n"/>
      <c r="DD1198" s="24" t="inlineStr">
        <is>
          <t>f0742e31060046ab405be854f7850dbd903a6bc7ed2eb2f6cb5031a751e1e45f</t>
        </is>
      </c>
      <c r="DE1198" s="24" t="inlineStr">
        <is>
          <t>/Users/vincentc9002/model-prediction/data/odds/tennis/2026-10-02/polymarket_snapshots.jsonl</t>
        </is>
      </c>
      <c r="DF1198" s="24" t="inlineStr">
        <is>
          <t>1150178:2026-10-02T10:05:22.031160Z</t>
        </is>
      </c>
      <c r="DG1198" s="24" t="n"/>
      <c r="DH1198" s="24" t="n"/>
      <c r="DI1198" s="24" t="n"/>
      <c r="DJ1198" s="24" t="inlineStr">
        <is>
          <t>0.539171</t>
        </is>
      </c>
      <c r="DK1198" s="24" t="n"/>
      <c r="DL1198" s="24" t="n"/>
      <c r="DM1198" s="24" t="n"/>
      <c r="DN1198" s="24" t="n"/>
      <c r="DO1198" s="24" t="n"/>
      <c r="DP1198" s="24" t="n"/>
      <c r="DQ1198" s="24" t="inlineStr">
        <is>
          <t>{"artifact_hash": "6c67e999d2a03612e30f4032c8e5e77e8becfbc79e05f4c8993e726b90d34d54", "away_team": "Lucrezia Stefanini", "event_id": "1078-2026:184147", "event_start_utc": "2026-10-02T12:00Z", "features": {"elo_p1_surface": 1604.2, "elo_p2_surface": 1577.5, "expected_games_p1": 13.05, "expected_games_p2": 11.51, "expected_total_games": 24.56, "history_matches": 16501, "min_player_matches": 122,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[1610.6766429818795, 1634.8574430640908], "players": ["Lucrezia Stefanini", "Leolia Jeanjean"], "sport": "TENNIS", "surface": "Hard", "surface_counts": [95, 99], "surface_ratings": [1604.245199538312, 1577.4548516414675]}, "market_type": "moneyline", "model_version": "tennis-surface-elo-v1", "observed_at_utc": "2026-10-02T10:08:29.291477+00:00", "probabilities": {"away": 0.5194, "home": 0.4806}, "replay_scope": "Exact full-precision serving state and rounding; upstream historical observation times are not certified.", "schema": "coded-moneyline-replay-v1", "snapshot_hash": "27b24a6ec159eacbb6205b86b81898cc4fb9c801954df4fe3ff00302f5253af8", "sport": "TENNIS"}</t>
        </is>
      </c>
    </row>
    <row r="1199" ht="36" customHeight="1">
      <c r="A1199" s="24" t="inlineStr">
        <is>
          <t>ea7e411da0984964</t>
        </is>
      </c>
      <c r="B1199" s="24" t="inlineStr">
        <is>
          <t>2026-10-02T10:08:29.815155Z</t>
        </is>
      </c>
      <c r="C1199" s="24" t="inlineStr">
        <is>
          <t>2026-10-02T11:00Z</t>
        </is>
      </c>
      <c r="D1199" s="24" t="inlineStr">
        <is>
          <t>959-2026:184295</t>
        </is>
      </c>
      <c r="E1199" s="24" t="inlineStr">
        <is>
          <t>TENNIS</t>
        </is>
      </c>
      <c r="F1199" s="24" t="inlineStr">
        <is>
          <t>Aryna Sabalenka</t>
        </is>
      </c>
      <c r="G1199" s="24" t="inlineStr">
        <is>
          <t>Renata Zarazua</t>
        </is>
      </c>
      <c r="H1199" s="24" t="inlineStr">
        <is>
          <t>moneyline</t>
        </is>
      </c>
      <c r="I1199" s="24" t="inlineStr">
        <is>
          <t>away</t>
        </is>
      </c>
      <c r="J1199" s="25" t="n"/>
      <c r="K1199" s="24" t="inlineStr">
        <is>
          <t>polymarket_us</t>
        </is>
      </c>
      <c r="L1199" s="26" t="n">
        <v>-3233</v>
      </c>
      <c r="M1199" s="27" t="n">
        <v>1.030931</v>
      </c>
      <c r="N1199" s="28" t="n">
        <v>0.969997</v>
      </c>
      <c r="O1199" s="28" t="n">
        <v>0.9633</v>
      </c>
      <c r="P1199" s="28" t="n">
        <v>0.05</v>
      </c>
      <c r="Q1199" s="28" t="n">
        <v>-0.006697</v>
      </c>
      <c r="R1199" s="26" t="n">
        <v>17</v>
      </c>
      <c r="S1199" s="29" t="n">
        <v>1</v>
      </c>
      <c r="T1199" s="24" t="inlineStr">
        <is>
          <t>tennis-surface-elo-v1</t>
        </is>
      </c>
      <c r="U1199" s="24" t="inlineStr">
        <is>
          <t>settled</t>
        </is>
      </c>
      <c r="V1199" s="24" t="inlineStr">
        <is>
          <t>win</t>
        </is>
      </c>
      <c r="W1199" s="26" t="n">
        <v>1</v>
      </c>
      <c r="X1199" s="26" t="n">
        <v>0</v>
      </c>
      <c r="Y1199" s="25" t="n"/>
      <c r="Z1199" s="26" t="n">
        <v>-3233</v>
      </c>
      <c r="AA1199" s="28" t="n">
        <v>0.97</v>
      </c>
      <c r="AB1199" s="28" t="n">
        <v>3e-06</v>
      </c>
      <c r="AC1199" s="30" t="n">
        <v>0.0309</v>
      </c>
      <c r="AD1199" s="24" t="inlineStr">
        <is>
          <t>2026-10-02T16:00:21.663453Z</t>
        </is>
      </c>
      <c r="AE1199" s="31" t="inlineStr">
        <is>
          <t>Surface-blended Elo on Hard: Aryna Sabalenka p=0.963 vs Renata Zarazua. Executable ask 0.9700 (aec-wta-renzar-arysab-2026-10-01).</t>
        </is>
      </c>
      <c r="AF1199" s="31" t="inlineStr">
        <is>
          <t>Surface-blended Elo model; singles only, WTA+ATP market coverage, not yet locked-holdout qualified -- promoted by explicit operator directive, not genuine walk-forward validation.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paper_call</t>
        </is>
      </c>
      <c r="AL1199" s="26" t="n">
        <v>4</v>
      </c>
      <c r="AM1199" s="24" t="inlineStr">
        <is>
          <t>RESEARCH_OBSERVATION</t>
        </is>
      </c>
      <c r="AN1199" s="24" t="inlineStr">
        <is>
          <t>CALL</t>
        </is>
      </c>
      <c r="AO1199" s="24" t="inlineStr">
        <is>
          <t>PAPER_CALL_LOW_EDGE</t>
        </is>
      </c>
      <c r="AP1199" s="24" t="inlineStr">
        <is>
          <t>Aryna Sabalenka</t>
        </is>
      </c>
      <c r="AQ1199" s="24" t="inlineStr">
        <is>
          <t>Aryna Sabalenka</t>
        </is>
      </c>
      <c r="AR1199" s="24" t="inlineStr">
        <is>
          <t>Aryna Sabalenka</t>
        </is>
      </c>
      <c r="AS1199" s="24" t="inlineStr">
        <is>
          <t>Renata Zarazua</t>
        </is>
      </c>
      <c r="AT1199" s="24" t="inlineStr">
        <is>
          <t>Renata Zarazua</t>
        </is>
      </c>
      <c r="AU1199" s="24" t="inlineStr">
        <is>
          <t>Renata Zarazua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shadow_qualified</t>
        </is>
      </c>
      <c r="BA1199" s="24" t="inlineStr">
        <is>
          <t>6c67e999d2a03612e30f4032c8e5e77e8becfbc79e05f4c8993e726b90d34d54</t>
        </is>
      </c>
      <c r="BB1199" s="24" t="inlineStr">
        <is>
          <t>surface_blended_elo</t>
        </is>
      </c>
      <c r="BC1199" s="24" t="inlineStr">
        <is>
          <t>tennis-surface-elo-v1</t>
        </is>
      </c>
      <c r="BD1199" s="24" t="inlineStr">
        <is>
          <t>6c67e999d2a03612e30f4032c8e5e77e8becfbc79e05f4c8993e726b90d34d54</t>
        </is>
      </c>
      <c r="BE1199" s="24" t="inlineStr">
        <is>
          <t>tennis-surface-elo-v1</t>
        </is>
      </c>
      <c r="BF1199" s="24" t="inlineStr">
        <is>
          <t>1</t>
        </is>
      </c>
      <c r="BG1199" s="24" t="inlineStr">
        <is>
          <t>6c67e999d2a03612e30f4032c8e5e77e8becfbc79e05f4c8993e726b90d34d54</t>
        </is>
      </c>
      <c r="BH1199" s="24" t="inlineStr">
        <is>
          <t>2026-10-02T10:05:22.036763Z</t>
        </is>
      </c>
      <c r="BI1199" s="24" t="inlineStr">
        <is>
          <t>["same_event","same_team_same_day","same_league_same_day"]</t>
        </is>
      </c>
      <c r="BJ1199" s="25" t="n"/>
      <c r="BK1199" s="26" t="n">
        <v>-3233</v>
      </c>
      <c r="BL1199" s="27" t="n">
        <v>1.030931</v>
      </c>
      <c r="BM1199" s="28" t="n">
        <v>0.969997</v>
      </c>
      <c r="BN1199" s="28" t="n"/>
      <c r="BO1199" s="28" t="n"/>
      <c r="BP1199" s="25" t="n"/>
      <c r="BQ1199" s="27" t="n">
        <v>1.030931</v>
      </c>
      <c r="BR1199" s="28" t="n">
        <v>0.97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False</t>
        </is>
      </c>
      <c r="CT1199" s="24" t="n"/>
      <c r="CU1199" s="24" t="n"/>
      <c r="CV1199" s="24" t="n"/>
      <c r="CW1199" s="24" t="n"/>
      <c r="CX1199" s="24" t="n"/>
      <c r="CY1199" s="24" t="n"/>
      <c r="CZ1199" s="24" t="n"/>
      <c r="DA1199" s="24" t="n"/>
      <c r="DB1199" s="24" t="n"/>
      <c r="DC1199" s="24" t="n"/>
      <c r="DD1199" s="24" t="inlineStr">
        <is>
          <t>043fc7a6c39793fadd0e0524e053d622bd46fad082380883e3bd14dd299be32e</t>
        </is>
      </c>
      <c r="DE1199" s="24" t="inlineStr">
        <is>
          <t>/Users/vincentc9002/model-prediction/data/odds/tennis/2026-10-02/polymarket_snapshots.jsonl</t>
        </is>
      </c>
      <c r="DF1199" s="24" t="inlineStr">
        <is>
          <t>1145755:2026-10-02T10:05:22.036763Z</t>
        </is>
      </c>
      <c r="DG1199" s="24" t="n"/>
      <c r="DH1199" s="24" t="n"/>
      <c r="DI1199" s="24" t="n"/>
      <c r="DJ1199" s="24" t="inlineStr">
        <is>
          <t>0.969997</t>
        </is>
      </c>
      <c r="DK1199" s="24" t="n"/>
      <c r="DL1199" s="24" t="n"/>
      <c r="DM1199" s="24" t="n"/>
      <c r="DN1199" s="24" t="n"/>
      <c r="DO1199" s="24" t="n"/>
      <c r="DP1199" s="24" t="n"/>
      <c r="DQ1199" s="24" t="inlineStr">
        <is>
          <t>{"artifact_hash": "6c67e999d2a03612e30f4032c8e5e77e8becfbc79e05f4c8993e726b90d34d54", "away_team": "Aryna Sabalenka", "event_id": "959-2026:184295", "event_start_utc": "2026-10-02T11:00Z", "features": {"elo_p1_surface": 2056.4, "elo_p2_surface": 1478.5, "expected_games_p1": 12.05, "expected_games_p2": 2.85, "expected_total_games": 14.9, "history_matches": 16501, "min_player_matches": 144,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[2024.5702862719572, 1490.1362889683137], "players": ["Aryna Sabalenka", "Renata Zarazua"], "sport": "TENNIS", "surface": "Hard", "surface_counts": [139, 115], "surface_ratings": [2056.4035409038943, 1478.4978239587986]}, "market_type": "moneyline", "model_version": "tennis-surface-elo-v1", "observed_at_utc": "2026-10-02T10:08:29.291477+00:00", "probabilities": {"away": 0.9633, "home": 0.0367}, "replay_scope": "Exact full-precision serving state and rounding; upstream historical observation times are not certified.", "schema": "coded-moneyline-replay-v1", "snapshot_hash": "6b8d4323c3b368b72a848948bd097cde00df63579ecc9cdf93682a79ea926ad8", "sport": "TENNIS"}</t>
        </is>
      </c>
    </row>
    <row r="1200" ht="36" customHeight="1">
      <c r="A1200" s="24" t="inlineStr">
        <is>
          <t>9d8494915dbb4973</t>
        </is>
      </c>
      <c r="B1200" s="24" t="inlineStr">
        <is>
          <t>2026-10-02T10:08:29.815155Z</t>
        </is>
      </c>
      <c r="C1200" s="24" t="inlineStr">
        <is>
          <t>2026-10-02T12:30Z</t>
        </is>
      </c>
      <c r="D1200" s="24" t="inlineStr">
        <is>
          <t>959-2026:183453</t>
        </is>
      </c>
      <c r="E1200" s="24" t="inlineStr">
        <is>
          <t>TENNIS</t>
        </is>
      </c>
      <c r="F1200" s="24" t="inlineStr">
        <is>
          <t>Novak Djokovic</t>
        </is>
      </c>
      <c r="G1200" s="24" t="inlineStr">
        <is>
          <t>Bu Yunchaokete</t>
        </is>
      </c>
      <c r="H1200" s="24" t="inlineStr">
        <is>
          <t>moneyline</t>
        </is>
      </c>
      <c r="I1200" s="24" t="inlineStr">
        <is>
          <t>away</t>
        </is>
      </c>
      <c r="J1200" s="25" t="n"/>
      <c r="K1200" s="24" t="inlineStr">
        <is>
          <t>polymarket_us</t>
        </is>
      </c>
      <c r="L1200" s="26" t="n">
        <v>-335</v>
      </c>
      <c r="M1200" s="27" t="n">
        <v>1.298507</v>
      </c>
      <c r="N1200" s="28" t="n">
        <v>0.770115</v>
      </c>
      <c r="O1200" s="28" t="n">
        <v>0.8448</v>
      </c>
      <c r="P1200" s="28" t="n">
        <v>0.05</v>
      </c>
      <c r="Q1200" s="28" t="n">
        <v>0.074685</v>
      </c>
      <c r="R1200" s="26" t="n">
        <v>57</v>
      </c>
      <c r="S1200" s="29" t="n">
        <v>1.25</v>
      </c>
      <c r="T1200" s="24" t="inlineStr">
        <is>
          <t>tennis-surface-elo-v1</t>
        </is>
      </c>
      <c r="U1200" s="24" t="inlineStr">
        <is>
          <t>settled</t>
        </is>
      </c>
      <c r="V1200" s="24" t="inlineStr">
        <is>
          <t>win</t>
        </is>
      </c>
      <c r="W1200" s="26" t="n">
        <v>1</v>
      </c>
      <c r="X1200" s="26" t="n">
        <v>0</v>
      </c>
      <c r="Y1200" s="25" t="n"/>
      <c r="Z1200" s="26" t="n">
        <v>-335</v>
      </c>
      <c r="AA1200" s="28" t="n">
        <v>0.77</v>
      </c>
      <c r="AB1200" s="28" t="n">
        <v>-0.000115</v>
      </c>
      <c r="AC1200" s="30" t="n">
        <v>0.3731</v>
      </c>
      <c r="AD1200" s="24" t="inlineStr">
        <is>
          <t>2026-10-02T16:00:22.098870Z</t>
        </is>
      </c>
      <c r="AE1200" s="31" t="inlineStr">
        <is>
          <t>Surface-blended Elo on Hard: Novak Djokovic p=0.845 vs Bu Yunchaokete. Executable ask 0.7700 (aec-atp-yunbu-novdjo-2026-10-01).</t>
        </is>
      </c>
      <c r="AF1200" s="31" t="inlineStr">
        <is>
          <t>Surface-blended Elo model; singles only, WTA+ATP market coverage, not yet locked-holdout qualified -- promoted by explicit operator directive, not genuine walk-forward validation.</t>
        </is>
      </c>
      <c r="AG1200" s="24" t="inlineStr">
        <is>
          <t>not_applicable</t>
        </is>
      </c>
      <c r="AH1200" s="24" t="n"/>
      <c r="AI1200" s="31" t="n"/>
      <c r="AJ1200" s="31" t="n"/>
      <c r="AK1200" s="24" t="inlineStr">
        <is>
          <t>model_qualified</t>
        </is>
      </c>
      <c r="AL1200" s="26" t="n">
        <v>4</v>
      </c>
      <c r="AM1200" s="24" t="inlineStr">
        <is>
          <t>QUALIFIED_SHADOW_CALL</t>
        </is>
      </c>
      <c r="AN1200" s="24" t="inlineStr">
        <is>
          <t>CALL</t>
        </is>
      </c>
      <c r="AO1200" s="24" t="inlineStr">
        <is>
          <t>QUALIFIED</t>
        </is>
      </c>
      <c r="AP1200" s="24" t="inlineStr">
        <is>
          <t>Novak Djokovic</t>
        </is>
      </c>
      <c r="AQ1200" s="24" t="inlineStr">
        <is>
          <t>Novak Djokovic</t>
        </is>
      </c>
      <c r="AR1200" s="24" t="inlineStr">
        <is>
          <t>Novak Djokovic</t>
        </is>
      </c>
      <c r="AS1200" s="24" t="inlineStr">
        <is>
          <t>Bu Yunchaokete</t>
        </is>
      </c>
      <c r="AT1200" s="24" t="inlineStr">
        <is>
          <t>Bu Yunchaokete</t>
        </is>
      </c>
      <c r="AU1200" s="24" t="inlineStr">
        <is>
          <t>Bu Yunchaokete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shadow_qualified</t>
        </is>
      </c>
      <c r="BA1200" s="24" t="inlineStr">
        <is>
          <t>6c67e999d2a03612e30f4032c8e5e77e8becfbc79e05f4c8993e726b90d34d54</t>
        </is>
      </c>
      <c r="BB1200" s="24" t="inlineStr">
        <is>
          <t>surface_blended_elo</t>
        </is>
      </c>
      <c r="BC1200" s="24" t="inlineStr">
        <is>
          <t>tennis-surface-elo-v1</t>
        </is>
      </c>
      <c r="BD1200" s="24" t="inlineStr">
        <is>
          <t>6c67e999d2a03612e30f4032c8e5e77e8becfbc79e05f4c8993e726b90d34d54</t>
        </is>
      </c>
      <c r="BE1200" s="24" t="inlineStr">
        <is>
          <t>tennis-surface-elo-v1</t>
        </is>
      </c>
      <c r="BF1200" s="24" t="inlineStr">
        <is>
          <t>1</t>
        </is>
      </c>
      <c r="BG1200" s="24" t="inlineStr">
        <is>
          <t>6c67e999d2a03612e30f4032c8e5e77e8becfbc79e05f4c8993e726b90d34d54</t>
        </is>
      </c>
      <c r="BH1200" s="24" t="inlineStr">
        <is>
          <t>2026-10-02T10:06:06.206735Z</t>
        </is>
      </c>
      <c r="BI1200" s="24" t="inlineStr">
        <is>
          <t>["same_event","same_team_same_day","same_league_same_day"]</t>
        </is>
      </c>
      <c r="BJ1200" s="25" t="n"/>
      <c r="BK1200" s="26" t="n">
        <v>-335</v>
      </c>
      <c r="BL1200" s="27" t="n">
        <v>1.298507</v>
      </c>
      <c r="BM1200" s="28" t="n">
        <v>0.770115</v>
      </c>
      <c r="BN1200" s="28" t="n"/>
      <c r="BO1200" s="28" t="n"/>
      <c r="BP1200" s="25" t="n"/>
      <c r="BQ1200" s="27" t="n">
        <v>1.298507</v>
      </c>
      <c r="BR1200" s="28" t="n">
        <v>0.77</v>
      </c>
      <c r="BS1200" s="28" t="n"/>
      <c r="BT1200" s="28" t="n"/>
      <c r="BU1200" s="25" t="n"/>
      <c r="BV1200" s="29" t="n"/>
      <c r="BW1200" s="24" t="n"/>
      <c r="BX1200" s="30" t="n"/>
      <c r="BY1200" s="27" t="n"/>
      <c r="BZ1200" s="24" t="n"/>
      <c r="CA1200" s="31" t="n"/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True</t>
        </is>
      </c>
      <c r="CT1200" s="24" t="n"/>
      <c r="CU1200" s="24" t="n"/>
      <c r="CV1200" s="24" t="n"/>
      <c r="CW1200" s="24" t="n"/>
      <c r="CX1200" s="24" t="n"/>
      <c r="CY1200" s="24" t="n"/>
      <c r="CZ1200" s="24" t="n"/>
      <c r="DA1200" s="24" t="n"/>
      <c r="DB1200" s="24" t="n"/>
      <c r="DC1200" s="24" t="n"/>
      <c r="DD1200" s="24" t="inlineStr">
        <is>
          <t>0c07cd292534a0ef85d630c5161de30641bdfa6d25f6f60a31a6689b56c0f5f8</t>
        </is>
      </c>
      <c r="DE1200" s="24" t="inlineStr">
        <is>
          <t>/Users/vincentc9002/model-prediction/data/odds/tennis/2026-10-02/polymarket_snapshots.jsonl</t>
        </is>
      </c>
      <c r="DF1200" s="24" t="inlineStr">
        <is>
          <t>1144887:2026-10-02T10:06:06.206735Z</t>
        </is>
      </c>
      <c r="DG1200" s="24" t="n"/>
      <c r="DH1200" s="24" t="n"/>
      <c r="DI1200" s="24" t="n"/>
      <c r="DJ1200" s="24" t="inlineStr">
        <is>
          <t>0.770115</t>
        </is>
      </c>
      <c r="DK1200" s="24" t="n"/>
      <c r="DL1200" s="24" t="n"/>
      <c r="DM1200" s="24" t="n"/>
      <c r="DN1200" s="24" t="n"/>
      <c r="DO1200" s="24" t="n"/>
      <c r="DP1200" s="24" t="n"/>
      <c r="DQ1200" s="24" t="inlineStr">
        <is>
          <t>{"artifact_hash": "6c67e999d2a03612e30f4032c8e5e77e8becfbc79e05f4c8993e726b90d34d54", "away_team": "Novak Djokovic", "event_id": "959-2026:183453", "event_start_utc": "2026-10-02T12:30Z", "features": {"elo_p1_surface": 1819.3, "elo_p2_surface": 1540.1, "expected_games_p1": 12.38, "expected_games_p2": 4.82, "expected_total_games": 17.21, "history_matches": 11341, "min_player_matches": 86, "surface": "Hard"}, "historical_source_observation_times_verified": false, "home_team": "Bu Yunchaokete", "inference_inputs": {"code_sha256": {"features/elo_ratings.py": "8525faf022a6343c452286dbfeb17dbb043744c6bdabbe448b6b371216da439b", "models/tennis.py": "6c67e999d2a03612e30f4032c8e5e77e8becfbc79e05f4c8993e726b90d34d54"}, "overall_ratings": [1871.8944494809791, 1542.983826737946], "players": ["Novak Djokovic", "Bu Yunchaokete"], "sport": "TENNIS", "surface": "Hard", "surface_counts": [68, 70], "surface_ratings": [1819.2822385084503, 1540.082973318543]}, "market_type": "moneyline", "model_version": "tennis-surface-elo-v1", "observed_at_utc": "2026-10-02T10:08:29.291477+00:00", "probabilities": {"away": 0.8448, "home": 0.1552}, "replay_scope": "Exact full-precision serving state and rounding; upstream historical observation times are not certified.", "schema": "coded-moneyline-replay-v1", "snapshot_hash": "588b978915677e565a5c36481ded91af73abb48d14e97365feb7ae13b51e401e", "sport": "TENNIS"}</t>
        </is>
      </c>
    </row>
    <row r="1201" ht="36" customHeight="1">
      <c r="A1201" s="24" t="inlineStr">
        <is>
          <t>9347b72893204f8f</t>
        </is>
      </c>
      <c r="B1201" s="24" t="inlineStr">
        <is>
          <t>2026-10-02T22:06:17.437510Z</t>
        </is>
      </c>
      <c r="C1201" s="24" t="inlineStr">
        <is>
          <t>2026-10-03T03:00Z</t>
        </is>
      </c>
      <c r="D1201" s="24" t="inlineStr">
        <is>
          <t>959-2026:184311</t>
        </is>
      </c>
      <c r="E1201" s="24" t="inlineStr">
        <is>
          <t>TENNIS</t>
        </is>
      </c>
      <c r="F1201" s="24" t="inlineStr">
        <is>
          <t>Camila Osorio</t>
        </is>
      </c>
      <c r="G1201" s="24" t="inlineStr">
        <is>
          <t>Coco Gauff</t>
        </is>
      </c>
      <c r="H1201" s="24" t="inlineStr">
        <is>
          <t>moneyline</t>
        </is>
      </c>
      <c r="I1201" s="24" t="inlineStr">
        <is>
          <t>home</t>
        </is>
      </c>
      <c r="J1201" s="25" t="n"/>
      <c r="K1201" s="24" t="inlineStr">
        <is>
          <t>polymarket_us</t>
        </is>
      </c>
      <c r="L1201" s="26" t="n">
        <v>-1011</v>
      </c>
      <c r="M1201" s="27" t="n">
        <v>1.098912</v>
      </c>
      <c r="N1201" s="28" t="n">
        <v>0.909991</v>
      </c>
      <c r="O1201" s="28" t="n">
        <v>0.8575</v>
      </c>
      <c r="P1201" s="28" t="n">
        <v>0.05</v>
      </c>
      <c r="Q1201" s="28" t="n">
        <v>-0.052491</v>
      </c>
      <c r="R1201" s="26" t="n">
        <v>0</v>
      </c>
      <c r="S1201" s="29" t="n">
        <v>1</v>
      </c>
      <c r="T1201" s="24" t="inlineStr">
        <is>
          <t>tennis-surface-elo-v1</t>
        </is>
      </c>
      <c r="U1201" s="24" t="inlineStr">
        <is>
          <t>settled</t>
        </is>
      </c>
      <c r="V1201" s="24" t="inlineStr">
        <is>
          <t>win</t>
        </is>
      </c>
      <c r="W1201" s="26" t="n">
        <v>0</v>
      </c>
      <c r="X1201" s="26" t="n">
        <v>1</v>
      </c>
      <c r="Y1201" s="25" t="n"/>
      <c r="Z1201" s="26" t="n">
        <v>-1011</v>
      </c>
      <c r="AA1201" s="28" t="n">
        <v>0.91</v>
      </c>
      <c r="AB1201" s="28" t="n">
        <v>9e-06</v>
      </c>
      <c r="AC1201" s="30" t="n">
        <v>0.0989</v>
      </c>
      <c r="AD1201" s="24" t="inlineStr">
        <is>
          <t>2026-10-03T10:00:18.530671Z</t>
        </is>
      </c>
      <c r="AE1201" s="31" t="inlineStr">
        <is>
          <t>Surface-blended Elo on Hard: Camila Osorio p=0.143 vs Coco Gauff. Executable ask 0.9100 (aec-wta-cocgau-camoso-2026-10-02).</t>
        </is>
      </c>
      <c r="AF1201" s="31" t="inlineStr">
        <is>
          <t>Surface-blended Elo model; singles only, WTA+ATP market coverage, not yet locked-holdout qualified -- promoted by explicit operator directive, not genuine walk-forward validation.</t>
        </is>
      </c>
      <c r="AG1201" s="24" t="inlineStr">
        <is>
          <t>not_applicable</t>
        </is>
      </c>
      <c r="AH1201" s="24" t="n"/>
      <c r="AI1201" s="31" t="n"/>
      <c r="AJ1201" s="31" t="n"/>
      <c r="AK1201" s="24" t="inlineStr">
        <is>
          <t>paper_call</t>
        </is>
      </c>
      <c r="AL1201" s="26" t="n">
        <v>4</v>
      </c>
      <c r="AM1201" s="24" t="inlineStr">
        <is>
          <t>RESEARCH_OBSERVATION</t>
        </is>
      </c>
      <c r="AN1201" s="24" t="inlineStr">
        <is>
          <t>CALL</t>
        </is>
      </c>
      <c r="AO1201" s="24" t="inlineStr">
        <is>
          <t>PAPER_CALL_LOW_EDGE</t>
        </is>
      </c>
      <c r="AP1201" s="24" t="inlineStr">
        <is>
          <t>Camila Osorio</t>
        </is>
      </c>
      <c r="AQ1201" s="24" t="inlineStr">
        <is>
          <t>Camila Osorio</t>
        </is>
      </c>
      <c r="AR1201" s="24" t="inlineStr">
        <is>
          <t>Camila Osorio</t>
        </is>
      </c>
      <c r="AS1201" s="24" t="inlineStr">
        <is>
          <t>Coco Gauff</t>
        </is>
      </c>
      <c r="AT1201" s="24" t="inlineStr">
        <is>
          <t>Coco Gauff</t>
        </is>
      </c>
      <c r="AU1201" s="24" t="inlineStr">
        <is>
          <t>Coco Gauff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shadow_qualified</t>
        </is>
      </c>
      <c r="BA1201" s="24" t="inlineStr">
        <is>
          <t>6c67e999d2a03612e30f4032c8e5e77e8becfbc79e05f4c8993e726b90d34d54</t>
        </is>
      </c>
      <c r="BB1201" s="24" t="inlineStr">
        <is>
          <t>surface_blended_elo</t>
        </is>
      </c>
      <c r="BC1201" s="24" t="inlineStr">
        <is>
          <t>tennis-surface-elo-v1</t>
        </is>
      </c>
      <c r="BD1201" s="24" t="inlineStr">
        <is>
          <t>6c67e999d2a03612e30f4032c8e5e77e8becfbc79e05f4c8993e726b90d34d54</t>
        </is>
      </c>
      <c r="BE1201" s="24" t="inlineStr">
        <is>
          <t>tennis-surface-elo-v1</t>
        </is>
      </c>
      <c r="BF1201" s="24" t="inlineStr">
        <is>
          <t>1</t>
        </is>
      </c>
      <c r="BG1201" s="24" t="inlineStr">
        <is>
          <t>6c67e999d2a03612e30f4032c8e5e77e8becfbc79e05f4c8993e726b90d34d54</t>
        </is>
      </c>
      <c r="BH1201" s="24" t="inlineStr">
        <is>
          <t>2026-10-02T22:05:47.471414Z</t>
        </is>
      </c>
      <c r="BI1201" s="24" t="inlineStr">
        <is>
          <t>["same_event","same_team_same_day","same_league_same_day"]</t>
        </is>
      </c>
      <c r="BJ1201" s="25" t="n"/>
      <c r="BK1201" s="26" t="n">
        <v>-1011</v>
      </c>
      <c r="BL1201" s="27" t="n">
        <v>1.098912</v>
      </c>
      <c r="BM1201" s="28" t="n">
        <v>0.909991</v>
      </c>
      <c r="BN1201" s="28" t="n"/>
      <c r="BO1201" s="28" t="n"/>
      <c r="BP1201" s="25" t="n"/>
      <c r="BQ1201" s="27" t="n">
        <v>1.098912</v>
      </c>
      <c r="BR1201" s="28" t="n">
        <v>0.91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False</t>
        </is>
      </c>
      <c r="CT1201" s="24" t="n"/>
      <c r="CU1201" s="24" t="n"/>
      <c r="CV1201" s="24" t="n"/>
      <c r="CW1201" s="24" t="n"/>
      <c r="CX1201" s="24" t="n"/>
      <c r="CY1201" s="24" t="n"/>
      <c r="CZ1201" s="24" t="n"/>
      <c r="DA1201" s="24" t="n"/>
      <c r="DB1201" s="24" t="n"/>
      <c r="DC1201" s="24" t="n"/>
      <c r="DD1201" s="24" t="inlineStr">
        <is>
          <t>dea528fdd833965931d56061e4d585a02ebdbdd1b1cde05e1cf0f7be588fc87f</t>
        </is>
      </c>
      <c r="DE1201" s="24" t="inlineStr">
        <is>
          <t>/Users/vincentc9002/model-prediction/data/odds/tennis/2026-10-02/polymarket_snapshots.jsonl</t>
        </is>
      </c>
      <c r="DF1201" s="24" t="inlineStr">
        <is>
          <t>1156516:2026-10-02T22:05:47.471414Z</t>
        </is>
      </c>
      <c r="DG1201" s="24" t="n"/>
      <c r="DH1201" s="24" t="n"/>
      <c r="DI1201" s="24" t="n"/>
      <c r="DJ1201" s="24" t="inlineStr">
        <is>
          <t>0.909991</t>
        </is>
      </c>
      <c r="DK1201" s="24" t="n"/>
      <c r="DL1201" s="24" t="n"/>
      <c r="DM1201" s="24" t="n"/>
      <c r="DN1201" s="24" t="n"/>
      <c r="DO1201" s="24" t="n"/>
      <c r="DP1201" s="24" t="n"/>
      <c r="DQ1201" s="24" t="inlineStr">
        <is>
          <t>{"artifact_hash": "6c67e999d2a03612e30f4032c8e5e77e8becfbc79e05f4c8993e726b90d34d54", "away_team": "Camila Osorio", "event_id": "959-2026:184311", "event_start_utc": "2026-10-03T03:00Z", "features": {"elo_p1_surface": 1656.8, "elo_p2_surface": 1954.6, "expected_games_p1": 4.21, "expected_games_p2": 12.21, "expected_total_games": 16.41, "history_matches": 16501, "min_player_matches": 142,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[1655.7215899804492, 2011.17203052355], "players": ["Camila Osorio", "Coco Gauff"], "sport": "TENNIS", "surface": "Hard", "surface_counts": [109, 125], "surface_ratings": [1656.76738943513, 1954.6405075761952]}, "market_type": "moneyline", "model_version": "tennis-surface-elo-v1", "observed_at_utc": "2026-10-02T22:06:16.879941+00:00", "probabilities": {"away": 0.1425, "home": 0.8575}, "replay_scope": "Exact full-precision serving state and rounding; upstream historical observation times are not certified.", "schema": "coded-moneyline-replay-v1", "snapshot_hash": "25538ca4fb0fceaff55589fbaebabb11f8c9fdd5bccfe37b04f397d0877dd3cc", "sport": "TENNIS"}</t>
        </is>
      </c>
    </row>
    <row r="1202" ht="36" customHeight="1">
      <c r="A1202" s="24" t="inlineStr">
        <is>
          <t>534e905c9944400b</t>
        </is>
      </c>
      <c r="B1202" s="24" t="inlineStr">
        <is>
          <t>2026-10-02T22:06:17.437510Z</t>
        </is>
      </c>
      <c r="C1202" s="24" t="inlineStr">
        <is>
          <t>2026-10-03T05:00Z</t>
        </is>
      </c>
      <c r="D1202" s="24" t="inlineStr">
        <is>
          <t>959-2026:183444</t>
        </is>
      </c>
      <c r="E1202" s="24" t="inlineStr">
        <is>
          <t>TENNIS</t>
        </is>
      </c>
      <c r="F1202" s="24" t="inlineStr">
        <is>
          <t>Roman Safiullin</t>
        </is>
      </c>
      <c r="G1202" s="24" t="inlineStr">
        <is>
          <t>Andrey Rublev</t>
        </is>
      </c>
      <c r="H1202" s="24" t="inlineStr">
        <is>
          <t>moneyline</t>
        </is>
      </c>
      <c r="I1202" s="24" t="inlineStr">
        <is>
          <t>home</t>
        </is>
      </c>
      <c r="J1202" s="25" t="n"/>
      <c r="K1202" s="24" t="inlineStr">
        <is>
          <t>polymarket_us</t>
        </is>
      </c>
      <c r="L1202" s="26" t="n">
        <v>-133</v>
      </c>
      <c r="M1202" s="27" t="n">
        <v>1.75188</v>
      </c>
      <c r="N1202" s="28" t="n">
        <v>0.570815</v>
      </c>
      <c r="O1202" s="28" t="n">
        <v>0.6924</v>
      </c>
      <c r="P1202" s="28" t="n">
        <v>0.05</v>
      </c>
      <c r="Q1202" s="28" t="n">
        <v>0.121585</v>
      </c>
      <c r="R1202" s="26" t="n">
        <v>81</v>
      </c>
      <c r="S1202" s="29" t="n">
        <v>1.5</v>
      </c>
      <c r="T1202" s="24" t="inlineStr">
        <is>
          <t>tennis-surface-elo-v1</t>
        </is>
      </c>
      <c r="U1202" s="24" t="inlineStr">
        <is>
          <t>settled</t>
        </is>
      </c>
      <c r="V1202" s="24" t="inlineStr">
        <is>
          <t>win</t>
        </is>
      </c>
      <c r="W1202" s="26" t="n">
        <v>0</v>
      </c>
      <c r="X1202" s="26" t="n">
        <v>1</v>
      </c>
      <c r="Y1202" s="25" t="n"/>
      <c r="Z1202" s="26" t="n">
        <v>-133</v>
      </c>
      <c r="AA1202" s="28" t="n">
        <v>0.57</v>
      </c>
      <c r="AB1202" s="28" t="n">
        <v>-0.000815</v>
      </c>
      <c r="AC1202" s="30" t="n">
        <v>1.1278</v>
      </c>
      <c r="AD1202" s="24" t="inlineStr">
        <is>
          <t>2026-10-03T10:00:19.002677Z</t>
        </is>
      </c>
      <c r="AE1202" s="31" t="inlineStr">
        <is>
          <t>Surface-blended Elo on Hard: Roman Safiullin p=0.308 vs Andrey Rublev. Executable ask 0.5700 (aec-atp-andrub-romsaf-2026-10-02).</t>
        </is>
      </c>
      <c r="AF1202" s="31" t="inlineStr">
        <is>
          <t>Surface-blended Elo model; singles only, WTA+ATP market coverage, not yet locked-holdout qualified -- promoted by explicit operator directive, not genuine walk-forward validation.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PAPER_CALL_STALE_DATA</t>
        </is>
      </c>
      <c r="AP1202" s="24" t="inlineStr">
        <is>
          <t>Roman Safiullin</t>
        </is>
      </c>
      <c r="AQ1202" s="24" t="inlineStr">
        <is>
          <t>Roman Safiullin</t>
        </is>
      </c>
      <c r="AR1202" s="24" t="inlineStr">
        <is>
          <t>Roman Safiullin</t>
        </is>
      </c>
      <c r="AS1202" s="24" t="inlineStr">
        <is>
          <t>Andrey Rublev</t>
        </is>
      </c>
      <c r="AT1202" s="24" t="inlineStr">
        <is>
          <t>Andrey Rublev</t>
        </is>
      </c>
      <c r="AU1202" s="24" t="inlineStr">
        <is>
          <t>Andrey Rublev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shadow_qualified</t>
        </is>
      </c>
      <c r="BA1202" s="24" t="inlineStr">
        <is>
          <t>6c67e999d2a03612e30f4032c8e5e77e8becfbc79e05f4c8993e726b90d34d54</t>
        </is>
      </c>
      <c r="BB1202" s="24" t="inlineStr">
        <is>
          <t>surface_blended_elo</t>
        </is>
      </c>
      <c r="BC1202" s="24" t="inlineStr">
        <is>
          <t>tennis-surface-elo-v1</t>
        </is>
      </c>
      <c r="BD1202" s="24" t="inlineStr">
        <is>
          <t>6c67e999d2a03612e30f4032c8e5e77e8becfbc79e05f4c8993e726b90d34d54</t>
        </is>
      </c>
      <c r="BE1202" s="24" t="inlineStr">
        <is>
          <t>tennis-surface-elo-v1</t>
        </is>
      </c>
      <c r="BF1202" s="24" t="inlineStr">
        <is>
          <t>1</t>
        </is>
      </c>
      <c r="BG1202" s="24" t="inlineStr">
        <is>
          <t>6c67e999d2a03612e30f4032c8e5e77e8becfbc79e05f4c8993e726b90d34d54</t>
        </is>
      </c>
      <c r="BH1202" s="24" t="inlineStr">
        <is>
          <t>2026-10-02T04:37:50.365666Z</t>
        </is>
      </c>
      <c r="BI1202" s="24" t="inlineStr">
        <is>
          <t>["same_event","same_team_same_day","same_league_same_day"]</t>
        </is>
      </c>
      <c r="BJ1202" s="25" t="n"/>
      <c r="BK1202" s="26" t="n">
        <v>-133</v>
      </c>
      <c r="BL1202" s="27" t="n">
        <v>1.75188</v>
      </c>
      <c r="BM1202" s="28" t="n">
        <v>0.570815</v>
      </c>
      <c r="BN1202" s="28" t="n"/>
      <c r="BO1202" s="28" t="n"/>
      <c r="BP1202" s="25" t="n"/>
      <c r="BQ1202" s="27" t="n">
        <v>1.75188</v>
      </c>
      <c r="BR1202" s="28" t="n">
        <v>0.57</v>
      </c>
      <c r="BS1202" s="28" t="n"/>
      <c r="BT1202" s="28" t="n"/>
      <c r="BU1202" s="25" t="n"/>
      <c r="BV1202" s="29" t="n"/>
      <c r="BW1202" s="24" t="n"/>
      <c r="BX1202" s="30" t="n"/>
      <c r="BY1202" s="27" t="n"/>
      <c r="BZ1202" s="24" t="n"/>
      <c r="CA1202" s="31" t="n"/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n"/>
      <c r="CU1202" s="24" t="n"/>
      <c r="CV1202" s="24" t="n"/>
      <c r="CW1202" s="24" t="n"/>
      <c r="CX1202" s="24" t="n"/>
      <c r="CY1202" s="24" t="n"/>
      <c r="CZ1202" s="24" t="n"/>
      <c r="DA1202" s="24" t="n"/>
      <c r="DB1202" s="24" t="n"/>
      <c r="DC1202" s="24" t="n"/>
      <c r="DD1202" s="24" t="inlineStr">
        <is>
          <t>110b2bd0a77c423b33ccdc4d4b7084d07bc245c720022c3bea731302beea7137</t>
        </is>
      </c>
      <c r="DE1202" s="24" t="inlineStr">
        <is>
          <t>/Users/vincentc9002/model-prediction/data/odds/tennis/2026-10-02/polymarket_snapshots.jsonl</t>
        </is>
      </c>
      <c r="DF1202" s="24" t="inlineStr">
        <is>
          <t>1156416:2026-10-02T04:37:50.365666Z</t>
        </is>
      </c>
      <c r="DG1202" s="24" t="n"/>
      <c r="DH1202" s="24" t="n"/>
      <c r="DI1202" s="24" t="n"/>
      <c r="DJ1202" s="24" t="inlineStr">
        <is>
          <t>0.570815</t>
        </is>
      </c>
      <c r="DK1202" s="24" t="n"/>
      <c r="DL1202" s="24" t="n"/>
      <c r="DM1202" s="24" t="n"/>
      <c r="DN1202" s="24" t="n"/>
      <c r="DO1202" s="24" t="n"/>
      <c r="DP1202" s="24" t="n"/>
      <c r="DQ1202" s="24" t="inlineStr">
        <is>
          <t>{"artifact_hash": "6c67e999d2a03612e30f4032c8e5e77e8becfbc79e05f4c8993e726b90d34d54", "away_team": "Roman Safiullin", "event_id": "959-2026:183444", "event_start_utc": "2026-10-03T05:00Z", "features": {"elo_p1_surface": 1547.3, "elo_p2_surface": 1710.3, "expected_games_p1": 8.23, "expected_games_p2": 13.14, "expected_total_games": 21.38, "history_matches": 11341, "min_player_matches": 93, "surface": "Hard"}, "historical_source_observation_times_verified": false, "home_team": "Andrey Rublev", "inference_inputs": {"code_sha256": {"features/elo_ratings.py": "8525faf022a6343c452286dbfeb17dbb043744c6bdabbe448b6b371216da439b", "models/tennis.py": "6c67e999d2a03612e30f4032c8e5e77e8becfbc79e05f4c8993e726b90d34d54"}, "overall_ratings": [1636.7222525994312, 1733.0925927180713], "players": ["Roman Safiullin", "Andrey Rublev"], "sport": "TENNIS", "surface": "Hard", "surface_counts": [65, 120], "surface_ratings": [1547.31264591742, 1710.3483294036837]}, "market_type": "moneyline", "model_version": "tennis-surface-elo-v1", "observed_at_utc": "2026-10-02T22:06:16.879941+00:00", "probabilities": {"away": 0.3076, "home": 0.6924}, "replay_scope": "Exact full-precision serving state and rounding; upstream historical observation times are not certified.", "schema": "coded-moneyline-replay-v1", "snapshot_hash": "2833644aa43575306d8a0ec5d904435a48860654d40b3f63f3a20ea6384fb869", "sport": "TENNIS"}</t>
        </is>
      </c>
    </row>
    <row r="1203" ht="36" customHeight="1">
      <c r="A1203" s="24" t="inlineStr">
        <is>
          <t>d7be9f2964f54e42</t>
        </is>
      </c>
      <c r="B1203" s="24" t="inlineStr">
        <is>
          <t>2026-10-02T22:06:17.437510Z</t>
        </is>
      </c>
      <c r="C1203" s="24" t="inlineStr">
        <is>
          <t>2026-10-03T03:30Z</t>
        </is>
      </c>
      <c r="D1203" s="24" t="inlineStr">
        <is>
          <t>5-2026:183501</t>
        </is>
      </c>
      <c r="E1203" s="24" t="inlineStr">
        <is>
          <t>TENNIS</t>
        </is>
      </c>
      <c r="F1203" s="24" t="inlineStr">
        <is>
          <t>Matteo Arnaldi</t>
        </is>
      </c>
      <c r="G1203" s="24" t="inlineStr">
        <is>
          <t>Carlos Alcaraz</t>
        </is>
      </c>
      <c r="H1203" s="24" t="inlineStr">
        <is>
          <t>moneyline</t>
        </is>
      </c>
      <c r="I1203" s="24" t="inlineStr">
        <is>
          <t>home</t>
        </is>
      </c>
      <c r="J1203" s="25" t="n"/>
      <c r="K1203" s="24" t="inlineStr">
        <is>
          <t>polymarket_us</t>
        </is>
      </c>
      <c r="L1203" s="26" t="n">
        <v>-1150</v>
      </c>
      <c r="M1203" s="27" t="n">
        <v>1.086957</v>
      </c>
      <c r="N1203" s="28" t="n">
        <v>0.92</v>
      </c>
      <c r="O1203" s="28" t="n">
        <v>0.9447</v>
      </c>
      <c r="P1203" s="28" t="n">
        <v>0.05</v>
      </c>
      <c r="Q1203" s="28" t="n">
        <v>0.0247</v>
      </c>
      <c r="R1203" s="26" t="n">
        <v>32</v>
      </c>
      <c r="S1203" s="29" t="n">
        <v>1</v>
      </c>
      <c r="T1203" s="24" t="inlineStr">
        <is>
          <t>tennis-surface-elo-v1</t>
        </is>
      </c>
      <c r="U1203" s="24" t="inlineStr">
        <is>
          <t>settled</t>
        </is>
      </c>
      <c r="V1203" s="24" t="inlineStr">
        <is>
          <t>win</t>
        </is>
      </c>
      <c r="W1203" s="26" t="n">
        <v>0</v>
      </c>
      <c r="X1203" s="26" t="n">
        <v>1</v>
      </c>
      <c r="Y1203" s="25" t="n"/>
      <c r="Z1203" s="26" t="n">
        <v>-1150</v>
      </c>
      <c r="AA1203" s="28" t="n">
        <v>0.92</v>
      </c>
      <c r="AB1203" s="28" t="n">
        <v>0</v>
      </c>
      <c r="AC1203" s="30" t="n">
        <v>0.08699999999999999</v>
      </c>
      <c r="AD1203" s="24" t="inlineStr">
        <is>
          <t>2026-10-03T10:00:19.451425Z</t>
        </is>
      </c>
      <c r="AE1203" s="31" t="inlineStr">
        <is>
          <t>Surface-blended Elo on Hard: Matteo Arnaldi p=0.055 vs Carlos Alcaraz. Executable ask 0.9200 (aec-atp-caralc-matarn-2026-10-02).</t>
        </is>
      </c>
      <c r="AF1203" s="31" t="inlineStr">
        <is>
          <t>Surface-blended Elo model; singles only, WTA+ATP market coverage, not yet locked-holdout qualified -- promoted by explicit operator directive, not genuine walk-forward validation.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paper_call</t>
        </is>
      </c>
      <c r="AL1203" s="26" t="n">
        <v>4</v>
      </c>
      <c r="AM1203" s="24" t="inlineStr">
        <is>
          <t>RESEARCH_OBSERVATION</t>
        </is>
      </c>
      <c r="AN1203" s="24" t="inlineStr">
        <is>
          <t>CALL</t>
        </is>
      </c>
      <c r="AO1203" s="24" t="inlineStr">
        <is>
          <t>PAPER_CALL_LOW_EDGE</t>
        </is>
      </c>
      <c r="AP1203" s="24" t="inlineStr">
        <is>
          <t>Matteo Arnaldi</t>
        </is>
      </c>
      <c r="AQ1203" s="24" t="inlineStr">
        <is>
          <t>Matteo Arnaldi</t>
        </is>
      </c>
      <c r="AR1203" s="24" t="inlineStr">
        <is>
          <t>Matteo Arnaldi</t>
        </is>
      </c>
      <c r="AS1203" s="24" t="inlineStr">
        <is>
          <t>Carlos Alcaraz</t>
        </is>
      </c>
      <c r="AT1203" s="24" t="inlineStr">
        <is>
          <t>Carlos Alcaraz</t>
        </is>
      </c>
      <c r="AU1203" s="24" t="inlineStr">
        <is>
          <t>Carlos Alcaraz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shadow_qualified</t>
        </is>
      </c>
      <c r="BA1203" s="24" t="inlineStr">
        <is>
          <t>6c67e999d2a03612e30f4032c8e5e77e8becfbc79e05f4c8993e726b90d34d54</t>
        </is>
      </c>
      <c r="BB1203" s="24" t="inlineStr">
        <is>
          <t>surface_blended_elo</t>
        </is>
      </c>
      <c r="BC1203" s="24" t="inlineStr">
        <is>
          <t>tennis-surface-elo-v1</t>
        </is>
      </c>
      <c r="BD1203" s="24" t="inlineStr">
        <is>
          <t>6c67e999d2a03612e30f4032c8e5e77e8becfbc79e05f4c8993e726b90d34d54</t>
        </is>
      </c>
      <c r="BE1203" s="24" t="inlineStr">
        <is>
          <t>tennis-surface-elo-v1</t>
        </is>
      </c>
      <c r="BF1203" s="24" t="inlineStr">
        <is>
          <t>1</t>
        </is>
      </c>
      <c r="BG1203" s="24" t="inlineStr">
        <is>
          <t>6c67e999d2a03612e30f4032c8e5e77e8becfbc79e05f4c8993e726b90d34d54</t>
        </is>
      </c>
      <c r="BH1203" s="24" t="inlineStr">
        <is>
          <t>2026-10-02T16:07:01.394026Z</t>
        </is>
      </c>
      <c r="BI1203" s="24" t="inlineStr">
        <is>
          <t>["same_event","same_team_same_day","same_league_same_day"]</t>
        </is>
      </c>
      <c r="BJ1203" s="25" t="n"/>
      <c r="BK1203" s="26" t="n">
        <v>-1150</v>
      </c>
      <c r="BL1203" s="27" t="n">
        <v>1.086957</v>
      </c>
      <c r="BM1203" s="28" t="n">
        <v>0.92</v>
      </c>
      <c r="BN1203" s="28" t="n"/>
      <c r="BO1203" s="28" t="n"/>
      <c r="BP1203" s="25" t="n"/>
      <c r="BQ1203" s="27" t="n">
        <v>1.086957</v>
      </c>
      <c r="BR1203" s="28" t="n">
        <v>0.92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True</t>
        </is>
      </c>
      <c r="CT1203" s="24" t="n"/>
      <c r="CU1203" s="24" t="n"/>
      <c r="CV1203" s="24" t="n"/>
      <c r="CW1203" s="24" t="n"/>
      <c r="CX1203" s="24" t="n"/>
      <c r="CY1203" s="24" t="n"/>
      <c r="CZ1203" s="24" t="n"/>
      <c r="DA1203" s="24" t="n"/>
      <c r="DB1203" s="24" t="n"/>
      <c r="DC1203" s="24" t="n"/>
      <c r="DD1203" s="24" t="inlineStr">
        <is>
          <t>a4121840ab3bdcd09342f5ad8cebd8934a8f6c77c9e8564caa078ca2538760b5</t>
        </is>
      </c>
      <c r="DE1203" s="24" t="inlineStr">
        <is>
          <t>/Users/vincentc9002/model-prediction/data/odds/tennis/2026-10-02/polymarket_snapshots.jsonl</t>
        </is>
      </c>
      <c r="DF1203" s="24" t="inlineStr">
        <is>
          <t>1156489:2026-10-02T16:07:01.394026Z</t>
        </is>
      </c>
      <c r="DG1203" s="24" t="n"/>
      <c r="DH1203" s="24" t="n"/>
      <c r="DI1203" s="24" t="n"/>
      <c r="DJ1203" s="24" t="inlineStr">
        <is>
          <t>0.92</t>
        </is>
      </c>
      <c r="DK1203" s="24" t="n"/>
      <c r="DL1203" s="24" t="n"/>
      <c r="DM1203" s="24" t="n"/>
      <c r="DN1203" s="24" t="n"/>
      <c r="DO1203" s="24" t="n"/>
      <c r="DP1203" s="24" t="n"/>
      <c r="DQ1203" s="24" t="inlineStr">
        <is>
          <t>{"artifact_hash": "6c67e999d2a03612e30f4032c8e5e77e8becfbc79e05f4c8993e726b90d34d54", "away_team": "Matteo Arnaldi", "event_id": "5-2026:183501", "event_start_utc": "2026-10-03T03:30Z", "features": {"elo_p1_surface": 1484.1, "elo_p2_surface": 1982.0, "expected_games_p1": 3.25, "expected_games_p2": 12.05, "expected_total_games": 15.3, "history_matches": 11341, "min_player_matches": 132, "surface": "Hard"}, "historical_source_observation_times_verified": false, "home_team": "Carlos Alcaraz", "inference_inputs": {"code_sha256": {"features/elo_ratings.py": "8525faf022a6343c452286dbfeb17dbb043744c6bdabbe448b6b371216da439b", "models/tennis.py": "6c67e999d2a03612e30f4032c8e5e77e8becfbc79e05f4c8993e726b90d34d54"}, "overall_ratings": [1557.9380577824404, 2046.6508772149728], "players": ["Matteo Arnaldi", "Carlos Alcaraz"], "sport": "TENNIS", "surface": "Hard", "surface_counts": [82, 117], "surface_ratings": [1484.1330753574596, 1981.9985267653747]}, "market_type": "moneyline", "model_version": "tennis-surface-elo-v1", "observed_at_utc": "2026-10-02T22:06:16.879941+00:00", "probabilities": {"away": 0.0553, "home": 0.9447}, "replay_scope": "Exact full-precision serving state and rounding; upstream historical observation times are not certified.", "schema": "coded-moneyline-replay-v1", "snapshot_hash": "0b8cde7953d86d3e6e25faf102beac4e95035841170e56c1015838b92b0cbf6b", "sport": "TENNIS"}</t>
        </is>
      </c>
    </row>
    <row r="1204" ht="36" customHeight="1">
      <c r="A1204" s="24" t="inlineStr">
        <is>
          <t>63136053456a4eac</t>
        </is>
      </c>
      <c r="B1204" s="24" t="inlineStr">
        <is>
          <t>2026-10-03T05:25:43.406230Z</t>
        </is>
      </c>
      <c r="C1204" s="24" t="inlineStr">
        <is>
          <t>2026-10-03T07:00Z</t>
        </is>
      </c>
      <c r="D1204" s="24" t="inlineStr">
        <is>
          <t>959-2026:184324</t>
        </is>
      </c>
      <c r="E1204" s="24" t="inlineStr">
        <is>
          <t>TENNIS</t>
        </is>
      </c>
      <c r="F1204" s="24" t="inlineStr">
        <is>
          <t>Anna Kalinskaya</t>
        </is>
      </c>
      <c r="G1204" s="24" t="inlineStr">
        <is>
          <t>Zheng Qinwen</t>
        </is>
      </c>
      <c r="H1204" s="24" t="inlineStr">
        <is>
          <t>moneyline</t>
        </is>
      </c>
      <c r="I1204" s="24" t="inlineStr">
        <is>
          <t>home</t>
        </is>
      </c>
      <c r="J1204" s="25" t="n"/>
      <c r="K1204" s="24" t="inlineStr">
        <is>
          <t>polymarket_us</t>
        </is>
      </c>
      <c r="L1204" s="26" t="n">
        <v>-163</v>
      </c>
      <c r="M1204" s="27" t="n">
        <v>1.613497</v>
      </c>
      <c r="N1204" s="28" t="n">
        <v>0.619772</v>
      </c>
      <c r="O1204" s="28" t="n">
        <v>0.5567</v>
      </c>
      <c r="P1204" s="28" t="n">
        <v>0.05</v>
      </c>
      <c r="Q1204" s="28" t="n">
        <v>-0.063072</v>
      </c>
      <c r="R1204" s="26" t="n">
        <v>0</v>
      </c>
      <c r="S1204" s="29" t="n">
        <v>1</v>
      </c>
      <c r="T1204" s="24" t="inlineStr">
        <is>
          <t>tennis-surface-elo-v1</t>
        </is>
      </c>
      <c r="U1204" s="24" t="inlineStr">
        <is>
          <t>settled</t>
        </is>
      </c>
      <c r="V1204" s="24" t="inlineStr">
        <is>
          <t>win</t>
        </is>
      </c>
      <c r="W1204" s="26" t="n">
        <v>0</v>
      </c>
      <c r="X1204" s="26" t="n">
        <v>1</v>
      </c>
      <c r="Y1204" s="25" t="n"/>
      <c r="Z1204" s="26" t="n"/>
      <c r="AA1204" s="28" t="n"/>
      <c r="AB1204" s="28" t="n"/>
      <c r="AC1204" s="30" t="n">
        <v>0.6135</v>
      </c>
      <c r="AD1204" s="24" t="inlineStr">
        <is>
          <t>2026-10-03T16:00:24.277425Z</t>
        </is>
      </c>
      <c r="AE1204" s="31" t="inlineStr">
        <is>
          <t>Surface-blended Elo on Hard: Anna Kalinskaya p=0.443 vs Zheng Qinwen. Executable ask 0.6200 (aec-wta-qinzhe-annkal-2026-10-01).</t>
        </is>
      </c>
      <c r="AF1204" s="31" t="inlineStr">
        <is>
          <t>Surface-blended Elo model; singles only, WTA+ATP market coverage, not yet locked-holdout qualified -- promoted by explicit operator directive, not genuine walk-forward validation.</t>
        </is>
      </c>
      <c r="AG1204" s="24" t="inlineStr">
        <is>
          <t>not_applicable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PAPER_CALL_LOW_EDGE</t>
        </is>
      </c>
      <c r="AP1204" s="24" t="inlineStr">
        <is>
          <t>Anna Kalinskaya</t>
        </is>
      </c>
      <c r="AQ1204" s="24" t="inlineStr">
        <is>
          <t>Anna Kalinskaya</t>
        </is>
      </c>
      <c r="AR1204" s="24" t="inlineStr">
        <is>
          <t>Anna Kalinskaya</t>
        </is>
      </c>
      <c r="AS1204" s="24" t="inlineStr">
        <is>
          <t>Zheng Qinwen</t>
        </is>
      </c>
      <c r="AT1204" s="24" t="inlineStr">
        <is>
          <t>Zheng Qinwen</t>
        </is>
      </c>
      <c r="AU1204" s="24" t="inlineStr">
        <is>
          <t>Zheng Qinwen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shadow_qualified</t>
        </is>
      </c>
      <c r="BA1204" s="24" t="inlineStr">
        <is>
          <t>6c67e999d2a03612e30f4032c8e5e77e8becfbc79e05f4c8993e726b90d34d54</t>
        </is>
      </c>
      <c r="BB1204" s="24" t="inlineStr">
        <is>
          <t>surface_blended_elo</t>
        </is>
      </c>
      <c r="BC1204" s="24" t="inlineStr">
        <is>
          <t>tennis-surface-elo-v1</t>
        </is>
      </c>
      <c r="BD1204" s="24" t="inlineStr">
        <is>
          <t>6c67e999d2a03612e30f4032c8e5e77e8becfbc79e05f4c8993e726b90d34d54</t>
        </is>
      </c>
      <c r="BE1204" s="24" t="inlineStr">
        <is>
          <t>tennis-surface-elo-v1</t>
        </is>
      </c>
      <c r="BF1204" s="24" t="inlineStr">
        <is>
          <t>1</t>
        </is>
      </c>
      <c r="BG1204" s="24" t="inlineStr">
        <is>
          <t>6c67e999d2a03612e30f4032c8e5e77e8becfbc79e05f4c8993e726b90d34d54</t>
        </is>
      </c>
      <c r="BH1204" s="24" t="inlineStr">
        <is>
          <t>2026-10-03T05:22:32.013848Z</t>
        </is>
      </c>
      <c r="BI1204" s="24" t="inlineStr">
        <is>
          <t>["same_event","same_team_same_day","same_league_same_day"]</t>
        </is>
      </c>
      <c r="BJ1204" s="25" t="n"/>
      <c r="BK1204" s="26" t="n">
        <v>-163</v>
      </c>
      <c r="BL1204" s="27" t="n">
        <v>1.613497</v>
      </c>
      <c r="BM1204" s="28" t="n">
        <v>0.619772</v>
      </c>
      <c r="BN1204" s="28" t="n"/>
      <c r="BO1204" s="28" t="n"/>
      <c r="BP1204" s="25" t="n"/>
      <c r="BQ1204" s="27" t="n"/>
      <c r="BR1204" s="28" t="n"/>
      <c r="BS1204" s="28" t="n"/>
      <c r="BT1204" s="28" t="n"/>
      <c r="BU1204" s="25" t="n"/>
      <c r="BV1204" s="29" t="n"/>
      <c r="BW1204" s="24" t="n"/>
      <c r="BX1204" s="30" t="n"/>
      <c r="BY1204" s="27" t="n"/>
      <c r="BZ1204" s="24" t="n"/>
      <c r="CA1204" s="31" t="n"/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False</t>
        </is>
      </c>
      <c r="CT1204" s="24" t="n"/>
      <c r="CU1204" s="24" t="n"/>
      <c r="CV1204" s="24" t="n"/>
      <c r="CW1204" s="24" t="n"/>
      <c r="CX1204" s="24" t="n"/>
      <c r="CY1204" s="24" t="n"/>
      <c r="CZ1204" s="24" t="n"/>
      <c r="DA1204" s="24" t="n"/>
      <c r="DB1204" s="24" t="n"/>
      <c r="DC1204" s="24" t="n"/>
      <c r="DD1204" s="24" t="inlineStr">
        <is>
          <t>79e141bcc20f7fcc17f4ef09eae792d18ba93d17b4687c69a9ba63e508f66a1d</t>
        </is>
      </c>
      <c r="DE1204" s="24" t="inlineStr">
        <is>
          <t>/Users/vincentc9002/model-prediction/data/odds/tennis/2026-10-03/polymarket_snapshots.jsonl</t>
        </is>
      </c>
      <c r="DF1204" s="24" t="inlineStr">
        <is>
          <t>1155082:2026-10-03T05:22:32.013848Z</t>
        </is>
      </c>
      <c r="DG1204" s="24" t="n"/>
      <c r="DH1204" s="24" t="n"/>
      <c r="DI1204" s="24" t="n"/>
      <c r="DJ1204" s="24" t="inlineStr">
        <is>
          <t>0.619772</t>
        </is>
      </c>
      <c r="DK1204" s="24" t="n"/>
      <c r="DL1204" s="24" t="n"/>
      <c r="DM1204" s="24" t="n"/>
      <c r="DN1204" s="24" t="n"/>
      <c r="DO1204" s="24" t="n"/>
      <c r="DP1204" s="24" t="n"/>
      <c r="DQ1204" s="24" t="inlineStr">
        <is>
          <t>{"artifact_hash": "6c67e999d2a03612e30f4032c8e5e77e8becfbc79e05f4c8993e726b90d34d54", "away_team": "Anna Kalinskaya", "event_id": "959-2026:184324", "event_start_utc": "2026-10-03T07:00Z", "features": {"elo_p1_surface": 1743.8, "elo_p2_surface": 1795.9, "expected_games_p1": 11.11, "expected_games_p2": 13.1, "expected_total_games": 24.21, "history_matches": 16523, "min_player_matches": 129, "surface": "Hard"}, "historical_source_observation_times_verified": false, "home_team": "Zheng Qinwen", "inference_inputs": {"code_sha256": {"features/elo_ratings.py": "8525faf022a6343c452286dbfeb17dbb043744c6bdabbe448b6b371216da439b", "models/tennis.py": "6c67e999d2a03612e30f4032c8e5e77e8becfbc79e05f4c8993e726b90d34d54"}, "overall_ratings": [1789.9381232260348, 1792.1294681625193], "players": ["Anna Kalinskaya", "Zheng Qinwen"], "sport": "TENNIS", "surface": "Hard", "surface_counts": [113, 97], "surface_ratings": [1743.7633549496709, 1795.8746000929868]}, "market_type": "moneyline", "model_version": "tennis-surface-elo-v1", "observed_at_utc": "2026-10-03T05:25:42.237063+00:00", "probabilities": {"away": 0.4433, "home": 0.5567}, "replay_scope": "Exact full-precision serving state and rounding; upstream historical observation times are not certified.", "schema": "coded-moneyline-replay-v1", "snapshot_hash": "fd04a4d300a54ffe13c276174b7c5e22760655bd0d9c182ebe5bf25e0f58b546", "sport": "TENNIS"}</t>
        </is>
      </c>
    </row>
    <row r="1205" ht="36" customHeight="1">
      <c r="A1205" s="24" t="inlineStr">
        <is>
          <t>418cbcfe5dbb487f</t>
        </is>
      </c>
      <c r="B1205" s="24" t="inlineStr">
        <is>
          <t>2026-10-03T05:25:43.406230Z</t>
        </is>
      </c>
      <c r="C1205" s="24" t="inlineStr">
        <is>
          <t>2026-10-03T06:30Z</t>
        </is>
      </c>
      <c r="D1205" s="24" t="inlineStr">
        <is>
          <t>1029-2026:186277</t>
        </is>
      </c>
      <c r="E1205" s="24" t="inlineStr">
        <is>
          <t>TENNIS</t>
        </is>
      </c>
      <c r="F1205" s="24" t="inlineStr">
        <is>
          <t>Chengyiyi Yuan</t>
        </is>
      </c>
      <c r="G1205" s="24" t="inlineStr">
        <is>
          <t>Shi Han</t>
        </is>
      </c>
      <c r="H1205" s="24" t="inlineStr">
        <is>
          <t>moneyline</t>
        </is>
      </c>
      <c r="I1205" s="24" t="inlineStr">
        <is>
          <t>away</t>
        </is>
      </c>
      <c r="J1205" s="25" t="n"/>
      <c r="K1205" s="24" t="inlineStr">
        <is>
          <t>polymarket_us</t>
        </is>
      </c>
      <c r="L1205" s="26" t="n">
        <v>614</v>
      </c>
      <c r="M1205" s="27" t="n">
        <v>7.14</v>
      </c>
      <c r="N1205" s="28" t="n">
        <v>0.140056</v>
      </c>
      <c r="O1205" s="28" t="n">
        <v>0.5135</v>
      </c>
      <c r="P1205" s="28" t="n">
        <v>0.05</v>
      </c>
      <c r="Q1205" s="28" t="n">
        <v>0.373444</v>
      </c>
      <c r="R1205" s="26" t="n">
        <v>100</v>
      </c>
      <c r="S1205" s="29" t="n">
        <v>2</v>
      </c>
      <c r="T1205" s="24" t="inlineStr">
        <is>
          <t>tennis-surface-elo-v1</t>
        </is>
      </c>
      <c r="U1205" s="24" t="inlineStr">
        <is>
          <t>settled</t>
        </is>
      </c>
      <c r="V1205" s="24" t="inlineStr">
        <is>
          <t>loss</t>
        </is>
      </c>
      <c r="W1205" s="26" t="n">
        <v>0</v>
      </c>
      <c r="X1205" s="26" t="n">
        <v>1</v>
      </c>
      <c r="Y1205" s="25" t="n"/>
      <c r="Z1205" s="26" t="n">
        <v>614</v>
      </c>
      <c r="AA1205" s="28" t="n">
        <v>0.14</v>
      </c>
      <c r="AB1205" s="28" t="n">
        <v>-5.6e-05</v>
      </c>
      <c r="AC1205" s="30" t="n">
        <v>-2</v>
      </c>
      <c r="AD1205" s="24" t="inlineStr">
        <is>
          <t>2026-10-04T20:49:10.566707Z</t>
        </is>
      </c>
      <c r="AE1205" s="31" t="inlineStr">
        <is>
          <t>Surface-blended Elo on Hard: Chengyiyi Yuan p=0.513 vs Shi Han. Executable ask 0.1400 (aec-wta-hanshi-cheyua-2026-10-02).</t>
        </is>
      </c>
      <c r="AF1205" s="31" t="inlineStr">
        <is>
          <t>Surface-blended Elo model; singles only, WTA+ATP market coverage, not yet locked-holdout qualified -- promoted by explicit operator directive, not genuine walk-forward validation.</t>
        </is>
      </c>
      <c r="AG1205" s="24" t="inlineStr">
        <is>
          <t>review_required</t>
        </is>
      </c>
      <c r="AH1205" s="24" t="n"/>
      <c r="AI1205" s="31" t="n"/>
      <c r="AJ1205" s="31" t="n"/>
      <c r="AK1205" s="24" t="inlineStr">
        <is>
          <t>paper_call</t>
        </is>
      </c>
      <c r="AL1205" s="26" t="n">
        <v>4</v>
      </c>
      <c r="AM1205" s="24" t="inlineStr">
        <is>
          <t>RESEARCH_OBSERVATION</t>
        </is>
      </c>
      <c r="AN1205" s="24" t="inlineStr">
        <is>
          <t>CALL</t>
        </is>
      </c>
      <c r="AO1205" s="24" t="inlineStr">
        <is>
          <t>PAPER_CALL_MODEL_UNVALIDATED</t>
        </is>
      </c>
      <c r="AP1205" s="24" t="inlineStr">
        <is>
          <t>Chengyiyi Yuan</t>
        </is>
      </c>
      <c r="AQ1205" s="24" t="inlineStr">
        <is>
          <t>Chengyiyi Yuan</t>
        </is>
      </c>
      <c r="AR1205" s="24" t="inlineStr">
        <is>
          <t>Chengyiyi Yuan</t>
        </is>
      </c>
      <c r="AS1205" s="24" t="inlineStr">
        <is>
          <t>Shi Han</t>
        </is>
      </c>
      <c r="AT1205" s="24" t="inlineStr">
        <is>
          <t>Shi Han</t>
        </is>
      </c>
      <c r="AU1205" s="24" t="inlineStr">
        <is>
          <t>Shi Han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shadow_qualified</t>
        </is>
      </c>
      <c r="BA1205" s="24" t="inlineStr">
        <is>
          <t>6c67e999d2a03612e30f4032c8e5e77e8becfbc79e05f4c8993e726b90d34d54</t>
        </is>
      </c>
      <c r="BB1205" s="24" t="inlineStr">
        <is>
          <t>surface_blended_elo</t>
        </is>
      </c>
      <c r="BC1205" s="24" t="inlineStr">
        <is>
          <t>tennis-surface-elo-v1</t>
        </is>
      </c>
      <c r="BD1205" s="24" t="inlineStr">
        <is>
          <t>6c67e999d2a03612e30f4032c8e5e77e8becfbc79e05f4c8993e726b90d34d54</t>
        </is>
      </c>
      <c r="BE1205" s="24" t="inlineStr">
        <is>
          <t>tennis-surface-elo-v1</t>
        </is>
      </c>
      <c r="BF1205" s="24" t="inlineStr">
        <is>
          <t>1</t>
        </is>
      </c>
      <c r="BG1205" s="24" t="inlineStr">
        <is>
          <t>6c67e999d2a03612e30f4032c8e5e77e8becfbc79e05f4c8993e726b90d34d54</t>
        </is>
      </c>
      <c r="BH1205" s="24" t="inlineStr">
        <is>
          <t>2026-10-03T05:22:36.852229Z</t>
        </is>
      </c>
      <c r="BI1205" s="24" t="inlineStr">
        <is>
          <t>["same_event","same_team_same_day","same_league_same_day"]</t>
        </is>
      </c>
      <c r="BJ1205" s="25" t="n"/>
      <c r="BK1205" s="26" t="n">
        <v>614</v>
      </c>
      <c r="BL1205" s="27" t="n">
        <v>7.14</v>
      </c>
      <c r="BM1205" s="28" t="n">
        <v>0.140056</v>
      </c>
      <c r="BN1205" s="28" t="n"/>
      <c r="BO1205" s="28" t="n"/>
      <c r="BP1205" s="25" t="n"/>
      <c r="BQ1205" s="27" t="n">
        <v>7.14</v>
      </c>
      <c r="BR1205" s="28" t="n">
        <v>0.14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n"/>
      <c r="CU1205" s="24" t="n"/>
      <c r="CV1205" s="24" t="n"/>
      <c r="CW1205" s="24" t="n"/>
      <c r="CX1205" s="24" t="n"/>
      <c r="CY1205" s="24" t="n"/>
      <c r="CZ1205" s="24" t="n"/>
      <c r="DA1205" s="24" t="n"/>
      <c r="DB1205" s="24" t="n"/>
      <c r="DC1205" s="24" t="n"/>
      <c r="DD1205" s="24" t="inlineStr">
        <is>
          <t>03ab17ae54b921c2e0b929173832ee177e7dae92d9b7cc2f4b81b9fa1355de7b</t>
        </is>
      </c>
      <c r="DE1205" s="24" t="inlineStr">
        <is>
          <t>/Users/vincentc9002/model-prediction/data/odds/tennis/2026-10-03/polymarket_snapshots.jsonl</t>
        </is>
      </c>
      <c r="DF1205" s="24" t="inlineStr">
        <is>
          <t>1165979:2026-10-03T05:22:36.852229Z</t>
        </is>
      </c>
      <c r="DG1205" s="24" t="n"/>
      <c r="DH1205" s="24" t="n"/>
      <c r="DI1205" s="24" t="n"/>
      <c r="DJ1205" s="24" t="inlineStr">
        <is>
          <t>0.140056</t>
        </is>
      </c>
      <c r="DK1205" s="24" t="n"/>
      <c r="DL1205" s="24" t="n"/>
      <c r="DM1205" s="24" t="n"/>
      <c r="DN1205" s="24" t="n"/>
      <c r="DO1205" s="24" t="n"/>
      <c r="DP1205" s="24" t="n"/>
      <c r="DQ1205" s="24" t="inlineStr">
        <is>
          <t>{"artifact_hash": "6c67e999d2a03612e30f4032c8e5e77e8becfbc79e05f4c8993e726b90d34d54", "away_team": "Chengyiyi Yuan", "event_id": "1029-2026:186277", "event_start_utc": "2026-10-03T06:30Z", "features": {"elo_p1_surface": 1485.1, "elo_p2_surface": 1476.5, "expected_games_p1": 12.73, "expected_games_p2": 12.01, "expected_total_games": 24.75, "history_matches": 16523, "min_player_matches": 9,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[1482.1664523578993, 1470.2072405467911], "players": ["Chengyiyi Yuan", "Shi Han"], "sport": "TENNIS", "surface": "Hard", "surface_counts": [9, 29], "surface_ratings": [1485.1410908254647, 1476.5213980513674]}, "market_type": "moneyline", "model_version": "tennis-surface-elo-v1", "observed_at_utc": "2026-10-03T05:25:42.237063+00:00", "probabilities": {"away": 0.5135, "home": 0.4865}, "replay_scope": "Exact full-precision serving state and rounding; upstream historical observation times are not certified.", "schema": "coded-moneyline-replay-v1", "snapshot_hash": "0b6d73bfcae2d0661b6a3eac94a3b7c544cb685cab167fb9057f11a9b1873053", "sport": "TENNIS"}</t>
        </is>
      </c>
    </row>
    <row r="1206" ht="36" customHeight="1">
      <c r="A1206" s="24" t="inlineStr">
        <is>
          <t>17f74c32bd6a452f</t>
        </is>
      </c>
      <c r="B1206" s="24" t="inlineStr">
        <is>
          <t>2026-10-03T05:25:43.406230Z</t>
        </is>
      </c>
      <c r="C1206" s="24" t="inlineStr">
        <is>
          <t>2026-10-03T08:00Z</t>
        </is>
      </c>
      <c r="D1206" s="24" t="inlineStr">
        <is>
          <t>1029-2026:186275</t>
        </is>
      </c>
      <c r="E1206" s="24" t="inlineStr">
        <is>
          <t>TENNIS</t>
        </is>
      </c>
      <c r="F1206" s="24" t="inlineStr">
        <is>
          <t>Kristiana Sidorova</t>
        </is>
      </c>
      <c r="G1206" s="24" t="inlineStr">
        <is>
          <t>Katarina Zavatska</t>
        </is>
      </c>
      <c r="H1206" s="24" t="inlineStr">
        <is>
          <t>moneyline</t>
        </is>
      </c>
      <c r="I1206" s="24" t="inlineStr">
        <is>
          <t>away</t>
        </is>
      </c>
      <c r="J1206" s="25" t="n"/>
      <c r="K1206" s="24" t="inlineStr">
        <is>
          <t>polymarket_us</t>
        </is>
      </c>
      <c r="L1206" s="26" t="n">
        <v>-186</v>
      </c>
      <c r="M1206" s="27" t="n">
        <v>1.537634</v>
      </c>
      <c r="N1206" s="28" t="n">
        <v>0.65035</v>
      </c>
      <c r="O1206" s="28" t="n">
        <v>0.6519</v>
      </c>
      <c r="P1206" s="28" t="n">
        <v>0.05</v>
      </c>
      <c r="Q1206" s="28" t="n">
        <v>0.00155</v>
      </c>
      <c r="R1206" s="26" t="n">
        <v>21</v>
      </c>
      <c r="S1206" s="29" t="n">
        <v>1</v>
      </c>
      <c r="T1206" s="24" t="inlineStr">
        <is>
          <t>tennis-surface-elo-v1</t>
        </is>
      </c>
      <c r="U1206" s="24" t="inlineStr">
        <is>
          <t>settled</t>
        </is>
      </c>
      <c r="V1206" s="24" t="inlineStr">
        <is>
          <t>loss</t>
        </is>
      </c>
      <c r="W1206" s="26" t="n">
        <v>0</v>
      </c>
      <c r="X1206" s="26" t="n">
        <v>1</v>
      </c>
      <c r="Y1206" s="25" t="n"/>
      <c r="Z1206" s="26" t="n">
        <v>-186</v>
      </c>
      <c r="AA1206" s="28" t="n">
        <v>0.65</v>
      </c>
      <c r="AB1206" s="28" t="n">
        <v>-0.00035</v>
      </c>
      <c r="AC1206" s="30" t="n">
        <v>-1</v>
      </c>
      <c r="AD1206" s="24" t="inlineStr">
        <is>
          <t>2026-10-04T20:49:18.458305Z</t>
        </is>
      </c>
      <c r="AE1206" s="31" t="inlineStr">
        <is>
          <t>Surface-blended Elo on Hard: Kristiana Sidorova p=0.652 vs Katarina Zavatska. Executable ask 0.6500 (aec-wta-katzav-krisid-2026-10-02).</t>
        </is>
      </c>
      <c r="AF1206" s="31" t="inlineStr">
        <is>
          <t>Surface-blended Elo model; singles only, WTA+ATP market coverage, not yet locked-holdout qualified -- promoted by explicit operator directive, not genuine walk-forward validation.</t>
        </is>
      </c>
      <c r="AG1206" s="24" t="inlineStr">
        <is>
          <t>review_required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PAPER_CALL_LOW_EDGE</t>
        </is>
      </c>
      <c r="AP1206" s="24" t="inlineStr">
        <is>
          <t>Kristiana Sidorova</t>
        </is>
      </c>
      <c r="AQ1206" s="24" t="inlineStr">
        <is>
          <t>Kristiana Sidorova</t>
        </is>
      </c>
      <c r="AR1206" s="24" t="inlineStr">
        <is>
          <t>Kristiana Sidorova</t>
        </is>
      </c>
      <c r="AS1206" s="24" t="inlineStr">
        <is>
          <t>Katarina Zavatska</t>
        </is>
      </c>
      <c r="AT1206" s="24" t="inlineStr">
        <is>
          <t>Katarina Zavatska</t>
        </is>
      </c>
      <c r="AU1206" s="24" t="inlineStr">
        <is>
          <t>Katarina Zavatska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shadow_qualified</t>
        </is>
      </c>
      <c r="BA1206" s="24" t="inlineStr">
        <is>
          <t>6c67e999d2a03612e30f4032c8e5e77e8becfbc79e05f4c8993e726b90d34d54</t>
        </is>
      </c>
      <c r="BB1206" s="24" t="inlineStr">
        <is>
          <t>surface_blended_elo</t>
        </is>
      </c>
      <c r="BC1206" s="24" t="inlineStr">
        <is>
          <t>tennis-surface-elo-v1</t>
        </is>
      </c>
      <c r="BD1206" s="24" t="inlineStr">
        <is>
          <t>6c67e999d2a03612e30f4032c8e5e77e8becfbc79e05f4c8993e726b90d34d54</t>
        </is>
      </c>
      <c r="BE1206" s="24" t="inlineStr">
        <is>
          <t>tennis-surface-elo-v1</t>
        </is>
      </c>
      <c r="BF1206" s="24" t="inlineStr">
        <is>
          <t>1</t>
        </is>
      </c>
      <c r="BG1206" s="24" t="inlineStr">
        <is>
          <t>6c67e999d2a03612e30f4032c8e5e77e8becfbc79e05f4c8993e726b90d34d54</t>
        </is>
      </c>
      <c r="BH1206" s="24" t="inlineStr">
        <is>
          <t>2026-10-03T05:22:54.175468Z</t>
        </is>
      </c>
      <c r="BI1206" s="24" t="inlineStr">
        <is>
          <t>["same_event","same_team_same_day","same_league_same_day"]</t>
        </is>
      </c>
      <c r="BJ1206" s="25" t="n"/>
      <c r="BK1206" s="26" t="n">
        <v>-186</v>
      </c>
      <c r="BL1206" s="27" t="n">
        <v>1.537634</v>
      </c>
      <c r="BM1206" s="28" t="n">
        <v>0.65035</v>
      </c>
      <c r="BN1206" s="28" t="n"/>
      <c r="BO1206" s="28" t="n"/>
      <c r="BP1206" s="25" t="n"/>
      <c r="BQ1206" s="27" t="n">
        <v>1.537634</v>
      </c>
      <c r="BR1206" s="28" t="n">
        <v>0.65</v>
      </c>
      <c r="BS1206" s="28" t="n"/>
      <c r="BT1206" s="28" t="n"/>
      <c r="BU1206" s="25" t="n"/>
      <c r="BV1206" s="29" t="n"/>
      <c r="BW1206" s="24" t="n"/>
      <c r="BX1206" s="30" t="n"/>
      <c r="BY1206" s="27" t="n"/>
      <c r="BZ1206" s="24" t="n"/>
      <c r="CA1206" s="31" t="n"/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True</t>
        </is>
      </c>
      <c r="CT1206" s="24" t="n"/>
      <c r="CU1206" s="24" t="n"/>
      <c r="CV1206" s="24" t="n"/>
      <c r="CW1206" s="24" t="n"/>
      <c r="CX1206" s="24" t="n"/>
      <c r="CY1206" s="24" t="n"/>
      <c r="CZ1206" s="24" t="n"/>
      <c r="DA1206" s="24" t="n"/>
      <c r="DB1206" s="24" t="n"/>
      <c r="DC1206" s="24" t="n"/>
      <c r="DD1206" s="24" t="inlineStr">
        <is>
          <t>96c94aaeab6932e633e0cad206f7764cbc552bf757db24209ac06197dce8f5b7</t>
        </is>
      </c>
      <c r="DE1206" s="24" t="inlineStr">
        <is>
          <t>/Users/vincentc9002/model-prediction/data/odds/tennis/2026-10-03/polymarket_snapshots.jsonl</t>
        </is>
      </c>
      <c r="DF1206" s="24" t="inlineStr">
        <is>
          <t>1165975:2026-10-03T05:22:54.175468Z</t>
        </is>
      </c>
      <c r="DG1206" s="24" t="n"/>
      <c r="DH1206" s="24" t="n"/>
      <c r="DI1206" s="24" t="n"/>
      <c r="DJ1206" s="24" t="inlineStr">
        <is>
          <t>0.65035</t>
        </is>
      </c>
      <c r="DK1206" s="24" t="n"/>
      <c r="DL1206" s="24" t="n"/>
      <c r="DM1206" s="24" t="n"/>
      <c r="DN1206" s="24" t="n"/>
      <c r="DO1206" s="24" t="n"/>
      <c r="DP1206" s="24" t="n"/>
      <c r="DQ1206" s="24" t="inlineStr">
        <is>
          <t>{"artifact_hash": "6c67e999d2a03612e30f4032c8e5e77e8becfbc79e05f4c8993e726b90d34d54", "away_team": "Kristiana Sidorova", "event_id": "1029-2026:186275", "event_start_utc": "2026-10-03T08:00Z", "features": {"elo_p1_surface": 1550.4, "elo_p2_surface": 1436.9, "expected_games_p1": 13.39, "expected_games_p2": 8.53, "expected_total_games": 21.91, "history_matches": 16523, "min_player_matches": 12, "surface": "Hard"}, "historical_source_observation_times_verified": false, "home_team": "Katarina Zavatska", "inference_inputs": {"code_sha256": {"features/elo_ratings.py": "8525faf022a6343c452286dbfeb17dbb043744c6bdabbe448b6b371216da439b", "models/tennis.py": "6c67e999d2a03612e30f4032c8e5e77e8becfbc79e05f4c8993e726b90d34d54"}, "overall_ratings": [1549.9990657011906, 1449.3020579905256], "players": ["Kristiana Sidorova", "Katarina Zavatska"], "sport": "TENNIS", "surface": "Hard", "surface_counts": [12, 50], "surface_ratings": [1550.4171593680117, 1436.8859325255792]}, "market_type": "moneyline", "model_version": "tennis-surface-elo-v1", "observed_at_utc": "2026-10-03T05:25:42.237063+00:00", "probabilities": {"away": 0.6519, "home": 0.3481}, "replay_scope": "Exact full-precision serving state and rounding; upstream historical observation times are not certified.", "schema": "coded-moneyline-replay-v1", "snapshot_hash": "91d05ca3ac04b896a07b2147ebf39505445cb67ff7d08c48d4b6e6aba803ee23", "sport": "TENNIS"}</t>
        </is>
      </c>
    </row>
    <row r="1207" ht="36" customHeight="1">
      <c r="A1207" s="24" t="inlineStr">
        <is>
          <t>bbbdae48860047e3</t>
        </is>
      </c>
      <c r="B1207" s="24" t="inlineStr">
        <is>
          <t>2026-10-03T10:53:30.512918Z</t>
        </is>
      </c>
      <c r="C1207" s="24" t="inlineStr">
        <is>
          <t>2026-10-03T11:10Z</t>
        </is>
      </c>
      <c r="D1207" s="24" t="inlineStr">
        <is>
          <t>959-2026:184321</t>
        </is>
      </c>
      <c r="E1207" s="24" t="inlineStr">
        <is>
          <t>TENNIS</t>
        </is>
      </c>
      <c r="F1207" s="24" t="inlineStr">
        <is>
          <t>Kimberly Birrell</t>
        </is>
      </c>
      <c r="G1207" s="24" t="inlineStr">
        <is>
          <t>Marie Bouzkova</t>
        </is>
      </c>
      <c r="H1207" s="24" t="inlineStr">
        <is>
          <t>moneyline</t>
        </is>
      </c>
      <c r="I1207" s="24" t="inlineStr">
        <is>
          <t>home</t>
        </is>
      </c>
      <c r="J1207" s="25" t="n"/>
      <c r="K1207" s="24" t="inlineStr">
        <is>
          <t>polymarket_us</t>
        </is>
      </c>
      <c r="L1207" s="26" t="n">
        <v>-213</v>
      </c>
      <c r="M1207" s="27" t="n">
        <v>1.469484</v>
      </c>
      <c r="N1207" s="28" t="n">
        <v>0.680511</v>
      </c>
      <c r="O1207" s="28" t="n">
        <v>0.5541</v>
      </c>
      <c r="P1207" s="28" t="n">
        <v>0.05</v>
      </c>
      <c r="Q1207" s="28" t="n">
        <v>-0.126411</v>
      </c>
      <c r="R1207" s="26" t="n">
        <v>0</v>
      </c>
      <c r="S1207" s="29" t="n">
        <v>1</v>
      </c>
      <c r="T1207" s="24" t="inlineStr">
        <is>
          <t>tennis-surface-elo-v1</t>
        </is>
      </c>
      <c r="U1207" s="24" t="inlineStr">
        <is>
          <t>settled</t>
        </is>
      </c>
      <c r="V1207" s="24" t="inlineStr">
        <is>
          <t>win</t>
        </is>
      </c>
      <c r="W1207" s="26" t="n">
        <v>0</v>
      </c>
      <c r="X1207" s="26" t="n">
        <v>1</v>
      </c>
      <c r="Y1207" s="25" t="n"/>
      <c r="Z1207" s="26" t="n">
        <v>-213</v>
      </c>
      <c r="AA1207" s="28" t="n">
        <v>0.68</v>
      </c>
      <c r="AB1207" s="28" t="n">
        <v>-0.000511</v>
      </c>
      <c r="AC1207" s="30" t="n">
        <v>0.4695</v>
      </c>
      <c r="AD1207" s="24" t="inlineStr">
        <is>
          <t>2026-10-03T16:00:24.736975Z</t>
        </is>
      </c>
      <c r="AE1207" s="31" t="inlineStr">
        <is>
          <t>Surface-blended Elo on Hard: Kimberly Birrell p=0.446 vs Marie Bouzkova. Executable ask 0.6800 (aec-wta-marbou-kimbir-2026-10-01).</t>
        </is>
      </c>
      <c r="AF1207" s="31" t="inlineStr">
        <is>
          <t>Surface-blended Elo model; singles only, WTA+ATP market coverage, not yet locked-holdout qualified -- promoted by explicit operator directive, not genuine walk-forward validation.</t>
        </is>
      </c>
      <c r="AG1207" s="24" t="inlineStr">
        <is>
          <t>not_applicable</t>
        </is>
      </c>
      <c r="AH1207" s="24" t="n"/>
      <c r="AI1207" s="31" t="n"/>
      <c r="AJ1207" s="31" t="n"/>
      <c r="AK1207" s="24" t="inlineStr">
        <is>
          <t>paper_call</t>
        </is>
      </c>
      <c r="AL1207" s="26" t="n">
        <v>4</v>
      </c>
      <c r="AM1207" s="24" t="inlineStr">
        <is>
          <t>RESEARCH_OBSERVATION</t>
        </is>
      </c>
      <c r="AN1207" s="24" t="inlineStr">
        <is>
          <t>CALL</t>
        </is>
      </c>
      <c r="AO1207" s="24" t="inlineStr">
        <is>
          <t>PAPER_CALL_LOW_EDGE</t>
        </is>
      </c>
      <c r="AP1207" s="24" t="inlineStr">
        <is>
          <t>Kimberly Birrell</t>
        </is>
      </c>
      <c r="AQ1207" s="24" t="inlineStr">
        <is>
          <t>Kimberly Birrell</t>
        </is>
      </c>
      <c r="AR1207" s="24" t="inlineStr">
        <is>
          <t>Kimberly Birrell</t>
        </is>
      </c>
      <c r="AS1207" s="24" t="inlineStr">
        <is>
          <t>Marie Bouzkova</t>
        </is>
      </c>
      <c r="AT1207" s="24" t="inlineStr">
        <is>
          <t>Marie Bouzkova</t>
        </is>
      </c>
      <c r="AU1207" s="24" t="inlineStr">
        <is>
          <t>Marie Bouzkova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shadow_qualified</t>
        </is>
      </c>
      <c r="BA1207" s="24" t="inlineStr">
        <is>
          <t>6c67e999d2a03612e30f4032c8e5e77e8becfbc79e05f4c8993e726b90d34d54</t>
        </is>
      </c>
      <c r="BB1207" s="24" t="inlineStr">
        <is>
          <t>surface_blended_elo</t>
        </is>
      </c>
      <c r="BC1207" s="24" t="inlineStr">
        <is>
          <t>tennis-surface-elo-v1</t>
        </is>
      </c>
      <c r="BD1207" s="24" t="inlineStr">
        <is>
          <t>6c67e999d2a03612e30f4032c8e5e77e8becfbc79e05f4c8993e726b90d34d54</t>
        </is>
      </c>
      <c r="BE1207" s="24" t="inlineStr">
        <is>
          <t>tennis-surface-elo-v1</t>
        </is>
      </c>
      <c r="BF1207" s="24" t="inlineStr">
        <is>
          <t>1</t>
        </is>
      </c>
      <c r="BG1207" s="24" t="inlineStr">
        <is>
          <t>6c67e999d2a03612e30f4032c8e5e77e8becfbc79e05f4c8993e726b90d34d54</t>
        </is>
      </c>
      <c r="BH1207" s="24" t="inlineStr">
        <is>
          <t>2026-10-03T10:50:29.162047Z</t>
        </is>
      </c>
      <c r="BI1207" s="24" t="inlineStr">
        <is>
          <t>["same_event","same_team_same_day","same_league_same_day"]</t>
        </is>
      </c>
      <c r="BJ1207" s="25" t="n"/>
      <c r="BK1207" s="26" t="n">
        <v>-213</v>
      </c>
      <c r="BL1207" s="27" t="n">
        <v>1.469484</v>
      </c>
      <c r="BM1207" s="28" t="n">
        <v>0.680511</v>
      </c>
      <c r="BN1207" s="28" t="n"/>
      <c r="BO1207" s="28" t="n"/>
      <c r="BP1207" s="25" t="n"/>
      <c r="BQ1207" s="27" t="n">
        <v>1.469484</v>
      </c>
      <c r="BR1207" s="28" t="n">
        <v>0.68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False</t>
        </is>
      </c>
      <c r="CT1207" s="24" t="n"/>
      <c r="CU1207" s="24" t="n"/>
      <c r="CV1207" s="24" t="n"/>
      <c r="CW1207" s="24" t="n"/>
      <c r="CX1207" s="24" t="n"/>
      <c r="CY1207" s="24" t="n"/>
      <c r="CZ1207" s="24" t="n"/>
      <c r="DA1207" s="24" t="n"/>
      <c r="DB1207" s="24" t="n"/>
      <c r="DC1207" s="24" t="n"/>
      <c r="DD1207" s="24" t="inlineStr">
        <is>
          <t>2f2434efb6f25db1b492d89d773f5073f31b5fc78e464031b55afe3d84f561ef</t>
        </is>
      </c>
      <c r="DE1207" s="24" t="inlineStr">
        <is>
          <t>/Users/vincentc9002/model-prediction/data/odds/tennis/2026-10-03/polymarket_snapshots.jsonl</t>
        </is>
      </c>
      <c r="DF1207" s="24" t="inlineStr">
        <is>
          <t>1155856:2026-10-03T10:50:29.162047Z</t>
        </is>
      </c>
      <c r="DG1207" s="24" t="n"/>
      <c r="DH1207" s="24" t="n"/>
      <c r="DI1207" s="24" t="n"/>
      <c r="DJ1207" s="24" t="inlineStr">
        <is>
          <t>0.680511</t>
        </is>
      </c>
      <c r="DK1207" s="24" t="n"/>
      <c r="DL1207" s="24" t="n"/>
      <c r="DM1207" s="24" t="n"/>
      <c r="DN1207" s="24" t="n"/>
      <c r="DO1207" s="24" t="n"/>
      <c r="DP1207" s="24" t="n"/>
      <c r="DQ1207" s="24" t="inlineStr">
        <is>
          <t>{"artifact_hash": "6c67e999d2a03612e30f4032c8e5e77e8becfbc79e05f4c8993e726b90d34d54", "away_team": "Kimberly Birrell", "event_id": "959-2026:184321", "event_start_utc": "2026-10-03T11:10Z", "features": {"elo_p1_surface": 1687.5, "elo_p2_surface": 1710.3, "expected_games_p1": 11.99, "expected_games_p2": 12.7, "expected_total_games": 24.69, "history_matches": 16523, "min_player_matches": 148, "surface": "Hard"}, "historical_source_observation_times_verified": false, "home_team": "Marie Bouzkova", "inference_inputs": {"code_sha256": {"features/elo_ratings.py": "8525faf022a6343c452286dbfeb17dbb043744c6bdabbe448b6b371216da439b", "models/tennis.py": "6c67e999d2a03612e30f4032c8e5e77e8becfbc79e05f4c8993e726b90d34d54"}, "overall_ratings": [1688.031579876193, 1771.089717765218], "players": ["Kimberly Birrell", "Marie Bouzkova"], "sport": "TENNIS", "surface": "Hard", "surface_counts": [114, 115], "surface_ratings": [1687.4715731849758, 1710.277082505908]}, "market_type": "moneyline", "model_version": "tennis-surface-elo-v1", "observed_at_utc": "2026-10-03T10:53:27.918199+00:00", "probabilities": {"away": 0.4459, "home": 0.5541}, "replay_scope": "Exact full-precision serving state and rounding; upstream historical observation times are not certified.", "schema": "coded-moneyline-replay-v1", "snapshot_hash": "4b816ae35ccfd112e809900507e7eb923d19f1428a06941df167403afa929a8b", "sport": "TENNIS"}</t>
        </is>
      </c>
    </row>
    <row r="1208" ht="36" customHeight="1">
      <c r="A1208" s="24" t="inlineStr">
        <is>
          <t>c51e93ed74fa4a4c</t>
        </is>
      </c>
      <c r="B1208" s="24" t="inlineStr">
        <is>
          <t>2026-10-03T22:32:35.202943Z</t>
        </is>
      </c>
      <c r="C1208" s="24" t="inlineStr">
        <is>
          <t>2026-10-04T03:00Z</t>
        </is>
      </c>
      <c r="D1208" s="24" t="inlineStr">
        <is>
          <t>959-2026:184342</t>
        </is>
      </c>
      <c r="E1208" s="24" t="inlineStr">
        <is>
          <t>TENNIS</t>
        </is>
      </c>
      <c r="F1208" s="24" t="inlineStr">
        <is>
          <t>Dayana Yastremska</t>
        </is>
      </c>
      <c r="G1208" s="24" t="inlineStr">
        <is>
          <t>Sinja Kraus</t>
        </is>
      </c>
      <c r="H1208" s="24" t="inlineStr">
        <is>
          <t>moneyline</t>
        </is>
      </c>
      <c r="I1208" s="24" t="inlineStr">
        <is>
          <t>home</t>
        </is>
      </c>
      <c r="J1208" s="25" t="n"/>
      <c r="K1208" s="24" t="inlineStr">
        <is>
          <t>polymarket_us</t>
        </is>
      </c>
      <c r="L1208" s="26" t="n">
        <v>-4900</v>
      </c>
      <c r="M1208" s="27" t="n">
        <v>1.020408</v>
      </c>
      <c r="N1208" s="28" t="n">
        <v>0.98</v>
      </c>
      <c r="O1208" s="28" t="n">
        <v>0.6143999999999999</v>
      </c>
      <c r="P1208" s="28" t="n">
        <v>0.05</v>
      </c>
      <c r="Q1208" s="28" t="n">
        <v>-0.3656</v>
      </c>
      <c r="R1208" s="26" t="n">
        <v>0</v>
      </c>
      <c r="S1208" s="29" t="n">
        <v>1</v>
      </c>
      <c r="T1208" s="24" t="inlineStr">
        <is>
          <t>tennis-surface-elo-v1</t>
        </is>
      </c>
      <c r="U1208" s="24" t="inlineStr">
        <is>
          <t>settled</t>
        </is>
      </c>
      <c r="V1208" s="24" t="inlineStr">
        <is>
          <t>win</t>
        </is>
      </c>
      <c r="W1208" s="26" t="n">
        <v>0</v>
      </c>
      <c r="X1208" s="26" t="n">
        <v>1</v>
      </c>
      <c r="Y1208" s="25" t="n"/>
      <c r="Z1208" s="26" t="n">
        <v>-4900</v>
      </c>
      <c r="AA1208" s="28" t="n">
        <v>0.98</v>
      </c>
      <c r="AB1208" s="28" t="n">
        <v>0</v>
      </c>
      <c r="AC1208" s="30" t="n">
        <v>0.0204</v>
      </c>
      <c r="AD1208" s="24" t="inlineStr">
        <is>
          <t>2026-10-04T20:56:56.526477Z</t>
        </is>
      </c>
      <c r="AE1208" s="31" t="inlineStr">
        <is>
          <t>Surface-blended Elo on Hard: Dayana Yastremska p=0.386 vs Sinja Kraus. Executable ask 0.9800 (aec-wta-sinkra-dayyas-2026-10-03).</t>
        </is>
      </c>
      <c r="AF1208" s="31" t="inlineStr">
        <is>
          <t>Surface-blended Elo model; singles only, WTA+ATP market coverage, not yet locked-holdout qualified -- promoted by explicit operator directive, not genuine walk-forward validation.</t>
        </is>
      </c>
      <c r="AG1208" s="24" t="inlineStr">
        <is>
          <t>not_applicable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PAPER_CALL_LOW_EDGE</t>
        </is>
      </c>
      <c r="AP1208" s="24" t="inlineStr">
        <is>
          <t>Dayana Yastremska</t>
        </is>
      </c>
      <c r="AQ1208" s="24" t="inlineStr">
        <is>
          <t>Dayana Yastremska</t>
        </is>
      </c>
      <c r="AR1208" s="24" t="inlineStr">
        <is>
          <t>Dayana Yastremska</t>
        </is>
      </c>
      <c r="AS1208" s="24" t="inlineStr">
        <is>
          <t>Sinja Kraus</t>
        </is>
      </c>
      <c r="AT1208" s="24" t="inlineStr">
        <is>
          <t>Sinja Kraus</t>
        </is>
      </c>
      <c r="AU1208" s="24" t="inlineStr">
        <is>
          <t>Sinja Kraus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shadow_qualified</t>
        </is>
      </c>
      <c r="BA1208" s="24" t="inlineStr">
        <is>
          <t>6c67e999d2a03612e30f4032c8e5e77e8becfbc79e05f4c8993e726b90d34d54</t>
        </is>
      </c>
      <c r="BB1208" s="24" t="inlineStr">
        <is>
          <t>surface_blended_elo</t>
        </is>
      </c>
      <c r="BC1208" s="24" t="inlineStr">
        <is>
          <t>tennis-surface-elo-v1</t>
        </is>
      </c>
      <c r="BD1208" s="24" t="inlineStr">
        <is>
          <t>6c67e999d2a03612e30f4032c8e5e77e8becfbc79e05f4c8993e726b90d34d54</t>
        </is>
      </c>
      <c r="BE1208" s="24" t="inlineStr">
        <is>
          <t>tennis-surface-elo-v1</t>
        </is>
      </c>
      <c r="BF1208" s="24" t="inlineStr">
        <is>
          <t>1</t>
        </is>
      </c>
      <c r="BG1208" s="24" t="inlineStr">
        <is>
          <t>6c67e999d2a03612e30f4032c8e5e77e8becfbc79e05f4c8993e726b90d34d54</t>
        </is>
      </c>
      <c r="BH1208" s="24" t="inlineStr">
        <is>
          <t>2026-10-02T06:00:17.476066Z</t>
        </is>
      </c>
      <c r="BI1208" s="24" t="inlineStr">
        <is>
          <t>["same_event","same_team_same_day","same_league_same_day"]</t>
        </is>
      </c>
      <c r="BJ1208" s="25" t="n"/>
      <c r="BK1208" s="26" t="n">
        <v>-4900</v>
      </c>
      <c r="BL1208" s="27" t="n">
        <v>1.020408</v>
      </c>
      <c r="BM1208" s="28" t="n">
        <v>0.98</v>
      </c>
      <c r="BN1208" s="28" t="n"/>
      <c r="BO1208" s="28" t="n"/>
      <c r="BP1208" s="25" t="n"/>
      <c r="BQ1208" s="27" t="n">
        <v>1.020408</v>
      </c>
      <c r="BR1208" s="28" t="n">
        <v>0.98</v>
      </c>
      <c r="BS1208" s="28" t="n"/>
      <c r="BT1208" s="28" t="n"/>
      <c r="BU1208" s="25" t="n"/>
      <c r="BV1208" s="29" t="n"/>
      <c r="BW1208" s="24" t="n"/>
      <c r="BX1208" s="30" t="n"/>
      <c r="BY1208" s="27" t="n"/>
      <c r="BZ1208" s="24" t="n"/>
      <c r="CA1208" s="31" t="n"/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False</t>
        </is>
      </c>
      <c r="CT1208" s="24" t="n"/>
      <c r="CU1208" s="24" t="n"/>
      <c r="CV1208" s="24" t="n"/>
      <c r="CW1208" s="24" t="n"/>
      <c r="CX1208" s="24" t="n"/>
      <c r="CY1208" s="24" t="n"/>
      <c r="CZ1208" s="24" t="n"/>
      <c r="DA1208" s="24" t="n"/>
      <c r="DB1208" s="24" t="n"/>
      <c r="DC1208" s="24" t="n"/>
      <c r="DD1208" s="24" t="inlineStr">
        <is>
          <t>2f5924a6141c05ef1d4c3596674d5d134bcbad411d4737c5b632dfb16507f5da</t>
        </is>
      </c>
      <c r="DE1208" s="24" t="inlineStr">
        <is>
          <t>/Users/vincentc9002/model-prediction/data/odds/tennis/2026-10-03/polymarket_snapshots.jsonl</t>
        </is>
      </c>
      <c r="DF1208" s="24" t="inlineStr">
        <is>
          <t>1164934:2026-10-02T06:00:17.476066Z</t>
        </is>
      </c>
      <c r="DG1208" s="24" t="n"/>
      <c r="DH1208" s="24" t="n"/>
      <c r="DI1208" s="24" t="n"/>
      <c r="DJ1208" s="24" t="inlineStr">
        <is>
          <t>0.98</t>
        </is>
      </c>
      <c r="DK1208" s="24" t="n"/>
      <c r="DL1208" s="24" t="n"/>
      <c r="DM1208" s="24" t="n"/>
      <c r="DN1208" s="24" t="n"/>
      <c r="DO1208" s="24" t="n"/>
      <c r="DP1208" s="24" t="n"/>
      <c r="DQ1208" s="24" t="inlineStr">
        <is>
          <t>{"artifact_hash": "6c67e999d2a03612e30f4032c8e5e77e8becfbc79e05f4c8993e726b90d34d54", "away_team": "Dayana Yastremska", "event_id": "959-2026:184342", "event_start_utc": "2026-10-04T03:00Z", "features": {"elo_p1_surface": 1587.7, "elo_p2_surface": 1680.3, "expected_games_p1": 9.72, "expected_games_p2": 13.29, "expected_total_games": 23.01, "history_matches": 16523, "min_player_matches": 123, "surface": "Hard"}, "historical_source_observation_times_verified": false, "home_team": "Sinja Kraus", "inference_inputs": {"code_sha256": {"features/elo_ratings.py": "8525faf022a6343c452286dbfeb17dbb043744c6bdabbe448b6b371216da439b", "models/tennis.py": "6c67e999d2a03612e30f4032c8e5e77e8becfbc79e05f4c8993e726b90d34d54"}, "overall_ratings": [1631.8211471111172, 1680.9962973047204], "players": ["Dayana Yastremska", "Sinja Kraus"], "sport": "TENNIS", "surface": "Hard", "surface_counts": [93, 102], "surface_ratings": [1587.6716286005817, 1680.2559900037375]}, "market_type": "moneyline", "model_version": "tennis-surface-elo-v1", "observed_at_utc": "2026-10-03T22:32:34.081541+00:00", "probabilities": {"away": 0.3856, "home": 0.6144}, "replay_scope": "Exact full-precision serving state and rounding; upstream historical observation times are not certified.", "schema": "coded-moneyline-replay-v1", "snapshot_hash": "1966e4b4ca75bbe7fadfe9ab2f351d7098d897b03d248d87a1c26c97343d5e8e", "sport": "TENNIS"}</t>
        </is>
      </c>
    </row>
    <row r="1209" ht="36" customHeight="1">
      <c r="A1209" s="24" t="inlineStr">
        <is>
          <t>58c0c8eb0a584b35</t>
        </is>
      </c>
      <c r="B1209" s="24" t="inlineStr">
        <is>
          <t>2026-10-05T10:48:10.581312Z</t>
        </is>
      </c>
      <c r="C1209" s="24" t="inlineStr">
        <is>
          <t>2026-10-05T12:30Z</t>
        </is>
      </c>
      <c r="D1209" s="24" t="inlineStr">
        <is>
          <t>959-2026:184332</t>
        </is>
      </c>
      <c r="E1209" s="24" t="inlineStr">
        <is>
          <t>TENNIS</t>
        </is>
      </c>
      <c r="F1209" s="24" t="inlineStr">
        <is>
          <t>Xinran Sun</t>
        </is>
      </c>
      <c r="G1209" s="24" t="inlineStr">
        <is>
          <t>Coco Gauff</t>
        </is>
      </c>
      <c r="H1209" s="24" t="inlineStr">
        <is>
          <t>moneyline</t>
        </is>
      </c>
      <c r="I1209" s="24" t="inlineStr">
        <is>
          <t>home</t>
        </is>
      </c>
      <c r="J1209" s="25" t="n"/>
      <c r="K1209" s="24" t="inlineStr">
        <is>
          <t>polymarket_us</t>
        </is>
      </c>
      <c r="L1209" s="26" t="n">
        <v>-1329</v>
      </c>
      <c r="M1209" s="27" t="n">
        <v>1.075245</v>
      </c>
      <c r="N1209" s="28" t="n">
        <v>0.930021</v>
      </c>
      <c r="O1209" s="28" t="n">
        <v>0.9232</v>
      </c>
      <c r="P1209" s="28" t="n">
        <v>0.05</v>
      </c>
      <c r="Q1209" s="28" t="n">
        <v>-0.006821</v>
      </c>
      <c r="R1209" s="26" t="n">
        <v>17</v>
      </c>
      <c r="S1209" s="29" t="n">
        <v>1</v>
      </c>
      <c r="T1209" s="24" t="inlineStr">
        <is>
          <t>tennis-surface-elo-v1</t>
        </is>
      </c>
      <c r="U1209" s="24" t="inlineStr">
        <is>
          <t>settled</t>
        </is>
      </c>
      <c r="V1209" s="24" t="inlineStr">
        <is>
          <t>win</t>
        </is>
      </c>
      <c r="W1209" s="26" t="n">
        <v>0</v>
      </c>
      <c r="X1209" s="26" t="n">
        <v>1</v>
      </c>
      <c r="Y1209" s="25" t="n"/>
      <c r="Z1209" s="26" t="n">
        <v>-1329</v>
      </c>
      <c r="AA1209" s="28" t="n">
        <v>0.93</v>
      </c>
      <c r="AB1209" s="28" t="n">
        <v>-2.1e-05</v>
      </c>
      <c r="AC1209" s="30" t="n">
        <v>0.0752</v>
      </c>
      <c r="AD1209" s="24" t="inlineStr">
        <is>
          <t>2026-10-05T16:01:18.687856Z</t>
        </is>
      </c>
      <c r="AE1209" s="31" t="inlineStr">
        <is>
          <t>Surface-blended Elo on Hard: Xinran Sun p=0.077 vs Coco Gauff. Executable ask 0.9300 (aec-wta-cocgau-xinsun-2026-10-04).</t>
        </is>
      </c>
      <c r="AF1209" s="31" t="inlineStr">
        <is>
          <t>Surface-blended Elo model; singles only, WTA+ATP market coverage, not yet locked-holdout qualified -- promoted by explicit operator directive, not genuine walk-forward validation.</t>
        </is>
      </c>
      <c r="AG1209" s="24" t="inlineStr">
        <is>
          <t>not_applicable</t>
        </is>
      </c>
      <c r="AH1209" s="24" t="n"/>
      <c r="AI1209" s="31" t="n"/>
      <c r="AJ1209" s="31" t="n"/>
      <c r="AK1209" s="24" t="inlineStr">
        <is>
          <t>paper_call</t>
        </is>
      </c>
      <c r="AL1209" s="26" t="n">
        <v>4</v>
      </c>
      <c r="AM1209" s="24" t="inlineStr">
        <is>
          <t>RESEARCH_OBSERVATION</t>
        </is>
      </c>
      <c r="AN1209" s="24" t="inlineStr">
        <is>
          <t>CALL</t>
        </is>
      </c>
      <c r="AO1209" s="24" t="inlineStr">
        <is>
          <t>PAPER_CALL_MODEL_UNVALIDATED</t>
        </is>
      </c>
      <c r="AP1209" s="24" t="inlineStr">
        <is>
          <t>Xinran Sun</t>
        </is>
      </c>
      <c r="AQ1209" s="24" t="inlineStr">
        <is>
          <t>Xinran Sun</t>
        </is>
      </c>
      <c r="AR1209" s="24" t="inlineStr">
        <is>
          <t>Xinran Sun</t>
        </is>
      </c>
      <c r="AS1209" s="24" t="inlineStr">
        <is>
          <t>Coco Gauff</t>
        </is>
      </c>
      <c r="AT1209" s="24" t="inlineStr">
        <is>
          <t>Coco Gauff</t>
        </is>
      </c>
      <c r="AU1209" s="24" t="inlineStr">
        <is>
          <t>Coco Gauff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shadow_qualified</t>
        </is>
      </c>
      <c r="BA1209" s="24" t="inlineStr">
        <is>
          <t>6c67e999d2a03612e30f4032c8e5e77e8becfbc79e05f4c8993e726b90d34d54</t>
        </is>
      </c>
      <c r="BB1209" s="24" t="inlineStr">
        <is>
          <t>surface_blended_elo</t>
        </is>
      </c>
      <c r="BC1209" s="24" t="inlineStr">
        <is>
          <t>tennis-surface-elo-v1</t>
        </is>
      </c>
      <c r="BD1209" s="24" t="inlineStr">
        <is>
          <t>6c67e999d2a03612e30f4032c8e5e77e8becfbc79e05f4c8993e726b90d34d54</t>
        </is>
      </c>
      <c r="BE1209" s="24" t="inlineStr">
        <is>
          <t>tennis-surface-elo-v1</t>
        </is>
      </c>
      <c r="BF1209" s="24" t="inlineStr">
        <is>
          <t>1</t>
        </is>
      </c>
      <c r="BG1209" s="24" t="inlineStr">
        <is>
          <t>6c67e999d2a03612e30f4032c8e5e77e8becfbc79e05f4c8993e726b90d34d54</t>
        </is>
      </c>
      <c r="BH1209" s="24" t="inlineStr">
        <is>
          <t>2026-10-05T10:16:20.428333Z</t>
        </is>
      </c>
      <c r="BI1209" s="24" t="inlineStr">
        <is>
          <t>["same_event","same_team_same_day","same_league_same_day"]</t>
        </is>
      </c>
      <c r="BJ1209" s="25" t="n"/>
      <c r="BK1209" s="26" t="n">
        <v>-1329</v>
      </c>
      <c r="BL1209" s="27" t="n">
        <v>1.075245</v>
      </c>
      <c r="BM1209" s="28" t="n">
        <v>0.930021</v>
      </c>
      <c r="BN1209" s="28" t="n"/>
      <c r="BO1209" s="28" t="n"/>
      <c r="BP1209" s="25" t="n"/>
      <c r="BQ1209" s="27" t="n">
        <v>1.075245</v>
      </c>
      <c r="BR1209" s="28" t="n">
        <v>0.93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False</t>
        </is>
      </c>
      <c r="CT1209" s="24" t="n"/>
      <c r="CU1209" s="24" t="n"/>
      <c r="CV1209" s="24" t="n"/>
      <c r="CW1209" s="24" t="n"/>
      <c r="CX1209" s="24" t="n"/>
      <c r="CY1209" s="24" t="n"/>
      <c r="CZ1209" s="24" t="n"/>
      <c r="DA1209" s="24" t="n"/>
      <c r="DB1209" s="24" t="n"/>
      <c r="DC1209" s="24" t="n"/>
      <c r="DD1209" s="24" t="inlineStr">
        <is>
          <t>93e67c1a6e7ff8be600e9a28a56eebd412c49419256cdcb3fa3cf7cb19002f3f</t>
        </is>
      </c>
      <c r="DE1209" s="24" t="inlineStr">
        <is>
          <t>E:\model-prediction\data\odds\tennis\2026-10-05\polymarket_snapshots.jsonl</t>
        </is>
      </c>
      <c r="DF1209" s="24" t="inlineStr">
        <is>
          <t>1183526:2026-10-05T10:16:20.428333Z</t>
        </is>
      </c>
      <c r="DG1209" s="24" t="n"/>
      <c r="DH1209" s="24" t="n"/>
      <c r="DI1209" s="24" t="n"/>
      <c r="DJ1209" s="24" t="n"/>
      <c r="DK1209" s="24" t="n"/>
      <c r="DL1209" s="24" t="n"/>
      <c r="DM1209" s="24" t="n"/>
      <c r="DN1209" s="24" t="n"/>
      <c r="DO1209" s="24" t="n"/>
      <c r="DP1209" s="24" t="n"/>
      <c r="DQ1209" s="24" t="inlineStr">
        <is>
          <t>{"artifact_hash": "6c67e999d2a03612e30f4032c8e5e77e8becfbc79e05f4c8993e726b90d34d54", "away_team": "Xinran Sun", "event_id": "959-2026:184332", "event_start_utc": "2026-10-05T12:30Z", "features": {"elo_p1_surface": 1540.9, "elo_p2_surface": 1959.5, "expected_games_p1": 3.34, "expected_games_p2": 12.07, "expected_total_games": 15.4, "history_matches": 16571, "min_player_matches": 4,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[1540.810708926752, 2014.834215373506], "players": ["Xinran Sun", "Coco Gauff"], "sport": "TENNIS", "surface": "Hard", "surface_counts": [4, 126], "surface_ratings": [1540.867333964622, 1959.5222892957752]}, "market_type": "moneyline", "model_version": "tennis-surface-elo-v1", "observed_at_utc": "2026-10-05T10:48:07.366276+00:00", "probabilities": {"away": 0.0768, "home": 0.9232}, "replay_scope": "Exact full-precision serving state and rounding; upstream historical observation times are not certified.", "schema": "coded-moneyline-replay-v1", "snapshot_hash": "71db531abe1cc090230d816cd74f413847a76be07179f68e7371e121e24b1ccb", "sport": "TENNIS"}</t>
        </is>
      </c>
    </row>
    <row r="1210" ht="36" customHeight="1">
      <c r="A1210" s="24" t="inlineStr">
        <is>
          <t>1eac7fd94fda4a41</t>
        </is>
      </c>
      <c r="B1210" s="24" t="inlineStr">
        <is>
          <t>2026-10-05T10:48:10.581312Z</t>
        </is>
      </c>
      <c r="C1210" s="24" t="inlineStr">
        <is>
          <t>2026-10-05T11:00Z</t>
        </is>
      </c>
      <c r="D1210" s="24" t="inlineStr">
        <is>
          <t>1036-2026:185238</t>
        </is>
      </c>
      <c r="E1210" s="24" t="inlineStr">
        <is>
          <t>TENNIS</t>
        </is>
      </c>
      <c r="F1210" s="24" t="inlineStr">
        <is>
          <t>Suzan Lamens</t>
        </is>
      </c>
      <c r="G1210" s="24" t="inlineStr">
        <is>
          <t>Polina Iatcenko</t>
        </is>
      </c>
      <c r="H1210" s="24" t="inlineStr">
        <is>
          <t>moneyline</t>
        </is>
      </c>
      <c r="I1210" s="24" t="inlineStr">
        <is>
          <t>home</t>
        </is>
      </c>
      <c r="J1210" s="25" t="n"/>
      <c r="K1210" s="24" t="inlineStr">
        <is>
          <t>polymarket_us</t>
        </is>
      </c>
      <c r="L1210" s="26" t="n">
        <v>-113</v>
      </c>
      <c r="M1210" s="27" t="n">
        <v>1.884956</v>
      </c>
      <c r="N1210" s="28" t="n">
        <v>0.530516</v>
      </c>
      <c r="O1210" s="28" t="n">
        <v>0.5891</v>
      </c>
      <c r="P1210" s="28" t="n">
        <v>0.05</v>
      </c>
      <c r="Q1210" s="28" t="n">
        <v>0.058584</v>
      </c>
      <c r="R1210" s="26" t="n">
        <v>49</v>
      </c>
      <c r="S1210" s="29" t="n">
        <v>1</v>
      </c>
      <c r="T1210" s="24" t="inlineStr">
        <is>
          <t>tennis-surface-elo-v1</t>
        </is>
      </c>
      <c r="U1210" s="24" t="inlineStr">
        <is>
          <t>settled</t>
        </is>
      </c>
      <c r="V1210" s="24" t="inlineStr">
        <is>
          <t>win</t>
        </is>
      </c>
      <c r="W1210" s="26" t="n">
        <v>0</v>
      </c>
      <c r="X1210" s="26" t="n">
        <v>1</v>
      </c>
      <c r="Y1210" s="25" t="n"/>
      <c r="Z1210" s="26" t="n">
        <v>-113</v>
      </c>
      <c r="AA1210" s="28" t="n">
        <v>0.53</v>
      </c>
      <c r="AB1210" s="28" t="n">
        <v>-0.000516</v>
      </c>
      <c r="AC1210" s="30" t="n">
        <v>0.885</v>
      </c>
      <c r="AD1210" s="24" t="inlineStr">
        <is>
          <t>2026-10-05T16:01:24.095877Z</t>
        </is>
      </c>
      <c r="AE1210" s="31" t="inlineStr">
        <is>
          <t>Surface-blended Elo on Hard: Suzan Lamens p=0.411 vs Polina Iatcenko. Executable ask 0.5300 (aec-wta-poliat-suzlam-2026-10-05).</t>
        </is>
      </c>
      <c r="AF1210" s="31" t="inlineStr">
        <is>
          <t>Surface-blended Elo model; singles only, WTA+ATP market coverage, not yet locked-holdout qualified -- promoted by explicit operator directive, not genuine walk-forward validation.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model_qualified</t>
        </is>
      </c>
      <c r="AL1210" s="26" t="n">
        <v>4</v>
      </c>
      <c r="AM1210" s="24" t="inlineStr">
        <is>
          <t>QUALIFIED_SHADOW_CALL</t>
        </is>
      </c>
      <c r="AN1210" s="24" t="inlineStr">
        <is>
          <t>CALL</t>
        </is>
      </c>
      <c r="AO1210" s="24" t="inlineStr">
        <is>
          <t>QUALIFIED</t>
        </is>
      </c>
      <c r="AP1210" s="24" t="inlineStr">
        <is>
          <t>Suzan Lamens</t>
        </is>
      </c>
      <c r="AQ1210" s="24" t="inlineStr">
        <is>
          <t>Suzan Lamens</t>
        </is>
      </c>
      <c r="AR1210" s="24" t="inlineStr">
        <is>
          <t>Suzan Lamens</t>
        </is>
      </c>
      <c r="AS1210" s="24" t="inlineStr">
        <is>
          <t>Polina Iatcenko</t>
        </is>
      </c>
      <c r="AT1210" s="24" t="inlineStr">
        <is>
          <t>Polina Iatcenko</t>
        </is>
      </c>
      <c r="AU1210" s="24" t="inlineStr">
        <is>
          <t>Polina Iatcenko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shadow_qualified</t>
        </is>
      </c>
      <c r="BA1210" s="24" t="inlineStr">
        <is>
          <t>6c67e999d2a03612e30f4032c8e5e77e8becfbc79e05f4c8993e726b90d34d54</t>
        </is>
      </c>
      <c r="BB1210" s="24" t="inlineStr">
        <is>
          <t>surface_blended_elo</t>
        </is>
      </c>
      <c r="BC1210" s="24" t="inlineStr">
        <is>
          <t>tennis-surface-elo-v1</t>
        </is>
      </c>
      <c r="BD1210" s="24" t="inlineStr">
        <is>
          <t>6c67e999d2a03612e30f4032c8e5e77e8becfbc79e05f4c8993e726b90d34d54</t>
        </is>
      </c>
      <c r="BE1210" s="24" t="inlineStr">
        <is>
          <t>tennis-surface-elo-v1</t>
        </is>
      </c>
      <c r="BF1210" s="24" t="inlineStr">
        <is>
          <t>1</t>
        </is>
      </c>
      <c r="BG1210" s="24" t="inlineStr">
        <is>
          <t>6c67e999d2a03612e30f4032c8e5e77e8becfbc79e05f4c8993e726b90d34d54</t>
        </is>
      </c>
      <c r="BH1210" s="24" t="inlineStr">
        <is>
          <t>2026-10-05T10:16:10.318759Z</t>
        </is>
      </c>
      <c r="BI1210" s="24" t="inlineStr">
        <is>
          <t>["same_event","same_team_same_day","same_league_same_day"]</t>
        </is>
      </c>
      <c r="BJ1210" s="25" t="n"/>
      <c r="BK1210" s="26" t="n">
        <v>-113</v>
      </c>
      <c r="BL1210" s="27" t="n">
        <v>1.884956</v>
      </c>
      <c r="BM1210" s="28" t="n">
        <v>0.530516</v>
      </c>
      <c r="BN1210" s="28" t="n"/>
      <c r="BO1210" s="28" t="n"/>
      <c r="BP1210" s="25" t="n"/>
      <c r="BQ1210" s="27" t="n">
        <v>1.884956</v>
      </c>
      <c r="BR1210" s="28" t="n">
        <v>0.53</v>
      </c>
      <c r="BS1210" s="28" t="n"/>
      <c r="BT1210" s="28" t="n"/>
      <c r="BU1210" s="25" t="n"/>
      <c r="BV1210" s="29" t="n"/>
      <c r="BW1210" s="24" t="n"/>
      <c r="BX1210" s="30" t="n"/>
      <c r="BY1210" s="27" t="n"/>
      <c r="BZ1210" s="24" t="n"/>
      <c r="CA1210" s="31" t="n"/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n"/>
      <c r="CU1210" s="24" t="n"/>
      <c r="CV1210" s="24" t="n"/>
      <c r="CW1210" s="24" t="n"/>
      <c r="CX1210" s="24" t="n"/>
      <c r="CY1210" s="24" t="n"/>
      <c r="CZ1210" s="24" t="n"/>
      <c r="DA1210" s="24" t="n"/>
      <c r="DB1210" s="24" t="n"/>
      <c r="DC1210" s="24" t="n"/>
      <c r="DD1210" s="24" t="inlineStr">
        <is>
          <t>e6963ed4652bffcd8c84436883894196ebf5b71e66e24963924faf35b1c0a649</t>
        </is>
      </c>
      <c r="DE1210" s="24" t="inlineStr">
        <is>
          <t>E:\model-prediction\data\odds\tennis\2026-10-05\polymarket_snapshots.jsonl</t>
        </is>
      </c>
      <c r="DF1210" s="24" t="inlineStr">
        <is>
          <t>1207494:2026-10-05T10:16:10.318759Z</t>
        </is>
      </c>
      <c r="DG1210" s="24" t="n"/>
      <c r="DH1210" s="24" t="n"/>
      <c r="DI1210" s="24" t="n"/>
      <c r="DJ1210" s="24" t="n"/>
      <c r="DK1210" s="24" t="n"/>
      <c r="DL1210" s="24" t="n"/>
      <c r="DM1210" s="24" t="n"/>
      <c r="DN1210" s="24" t="n"/>
      <c r="DO1210" s="24" t="n"/>
      <c r="DP1210" s="24" t="n"/>
      <c r="DQ1210" s="24" t="inlineStr">
        <is>
          <t>{"artifact_hash": "6c67e999d2a03612e30f4032c8e5e77e8becfbc79e05f4c8993e726b90d34d54", "away_team": "Suzan Lamens", "event_id": "1036-2026:185238", "event_start_utc": "2026-10-05T11:00Z", "features": {"elo_p1_surface": 1496.5, "elo_p2_surface": 1562.4, "expected_games_p1": 10.65, "expected_games_p2": 13.21, "expected_total_games": 23.86, "history_matches": 16571, "min_player_matches": 34,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[1520.8655369292, 1568.5515519875587], "players": ["Suzan Lamens", "Polina Iatcenko"], "sport": "TENNIS", "surface": "Hard", "surface_counts": [120, 30], "surface_ratings": [1496.5046978533414, 1562.410595875763]}, "market_type": "moneyline", "model_version": "tennis-surface-elo-v1", "observed_at_utc": "2026-10-05T10:48:07.366276+00:00", "probabilities": {"away": 0.4109, "home": 0.5891}, "replay_scope": "Exact full-precision serving state and rounding; upstream historical observation times are not certified.", "schema": "coded-moneyline-replay-v1", "snapshot_hash": "a11de863889e44dea69a8542217860651411ca7df8ac94010c576700b548e67e", "sport": "TENNIS"}</t>
        </is>
      </c>
    </row>
    <row r="1211" ht="36" customHeight="1">
      <c r="A1211" s="24" t="inlineStr">
        <is>
          <t>3f3b2a4188254cad</t>
        </is>
      </c>
      <c r="B1211" s="24" t="inlineStr">
        <is>
          <t>2026-10-05T10:48:10.581312Z</t>
        </is>
      </c>
      <c r="C1211" s="24" t="inlineStr">
        <is>
          <t>2026-10-05T12:30Z</t>
        </is>
      </c>
      <c r="D1211" s="24" t="inlineStr">
        <is>
          <t>1036-2026:185236</t>
        </is>
      </c>
      <c r="E1211" s="24" t="inlineStr">
        <is>
          <t>TENNIS</t>
        </is>
      </c>
      <c r="F1211" s="24" t="inlineStr">
        <is>
          <t>Himeno Sakatsume</t>
        </is>
      </c>
      <c r="G1211" s="24" t="inlineStr">
        <is>
          <t>Dominika Salkova</t>
        </is>
      </c>
      <c r="H1211" s="24" t="inlineStr">
        <is>
          <t>moneyline</t>
        </is>
      </c>
      <c r="I1211" s="24" t="inlineStr">
        <is>
          <t>away</t>
        </is>
      </c>
      <c r="J1211" s="25" t="n"/>
      <c r="K1211" s="24" t="inlineStr">
        <is>
          <t>polymarket_us</t>
        </is>
      </c>
      <c r="L1211" s="26" t="n">
        <v>-108</v>
      </c>
      <c r="M1211" s="27" t="n">
        <v>1.925926</v>
      </c>
      <c r="N1211" s="28" t="n">
        <v>0.519231</v>
      </c>
      <c r="O1211" s="28" t="n">
        <v>0.5517</v>
      </c>
      <c r="P1211" s="28" t="n">
        <v>0.05</v>
      </c>
      <c r="Q1211" s="28" t="n">
        <v>0.032469</v>
      </c>
      <c r="R1211" s="26" t="n">
        <v>36</v>
      </c>
      <c r="S1211" s="29" t="n">
        <v>1</v>
      </c>
      <c r="T1211" s="24" t="inlineStr">
        <is>
          <t>tennis-surface-elo-v1</t>
        </is>
      </c>
      <c r="U1211" s="24" t="inlineStr">
        <is>
          <t>settled</t>
        </is>
      </c>
      <c r="V1211" s="24" t="inlineStr">
        <is>
          <t>win</t>
        </is>
      </c>
      <c r="W1211" s="26" t="n">
        <v>1</v>
      </c>
      <c r="X1211" s="26" t="n">
        <v>0</v>
      </c>
      <c r="Y1211" s="25" t="n"/>
      <c r="Z1211" s="26" t="n">
        <v>-108</v>
      </c>
      <c r="AA1211" s="28" t="n">
        <v>0.52</v>
      </c>
      <c r="AB1211" s="28" t="n">
        <v>0.000769</v>
      </c>
      <c r="AC1211" s="30" t="n">
        <v>0.9258999999999999</v>
      </c>
      <c r="AD1211" s="24" t="inlineStr">
        <is>
          <t>2026-10-05T16:01:29.466625Z</t>
        </is>
      </c>
      <c r="AE1211" s="31" t="inlineStr">
        <is>
          <t>Surface-blended Elo on Hard: Himeno Sakatsume p=0.552 vs Dominika Salkova. Executable ask 0.5200 (aec-wta-domsal-himsak-2026-10-05).</t>
        </is>
      </c>
      <c r="AF1211" s="31" t="inlineStr">
        <is>
          <t>Surface-blended Elo model; singles only, WTA+ATP market coverage, not yet locked-holdout qualified -- promoted by explicit operator directive, not genuine walk-forward validation.</t>
        </is>
      </c>
      <c r="AG1211" s="24" t="inlineStr">
        <is>
          <t>not_applicable</t>
        </is>
      </c>
      <c r="AH1211" s="24" t="n"/>
      <c r="AI1211" s="31" t="n"/>
      <c r="AJ1211" s="31" t="n"/>
      <c r="AK1211" s="24" t="inlineStr">
        <is>
          <t>paper_call</t>
        </is>
      </c>
      <c r="AL1211" s="26" t="n">
        <v>4</v>
      </c>
      <c r="AM1211" s="24" t="inlineStr">
        <is>
          <t>RESEARCH_OBSERVATION</t>
        </is>
      </c>
      <c r="AN1211" s="24" t="inlineStr">
        <is>
          <t>CALL</t>
        </is>
      </c>
      <c r="AO1211" s="24" t="inlineStr">
        <is>
          <t>PAPER_CALL_LOW_EDGE</t>
        </is>
      </c>
      <c r="AP1211" s="24" t="inlineStr">
        <is>
          <t>Himeno Sakatsume</t>
        </is>
      </c>
      <c r="AQ1211" s="24" t="inlineStr">
        <is>
          <t>Himeno Sakatsume</t>
        </is>
      </c>
      <c r="AR1211" s="24" t="inlineStr">
        <is>
          <t>Himeno Sakatsume</t>
        </is>
      </c>
      <c r="AS1211" s="24" t="inlineStr">
        <is>
          <t>Dominika Salkova</t>
        </is>
      </c>
      <c r="AT1211" s="24" t="inlineStr">
        <is>
          <t>Dominika Salkova</t>
        </is>
      </c>
      <c r="AU1211" s="24" t="inlineStr">
        <is>
          <t>Dominika Salkova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shadow_qualified</t>
        </is>
      </c>
      <c r="BA1211" s="24" t="inlineStr">
        <is>
          <t>6c67e999d2a03612e30f4032c8e5e77e8becfbc79e05f4c8993e726b90d34d54</t>
        </is>
      </c>
      <c r="BB1211" s="24" t="inlineStr">
        <is>
          <t>surface_blended_elo</t>
        </is>
      </c>
      <c r="BC1211" s="24" t="inlineStr">
        <is>
          <t>tennis-surface-elo-v1</t>
        </is>
      </c>
      <c r="BD1211" s="24" t="inlineStr">
        <is>
          <t>6c67e999d2a03612e30f4032c8e5e77e8becfbc79e05f4c8993e726b90d34d54</t>
        </is>
      </c>
      <c r="BE1211" s="24" t="inlineStr">
        <is>
          <t>tennis-surface-elo-v1</t>
        </is>
      </c>
      <c r="BF1211" s="24" t="inlineStr">
        <is>
          <t>1</t>
        </is>
      </c>
      <c r="BG1211" s="24" t="inlineStr">
        <is>
          <t>6c67e999d2a03612e30f4032c8e5e77e8becfbc79e05f4c8993e726b90d34d54</t>
        </is>
      </c>
      <c r="BH1211" s="24" t="inlineStr">
        <is>
          <t>2026-10-05T10:16:10.323758Z</t>
        </is>
      </c>
      <c r="BI1211" s="24" t="inlineStr">
        <is>
          <t>["same_event","same_team_same_day","same_league_same_day"]</t>
        </is>
      </c>
      <c r="BJ1211" s="25" t="n"/>
      <c r="BK1211" s="26" t="n">
        <v>-108</v>
      </c>
      <c r="BL1211" s="27" t="n">
        <v>1.925926</v>
      </c>
      <c r="BM1211" s="28" t="n">
        <v>0.519231</v>
      </c>
      <c r="BN1211" s="28" t="n"/>
      <c r="BO1211" s="28" t="n"/>
      <c r="BP1211" s="25" t="n"/>
      <c r="BQ1211" s="27" t="n">
        <v>1.925926</v>
      </c>
      <c r="BR1211" s="28" t="n">
        <v>0.52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n"/>
      <c r="CU1211" s="24" t="n"/>
      <c r="CV1211" s="24" t="n"/>
      <c r="CW1211" s="24" t="n"/>
      <c r="CX1211" s="24" t="n"/>
      <c r="CY1211" s="24" t="n"/>
      <c r="CZ1211" s="24" t="n"/>
      <c r="DA1211" s="24" t="n"/>
      <c r="DB1211" s="24" t="n"/>
      <c r="DC1211" s="24" t="n"/>
      <c r="DD1211" s="24" t="inlineStr">
        <is>
          <t>6ab1a300e81e2c4f9bd25e74923ee84bcde5ab2e624a69029d531f62b42516f6</t>
        </is>
      </c>
      <c r="DE1211" s="24" t="inlineStr">
        <is>
          <t>E:\model-prediction\data\odds\tennis\2026-10-05\polymarket_snapshots.jsonl</t>
        </is>
      </c>
      <c r="DF1211" s="24" t="inlineStr">
        <is>
          <t>1207497:2026-10-05T10:16:10.323758Z</t>
        </is>
      </c>
      <c r="DG1211" s="24" t="n"/>
      <c r="DH1211" s="24" t="n"/>
      <c r="DI1211" s="24" t="n"/>
      <c r="DJ1211" s="24" t="n"/>
      <c r="DK1211" s="24" t="n"/>
      <c r="DL1211" s="24" t="n"/>
      <c r="DM1211" s="24" t="n"/>
      <c r="DN1211" s="24" t="n"/>
      <c r="DO1211" s="24" t="n"/>
      <c r="DP1211" s="24" t="n"/>
      <c r="DQ1211" s="24" t="inlineStr">
        <is>
          <t>{"artifact_hash": "6c67e999d2a03612e30f4032c8e5e77e8becfbc79e05f4c8993e726b90d34d54", "away_team": "Himeno Sakatsume", "event_id": "1036-2026:185236", "event_start_utc": "2026-10-05T12:30Z", "features": {"elo_p1_surface": 1565.4, "elo_p2_surface": 1523.5, "expected_games_p1": 13.24, "expected_games_p2": 11.04, "expected_total_games": 24.27, "history_matches": 16571, "min_player_matches": 63, "surface": "Hard"}, "historical_source_observation_times_verified": false, "home_team": "Dominika Salkova", "inference_inputs": {"code_sha256": {"features/elo_ratings.py": "8525faf022a6343c452286dbfeb17dbb043744c6bdabbe448b6b371216da439b", "models/tennis.py": "6c67e999d2a03612e30f4032c8e5e77e8becfbc79e05f4c8993e726b90d34d54"}, "overall_ratings": [1548.8115291795582, 1524.7030186977788], "players": ["Himeno Sakatsume", "Dominika Salkova"], "sport": "TENNIS", "surface": "Hard", "surface_counts": [54, 88], "surface_ratings": [1565.3927319683619, 1523.455598984694]}, "market_type": "moneyline", "model_version": "tennis-surface-elo-v1", "observed_at_utc": "2026-10-05T10:48:07.366276+00:00", "probabilities": {"away": 0.5517, "home": 0.4483}, "replay_scope": "Exact full-precision serving state and rounding; upstream historical observation times are not certified.", "schema": "coded-moneyline-replay-v1", "snapshot_hash": "e5ea18f6a45088890203e144850da0ce9a319a7314daab91cbfaed533161abc8", "sport": "TENNIS"}</t>
        </is>
      </c>
    </row>
    <row r="1212" ht="36" customHeight="1">
      <c r="A1212" s="24" t="inlineStr">
        <is>
          <t>93182d68d2654dca</t>
        </is>
      </c>
      <c r="B1212" s="24" t="inlineStr">
        <is>
          <t>2026-10-05T10:48:10.581312Z</t>
        </is>
      </c>
      <c r="C1212" s="24" t="inlineStr">
        <is>
          <t>2026-10-05T11:00Z</t>
        </is>
      </c>
      <c r="D1212" s="24" t="inlineStr">
        <is>
          <t>959-2026:183467</t>
        </is>
      </c>
      <c r="E1212" s="24" t="inlineStr">
        <is>
          <t>TENNIS</t>
        </is>
      </c>
      <c r="F1212" s="24" t="inlineStr">
        <is>
          <t>Daniil Medvedev</t>
        </is>
      </c>
      <c r="G1212" s="24" t="inlineStr">
        <is>
          <t>Novak Djokovic</t>
        </is>
      </c>
      <c r="H1212" s="24" t="inlineStr">
        <is>
          <t>moneyline</t>
        </is>
      </c>
      <c r="I1212" s="24" t="inlineStr">
        <is>
          <t>home</t>
        </is>
      </c>
      <c r="J1212" s="25" t="n"/>
      <c r="K1212" s="24" t="inlineStr">
        <is>
          <t>polymarket_us</t>
        </is>
      </c>
      <c r="L1212" s="26" t="n">
        <v>122</v>
      </c>
      <c r="M1212" s="27" t="n">
        <v>2.22</v>
      </c>
      <c r="N1212" s="28" t="n">
        <v>0.45045</v>
      </c>
      <c r="O1212" s="28" t="n">
        <v>0.5643</v>
      </c>
      <c r="P1212" s="28" t="n">
        <v>0.05</v>
      </c>
      <c r="Q1212" s="28" t="n">
        <v>0.11385</v>
      </c>
      <c r="R1212" s="26" t="n">
        <v>77</v>
      </c>
      <c r="S1212" s="29" t="n">
        <v>1.5</v>
      </c>
      <c r="T1212" s="24" t="inlineStr">
        <is>
          <t>tennis-surface-elo-v1</t>
        </is>
      </c>
      <c r="U1212" s="24" t="inlineStr">
        <is>
          <t>settled</t>
        </is>
      </c>
      <c r="V1212" s="24" t="inlineStr">
        <is>
          <t>win</t>
        </is>
      </c>
      <c r="W1212" s="26" t="n">
        <v>0</v>
      </c>
      <c r="X1212" s="26" t="n">
        <v>1</v>
      </c>
      <c r="Y1212" s="25" t="n"/>
      <c r="Z1212" s="26" t="n">
        <v>122</v>
      </c>
      <c r="AA1212" s="28" t="n">
        <v>0.45</v>
      </c>
      <c r="AB1212" s="28" t="n">
        <v>-0.00045</v>
      </c>
      <c r="AC1212" s="30" t="n">
        <v>1.83</v>
      </c>
      <c r="AD1212" s="24" t="inlineStr">
        <is>
          <t>2026-10-05T16:01:35.261521Z</t>
        </is>
      </c>
      <c r="AE1212" s="31" t="inlineStr">
        <is>
          <t>Surface-blended Elo on Hard: Daniil Medvedev p=0.436 vs Novak Djokovic. Executable ask 0.4500 (aec-atp-novdjo-danmed-2026-10-05).</t>
        </is>
      </c>
      <c r="AF1212" s="31" t="inlineStr">
        <is>
          <t>Surface-blended Elo model; singles only, WTA+ATP market coverage, not yet locked-holdout qualified -- promoted by explicit operator directive, not genuine walk-forward validation.</t>
        </is>
      </c>
      <c r="AG1212" s="24" t="inlineStr">
        <is>
          <t>not_applicable</t>
        </is>
      </c>
      <c r="AH1212" s="24" t="n"/>
      <c r="AI1212" s="31" t="n"/>
      <c r="AJ1212" s="31" t="n"/>
      <c r="AK1212" s="24" t="inlineStr">
        <is>
          <t>model_qualified</t>
        </is>
      </c>
      <c r="AL1212" s="26" t="n">
        <v>4</v>
      </c>
      <c r="AM1212" s="24" t="inlineStr">
        <is>
          <t>QUALIFIED_SHADOW_CALL</t>
        </is>
      </c>
      <c r="AN1212" s="24" t="inlineStr">
        <is>
          <t>CALL</t>
        </is>
      </c>
      <c r="AO1212" s="24" t="inlineStr">
        <is>
          <t>QUALIFIED</t>
        </is>
      </c>
      <c r="AP1212" s="24" t="inlineStr">
        <is>
          <t>Daniil Medvedev</t>
        </is>
      </c>
      <c r="AQ1212" s="24" t="inlineStr">
        <is>
          <t>Daniil Medvedev</t>
        </is>
      </c>
      <c r="AR1212" s="24" t="inlineStr">
        <is>
          <t>Daniil Medvedev</t>
        </is>
      </c>
      <c r="AS1212" s="24" t="inlineStr">
        <is>
          <t>Novak Djokovic</t>
        </is>
      </c>
      <c r="AT1212" s="24" t="inlineStr">
        <is>
          <t>Novak Djokovic</t>
        </is>
      </c>
      <c r="AU1212" s="24" t="inlineStr">
        <is>
          <t>Novak Djokovic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shadow_qualified</t>
        </is>
      </c>
      <c r="BA1212" s="24" t="inlineStr">
        <is>
          <t>6c67e999d2a03612e30f4032c8e5e77e8becfbc79e05f4c8993e726b90d34d54</t>
        </is>
      </c>
      <c r="BB1212" s="24" t="inlineStr">
        <is>
          <t>surface_blended_elo</t>
        </is>
      </c>
      <c r="BC1212" s="24" t="inlineStr">
        <is>
          <t>tennis-surface-elo-v1</t>
        </is>
      </c>
      <c r="BD1212" s="24" t="inlineStr">
        <is>
          <t>6c67e999d2a03612e30f4032c8e5e77e8becfbc79e05f4c8993e726b90d34d54</t>
        </is>
      </c>
      <c r="BE1212" s="24" t="inlineStr">
        <is>
          <t>tennis-surface-elo-v1</t>
        </is>
      </c>
      <c r="BF1212" s="24" t="inlineStr">
        <is>
          <t>1</t>
        </is>
      </c>
      <c r="BG1212" s="24" t="inlineStr">
        <is>
          <t>6c67e999d2a03612e30f4032c8e5e77e8becfbc79e05f4c8993e726b90d34d54</t>
        </is>
      </c>
      <c r="BH1212" s="24" t="inlineStr">
        <is>
          <t>2026-10-05T10:24:33.644543Z</t>
        </is>
      </c>
      <c r="BI1212" s="24" t="inlineStr">
        <is>
          <t>["same_event","same_team_same_day","same_league_same_day"]</t>
        </is>
      </c>
      <c r="BJ1212" s="25" t="n"/>
      <c r="BK1212" s="26" t="n">
        <v>122</v>
      </c>
      <c r="BL1212" s="27" t="n">
        <v>2.22</v>
      </c>
      <c r="BM1212" s="28" t="n">
        <v>0.45045</v>
      </c>
      <c r="BN1212" s="28" t="n"/>
      <c r="BO1212" s="28" t="n"/>
      <c r="BP1212" s="25" t="n"/>
      <c r="BQ1212" s="27" t="n">
        <v>2.22</v>
      </c>
      <c r="BR1212" s="28" t="n">
        <v>0.45</v>
      </c>
      <c r="BS1212" s="28" t="n"/>
      <c r="BT1212" s="28" t="n"/>
      <c r="BU1212" s="25" t="n"/>
      <c r="BV1212" s="29" t="n"/>
      <c r="BW1212" s="24" t="n"/>
      <c r="BX1212" s="30" t="n"/>
      <c r="BY1212" s="27" t="n"/>
      <c r="BZ1212" s="24" t="n"/>
      <c r="CA1212" s="31" t="n"/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n"/>
      <c r="CU1212" s="24" t="n"/>
      <c r="CV1212" s="24" t="n"/>
      <c r="CW1212" s="24" t="n"/>
      <c r="CX1212" s="24" t="n"/>
      <c r="CY1212" s="24" t="n"/>
      <c r="CZ1212" s="24" t="n"/>
      <c r="DA1212" s="24" t="n"/>
      <c r="DB1212" s="24" t="n"/>
      <c r="DC1212" s="24" t="n"/>
      <c r="DD1212" s="24" t="inlineStr">
        <is>
          <t>a33437feb4c253335346adf4a24ff757e29739c593eeeaf5f955710d56c84c00</t>
        </is>
      </c>
      <c r="DE1212" s="24" t="inlineStr">
        <is>
          <t>E:\model-prediction\data\odds\tennis\2026-10-05\polymarket_snapshots.jsonl</t>
        </is>
      </c>
      <c r="DF1212" s="24" t="inlineStr">
        <is>
          <t>1208370:2026-10-05T10:24:33.644543Z</t>
        </is>
      </c>
      <c r="DG1212" s="24" t="n"/>
      <c r="DH1212" s="24" t="n"/>
      <c r="DI1212" s="24" t="n"/>
      <c r="DJ1212" s="24" t="n"/>
      <c r="DK1212" s="24" t="n"/>
      <c r="DL1212" s="24" t="n"/>
      <c r="DM1212" s="24" t="n"/>
      <c r="DN1212" s="24" t="n"/>
      <c r="DO1212" s="24" t="n"/>
      <c r="DP1212" s="24" t="n"/>
      <c r="DQ1212" s="24" t="inlineStr">
        <is>
          <t>{"artifact_hash": "6c67e999d2a03612e30f4032c8e5e77e8becfbc79e05f4c8993e726b90d34d54", "away_team": "Daniil Medvedev", "event_id": "959-2026:183467", "event_start_utc": "2026-10-05T11:00Z", "features": {"elo_p1_surface": 1817.5, "elo_p2_surface": 1843.5, "expected_games_p1": 12.43, "expected_games_p2": 13.04, "expected_total_games": 25.48, "history_matches": 11365, "min_player_matches": 119, "surface": "Hard"}, "historical_source_observation_times_verified": false, "home_team": "Novak Djokovic", "inference_inputs": {"code_sha256": {"features/elo_ratings.py": "8525faf022a6343c452286dbfeb17dbb043744c6bdabbe448b6b371216da439b", "models/tennis.py": "6c67e999d2a03612e30f4032c8e5e77e8becfbc79e05f4c8993e726b90d34d54"}, "overall_ratings": [1804.0063217502814, 1896.0293104044842], "players": ["Daniil Medvedev", "Novak Djokovic"], "sport": "TENNIS", "surface": "Hard", "surface_counts": [135, 70], "surface_ratings": [1817.522103478462, 1843.54184162348]}, "market_type": "moneyline", "model_version": "tennis-surface-elo-v1", "observed_at_utc": "2026-10-05T10:48:07.366276+00:00", "probabilities": {"away": 0.4357, "home": 0.5643}, "replay_scope": "Exact full-precision serving state and rounding; upstream historical observation times are not certified.", "schema": "coded-moneyline-replay-v1", "snapshot_hash": "abe38c06f4f63c6a901220e9b32dec38a70e16586d14c5eab6b911c40785cb3e", "sport": "TENNIS"}</t>
        </is>
      </c>
    </row>
    <row r="1213" ht="36" customHeight="1">
      <c r="A1213" s="24" t="inlineStr">
        <is>
          <t>4f3c119f79784e7a</t>
        </is>
      </c>
      <c r="B1213" s="24" t="inlineStr">
        <is>
          <t>2026-10-05T10:48:10.581312Z</t>
        </is>
      </c>
      <c r="C1213" s="24" t="inlineStr">
        <is>
          <t>2026-10-05T11:10Z</t>
        </is>
      </c>
      <c r="D1213" s="24" t="inlineStr">
        <is>
          <t>315-2026:186293</t>
        </is>
      </c>
      <c r="E1213" s="24" t="inlineStr">
        <is>
          <t>TENNIS</t>
        </is>
      </c>
      <c r="F1213" s="24" t="inlineStr">
        <is>
          <t>Nishesh Basavareddy</t>
        </is>
      </c>
      <c r="G1213" s="24" t="inlineStr">
        <is>
          <t>Kimmer Coppejans</t>
        </is>
      </c>
      <c r="H1213" s="24" t="inlineStr">
        <is>
          <t>moneyline</t>
        </is>
      </c>
      <c r="I1213" s="24" t="inlineStr">
        <is>
          <t>away</t>
        </is>
      </c>
      <c r="J1213" s="25" t="n"/>
      <c r="K1213" s="24" t="inlineStr">
        <is>
          <t>polymarket_us</t>
        </is>
      </c>
      <c r="L1213" s="26" t="n">
        <v>-567</v>
      </c>
      <c r="M1213" s="27" t="n">
        <v>1.176367</v>
      </c>
      <c r="N1213" s="28" t="n">
        <v>0.850075</v>
      </c>
      <c r="O1213" s="28" t="n">
        <v>0.6581</v>
      </c>
      <c r="P1213" s="28" t="n">
        <v>0.05</v>
      </c>
      <c r="Q1213" s="28" t="n">
        <v>-0.191975</v>
      </c>
      <c r="R1213" s="26" t="n">
        <v>0</v>
      </c>
      <c r="S1213" s="29" t="n">
        <v>1</v>
      </c>
      <c r="T1213" s="24" t="inlineStr">
        <is>
          <t>tennis-surface-elo-v1</t>
        </is>
      </c>
      <c r="U1213" s="24" t="inlineStr">
        <is>
          <t>settled</t>
        </is>
      </c>
      <c r="V1213" s="24" t="inlineStr">
        <is>
          <t>loss</t>
        </is>
      </c>
      <c r="W1213" s="26" t="n">
        <v>0</v>
      </c>
      <c r="X1213" s="26" t="n">
        <v>1</v>
      </c>
      <c r="Y1213" s="25" t="n"/>
      <c r="Z1213" s="26" t="n">
        <v>-567</v>
      </c>
      <c r="AA1213" s="28" t="n">
        <v>0.85</v>
      </c>
      <c r="AB1213" s="28" t="n">
        <v>-7.499999999999999e-05</v>
      </c>
      <c r="AC1213" s="30" t="n">
        <v>-1</v>
      </c>
      <c r="AD1213" s="24" t="inlineStr">
        <is>
          <t>2026-10-05T16:01:42.020343Z</t>
        </is>
      </c>
      <c r="AE1213" s="31" t="inlineStr">
        <is>
          <t>Surface-blended Elo on Hard: Nishesh Basavareddy p=0.658 vs Kimmer Coppejans. Executable ask 0.8500 (aec-atp-kimcop-nisbas-2026-10-05).</t>
        </is>
      </c>
      <c r="AF1213" s="31" t="inlineStr">
        <is>
          <t>Surface-blended Elo model; singles only, WTA+ATP market coverage, not yet locked-holdout qualified -- promoted by explicit operator directive, not genuine walk-forward validation.</t>
        </is>
      </c>
      <c r="AG1213" s="24" t="inlineStr">
        <is>
          <t>review_required</t>
        </is>
      </c>
      <c r="AH1213" s="24" t="n"/>
      <c r="AI1213" s="31" t="n"/>
      <c r="AJ1213" s="31" t="n"/>
      <c r="AK1213" s="24" t="inlineStr">
        <is>
          <t>paper_call</t>
        </is>
      </c>
      <c r="AL1213" s="26" t="n">
        <v>4</v>
      </c>
      <c r="AM1213" s="24" t="inlineStr">
        <is>
          <t>RESEARCH_OBSERVATION</t>
        </is>
      </c>
      <c r="AN1213" s="24" t="inlineStr">
        <is>
          <t>CALL</t>
        </is>
      </c>
      <c r="AO1213" s="24" t="inlineStr">
        <is>
          <t>PAPER_CALL_LOW_EDGE</t>
        </is>
      </c>
      <c r="AP1213" s="24" t="inlineStr">
        <is>
          <t>Nishesh Basavareddy</t>
        </is>
      </c>
      <c r="AQ1213" s="24" t="inlineStr">
        <is>
          <t>Nishesh Basavareddy</t>
        </is>
      </c>
      <c r="AR1213" s="24" t="inlineStr">
        <is>
          <t>Nishesh Basavareddy</t>
        </is>
      </c>
      <c r="AS1213" s="24" t="inlineStr">
        <is>
          <t>Kimmer Coppejans</t>
        </is>
      </c>
      <c r="AT1213" s="24" t="inlineStr">
        <is>
          <t>Kimmer Coppejans</t>
        </is>
      </c>
      <c r="AU1213" s="24" t="inlineStr">
        <is>
          <t>Kimmer Coppejans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shadow_qualified</t>
        </is>
      </c>
      <c r="BA1213" s="24" t="inlineStr">
        <is>
          <t>6c67e999d2a03612e30f4032c8e5e77e8becfbc79e05f4c8993e726b90d34d54</t>
        </is>
      </c>
      <c r="BB1213" s="24" t="inlineStr">
        <is>
          <t>surface_blended_elo</t>
        </is>
      </c>
      <c r="BC1213" s="24" t="inlineStr">
        <is>
          <t>tennis-surface-elo-v1</t>
        </is>
      </c>
      <c r="BD1213" s="24" t="inlineStr">
        <is>
          <t>6c67e999d2a03612e30f4032c8e5e77e8becfbc79e05f4c8993e726b90d34d54</t>
        </is>
      </c>
      <c r="BE1213" s="24" t="inlineStr">
        <is>
          <t>tennis-surface-elo-v1</t>
        </is>
      </c>
      <c r="BF1213" s="24" t="inlineStr">
        <is>
          <t>1</t>
        </is>
      </c>
      <c r="BG1213" s="24" t="inlineStr">
        <is>
          <t>6c67e999d2a03612e30f4032c8e5e77e8becfbc79e05f4c8993e726b90d34d54</t>
        </is>
      </c>
      <c r="BH1213" s="24" t="inlineStr">
        <is>
          <t>2026-10-05T10:22:33.909637Z</t>
        </is>
      </c>
      <c r="BI1213" s="24" t="inlineStr">
        <is>
          <t>["same_event","same_team_same_day","same_league_same_day"]</t>
        </is>
      </c>
      <c r="BJ1213" s="25" t="n"/>
      <c r="BK1213" s="26" t="n">
        <v>-567</v>
      </c>
      <c r="BL1213" s="27" t="n">
        <v>1.176367</v>
      </c>
      <c r="BM1213" s="28" t="n">
        <v>0.850075</v>
      </c>
      <c r="BN1213" s="28" t="n"/>
      <c r="BO1213" s="28" t="n"/>
      <c r="BP1213" s="25" t="n"/>
      <c r="BQ1213" s="27" t="n">
        <v>1.176367</v>
      </c>
      <c r="BR1213" s="28" t="n">
        <v>0.85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False</t>
        </is>
      </c>
      <c r="CT1213" s="24" t="n"/>
      <c r="CU1213" s="24" t="n"/>
      <c r="CV1213" s="24" t="n"/>
      <c r="CW1213" s="24" t="n"/>
      <c r="CX1213" s="24" t="n"/>
      <c r="CY1213" s="24" t="n"/>
      <c r="CZ1213" s="24" t="n"/>
      <c r="DA1213" s="24" t="n"/>
      <c r="DB1213" s="24" t="n"/>
      <c r="DC1213" s="24" t="n"/>
      <c r="DD1213" s="24" t="inlineStr">
        <is>
          <t>6970d0882ccc54e09dcad3602857004b877e12ff5d7cb84269f3028a22e30b26</t>
        </is>
      </c>
      <c r="DE1213" s="24" t="inlineStr">
        <is>
          <t>E:\model-prediction\data\odds\tennis\2026-10-05\polymarket_snapshots.jsonl</t>
        </is>
      </c>
      <c r="DF1213" s="24" t="inlineStr">
        <is>
          <t>1206280:2026-10-05T10:22:33.909637Z</t>
        </is>
      </c>
      <c r="DG1213" s="24" t="n"/>
      <c r="DH1213" s="24" t="n"/>
      <c r="DI1213" s="24" t="n"/>
      <c r="DJ1213" s="24" t="n"/>
      <c r="DK1213" s="24" t="n"/>
      <c r="DL1213" s="24" t="n"/>
      <c r="DM1213" s="24" t="n"/>
      <c r="DN1213" s="24" t="n"/>
      <c r="DO1213" s="24" t="n"/>
      <c r="DP1213" s="24" t="n"/>
      <c r="DQ1213" s="24" t="inlineStr">
        <is>
          <t>{"artifact_hash": "6c67e999d2a03612e30f4032c8e5e77e8becfbc79e05f4c8993e726b90d34d54", "away_team": "Nishesh Basavareddy", "event_id": "315-2026:186293", "event_start_utc": "2026-10-05T11:10Z", "features": {"elo_p1_surface": 1579.9, "elo_p2_surface": 1482.6, "expected_games_p1": 13.7, "expected_games_p2": 9.69, "expected_total_games": 23.39, "history_matches": 11365, "min_player_matches": 20, "surface": "Hard"}, "historical_source_observation_times_verified": false, "home_team": "Kimmer Coppejans", "inference_inputs": {"code_sha256": {"features/elo_ratings.py": "8525faf022a6343c452286dbfeb17dbb043744c6bdabbe448b6b371216da439b", "models/tennis.py": "6c67e999d2a03612e30f4032c8e5e77e8becfbc79e05f4c8993e726b90d34d54"}, "overall_ratings": [1597.416126080688, 1464.200818509645], "players": ["Nishesh Basavareddy", "Kimmer Coppejans"], "sport": "TENNIS", "surface": "Hard", "surface_counts": [54, 15], "surface_ratings": [1579.894806887748, 1482.600336521304]}, "market_type": "moneyline", "model_version": "tennis-surface-elo-v1", "observed_at_utc": "2026-10-05T10:48:07.366276+00:00", "probabilities": {"away": 0.6581, "home": 0.3419}, "replay_scope": "Exact full-precision serving state and rounding; upstream historical observation times are not certified.", "schema": "coded-moneyline-replay-v1", "snapshot_hash": "e179146db05042abba506bd9f4a1154af72a6dcb3780dc15e8122bf471091d62", "sport": "TENNIS"}</t>
        </is>
      </c>
    </row>
    <row r="1214" ht="36" customHeight="1">
      <c r="A1214" s="24" t="inlineStr">
        <is>
          <t>2f4e1ca794194343</t>
        </is>
      </c>
      <c r="B1214" s="24" t="inlineStr">
        <is>
          <t>2026-10-05T10:48:10.581312Z</t>
        </is>
      </c>
      <c r="C1214" s="24" t="inlineStr">
        <is>
          <t>2026-10-05T11:10Z</t>
        </is>
      </c>
      <c r="D1214" s="24" t="inlineStr">
        <is>
          <t>315-2026:186300</t>
        </is>
      </c>
      <c r="E1214" s="24" t="inlineStr">
        <is>
          <t>TENNIS</t>
        </is>
      </c>
      <c r="F1214" s="24" t="inlineStr">
        <is>
          <t>Lloyd Harris</t>
        </is>
      </c>
      <c r="G1214" s="24" t="inlineStr">
        <is>
          <t>Alex Bolt</t>
        </is>
      </c>
      <c r="H1214" s="24" t="inlineStr">
        <is>
          <t>moneyline</t>
        </is>
      </c>
      <c r="I1214" s="24" t="inlineStr">
        <is>
          <t>away</t>
        </is>
      </c>
      <c r="J1214" s="25" t="n"/>
      <c r="K1214" s="24" t="inlineStr">
        <is>
          <t>polymarket_us</t>
        </is>
      </c>
      <c r="L1214" s="26" t="n">
        <v>-426</v>
      </c>
      <c r="M1214" s="27" t="n">
        <v>1.234742</v>
      </c>
      <c r="N1214" s="28" t="n">
        <v>0.809886</v>
      </c>
      <c r="O1214" s="28" t="n">
        <v>0.6731</v>
      </c>
      <c r="P1214" s="28" t="n">
        <v>0.05</v>
      </c>
      <c r="Q1214" s="28" t="n">
        <v>-0.136786</v>
      </c>
      <c r="R1214" s="26" t="n">
        <v>0</v>
      </c>
      <c r="S1214" s="29" t="n">
        <v>1</v>
      </c>
      <c r="T1214" s="24" t="inlineStr">
        <is>
          <t>tennis-surface-elo-v1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0</v>
      </c>
      <c r="Y1214" s="25" t="n"/>
      <c r="Z1214" s="26" t="n">
        <v>-426</v>
      </c>
      <c r="AA1214" s="28" t="n">
        <v>0.8100000000000001</v>
      </c>
      <c r="AB1214" s="28" t="n">
        <v>0.000114</v>
      </c>
      <c r="AC1214" s="30" t="n">
        <v>0.2347</v>
      </c>
      <c r="AD1214" s="24" t="inlineStr">
        <is>
          <t>2026-10-05T16:01:47.556260Z</t>
        </is>
      </c>
      <c r="AE1214" s="31" t="inlineStr">
        <is>
          <t>Surface-blended Elo on Hard: Lloyd Harris p=0.673 vs Alex Bolt. Executable ask 0.8100 (aec-atp-alebol-llohar-2026-10-05).</t>
        </is>
      </c>
      <c r="AF1214" s="31" t="inlineStr">
        <is>
          <t>Surface-blended Elo model; singles only, WTA+ATP market coverage, not yet locked-holdout qualified -- promoted by explicit operator directive, not genuine walk-forward validation.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PAPER_CALL_LOW_EDGE</t>
        </is>
      </c>
      <c r="AP1214" s="24" t="inlineStr">
        <is>
          <t>Lloyd Harris</t>
        </is>
      </c>
      <c r="AQ1214" s="24" t="inlineStr">
        <is>
          <t>Lloyd Harris</t>
        </is>
      </c>
      <c r="AR1214" s="24" t="inlineStr">
        <is>
          <t>Lloyd Harris</t>
        </is>
      </c>
      <c r="AS1214" s="24" t="inlineStr">
        <is>
          <t>Alex Bolt</t>
        </is>
      </c>
      <c r="AT1214" s="24" t="inlineStr">
        <is>
          <t>Alex Bolt</t>
        </is>
      </c>
      <c r="AU1214" s="24" t="inlineStr">
        <is>
          <t>Alex Bolt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shadow_qualified</t>
        </is>
      </c>
      <c r="BA1214" s="24" t="inlineStr">
        <is>
          <t>6c67e999d2a03612e30f4032c8e5e77e8becfbc79e05f4c8993e726b90d34d54</t>
        </is>
      </c>
      <c r="BB1214" s="24" t="inlineStr">
        <is>
          <t>surface_blended_elo</t>
        </is>
      </c>
      <c r="BC1214" s="24" t="inlineStr">
        <is>
          <t>tennis-surface-elo-v1</t>
        </is>
      </c>
      <c r="BD1214" s="24" t="inlineStr">
        <is>
          <t>6c67e999d2a03612e30f4032c8e5e77e8becfbc79e05f4c8993e726b90d34d54</t>
        </is>
      </c>
      <c r="BE1214" s="24" t="inlineStr">
        <is>
          <t>tennis-surface-elo-v1</t>
        </is>
      </c>
      <c r="BF1214" s="24" t="inlineStr">
        <is>
          <t>1</t>
        </is>
      </c>
      <c r="BG1214" s="24" t="inlineStr">
        <is>
          <t>6c67e999d2a03612e30f4032c8e5e77e8becfbc79e05f4c8993e726b90d34d54</t>
        </is>
      </c>
      <c r="BH1214" s="24" t="inlineStr">
        <is>
          <t>2026-10-05T10:21:43.510453Z</t>
        </is>
      </c>
      <c r="BI1214" s="24" t="inlineStr">
        <is>
          <t>["same_event","same_team_same_day","same_league_same_day"]</t>
        </is>
      </c>
      <c r="BJ1214" s="25" t="n"/>
      <c r="BK1214" s="26" t="n">
        <v>-426</v>
      </c>
      <c r="BL1214" s="27" t="n">
        <v>1.234742</v>
      </c>
      <c r="BM1214" s="28" t="n">
        <v>0.809886</v>
      </c>
      <c r="BN1214" s="28" t="n"/>
      <c r="BO1214" s="28" t="n"/>
      <c r="BP1214" s="25" t="n"/>
      <c r="BQ1214" s="27" t="n">
        <v>1.234742</v>
      </c>
      <c r="BR1214" s="28" t="n">
        <v>0.8100000000000001</v>
      </c>
      <c r="BS1214" s="28" t="n"/>
      <c r="BT1214" s="28" t="n"/>
      <c r="BU1214" s="25" t="n"/>
      <c r="BV1214" s="29" t="n"/>
      <c r="BW1214" s="24" t="n"/>
      <c r="BX1214" s="30" t="n"/>
      <c r="BY1214" s="27" t="n"/>
      <c r="BZ1214" s="24" t="n"/>
      <c r="CA1214" s="31" t="n"/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n"/>
      <c r="CU1214" s="24" t="n"/>
      <c r="CV1214" s="24" t="n"/>
      <c r="CW1214" s="24" t="n"/>
      <c r="CX1214" s="24" t="n"/>
      <c r="CY1214" s="24" t="n"/>
      <c r="CZ1214" s="24" t="n"/>
      <c r="DA1214" s="24" t="n"/>
      <c r="DB1214" s="24" t="n"/>
      <c r="DC1214" s="24" t="n"/>
      <c r="DD1214" s="24" t="inlineStr">
        <is>
          <t>a3ced04221f911b1a520985b438ada581caa4f54b50c038117044f2414586612</t>
        </is>
      </c>
      <c r="DE1214" s="24" t="inlineStr">
        <is>
          <t>E:\model-prediction\data\odds\tennis\2026-10-05\polymarket_snapshots.jsonl</t>
        </is>
      </c>
      <c r="DF1214" s="24" t="inlineStr">
        <is>
          <t>1206290:2026-10-05T10:21:43.510453Z</t>
        </is>
      </c>
      <c r="DG1214" s="24" t="n"/>
      <c r="DH1214" s="24" t="n"/>
      <c r="DI1214" s="24" t="n"/>
      <c r="DJ1214" s="24" t="n"/>
      <c r="DK1214" s="24" t="n"/>
      <c r="DL1214" s="24" t="n"/>
      <c r="DM1214" s="24" t="n"/>
      <c r="DN1214" s="24" t="n"/>
      <c r="DO1214" s="24" t="n"/>
      <c r="DP1214" s="24" t="n"/>
      <c r="DQ1214" s="24" t="inlineStr">
        <is>
          <t>{"artifact_hash": "6c67e999d2a03612e30f4032c8e5e77e8becfbc79e05f4c8993e726b90d34d54", "away_team": "Lloyd Harris", "event_id": "315-2026:186300", "event_start_utc": "2026-10-05T11:10Z", "features": {"elo_p1_surface": 1607.5, "elo_p2_surface": 1496.8, "expected_games_p1": 13.64, "expected_games_p2": 9.24, "expected_total_games": 22.88, "history_matches": 11365, "min_player_matches": 46, "surface": "Hard"}, "historical_source_observation_times_verified": false, "home_team": "Alex Bolt", "inference_inputs": {"code_sha256": {"features/elo_ratings.py": "8525faf022a6343c452286dbfeb17dbb043744c6bdabbe448b6b371216da439b", "models/tennis.py": "6c67e999d2a03612e30f4032c8e5e77e8becfbc79e05f4c8993e726b90d34d54"}, "overall_ratings": [1632.565097337149, 1488.619755486916], "players": ["Lloyd Harris", "Alex Bolt"], "sport": "TENNIS", "surface": "Hard", "surface_counts": [27, 33], "surface_ratings": [1607.544615064761, 1496.825832800046]}, "market_type": "moneyline", "model_version": "tennis-surface-elo-v1", "observed_at_utc": "2026-10-05T10:48:07.366276+00:00", "probabilities": {"away": 0.6731, "home": 0.3269}, "replay_scope": "Exact full-precision serving state and rounding; upstream historical observation times are not certified.", "schema": "coded-moneyline-replay-v1", "snapshot_hash": "4f3b03e1b32a32d9ab2dbd2babc24f941cad4ec9469cf4391eb33da096d22b77", "sport": "TENNIS"}</t>
        </is>
      </c>
    </row>
    <row r="1215" ht="36" customHeight="1">
      <c r="A1215" s="24" t="inlineStr">
        <is>
          <t>0fe22e00156e4549</t>
        </is>
      </c>
      <c r="B1215" s="24" t="inlineStr">
        <is>
          <t>2026-10-05T22:23:45.549967Z</t>
        </is>
      </c>
      <c r="C1215" s="24" t="inlineStr">
        <is>
          <t>2026-10-06T03:00Z</t>
        </is>
      </c>
      <c r="D1215" s="24" t="inlineStr">
        <is>
          <t>959-2026:184343</t>
        </is>
      </c>
      <c r="E1215" s="24" t="inlineStr">
        <is>
          <t>TENNIS</t>
        </is>
      </c>
      <c r="F1215" s="24" t="inlineStr">
        <is>
          <t>Mirra Andreeva</t>
        </is>
      </c>
      <c r="G1215" s="24" t="inlineStr">
        <is>
          <t>Daria Snigur</t>
        </is>
      </c>
      <c r="H1215" s="24" t="inlineStr">
        <is>
          <t>moneyline</t>
        </is>
      </c>
      <c r="I1215" s="24" t="inlineStr">
        <is>
          <t>away</t>
        </is>
      </c>
      <c r="J1215" s="25" t="n"/>
      <c r="K1215" s="24" t="inlineStr">
        <is>
          <t>polymarket_us</t>
        </is>
      </c>
      <c r="L1215" s="26" t="n">
        <v>-567</v>
      </c>
      <c r="M1215" s="27" t="n">
        <v>1.176367</v>
      </c>
      <c r="N1215" s="28" t="n">
        <v>0.850075</v>
      </c>
      <c r="O1215" s="28" t="n">
        <v>0.6294999999999999</v>
      </c>
      <c r="P1215" s="28" t="n">
        <v>0.05</v>
      </c>
      <c r="Q1215" s="28" t="n">
        <v>-0.220575</v>
      </c>
      <c r="R1215" s="26" t="n">
        <v>0</v>
      </c>
      <c r="S1215" s="29" t="n">
        <v>1</v>
      </c>
      <c r="T1215" s="24" t="inlineStr">
        <is>
          <t>tennis-surface-elo-v1</t>
        </is>
      </c>
      <c r="U1215" s="24" t="inlineStr">
        <is>
          <t>settled</t>
        </is>
      </c>
      <c r="V1215" s="24" t="inlineStr">
        <is>
          <t>win</t>
        </is>
      </c>
      <c r="W1215" s="26" t="n">
        <v>1</v>
      </c>
      <c r="X1215" s="26" t="n">
        <v>0</v>
      </c>
      <c r="Y1215" s="25" t="n"/>
      <c r="Z1215" s="26" t="n">
        <v>-567</v>
      </c>
      <c r="AA1215" s="28" t="n">
        <v>0.85</v>
      </c>
      <c r="AB1215" s="28" t="n">
        <v>-7.499999999999999e-05</v>
      </c>
      <c r="AC1215" s="30" t="n">
        <v>0.1764</v>
      </c>
      <c r="AD1215" s="24" t="inlineStr">
        <is>
          <t>2026-10-06T05:35:54.927655Z</t>
        </is>
      </c>
      <c r="AE1215" s="31" t="inlineStr">
        <is>
          <t>Surface-blended Elo on Hard: Mirra Andreeva p=0.629 vs Daria Snigur. Executable ask 0.8500 (aec-wta-darsni-mirand-2026-10-05).</t>
        </is>
      </c>
      <c r="AF1215" s="31" t="inlineStr">
        <is>
          <t>Surface-blended Elo model; singles only, WTA+ATP market coverage, not yet locked-holdout qualified -- promoted by explicit operator directive, not genuine walk-forward validation.</t>
        </is>
      </c>
      <c r="AG1215" s="24" t="inlineStr">
        <is>
          <t>not_applicable</t>
        </is>
      </c>
      <c r="AH1215" s="24" t="n"/>
      <c r="AI1215" s="31" t="n"/>
      <c r="AJ1215" s="31" t="n"/>
      <c r="AK1215" s="24" t="inlineStr">
        <is>
          <t>paper_call</t>
        </is>
      </c>
      <c r="AL1215" s="26" t="n">
        <v>4</v>
      </c>
      <c r="AM1215" s="24" t="inlineStr">
        <is>
          <t>RESEARCH_OBSERVATION</t>
        </is>
      </c>
      <c r="AN1215" s="24" t="inlineStr">
        <is>
          <t>CALL</t>
        </is>
      </c>
      <c r="AO1215" s="24" t="inlineStr">
        <is>
          <t>PAPER_CALL_LOW_EDGE</t>
        </is>
      </c>
      <c r="AP1215" s="24" t="inlineStr">
        <is>
          <t>Mirra Andreeva</t>
        </is>
      </c>
      <c r="AQ1215" s="24" t="inlineStr">
        <is>
          <t>Mirra Andreeva</t>
        </is>
      </c>
      <c r="AR1215" s="24" t="inlineStr">
        <is>
          <t>Mirra Andreeva</t>
        </is>
      </c>
      <c r="AS1215" s="24" t="inlineStr">
        <is>
          <t>Daria Snigur</t>
        </is>
      </c>
      <c r="AT1215" s="24" t="inlineStr">
        <is>
          <t>Daria Snigur</t>
        </is>
      </c>
      <c r="AU1215" s="24" t="inlineStr">
        <is>
          <t>Daria Snigur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shadow_qualified</t>
        </is>
      </c>
      <c r="BA1215" s="24" t="inlineStr">
        <is>
          <t>6c67e999d2a03612e30f4032c8e5e77e8becfbc79e05f4c8993e726b90d34d54</t>
        </is>
      </c>
      <c r="BB1215" s="24" t="inlineStr">
        <is>
          <t>surface_blended_elo</t>
        </is>
      </c>
      <c r="BC1215" s="24" t="inlineStr">
        <is>
          <t>tennis-surface-elo-v1</t>
        </is>
      </c>
      <c r="BD1215" s="24" t="inlineStr">
        <is>
          <t>6c67e999d2a03612e30f4032c8e5e77e8becfbc79e05f4c8993e726b90d34d54</t>
        </is>
      </c>
      <c r="BE1215" s="24" t="inlineStr">
        <is>
          <t>tennis-surface-elo-v1</t>
        </is>
      </c>
      <c r="BF1215" s="24" t="inlineStr">
        <is>
          <t>1</t>
        </is>
      </c>
      <c r="BG1215" s="24" t="inlineStr">
        <is>
          <t>6c67e999d2a03612e30f4032c8e5e77e8becfbc79e05f4c8993e726b90d34d54</t>
        </is>
      </c>
      <c r="BH1215" s="24" t="inlineStr">
        <is>
          <t>2026-10-05T22:18:24.158869Z</t>
        </is>
      </c>
      <c r="BI1215" s="24" t="inlineStr">
        <is>
          <t>["same_event","same_team_same_day","same_league_same_day"]</t>
        </is>
      </c>
      <c r="BJ1215" s="25" t="n"/>
      <c r="BK1215" s="26" t="n">
        <v>-567</v>
      </c>
      <c r="BL1215" s="27" t="n">
        <v>1.176367</v>
      </c>
      <c r="BM1215" s="28" t="n">
        <v>0.850075</v>
      </c>
      <c r="BN1215" s="28" t="n"/>
      <c r="BO1215" s="28" t="n"/>
      <c r="BP1215" s="25" t="n"/>
      <c r="BQ1215" s="27" t="n">
        <v>1.176367</v>
      </c>
      <c r="BR1215" s="28" t="n">
        <v>0.85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False</t>
        </is>
      </c>
      <c r="CT1215" s="24" t="n"/>
      <c r="CU1215" s="24" t="n"/>
      <c r="CV1215" s="24" t="n"/>
      <c r="CW1215" s="24" t="n"/>
      <c r="CX1215" s="24" t="n"/>
      <c r="CY1215" s="24" t="n"/>
      <c r="CZ1215" s="24" t="n"/>
      <c r="DA1215" s="24" t="n"/>
      <c r="DB1215" s="24" t="n"/>
      <c r="DC1215" s="24" t="n"/>
      <c r="DD1215" s="24" t="inlineStr">
        <is>
          <t>469d319d1c331ffeeafc6ad78ac4df5caa0270a4099b09869c86fd37c391152f</t>
        </is>
      </c>
      <c r="DE1215" s="24" t="inlineStr">
        <is>
          <t>E:\model-prediction\data\odds\tennis\2026-10-05\polymarket_snapshots.jsonl</t>
        </is>
      </c>
      <c r="DF1215" s="24" t="inlineStr">
        <is>
          <t>1205777:2026-10-05T22:18:24.158869Z</t>
        </is>
      </c>
      <c r="DG1215" s="24" t="n"/>
      <c r="DH1215" s="24" t="n"/>
      <c r="DI1215" s="24" t="n"/>
      <c r="DJ1215" s="24" t="n"/>
      <c r="DK1215" s="24" t="n"/>
      <c r="DL1215" s="24" t="n"/>
      <c r="DM1215" s="24" t="n"/>
      <c r="DN1215" s="24" t="n"/>
      <c r="DO1215" s="24" t="n"/>
      <c r="DP1215" s="24" t="n"/>
      <c r="DQ1215" s="24" t="inlineStr">
        <is>
          <t>{"artifact_hash": "6c67e999d2a03612e30f4032c8e5e77e8becfbc79e05f4c8993e726b90d34d54", "away_team": "Mirra Andreeva", "event_id": "959-2026:184343", "event_start_utc": "2026-10-06T03:00Z", "features": {"elo_p1_surface": 1831.1, "elo_p2_surface": 1751.8, "expected_games_p1": 13.45, "expected_games_p2": 9.75, "expected_total_games": 23.2, "history_matches": 16571, "min_player_matches": 89, "surface": "Hard"}, "historical_source_observation_times_verified": false, "home_team": "Daria Snigur", "inference_inputs": {"code_sha256": {"features/elo_ratings.py": "8525faf022a6343c452286dbfeb17dbb043744c6bdabbe448b6b371216da439b", "models/tennis.py": "6c67e999d2a03612e30f4032c8e5e77e8becfbc79e05f4c8993e726b90d34d54"}, "overall_ratings": [1899.8472717895681, 1764.4303754034456], "players": ["Mirra Andreeva", "Daria Snigur"], "sport": "TENNIS", "surface": "Hard", "surface_counts": [119, 60], "surface_ratings": [1831.0711829171541, 1751.82068355836]}, "market_type": "moneyline", "model_version": "tennis-surface-elo-v1", "observed_at_utc": "2026-10-05T22:23:41.871278+00:00", "probabilities": {"away": 0.6295, "home": 0.3705}, "replay_scope": "Exact full-precision serving state and rounding; upstream historical observation times are not certified.", "schema": "coded-moneyline-replay-v1", "snapshot_hash": "be727ce746ea2e3a867bebe7c837eed78b941d9039fb5c89adc5a21ed7ccb3e0", "sport": "TENNIS"}</t>
        </is>
      </c>
    </row>
    <row r="1216" ht="36" customHeight="1">
      <c r="A1216" s="24" t="inlineStr">
        <is>
          <t>2991e1bd75844b36</t>
        </is>
      </c>
      <c r="B1216" s="24" t="inlineStr">
        <is>
          <t>2026-10-05T22:23:45.549967Z</t>
        </is>
      </c>
      <c r="C1216" s="24" t="inlineStr">
        <is>
          <t>2026-10-07T04:00Z</t>
        </is>
      </c>
      <c r="D1216" s="24" t="inlineStr">
        <is>
          <t>959-2026:184345</t>
        </is>
      </c>
      <c r="E1216" s="24" t="inlineStr">
        <is>
          <t>TENNIS</t>
        </is>
      </c>
      <c r="F1216" s="24" t="inlineStr">
        <is>
          <t>Iga Swiatek</t>
        </is>
      </c>
      <c r="G1216" s="24" t="inlineStr">
        <is>
          <t>Iva Jovic</t>
        </is>
      </c>
      <c r="H1216" s="24" t="inlineStr">
        <is>
          <t>moneyline</t>
        </is>
      </c>
      <c r="I1216" s="24" t="inlineStr">
        <is>
          <t>away</t>
        </is>
      </c>
      <c r="J1216" s="25" t="n"/>
      <c r="K1216" s="24" t="inlineStr">
        <is>
          <t>polymarket_us</t>
        </is>
      </c>
      <c r="L1216" s="26" t="n">
        <v>-203</v>
      </c>
      <c r="M1216" s="27" t="n">
        <v>1.492611</v>
      </c>
      <c r="N1216" s="28" t="n">
        <v>0.669967</v>
      </c>
      <c r="O1216" s="28" t="n">
        <v>0.6331</v>
      </c>
      <c r="P1216" s="28" t="n">
        <v>0.05</v>
      </c>
      <c r="Q1216" s="28" t="n">
        <v>-0.036867</v>
      </c>
      <c r="R1216" s="26" t="n">
        <v>2</v>
      </c>
      <c r="S1216" s="29" t="n">
        <v>1</v>
      </c>
      <c r="T1216" s="24" t="inlineStr">
        <is>
          <t>tennis-surface-elo-v1</t>
        </is>
      </c>
      <c r="U1216" s="24" t="inlineStr">
        <is>
          <t>settled</t>
        </is>
      </c>
      <c r="V1216" s="24" t="inlineStr">
        <is>
          <t>win</t>
        </is>
      </c>
      <c r="W1216" s="26" t="n">
        <v>1</v>
      </c>
      <c r="X1216" s="26" t="n">
        <v>0</v>
      </c>
      <c r="Y1216" s="25" t="n"/>
      <c r="Z1216" s="26" t="n">
        <v>-186</v>
      </c>
      <c r="AA1216" s="28" t="n">
        <v>0.65</v>
      </c>
      <c r="AB1216" s="28" t="n">
        <v>-0.019967</v>
      </c>
      <c r="AC1216" s="30" t="n">
        <v>0.4926</v>
      </c>
      <c r="AD1216" s="24" t="inlineStr">
        <is>
          <t>2026-10-07T10:02:07.134847Z</t>
        </is>
      </c>
      <c r="AE1216" s="31" t="inlineStr">
        <is>
          <t>Surface-blended Elo on Hard: Iga Swiatek p=0.633 vs Iva Jovic. Executable ask 0.6700 (aec-wta-ivajov-igaswi-2026-10-05).</t>
        </is>
      </c>
      <c r="AF1216" s="31" t="inlineStr">
        <is>
          <t>Surface-blended Elo model; singles only, WTA+ATP market coverage, not yet locked-holdout qualified -- promoted by explicit operator directive, not genuine walk-forward validation.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PAPER_CALL_LOW_EDGE</t>
        </is>
      </c>
      <c r="AP1216" s="24" t="inlineStr">
        <is>
          <t>Iga Swiatek</t>
        </is>
      </c>
      <c r="AQ1216" s="24" t="inlineStr">
        <is>
          <t>Iga Swiatek</t>
        </is>
      </c>
      <c r="AR1216" s="24" t="inlineStr">
        <is>
          <t>Iga Swiatek</t>
        </is>
      </c>
      <c r="AS1216" s="24" t="inlineStr">
        <is>
          <t>Iva Jovic</t>
        </is>
      </c>
      <c r="AT1216" s="24" t="inlineStr">
        <is>
          <t>Iva Jovic</t>
        </is>
      </c>
      <c r="AU1216" s="24" t="inlineStr">
        <is>
          <t>Iva Jovic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shadow_qualified</t>
        </is>
      </c>
      <c r="BA1216" s="24" t="inlineStr">
        <is>
          <t>6c67e999d2a03612e30f4032c8e5e77e8becfbc79e05f4c8993e726b90d34d54</t>
        </is>
      </c>
      <c r="BB1216" s="24" t="inlineStr">
        <is>
          <t>surface_blended_elo</t>
        </is>
      </c>
      <c r="BC1216" s="24" t="inlineStr">
        <is>
          <t>tennis-surface-elo-v1</t>
        </is>
      </c>
      <c r="BD1216" s="24" t="inlineStr">
        <is>
          <t>6c67e999d2a03612e30f4032c8e5e77e8becfbc79e05f4c8993e726b90d34d54</t>
        </is>
      </c>
      <c r="BE1216" s="24" t="inlineStr">
        <is>
          <t>tennis-surface-elo-v1</t>
        </is>
      </c>
      <c r="BF1216" s="24" t="inlineStr">
        <is>
          <t>1</t>
        </is>
      </c>
      <c r="BG1216" s="24" t="inlineStr">
        <is>
          <t>6c67e999d2a03612e30f4032c8e5e77e8becfbc79e05f4c8993e726b90d34d54</t>
        </is>
      </c>
      <c r="BH1216" s="24" t="inlineStr">
        <is>
          <t>2026-10-05T10:17:40.081465Z</t>
        </is>
      </c>
      <c r="BI1216" s="24" t="inlineStr">
        <is>
          <t>["same_event","same_team_same_day","same_league_same_day"]</t>
        </is>
      </c>
      <c r="BJ1216" s="25" t="n"/>
      <c r="BK1216" s="26" t="n">
        <v>-203</v>
      </c>
      <c r="BL1216" s="27" t="n">
        <v>1.492611</v>
      </c>
      <c r="BM1216" s="28" t="n">
        <v>0.669967</v>
      </c>
      <c r="BN1216" s="28" t="n"/>
      <c r="BO1216" s="28" t="n"/>
      <c r="BP1216" s="25" t="n"/>
      <c r="BQ1216" s="27" t="n">
        <v>1.537634</v>
      </c>
      <c r="BR1216" s="28" t="n">
        <v>0.65</v>
      </c>
      <c r="BS1216" s="28" t="n"/>
      <c r="BT1216" s="28" t="n"/>
      <c r="BU1216" s="25" t="n"/>
      <c r="BV1216" s="29" t="n"/>
      <c r="BW1216" s="24" t="n"/>
      <c r="BX1216" s="30" t="n"/>
      <c r="BY1216" s="27" t="n"/>
      <c r="BZ1216" s="24" t="n"/>
      <c r="CA1216" s="31" t="n"/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False</t>
        </is>
      </c>
      <c r="CT1216" s="24" t="n"/>
      <c r="CU1216" s="24" t="n"/>
      <c r="CV1216" s="24" t="n"/>
      <c r="CW1216" s="24" t="n"/>
      <c r="CX1216" s="24" t="n"/>
      <c r="CY1216" s="24" t="n"/>
      <c r="CZ1216" s="24" t="n"/>
      <c r="DA1216" s="24" t="n"/>
      <c r="DB1216" s="24" t="n"/>
      <c r="DC1216" s="24" t="n"/>
      <c r="DD1216" s="24" t="inlineStr">
        <is>
          <t>f163c2ad342331c83af4afba699178f967b246a126cd32c2a33ad2822e88e77e</t>
        </is>
      </c>
      <c r="DE1216" s="24" t="inlineStr">
        <is>
          <t>E:\model-prediction\data\odds\tennis\2026-10-05\polymarket_snapshots.jsonl</t>
        </is>
      </c>
      <c r="DF1216" s="24" t="inlineStr">
        <is>
          <t>1221809:2026-10-05T10:17:40.081465Z</t>
        </is>
      </c>
      <c r="DG1216" s="24" t="n"/>
      <c r="DH1216" s="24" t="n"/>
      <c r="DI1216" s="24" t="n"/>
      <c r="DJ1216" s="24" t="n"/>
      <c r="DK1216" s="24" t="n"/>
      <c r="DL1216" s="24" t="n"/>
      <c r="DM1216" s="24" t="n"/>
      <c r="DN1216" s="24" t="n"/>
      <c r="DO1216" s="24" t="n"/>
      <c r="DP1216" s="24" t="n"/>
      <c r="DQ1216" s="24" t="inlineStr">
        <is>
          <t>{"artifact_hash": "6c67e999d2a03612e30f4032c8e5e77e8becfbc79e05f4c8993e726b90d34d54", "away_team": "Iga Swiatek", "event_id": "959-2026:184345", "event_start_utc": "2026-10-07T04:00Z", "features": {"elo_p1_surface": 1898.9, "elo_p2_surface": 1803.0, "expected_games_p1": 13.45, "expected_games_p2": 9.16, "expected_total_games": 22.6, "history_matches": 16571, "min_player_matches": 102, "surface": "Hard"}, "historical_source_observation_times_verified": false, "home_team": "Iva Jovic", "inference_inputs": {"code_sha256": {"features/elo_ratings.py": "8525faf022a6343c452286dbfeb17dbb043744c6bdabbe448b6b371216da439b", "models/tennis.py": "6c67e999d2a03612e30f4032c8e5e77e8becfbc79e05f4c8993e726b90d34d54"}, "overall_ratings": [1952.8720154716507, 1853.0731796417183], "players": ["Iga Swiatek", "Iva Jovic"], "sport": "TENNIS", "surface": "Hard", "surface_counts": [128, 84], "surface_ratings": [1898.8539881420177, 1803.0284932401182]}, "market_type": "moneyline", "model_version": "tennis-surface-elo-v1", "observed_at_utc": "2026-10-05T22:23:41.871278+00:00", "probabilities": {"away": 0.6331, "home": 0.3669}, "replay_scope": "Exact full-precision serving state and rounding; upstream historical observation times are not certified.", "schema": "coded-moneyline-replay-v1", "snapshot_hash": "97a424f926e7383d06a3606ad83490bd476df6340b768daa94c7cafb1eabe3be", "sport": "TENNIS"}</t>
        </is>
      </c>
    </row>
    <row r="1217" ht="36" customHeight="1">
      <c r="A1217" s="24" t="inlineStr">
        <is>
          <t>297b4850287e40eb</t>
        </is>
      </c>
      <c r="B1217" s="24" t="inlineStr">
        <is>
          <t>2026-10-05T22:23:45.549967Z</t>
        </is>
      </c>
      <c r="C1217" s="24" t="inlineStr">
        <is>
          <t>2026-10-07T04:00Z</t>
        </is>
      </c>
      <c r="D1217" s="24" t="inlineStr">
        <is>
          <t>959-2026:184355</t>
        </is>
      </c>
      <c r="E1217" s="24" t="inlineStr">
        <is>
          <t>TENNIS</t>
        </is>
      </c>
      <c r="F1217" s="24" t="inlineStr">
        <is>
          <t>Zheng Qinwen</t>
        </is>
      </c>
      <c r="G1217" s="24" t="inlineStr">
        <is>
          <t>Alina Charaeva</t>
        </is>
      </c>
      <c r="H1217" s="24" t="inlineStr">
        <is>
          <t>moneyline</t>
        </is>
      </c>
      <c r="I1217" s="24" t="inlineStr">
        <is>
          <t>away</t>
        </is>
      </c>
      <c r="J1217" s="25" t="n"/>
      <c r="K1217" s="24" t="inlineStr">
        <is>
          <t>polymarket_us</t>
        </is>
      </c>
      <c r="L1217" s="26" t="n">
        <v>-426</v>
      </c>
      <c r="M1217" s="27" t="n">
        <v>1.234742</v>
      </c>
      <c r="N1217" s="28" t="n">
        <v>0.809886</v>
      </c>
      <c r="O1217" s="28" t="n">
        <v>0.6885</v>
      </c>
      <c r="P1217" s="28" t="n">
        <v>0.05</v>
      </c>
      <c r="Q1217" s="28" t="n">
        <v>-0.121386</v>
      </c>
      <c r="R1217" s="26" t="n">
        <v>0</v>
      </c>
      <c r="S1217" s="29" t="n">
        <v>1</v>
      </c>
      <c r="T1217" s="24" t="inlineStr">
        <is>
          <t>tennis-surface-elo-v1</t>
        </is>
      </c>
      <c r="U1217" s="24" t="inlineStr">
        <is>
          <t>settled</t>
        </is>
      </c>
      <c r="V1217" s="24" t="inlineStr">
        <is>
          <t>win</t>
        </is>
      </c>
      <c r="W1217" s="26" t="n">
        <v>1</v>
      </c>
      <c r="X1217" s="26" t="n">
        <v>0</v>
      </c>
      <c r="Y1217" s="25" t="n"/>
      <c r="Z1217" s="26" t="n"/>
      <c r="AA1217" s="28" t="n"/>
      <c r="AB1217" s="28" t="n"/>
      <c r="AC1217" s="30" t="n">
        <v>0.2347</v>
      </c>
      <c r="AD1217" s="24" t="inlineStr">
        <is>
          <t>2026-10-07T16:01:31.680522Z</t>
        </is>
      </c>
      <c r="AE1217" s="31" t="inlineStr">
        <is>
          <t>Surface-blended Elo on Hard: Zheng Qinwen p=0.689 vs Alina Charaeva. Executable ask 0.8100 (aec-wta-alicha-qinzhe-2026-10-05).</t>
        </is>
      </c>
      <c r="AF1217" s="31" t="inlineStr">
        <is>
          <t>Surface-blended Elo model; singles only, WTA+ATP market coverage, not yet locked-holdout qualified -- promoted by explicit operator directive, not genuine walk-forward validation.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PAPER_CALL_LOW_EDGE</t>
        </is>
      </c>
      <c r="AP1217" s="24" t="inlineStr">
        <is>
          <t>Zheng Qinwen</t>
        </is>
      </c>
      <c r="AQ1217" s="24" t="inlineStr">
        <is>
          <t>Zheng Qinwen</t>
        </is>
      </c>
      <c r="AR1217" s="24" t="inlineStr">
        <is>
          <t>Zheng Qinwen</t>
        </is>
      </c>
      <c r="AS1217" s="24" t="inlineStr">
        <is>
          <t>Alina Charaeva</t>
        </is>
      </c>
      <c r="AT1217" s="24" t="inlineStr">
        <is>
          <t>Alina Charaeva</t>
        </is>
      </c>
      <c r="AU1217" s="24" t="inlineStr">
        <is>
          <t>Alina Charaeva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6c67e999d2a03612e30f4032c8e5e77e8becfbc79e05f4c8993e726b90d34d54</t>
        </is>
      </c>
      <c r="BB1217" s="24" t="inlineStr">
        <is>
          <t>surface_blended_elo</t>
        </is>
      </c>
      <c r="BC1217" s="24" t="inlineStr">
        <is>
          <t>tennis-surface-elo-v1</t>
        </is>
      </c>
      <c r="BD1217" s="24" t="inlineStr">
        <is>
          <t>6c67e999d2a03612e30f4032c8e5e77e8becfbc79e05f4c8993e726b90d34d54</t>
        </is>
      </c>
      <c r="BE1217" s="24" t="inlineStr">
        <is>
          <t>tennis-surface-elo-v1</t>
        </is>
      </c>
      <c r="BF1217" s="24" t="inlineStr">
        <is>
          <t>1</t>
        </is>
      </c>
      <c r="BG1217" s="24" t="inlineStr">
        <is>
          <t>6c67e999d2a03612e30f4032c8e5e77e8becfbc79e05f4c8993e726b90d34d54</t>
        </is>
      </c>
      <c r="BH1217" s="24" t="inlineStr">
        <is>
          <t>2026-10-05T10:17:40.092539Z</t>
        </is>
      </c>
      <c r="BI1217" s="24" t="inlineStr">
        <is>
          <t>["same_event","same_team_same_day","same_league_same_day"]</t>
        </is>
      </c>
      <c r="BJ1217" s="25" t="n"/>
      <c r="BK1217" s="26" t="n">
        <v>-426</v>
      </c>
      <c r="BL1217" s="27" t="n">
        <v>1.234742</v>
      </c>
      <c r="BM1217" s="28" t="n">
        <v>0.809886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/>
      <c r="BY1217" s="27" t="n"/>
      <c r="BZ1217" s="24" t="n"/>
      <c r="CA1217" s="31" t="n"/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False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inlineStr">
        <is>
          <t>15ad84d40ce95ea5cc1de2c4dbfb8a83907dee4b7a26d2aab751f9e597f4684c</t>
        </is>
      </c>
      <c r="DE1217" s="24" t="inlineStr">
        <is>
          <t>E:\model-prediction\data\odds\tennis\2026-10-05\polymarket_snapshots.jsonl</t>
        </is>
      </c>
      <c r="DF1217" s="24" t="inlineStr">
        <is>
          <t>1222199:2026-10-05T10:17:40.092539Z</t>
        </is>
      </c>
      <c r="DG1217" s="24" t="n"/>
      <c r="DH1217" s="24" t="n"/>
      <c r="DI1217" s="24" t="n"/>
      <c r="DJ1217" s="24" t="n"/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{"artifact_hash": "6c67e999d2a03612e30f4032c8e5e77e8becfbc79e05f4c8993e726b90d34d54", "away_team": "Zheng Qinwen", "event_id": "959-2026:184355", "event_start_utc": "2026-10-07T04:00Z", "features": {"elo_p1_surface": 1809.5, "elo_p2_surface": 1666.9, "expected_games_p1": 13.21, "expected_games_p2": 7.53, "expected_total_games": 20.74, "history_matches": 16571, "min_player_matches": 101, "surface": "Hard"}, "historical_source_observation_times_verified": false, "home_team": "Alina Charaeva", "inference_inputs": {"code_sha256": {"features/elo_ratings.py": "8525faf022a6343c452286dbfeb17dbb043744c6bdabbe448b6b371216da439b", "models/tennis.py": "6c67e999d2a03612e30f4032c8e5e77e8becfbc79e05f4c8993e726b90d34d54"}, "overall_ratings": [1808.028554336971, 1682.8170799775314], "players": ["Zheng Qinwen", "Alina Charaeva"], "sport": "TENNIS", "surface": "Hard", "surface_counts": [98, 87], "surface_ratings": [1809.4926238525684, 1666.931452974246]}, "market_type": "moneyline", "model_version": "tennis-surface-elo-v1", "observed_at_utc": "2026-10-05T22:23:41.871278+00:00", "probabilities": {"away": 0.6885, "home": 0.3115}, "replay_scope": "Exact full-precision serving state and rounding; upstream historical observation times are not certified.", "schema": "coded-moneyline-replay-v1", "snapshot_hash": "c0227776923ff145c34b41f17e00d915bb7a3e48d163a0ecabda34555ac27464", "sport": "TENNIS"}</t>
        </is>
      </c>
    </row>
    <row r="1218" ht="36" customHeight="1">
      <c r="A1218" s="24" t="inlineStr">
        <is>
          <t>2935c11f43ce4ac1</t>
        </is>
      </c>
      <c r="B1218" s="24" t="inlineStr">
        <is>
          <t>2026-10-05T22:23:45.549967Z</t>
        </is>
      </c>
      <c r="C1218" s="24" t="inlineStr">
        <is>
          <t>2026-10-06T02:00Z</t>
        </is>
      </c>
      <c r="D1218" s="24" t="inlineStr">
        <is>
          <t>1029-2026:185280</t>
        </is>
      </c>
      <c r="E1218" s="24" t="inlineStr">
        <is>
          <t>TENNIS</t>
        </is>
      </c>
      <c r="F1218" s="24" t="inlineStr">
        <is>
          <t>Linda Fruhvirtova</t>
        </is>
      </c>
      <c r="G1218" s="24" t="inlineStr">
        <is>
          <t>Mananchaya Sawangkaew</t>
        </is>
      </c>
      <c r="H1218" s="24" t="inlineStr">
        <is>
          <t>moneyline</t>
        </is>
      </c>
      <c r="I1218" s="24" t="inlineStr">
        <is>
          <t>home</t>
        </is>
      </c>
      <c r="J1218" s="25" t="n"/>
      <c r="K1218" s="24" t="inlineStr">
        <is>
          <t>polymarket_us</t>
        </is>
      </c>
      <c r="L1218" s="26" t="n">
        <v>-163</v>
      </c>
      <c r="M1218" s="27" t="n">
        <v>1.613497</v>
      </c>
      <c r="N1218" s="28" t="n">
        <v>0.619772</v>
      </c>
      <c r="O1218" s="28" t="n">
        <v>0.6632</v>
      </c>
      <c r="P1218" s="28" t="n">
        <v>0.05</v>
      </c>
      <c r="Q1218" s="28" t="n">
        <v>0.043428</v>
      </c>
      <c r="R1218" s="26" t="n">
        <v>42</v>
      </c>
      <c r="S1218" s="29" t="n">
        <v>1</v>
      </c>
      <c r="T1218" s="24" t="inlineStr">
        <is>
          <t>tennis-surface-elo-v1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/>
      <c r="Z1218" s="26" t="n">
        <v>-163</v>
      </c>
      <c r="AA1218" s="28" t="n">
        <v>0.62</v>
      </c>
      <c r="AB1218" s="28" t="n">
        <v>0.000228</v>
      </c>
      <c r="AC1218" s="30" t="n">
        <v>-1</v>
      </c>
      <c r="AD1218" s="24" t="inlineStr">
        <is>
          <t>2026-10-06T05:36:00.938829Z</t>
        </is>
      </c>
      <c r="AE1218" s="31" t="inlineStr">
        <is>
          <t>Surface-blended Elo on Hard: Linda Fruhvirtova p=0.337 vs Mananchaya Sawangkaew. Executable ask 0.6200 (aec-wta-mansaw-linfru-2026-10-04).</t>
        </is>
      </c>
      <c r="AF1218" s="31" t="inlineStr">
        <is>
          <t>Surface-blended Elo model; singles only, WTA+ATP market coverage, not yet locked-holdout qualified -- promoted by explicit operator directive, not genuine walk-forward validation.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PAPER_CALL_LOW_EDGE</t>
        </is>
      </c>
      <c r="AP1218" s="24" t="inlineStr">
        <is>
          <t>Linda Fruhvirtova</t>
        </is>
      </c>
      <c r="AQ1218" s="24" t="inlineStr">
        <is>
          <t>Linda Fruhvirtova</t>
        </is>
      </c>
      <c r="AR1218" s="24" t="inlineStr">
        <is>
          <t>Linda Fruhvirtova</t>
        </is>
      </c>
      <c r="AS1218" s="24" t="inlineStr">
        <is>
          <t>Mananchaya Sawangkaew</t>
        </is>
      </c>
      <c r="AT1218" s="24" t="inlineStr">
        <is>
          <t>Mananchaya Sawangkaew</t>
        </is>
      </c>
      <c r="AU1218" s="24" t="inlineStr">
        <is>
          <t>Mananchaya Sawangkaew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6c67e999d2a03612e30f4032c8e5e77e8becfbc79e05f4c8993e726b90d34d54</t>
        </is>
      </c>
      <c r="BB1218" s="24" t="inlineStr">
        <is>
          <t>surface_blended_elo</t>
        </is>
      </c>
      <c r="BC1218" s="24" t="inlineStr">
        <is>
          <t>tennis-surface-elo-v1</t>
        </is>
      </c>
      <c r="BD1218" s="24" t="inlineStr">
        <is>
          <t>6c67e999d2a03612e30f4032c8e5e77e8becfbc79e05f4c8993e726b90d34d54</t>
        </is>
      </c>
      <c r="BE1218" s="24" t="inlineStr">
        <is>
          <t>tennis-surface-elo-v1</t>
        </is>
      </c>
      <c r="BF1218" s="24" t="inlineStr">
        <is>
          <t>1</t>
        </is>
      </c>
      <c r="BG1218" s="24" t="inlineStr">
        <is>
          <t>6c67e999d2a03612e30f4032c8e5e77e8becfbc79e05f4c8993e726b90d34d54</t>
        </is>
      </c>
      <c r="BH1218" s="24" t="inlineStr">
        <is>
          <t>2026-10-05T22:18:03.095753Z</t>
        </is>
      </c>
      <c r="BI1218" s="24" t="inlineStr">
        <is>
          <t>["same_event","same_team_same_day","same_league_same_day"]</t>
        </is>
      </c>
      <c r="BJ1218" s="25" t="n"/>
      <c r="BK1218" s="26" t="n">
        <v>-163</v>
      </c>
      <c r="BL1218" s="27" t="n">
        <v>1.613497</v>
      </c>
      <c r="BM1218" s="28" t="n">
        <v>0.619772</v>
      </c>
      <c r="BN1218" s="28" t="n"/>
      <c r="BO1218" s="28" t="n"/>
      <c r="BP1218" s="25" t="n"/>
      <c r="BQ1218" s="27" t="n">
        <v>1.613497</v>
      </c>
      <c r="BR1218" s="28" t="n">
        <v>0.62</v>
      </c>
      <c r="BS1218" s="28" t="n"/>
      <c r="BT1218" s="28" t="n"/>
      <c r="BU1218" s="25" t="n"/>
      <c r="BV1218" s="29" t="n"/>
      <c r="BW1218" s="24" t="n"/>
      <c r="BX1218" s="30" t="n"/>
      <c r="BY1218" s="27" t="n"/>
      <c r="BZ1218" s="24" t="n"/>
      <c r="CA1218" s="31" t="n"/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True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inlineStr">
        <is>
          <t>85873f4a48cd882343c6fde187eef36828021b6c557b5a24ec9679067fd47431</t>
        </is>
      </c>
      <c r="DE1218" s="24" t="inlineStr">
        <is>
          <t>E:\model-prediction\data\odds\tennis\2026-10-05\polymarket_snapshots.jsonl</t>
        </is>
      </c>
      <c r="DF1218" s="24" t="inlineStr">
        <is>
          <t>1198947:2026-10-05T22:18:03.095753Z</t>
        </is>
      </c>
      <c r="DG1218" s="24" t="n"/>
      <c r="DH1218" s="24" t="n"/>
      <c r="DI1218" s="24" t="n"/>
      <c r="DJ1218" s="24" t="n"/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{"artifact_hash": "6c67e999d2a03612e30f4032c8e5e77e8becfbc79e05f4c8993e726b90d34d54", "away_team": "Linda Fruhvirtova", "event_id": "1029-2026:185280", "event_start_utc": "2026-10-06T02:00Z", "features": {"elo_p1_surface": 1497.2, "elo_p2_surface": 1597.0, "expected_games_p1": 9.47, "expected_games_p2": 13.29, "expected_total_games": 22.76, "history_matches": 16571, "min_player_matches": 79, "surface": "Hard"}, "historical_source_observation_times_verified": false, "home_team": "Mananchaya Sawangkaew", "inference_inputs": {"code_sha256": {"features/elo_ratings.py": "8525faf022a6343c452286dbfeb17dbb043744c6bdabbe448b6b371216da439b", "models/tennis.py": "6c67e999d2a03612e30f4032c8e5e77e8becfbc79e05f4c8993e726b90d34d54"}, "overall_ratings": [1493.3391008953408, 1651.5735375648671], "players": ["Linda Fruhvirtova", "Mananchaya Sawangkaew"], "sport": "TENNIS", "surface": "Hard", "surface_counts": [97, 65], "surface_ratings": [1497.2064508927388, 1597.0194630192725]}, "market_type": "moneyline", "model_version": "tennis-surface-elo-v1", "observed_at_utc": "2026-10-05T22:23:41.871278+00:00", "probabilities": {"away": 0.3368, "home": 0.6632}, "replay_scope": "Exact full-precision serving state and rounding; upstream historical observation times are not certified.", "schema": "coded-moneyline-replay-v1", "snapshot_hash": "f9f03a36e763202979f1939d0d8432aceca07b80769c9cb8c6ab87527fb0fde2", "sport": "TENNIS"}</t>
        </is>
      </c>
    </row>
    <row r="1219" ht="36" customHeight="1">
      <c r="A1219" s="24" t="inlineStr">
        <is>
          <t>f7d1e496d0b74044</t>
        </is>
      </c>
      <c r="B1219" s="24" t="inlineStr">
        <is>
          <t>2026-10-05T22:23:45.549967Z</t>
        </is>
      </c>
      <c r="C1219" s="24" t="inlineStr">
        <is>
          <t>2026-10-06T02:00Z</t>
        </is>
      </c>
      <c r="D1219" s="24" t="inlineStr">
        <is>
          <t>1029-2026:185279</t>
        </is>
      </c>
      <c r="E1219" s="24" t="inlineStr">
        <is>
          <t>TENNIS</t>
        </is>
      </c>
      <c r="F1219" s="24" t="inlineStr">
        <is>
          <t>Aliona Falei</t>
        </is>
      </c>
      <c r="G1219" s="24" t="inlineStr">
        <is>
          <t>Guo Hanyu</t>
        </is>
      </c>
      <c r="H1219" s="24" t="inlineStr">
        <is>
          <t>moneyline</t>
        </is>
      </c>
      <c r="I1219" s="24" t="inlineStr">
        <is>
          <t>away</t>
        </is>
      </c>
      <c r="J1219" s="25" t="n"/>
      <c r="K1219" s="24" t="inlineStr">
        <is>
          <t>polymarket_us</t>
        </is>
      </c>
      <c r="L1219" s="26" t="n">
        <v>-122</v>
      </c>
      <c r="M1219" s="27" t="n">
        <v>1.819672</v>
      </c>
      <c r="N1219" s="28" t="n">
        <v>0.54955</v>
      </c>
      <c r="O1219" s="28" t="n">
        <v>0.5011</v>
      </c>
      <c r="P1219" s="28" t="n">
        <v>0.05</v>
      </c>
      <c r="Q1219" s="28" t="n">
        <v>-0.04845</v>
      </c>
      <c r="R1219" s="26" t="n">
        <v>0</v>
      </c>
      <c r="S1219" s="29" t="n">
        <v>1</v>
      </c>
      <c r="T1219" s="24" t="inlineStr">
        <is>
          <t>tennis-surface-elo-v1</t>
        </is>
      </c>
      <c r="U1219" s="24" t="inlineStr">
        <is>
          <t>settled</t>
        </is>
      </c>
      <c r="V1219" s="24" t="inlineStr">
        <is>
          <t>win</t>
        </is>
      </c>
      <c r="W1219" s="26" t="n">
        <v>1</v>
      </c>
      <c r="X1219" s="26" t="n">
        <v>0</v>
      </c>
      <c r="Y1219" s="25" t="n"/>
      <c r="Z1219" s="26" t="n">
        <v>-122</v>
      </c>
      <c r="AA1219" s="28" t="n">
        <v>0.55</v>
      </c>
      <c r="AB1219" s="28" t="n">
        <v>0.00045</v>
      </c>
      <c r="AC1219" s="30" t="n">
        <v>0.8197</v>
      </c>
      <c r="AD1219" s="24" t="inlineStr">
        <is>
          <t>2026-10-06T05:46:02.287937Z</t>
        </is>
      </c>
      <c r="AE1219" s="31" t="inlineStr">
        <is>
          <t>Surface-blended Elo on Hard: Aliona Falei p=0.501 vs Guo Hanyu. Executable ask 0.5500 (aec-wta-hanguo-alifal-2026-10-04).</t>
        </is>
      </c>
      <c r="AF1219" s="31" t="inlineStr">
        <is>
          <t>Surface-blended Elo model; singles only, WTA+ATP market coverage, not yet locked-holdout qualified -- promoted by explicit operator directive, not genuine walk-forward validation.</t>
        </is>
      </c>
      <c r="AG1219" s="24" t="inlineStr">
        <is>
          <t>not_applicable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PAPER_CALL_LOW_EDGE</t>
        </is>
      </c>
      <c r="AP1219" s="24" t="inlineStr">
        <is>
          <t>Aliona Falei</t>
        </is>
      </c>
      <c r="AQ1219" s="24" t="inlineStr">
        <is>
          <t>Aliona Falei</t>
        </is>
      </c>
      <c r="AR1219" s="24" t="inlineStr">
        <is>
          <t>Aliona Falei</t>
        </is>
      </c>
      <c r="AS1219" s="24" t="inlineStr">
        <is>
          <t>Guo Hanyu</t>
        </is>
      </c>
      <c r="AT1219" s="24" t="inlineStr">
        <is>
          <t>Guo Hanyu</t>
        </is>
      </c>
      <c r="AU1219" s="24" t="inlineStr">
        <is>
          <t>Guo Hanyu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6c67e999d2a03612e30f4032c8e5e77e8becfbc79e05f4c8993e726b90d34d54</t>
        </is>
      </c>
      <c r="BB1219" s="24" t="inlineStr">
        <is>
          <t>surface_blended_elo</t>
        </is>
      </c>
      <c r="BC1219" s="24" t="inlineStr">
        <is>
          <t>tennis-surface-elo-v1</t>
        </is>
      </c>
      <c r="BD1219" s="24" t="inlineStr">
        <is>
          <t>6c67e999d2a03612e30f4032c8e5e77e8becfbc79e05f4c8993e726b90d34d54</t>
        </is>
      </c>
      <c r="BE1219" s="24" t="inlineStr">
        <is>
          <t>tennis-surface-elo-v1</t>
        </is>
      </c>
      <c r="BF1219" s="24" t="inlineStr">
        <is>
          <t>1</t>
        </is>
      </c>
      <c r="BG1219" s="24" t="inlineStr">
        <is>
          <t>6c67e999d2a03612e30f4032c8e5e77e8becfbc79e05f4c8993e726b90d34d54</t>
        </is>
      </c>
      <c r="BH1219" s="24" t="inlineStr">
        <is>
          <t>2026-10-05T16:19:35.364140Z</t>
        </is>
      </c>
      <c r="BI1219" s="24" t="inlineStr">
        <is>
          <t>["same_event","same_team_same_day","same_league_same_day"]</t>
        </is>
      </c>
      <c r="BJ1219" s="25" t="n"/>
      <c r="BK1219" s="26" t="n">
        <v>-122</v>
      </c>
      <c r="BL1219" s="27" t="n">
        <v>1.819672</v>
      </c>
      <c r="BM1219" s="28" t="n">
        <v>0.54955</v>
      </c>
      <c r="BN1219" s="28" t="n"/>
      <c r="BO1219" s="28" t="n"/>
      <c r="BP1219" s="25" t="n"/>
      <c r="BQ1219" s="27" t="n">
        <v>1.819672</v>
      </c>
      <c r="BR1219" s="28" t="n">
        <v>0.55</v>
      </c>
      <c r="BS1219" s="28" t="n"/>
      <c r="BT1219" s="28" t="n"/>
      <c r="BU1219" s="25" t="n"/>
      <c r="BV1219" s="29" t="n"/>
      <c r="BW1219" s="24" t="n"/>
      <c r="BX1219" s="30" t="n"/>
      <c r="BY1219" s="27" t="n"/>
      <c r="BZ1219" s="24" t="n"/>
      <c r="CA1219" s="31" t="n"/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False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inlineStr">
        <is>
          <t>3371ceedf1e1b149ca44dafc2647bd2a7f6aa50166ae8785817f3a947373196a</t>
        </is>
      </c>
      <c r="DE1219" s="24" t="inlineStr">
        <is>
          <t>E:\model-prediction\data\odds\tennis\2026-10-05\polymarket_snapshots.jsonl</t>
        </is>
      </c>
      <c r="DF1219" s="24" t="inlineStr">
        <is>
          <t>1198957:2026-10-05T16:19:35.364140Z</t>
        </is>
      </c>
      <c r="DG1219" s="24" t="n"/>
      <c r="DH1219" s="24" t="n"/>
      <c r="DI1219" s="24" t="n"/>
      <c r="DJ1219" s="24" t="n"/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{"artifact_hash": "6c67e999d2a03612e30f4032c8e5e77e8becfbc79e05f4c8993e726b90d34d54", "away_team": "Aliona Falei", "event_id": "1029-2026:185279", "event_start_utc": "2026-10-06T02:00Z", "features": {"elo_p1_surface": 1513.6, "elo_p2_surface": 1503.8, "expected_games_p1": 12.76, "expected_games_p2": 11.98, "expected_total_games": 24.74, "history_matches": 16571, "min_player_matches": 39, "surface": "Hard"}, "historical_source_observation_times_verified": false, "home_team": "Guo Hanyu", "inference_inputs": {"code_sha256": {"features/elo_ratings.py": "8525faf022a6343c452286dbfeb17dbb043744c6bdabbe448b6b371216da439b", "models/tennis.py": "6c67e999d2a03612e30f4032c8e5e77e8becfbc79e05f4c8993e726b90d34d54"}, "overall_ratings": [1504.1283771109017, 1516.929205256077], "players": ["Aliona Falei", "Guo Hanyu"], "sport": "TENNIS", "surface": "Hard", "surface_counts": [37, 35], "surface_ratings": [1513.6375258533587, 1503.8259931150653]}, "market_type": "moneyline", "model_version": "tennis-surface-elo-v1", "observed_at_utc": "2026-10-05T22:23:41.871278+00:00", "probabilities": {"away": 0.5011, "home": 0.4989}, "replay_scope": "Exact full-precision serving state and rounding; upstream historical observation times are not certified.", "schema": "coded-moneyline-replay-v1", "snapshot_hash": "8013e71569a3576aa205b3726b2d909bd1416f57e4b8c3e5d64be36c02fcd9fc", "sport": "TENNIS"}</t>
        </is>
      </c>
    </row>
    <row r="1220" ht="36" customHeight="1">
      <c r="A1220" s="24" t="inlineStr">
        <is>
          <t>556f921a4f274000</t>
        </is>
      </c>
      <c r="B1220" s="24" t="inlineStr">
        <is>
          <t>2026-10-05T22:23:45.549967Z</t>
        </is>
      </c>
      <c r="C1220" s="24" t="inlineStr">
        <is>
          <t>2026-10-06T02:00Z</t>
        </is>
      </c>
      <c r="D1220" s="24" t="inlineStr">
        <is>
          <t>1029-2026:185288</t>
        </is>
      </c>
      <c r="E1220" s="24" t="inlineStr">
        <is>
          <t>TENNIS</t>
        </is>
      </c>
      <c r="F1220" s="24" t="inlineStr">
        <is>
          <t>Bai Zhuoxuan</t>
        </is>
      </c>
      <c r="G1220" s="24" t="inlineStr">
        <is>
          <t>Moyuka Uchijima</t>
        </is>
      </c>
      <c r="H1220" s="24" t="inlineStr">
        <is>
          <t>moneyline</t>
        </is>
      </c>
      <c r="I1220" s="24" t="inlineStr">
        <is>
          <t>home</t>
        </is>
      </c>
      <c r="J1220" s="25" t="n"/>
      <c r="K1220" s="24" t="inlineStr">
        <is>
          <t>polymarket_us</t>
        </is>
      </c>
      <c r="L1220" s="26" t="n">
        <v>-108</v>
      </c>
      <c r="M1220" s="27" t="n">
        <v>1.925926</v>
      </c>
      <c r="N1220" s="28" t="n">
        <v>0.519231</v>
      </c>
      <c r="O1220" s="28" t="n">
        <v>0.5619</v>
      </c>
      <c r="P1220" s="28" t="n">
        <v>0.05</v>
      </c>
      <c r="Q1220" s="28" t="n">
        <v>0.042669</v>
      </c>
      <c r="R1220" s="26" t="n">
        <v>41</v>
      </c>
      <c r="S1220" s="29" t="n">
        <v>1</v>
      </c>
      <c r="T1220" s="24" t="inlineStr">
        <is>
          <t>tennis-surface-elo-v1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>
        <v>-108</v>
      </c>
      <c r="AA1220" s="28" t="n">
        <v>0.52</v>
      </c>
      <c r="AB1220" s="28" t="n">
        <v>0.000769</v>
      </c>
      <c r="AC1220" s="30" t="n">
        <v>-1</v>
      </c>
      <c r="AD1220" s="24" t="inlineStr">
        <is>
          <t>2026-10-06T05:36:06.329434Z</t>
        </is>
      </c>
      <c r="AE1220" s="31" t="inlineStr">
        <is>
          <t>Surface-blended Elo on Hard: Bai Zhuoxuan p=0.438 vs Moyuka Uchijima. Executable ask 0.5200 (aec-wta-moyuch-zhubai-2026-10-04).</t>
        </is>
      </c>
      <c r="AF1220" s="31" t="inlineStr">
        <is>
          <t>Surface-blended Elo model; singles only, WTA+ATP market coverage, not yet locked-holdout qualified -- promoted by explicit operator directive, not genuine walk-forward validation.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PAPER_CALL_LOW_EDGE</t>
        </is>
      </c>
      <c r="AP1220" s="24" t="inlineStr">
        <is>
          <t>Bai Zhuoxuan</t>
        </is>
      </c>
      <c r="AQ1220" s="24" t="inlineStr">
        <is>
          <t>Bai Zhuoxuan</t>
        </is>
      </c>
      <c r="AR1220" s="24" t="inlineStr">
        <is>
          <t>Bai Zhuoxuan</t>
        </is>
      </c>
      <c r="AS1220" s="24" t="inlineStr">
        <is>
          <t>Moyuka Uchijima</t>
        </is>
      </c>
      <c r="AT1220" s="24" t="inlineStr">
        <is>
          <t>Moyuka Uchijima</t>
        </is>
      </c>
      <c r="AU1220" s="24" t="inlineStr">
        <is>
          <t>Moyuka Uchijima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6c67e999d2a03612e30f4032c8e5e77e8becfbc79e05f4c8993e726b90d34d54</t>
        </is>
      </c>
      <c r="BB1220" s="24" t="inlineStr">
        <is>
          <t>surface_blended_elo</t>
        </is>
      </c>
      <c r="BC1220" s="24" t="inlineStr">
        <is>
          <t>tennis-surface-elo-v1</t>
        </is>
      </c>
      <c r="BD1220" s="24" t="inlineStr">
        <is>
          <t>6c67e999d2a03612e30f4032c8e5e77e8becfbc79e05f4c8993e726b90d34d54</t>
        </is>
      </c>
      <c r="BE1220" s="24" t="inlineStr">
        <is>
          <t>tennis-surface-elo-v1</t>
        </is>
      </c>
      <c r="BF1220" s="24" t="inlineStr">
        <is>
          <t>1</t>
        </is>
      </c>
      <c r="BG1220" s="24" t="inlineStr">
        <is>
          <t>6c67e999d2a03612e30f4032c8e5e77e8becfbc79e05f4c8993e726b90d34d54</t>
        </is>
      </c>
      <c r="BH1220" s="24" t="inlineStr">
        <is>
          <t>2026-10-05T10:17:10.813738Z</t>
        </is>
      </c>
      <c r="BI1220" s="24" t="inlineStr">
        <is>
          <t>["same_event","same_team_same_day","same_league_same_day"]</t>
        </is>
      </c>
      <c r="BJ1220" s="25" t="n"/>
      <c r="BK1220" s="26" t="n">
        <v>-108</v>
      </c>
      <c r="BL1220" s="27" t="n">
        <v>1.925926</v>
      </c>
      <c r="BM1220" s="28" t="n">
        <v>0.519231</v>
      </c>
      <c r="BN1220" s="28" t="n"/>
      <c r="BO1220" s="28" t="n"/>
      <c r="BP1220" s="25" t="n"/>
      <c r="BQ1220" s="27" t="n">
        <v>1.925926</v>
      </c>
      <c r="BR1220" s="28" t="n">
        <v>0.52</v>
      </c>
      <c r="BS1220" s="28" t="n"/>
      <c r="BT1220" s="28" t="n"/>
      <c r="BU1220" s="25" t="n"/>
      <c r="BV1220" s="29" t="n"/>
      <c r="BW1220" s="24" t="n"/>
      <c r="BX1220" s="30" t="n"/>
      <c r="BY1220" s="27" t="n"/>
      <c r="BZ1220" s="24" t="n"/>
      <c r="CA1220" s="31" t="n"/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True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inlineStr">
        <is>
          <t>920523033f1cb52878bab3d752e9bce1e1361cdc3a84c9e0f2a0473feaacd97e</t>
        </is>
      </c>
      <c r="DE1220" s="24" t="inlineStr">
        <is>
          <t>E:\model-prediction\data\odds\tennis\2026-10-05\polymarket_snapshots.jsonl</t>
        </is>
      </c>
      <c r="DF1220" s="24" t="inlineStr">
        <is>
          <t>1198950:2026-10-05T10:17:10.813738Z</t>
        </is>
      </c>
      <c r="DG1220" s="24" t="n"/>
      <c r="DH1220" s="24" t="n"/>
      <c r="DI1220" s="24" t="n"/>
      <c r="DJ1220" s="24" t="n"/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{"artifact_hash": "6c67e999d2a03612e30f4032c8e5e77e8becfbc79e05f4c8993e726b90d34d54", "away_team": "Bai Zhuoxuan", "event_id": "1029-2026:185288", "event_start_utc": "2026-10-06T02:00Z", "features": {"elo_p1_surface": 1546.9, "elo_p2_surface": 1608.5, "expected_games_p1": 10.79, "expected_games_p2": 13.18, "expected_total_games": 23.98, "history_matches": 16571, "min_player_matches": 43, "surface": "Hard"}, "historical_source_observation_times_verified": false, "home_team": "Moyuka Uchijima", "inference_inputs": {"code_sha256": {"features/elo_ratings.py": "8525faf022a6343c452286dbfeb17dbb043744c6bdabbe448b6b371216da439b", "models/tennis.py": "6c67e999d2a03612e30f4032c8e5e77e8becfbc79e05f4c8993e726b90d34d54"}, "overall_ratings": [1548.50709975653, 1537.9756954848926], "players": ["Bai Zhuoxuan", "Moyuka Uchijima"], "sport": "TENNIS", "surface": "Hard", "surface_counts": [32, 111], "surface_ratings": [1546.910585682138, 1608.5253358987543]}, "market_type": "moneyline", "model_version": "tennis-surface-elo-v1", "observed_at_utc": "2026-10-05T22:23:41.871278+00:00", "probabilities": {"away": 0.4381, "home": 0.5619}, "replay_scope": "Exact full-precision serving state and rounding; upstream historical observation times are not certified.", "schema": "coded-moneyline-replay-v1", "snapshot_hash": "71691ab2f455ffa494d36d801c640c35a1de4a7be043d165c4316733476ff663", "sport": "TENNIS"}</t>
        </is>
      </c>
    </row>
    <row r="1221" ht="36" customHeight="1">
      <c r="A1221" s="24" t="inlineStr">
        <is>
          <t>90025088bac046d0</t>
        </is>
      </c>
      <c r="B1221" s="24" t="inlineStr">
        <is>
          <t>2026-10-05T22:23:45.549967Z</t>
        </is>
      </c>
      <c r="C1221" s="24" t="inlineStr">
        <is>
          <t>2026-10-06T03:30Z</t>
        </is>
      </c>
      <c r="D1221" s="24" t="inlineStr">
        <is>
          <t>1029-2026:185286</t>
        </is>
      </c>
      <c r="E1221" s="24" t="inlineStr">
        <is>
          <t>TENNIS</t>
        </is>
      </c>
      <c r="F1221" s="24" t="inlineStr">
        <is>
          <t>Renata Zarazua</t>
        </is>
      </c>
      <c r="G1221" s="24" t="inlineStr">
        <is>
          <t>Shi Han</t>
        </is>
      </c>
      <c r="H1221" s="24" t="inlineStr">
        <is>
          <t>moneyline</t>
        </is>
      </c>
      <c r="I1221" s="24" t="inlineStr">
        <is>
          <t>home</t>
        </is>
      </c>
      <c r="J1221" s="25" t="n"/>
      <c r="K1221" s="24" t="inlineStr">
        <is>
          <t>polymarket_us</t>
        </is>
      </c>
      <c r="L1221" s="26" t="n">
        <v>117</v>
      </c>
      <c r="M1221" s="27" t="n">
        <v>2.17</v>
      </c>
      <c r="N1221" s="28" t="n">
        <v>0.460829</v>
      </c>
      <c r="O1221" s="28" t="n">
        <v>0.5329</v>
      </c>
      <c r="P1221" s="28" t="n">
        <v>0.05</v>
      </c>
      <c r="Q1221" s="28" t="n">
        <v>0.072071</v>
      </c>
      <c r="R1221" s="26" t="n">
        <v>56</v>
      </c>
      <c r="S1221" s="29" t="n">
        <v>1.25</v>
      </c>
      <c r="T1221" s="24" t="inlineStr">
        <is>
          <t>tennis-surface-elo-v1</t>
        </is>
      </c>
      <c r="U1221" s="24" t="inlineStr">
        <is>
          <t>settled</t>
        </is>
      </c>
      <c r="V1221" s="24" t="inlineStr">
        <is>
          <t>loss</t>
        </is>
      </c>
      <c r="W1221" s="26" t="n">
        <v>1</v>
      </c>
      <c r="X1221" s="26" t="n">
        <v>0</v>
      </c>
      <c r="Y1221" s="25" t="n"/>
      <c r="Z1221" s="26" t="n"/>
      <c r="AA1221" s="28" t="n"/>
      <c r="AB1221" s="28" t="n"/>
      <c r="AC1221" s="30" t="n">
        <v>-1.25</v>
      </c>
      <c r="AD1221" s="24" t="inlineStr">
        <is>
          <t>2026-10-06T05:36:11.570866Z</t>
        </is>
      </c>
      <c r="AE1221" s="31" t="inlineStr">
        <is>
          <t>Surface-blended Elo on Hard: Renata Zarazua p=0.467 vs Shi Han. Executable ask 0.4600 (aec-wta-hanshi-renzar-2026-10-05).</t>
        </is>
      </c>
      <c r="AF1221" s="31" t="inlineStr">
        <is>
          <t>Surface-blended Elo model; singles only, WTA+ATP market coverage, not yet locked-holdout qualified -- promoted by explicit operator directive, not genuine walk-forward validation.</t>
        </is>
      </c>
      <c r="AG1221" s="24" t="inlineStr">
        <is>
          <t>review_required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PAPER_CALL_LOW_EDGE</t>
        </is>
      </c>
      <c r="AP1221" s="24" t="inlineStr">
        <is>
          <t>Renata Zarazua</t>
        </is>
      </c>
      <c r="AQ1221" s="24" t="inlineStr">
        <is>
          <t>Renata Zarazua</t>
        </is>
      </c>
      <c r="AR1221" s="24" t="inlineStr">
        <is>
          <t>Renata Zarazua</t>
        </is>
      </c>
      <c r="AS1221" s="24" t="inlineStr">
        <is>
          <t>Shi Han</t>
        </is>
      </c>
      <c r="AT1221" s="24" t="inlineStr">
        <is>
          <t>Shi Han</t>
        </is>
      </c>
      <c r="AU1221" s="24" t="inlineStr">
        <is>
          <t>Shi Han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6c67e999d2a03612e30f4032c8e5e77e8becfbc79e05f4c8993e726b90d34d54</t>
        </is>
      </c>
      <c r="BB1221" s="24" t="inlineStr">
        <is>
          <t>surface_blended_elo</t>
        </is>
      </c>
      <c r="BC1221" s="24" t="inlineStr">
        <is>
          <t>tennis-surface-elo-v1</t>
        </is>
      </c>
      <c r="BD1221" s="24" t="inlineStr">
        <is>
          <t>6c67e999d2a03612e30f4032c8e5e77e8becfbc79e05f4c8993e726b90d34d54</t>
        </is>
      </c>
      <c r="BE1221" s="24" t="inlineStr">
        <is>
          <t>tennis-surface-elo-v1</t>
        </is>
      </c>
      <c r="BF1221" s="24" t="inlineStr">
        <is>
          <t>1</t>
        </is>
      </c>
      <c r="BG1221" s="24" t="inlineStr">
        <is>
          <t>6c67e999d2a03612e30f4032c8e5e77e8becfbc79e05f4c8993e726b90d34d54</t>
        </is>
      </c>
      <c r="BH1221" s="24" t="inlineStr">
        <is>
          <t>2026-10-05T22:19:04.602660Z</t>
        </is>
      </c>
      <c r="BI1221" s="24" t="inlineStr">
        <is>
          <t>["same_event","same_team_same_day","same_league_same_day"]</t>
        </is>
      </c>
      <c r="BJ1221" s="25" t="n"/>
      <c r="BK1221" s="26" t="n">
        <v>117</v>
      </c>
      <c r="BL1221" s="27" t="n">
        <v>2.17</v>
      </c>
      <c r="BM1221" s="28" t="n">
        <v>0.460829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/>
      <c r="BY1221" s="27" t="n"/>
      <c r="BZ1221" s="24" t="n"/>
      <c r="CA1221" s="31" t="n"/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True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inlineStr">
        <is>
          <t>384e5a376facabd96c00e973a222395f11f322fb00d7ae0ac1f1e94b476d7ad6</t>
        </is>
      </c>
      <c r="DE1221" s="24" t="inlineStr">
        <is>
          <t>E:\model-prediction\data\odds\tennis\2026-10-05\polymarket_snapshots.jsonl</t>
        </is>
      </c>
      <c r="DF1221" s="24" t="inlineStr">
        <is>
          <t>1220426:2026-10-05T22:19:04.602660Z</t>
        </is>
      </c>
      <c r="DG1221" s="24" t="n"/>
      <c r="DH1221" s="24" t="n"/>
      <c r="DI1221" s="24" t="n"/>
      <c r="DJ1221" s="24" t="n"/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{"artifact_hash": "6c67e999d2a03612e30f4032c8e5e77e8becfbc79e05f4c8993e726b90d34d54", "away_team": "Renata Zarazua", "event_id": "1029-2026:185286", "event_start_utc": "2026-10-06T03:30Z", "features": {"elo_p1_surface": 1477.4, "elo_p2_surface": 1505.7, "expected_games_p1": 11.84, "expected_games_p2": 12.79, "expected_total_games": 24.63, "history_matches": 16571, "min_player_matches": 32,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[1488.7254340823863, 1499.696065367084], "players": ["Renata Zarazua", "Shi Han"], "sport": "TENNIS", "surface": "Hard", "surface_counts": [116, 31], "surface_ratings": [1477.3884883424832, 1505.6548089081293]}, "market_type": "moneyline", "model_version": "tennis-surface-elo-v1", "observed_at_utc": "2026-10-05T22:23:41.871278+00:00", "probabilities": {"away": 0.4671, "home": 0.5329}, "replay_scope": "Exact full-precision serving state and rounding; upstream historical observation times are not certified.", "schema": "coded-moneyline-replay-v1", "snapshot_hash": "d5c46b32545ccb297009c591e2594cbab624e65d55823d6e563c45b02ce2bb14", "sport": "TENNIS"}</t>
        </is>
      </c>
    </row>
    <row r="1222" ht="36" customHeight="1">
      <c r="A1222" s="24" t="inlineStr">
        <is>
          <t>2d3a53c54bc44461</t>
        </is>
      </c>
      <c r="B1222" s="24" t="inlineStr">
        <is>
          <t>2026-10-05T22:23:45.549967Z</t>
        </is>
      </c>
      <c r="C1222" s="24" t="inlineStr">
        <is>
          <t>2026-10-06T03:30Z</t>
        </is>
      </c>
      <c r="D1222" s="24" t="inlineStr">
        <is>
          <t>1029-2026:185277</t>
        </is>
      </c>
      <c r="E1222" s="24" t="inlineStr">
        <is>
          <t>TENNIS</t>
        </is>
      </c>
      <c r="F1222" s="24" t="inlineStr">
        <is>
          <t>Darja Vidmanova</t>
        </is>
      </c>
      <c r="G1222" s="24" t="inlineStr">
        <is>
          <t>Kyoka Okamura</t>
        </is>
      </c>
      <c r="H1222" s="24" t="inlineStr">
        <is>
          <t>moneyline</t>
        </is>
      </c>
      <c r="I1222" s="24" t="inlineStr">
        <is>
          <t>away</t>
        </is>
      </c>
      <c r="J1222" s="25" t="n"/>
      <c r="K1222" s="24" t="inlineStr">
        <is>
          <t>polymarket_us</t>
        </is>
      </c>
      <c r="L1222" s="26" t="n">
        <v>-426</v>
      </c>
      <c r="M1222" s="27" t="n">
        <v>1.234742</v>
      </c>
      <c r="N1222" s="28" t="n">
        <v>0.809886</v>
      </c>
      <c r="O1222" s="28" t="n">
        <v>0.5863</v>
      </c>
      <c r="P1222" s="28" t="n">
        <v>0.05</v>
      </c>
      <c r="Q1222" s="28" t="n">
        <v>-0.223586</v>
      </c>
      <c r="R1222" s="26" t="n">
        <v>0</v>
      </c>
      <c r="S1222" s="29" t="n">
        <v>1</v>
      </c>
      <c r="T1222" s="24" t="inlineStr">
        <is>
          <t>tennis-surface-elo-v1</t>
        </is>
      </c>
      <c r="U1222" s="24" t="inlineStr">
        <is>
          <t>settled</t>
        </is>
      </c>
      <c r="V1222" s="24" t="inlineStr">
        <is>
          <t>loss</t>
        </is>
      </c>
      <c r="W1222" s="26" t="n">
        <v>0</v>
      </c>
      <c r="X1222" s="26" t="n">
        <v>1</v>
      </c>
      <c r="Y1222" s="25" t="n"/>
      <c r="Z1222" s="26" t="n">
        <v>-426</v>
      </c>
      <c r="AA1222" s="28" t="n">
        <v>0.8100000000000001</v>
      </c>
      <c r="AB1222" s="28" t="n">
        <v>0.000114</v>
      </c>
      <c r="AC1222" s="30" t="n">
        <v>-1</v>
      </c>
      <c r="AD1222" s="24" t="inlineStr">
        <is>
          <t>2026-10-06T10:00:41.598170Z</t>
        </is>
      </c>
      <c r="AE1222" s="31" t="inlineStr">
        <is>
          <t>Surface-blended Elo on Hard: Darja Vidmanova p=0.586 vs Kyoka Okamura. Executable ask 0.8100 (aec-wta-kyooka-darvid-2026-10-05).</t>
        </is>
      </c>
      <c r="AF1222" s="31" t="inlineStr">
        <is>
          <t>Surface-blended Elo model; singles only, WTA+ATP market coverage, not yet locked-holdout qualified -- promoted by explicit operator directive, not genuine walk-forward validation.</t>
        </is>
      </c>
      <c r="AG1222" s="24" t="inlineStr">
        <is>
          <t>review_required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PAPER_CALL_LOW_EDGE</t>
        </is>
      </c>
      <c r="AP1222" s="24" t="inlineStr">
        <is>
          <t>Darja Vidmanova</t>
        </is>
      </c>
      <c r="AQ1222" s="24" t="inlineStr">
        <is>
          <t>Darja Vidmanova</t>
        </is>
      </c>
      <c r="AR1222" s="24" t="inlineStr">
        <is>
          <t>Darja Vidmanova</t>
        </is>
      </c>
      <c r="AS1222" s="24" t="inlineStr">
        <is>
          <t>Kyoka Okamura</t>
        </is>
      </c>
      <c r="AT1222" s="24" t="inlineStr">
        <is>
          <t>Kyoka Okamura</t>
        </is>
      </c>
      <c r="AU1222" s="24" t="inlineStr">
        <is>
          <t>Kyoka Okamura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6c67e999d2a03612e30f4032c8e5e77e8becfbc79e05f4c8993e726b90d34d54</t>
        </is>
      </c>
      <c r="BB1222" s="24" t="inlineStr">
        <is>
          <t>surface_blended_elo</t>
        </is>
      </c>
      <c r="BC1222" s="24" t="inlineStr">
        <is>
          <t>tennis-surface-elo-v1</t>
        </is>
      </c>
      <c r="BD1222" s="24" t="inlineStr">
        <is>
          <t>6c67e999d2a03612e30f4032c8e5e77e8becfbc79e05f4c8993e726b90d34d54</t>
        </is>
      </c>
      <c r="BE1222" s="24" t="inlineStr">
        <is>
          <t>tennis-surface-elo-v1</t>
        </is>
      </c>
      <c r="BF1222" s="24" t="inlineStr">
        <is>
          <t>1</t>
        </is>
      </c>
      <c r="BG1222" s="24" t="inlineStr">
        <is>
          <t>6c67e999d2a03612e30f4032c8e5e77e8becfbc79e05f4c8993e726b90d34d54</t>
        </is>
      </c>
      <c r="BH1222" s="24" t="inlineStr">
        <is>
          <t>2026-10-05T22:19:14.678172Z</t>
        </is>
      </c>
      <c r="BI1222" s="24" t="inlineStr">
        <is>
          <t>["same_event","same_team_same_day","same_league_same_day"]</t>
        </is>
      </c>
      <c r="BJ1222" s="25" t="n"/>
      <c r="BK1222" s="26" t="n">
        <v>-426</v>
      </c>
      <c r="BL1222" s="27" t="n">
        <v>1.234742</v>
      </c>
      <c r="BM1222" s="28" t="n">
        <v>0.809886</v>
      </c>
      <c r="BN1222" s="28" t="n"/>
      <c r="BO1222" s="28" t="n"/>
      <c r="BP1222" s="25" t="n"/>
      <c r="BQ1222" s="27" t="n">
        <v>1.234742</v>
      </c>
      <c r="BR1222" s="28" t="n">
        <v>0.8100000000000001</v>
      </c>
      <c r="BS1222" s="28" t="n"/>
      <c r="BT1222" s="28" t="n"/>
      <c r="BU1222" s="25" t="n"/>
      <c r="BV1222" s="29" t="n"/>
      <c r="BW1222" s="24" t="n"/>
      <c r="BX1222" s="30" t="n"/>
      <c r="BY1222" s="27" t="n"/>
      <c r="BZ1222" s="24" t="n"/>
      <c r="CA1222" s="31" t="n"/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inlineStr">
        <is>
          <t>5e01a14342370b0adc96b774ca55ae0481889ebdfd8ba2f0d0e93fa05e4b4a5a</t>
        </is>
      </c>
      <c r="DE1222" s="24" t="inlineStr">
        <is>
          <t>E:\model-prediction\data\odds\tennis\2026-10-05\polymarket_snapshots.jsonl</t>
        </is>
      </c>
      <c r="DF1222" s="24" t="inlineStr">
        <is>
          <t>1220422:2026-10-05T22:19:14.678172Z</t>
        </is>
      </c>
      <c r="DG1222" s="24" t="n"/>
      <c r="DH1222" s="24" t="n"/>
      <c r="DI1222" s="24" t="n"/>
      <c r="DJ1222" s="24" t="n"/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{"artifact_hash": "6c67e999d2a03612e30f4032c8e5e77e8becfbc79e05f4c8993e726b90d34d54", "away_team": "Darja Vidmanova", "event_id": "1029-2026:185277", "event_start_utc": "2026-10-06T03:30Z", "features": {"elo_p1_surface": 1595.3, "elo_p2_surface": 1538.4, "expected_games_p1": 13.37, "expected_games_p2": 10.54, "expected_total_games": 23.9, "history_matches": 16571, "min_player_matches": 51,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[1592.5270638263394, 1525.5630255760532], "players": ["Darja Vidmanova", "Kyoka Okamura"], "sport": "TENNIS", "surface": "Hard", "surface_counts": [55, 48], "surface_ratings": [1595.3273054506635, 1538.3690057954188]}, "market_type": "moneyline", "model_version": "tennis-surface-elo-v1", "observed_at_utc": "2026-10-05T22:23:41.871278+00:00", "probabilities": {"away": 0.5863, "home": 0.4137}, "replay_scope": "Exact full-precision serving state and rounding; upstream historical observation times are not certified.", "schema": "coded-moneyline-replay-v1", "snapshot_hash": "2d4a53e9a236dde05bbdc79e3ef86b5576250af8c9fb432da9d2708fe849b842", "sport": "TENNIS"}</t>
        </is>
      </c>
    </row>
    <row r="1223" ht="36" customHeight="1">
      <c r="A1223" s="24" t="inlineStr">
        <is>
          <t>7df7a43bff594353</t>
        </is>
      </c>
      <c r="B1223" s="24" t="inlineStr">
        <is>
          <t>2026-10-05T22:23:45.549967Z</t>
        </is>
      </c>
      <c r="C1223" s="24" t="inlineStr">
        <is>
          <t>2026-10-06T03:30Z</t>
        </is>
      </c>
      <c r="D1223" s="24" t="inlineStr">
        <is>
          <t>1029-2026:185276</t>
        </is>
      </c>
      <c r="E1223" s="24" t="inlineStr">
        <is>
          <t>TENNIS</t>
        </is>
      </c>
      <c r="F1223" s="24" t="inlineStr">
        <is>
          <t>Zheng Wushuang</t>
        </is>
      </c>
      <c r="G1223" s="24" t="inlineStr">
        <is>
          <t>Oleksandra Oliynykova</t>
        </is>
      </c>
      <c r="H1223" s="24" t="inlineStr">
        <is>
          <t>moneyline</t>
        </is>
      </c>
      <c r="I1223" s="24" t="inlineStr">
        <is>
          <t>home</t>
        </is>
      </c>
      <c r="J1223" s="25" t="n"/>
      <c r="K1223" s="24" t="inlineStr">
        <is>
          <t>polymarket_us</t>
        </is>
      </c>
      <c r="L1223" s="26" t="n">
        <v>-270</v>
      </c>
      <c r="M1223" s="27" t="n">
        <v>1.37037</v>
      </c>
      <c r="N1223" s="28" t="n">
        <v>0.72973</v>
      </c>
      <c r="O1223" s="28" t="n">
        <v>0.6519</v>
      </c>
      <c r="P1223" s="28" t="n">
        <v>0.05</v>
      </c>
      <c r="Q1223" s="28" t="n">
        <v>-0.07783</v>
      </c>
      <c r="R1223" s="26" t="n">
        <v>0</v>
      </c>
      <c r="S1223" s="29" t="n">
        <v>1</v>
      </c>
      <c r="T1223" s="24" t="inlineStr">
        <is>
          <t>tennis-surface-elo-v1</t>
        </is>
      </c>
      <c r="U1223" s="24" t="inlineStr">
        <is>
          <t>settled</t>
        </is>
      </c>
      <c r="V1223" s="24" t="inlineStr">
        <is>
          <t>win</t>
        </is>
      </c>
      <c r="W1223" s="26" t="n">
        <v>0</v>
      </c>
      <c r="X1223" s="26" t="n">
        <v>1</v>
      </c>
      <c r="Y1223" s="25" t="n"/>
      <c r="Z1223" s="26" t="n">
        <v>-270</v>
      </c>
      <c r="AA1223" s="28" t="n">
        <v>0.73</v>
      </c>
      <c r="AB1223" s="28" t="n">
        <v>0.00027</v>
      </c>
      <c r="AC1223" s="30" t="n">
        <v>0.3704</v>
      </c>
      <c r="AD1223" s="24" t="inlineStr">
        <is>
          <t>2026-10-06T06:41:43.899803Z</t>
        </is>
      </c>
      <c r="AE1223" s="31" t="inlineStr">
        <is>
          <t>Surface-blended Elo on Hard: Zheng Wushuang p=0.348 vs Oleksandra Oliynykova. Executable ask 0.7300 (aec-wta-oleoli-wuszhe-2026-10-05).</t>
        </is>
      </c>
      <c r="AF1223" s="31" t="inlineStr">
        <is>
          <t>Surface-blended Elo model; singles only, WTA+ATP market coverage, not yet locked-holdout qualified -- promoted by explicit operator directive, not genuine walk-forward validation.</t>
        </is>
      </c>
      <c r="AG1223" s="24" t="inlineStr">
        <is>
          <t>not_applicable</t>
        </is>
      </c>
      <c r="AH1223" s="24" t="n"/>
      <c r="AI1223" s="31" t="n"/>
      <c r="AJ1223" s="31" t="n"/>
      <c r="AK1223" s="24" t="inlineStr">
        <is>
          <t>paper_call</t>
        </is>
      </c>
      <c r="AL1223" s="26" t="n">
        <v>4</v>
      </c>
      <c r="AM1223" s="24" t="inlineStr">
        <is>
          <t>RESEARCH_OBSERVATION</t>
        </is>
      </c>
      <c r="AN1223" s="24" t="inlineStr">
        <is>
          <t>CALL</t>
        </is>
      </c>
      <c r="AO1223" s="24" t="inlineStr">
        <is>
          <t>PAPER_CALL_LOW_EDGE</t>
        </is>
      </c>
      <c r="AP1223" s="24" t="inlineStr">
        <is>
          <t>Zheng Wushuang</t>
        </is>
      </c>
      <c r="AQ1223" s="24" t="inlineStr">
        <is>
          <t>Zheng Wushuang</t>
        </is>
      </c>
      <c r="AR1223" s="24" t="inlineStr">
        <is>
          <t>Zheng Wushuang</t>
        </is>
      </c>
      <c r="AS1223" s="24" t="inlineStr">
        <is>
          <t>Oleksandra Oliynykova</t>
        </is>
      </c>
      <c r="AT1223" s="24" t="inlineStr">
        <is>
          <t>Oleksandra Oliynykova</t>
        </is>
      </c>
      <c r="AU1223" s="24" t="inlineStr">
        <is>
          <t>Oleksandra Oliynykova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6c67e999d2a03612e30f4032c8e5e77e8becfbc79e05f4c8993e726b90d34d54</t>
        </is>
      </c>
      <c r="BB1223" s="24" t="inlineStr">
        <is>
          <t>surface_blended_elo</t>
        </is>
      </c>
      <c r="BC1223" s="24" t="inlineStr">
        <is>
          <t>tennis-surface-elo-v1</t>
        </is>
      </c>
      <c r="BD1223" s="24" t="inlineStr">
        <is>
          <t>6c67e999d2a03612e30f4032c8e5e77e8becfbc79e05f4c8993e726b90d34d54</t>
        </is>
      </c>
      <c r="BE1223" s="24" t="inlineStr">
        <is>
          <t>tennis-surface-elo-v1</t>
        </is>
      </c>
      <c r="BF1223" s="24" t="inlineStr">
        <is>
          <t>1</t>
        </is>
      </c>
      <c r="BG1223" s="24" t="inlineStr">
        <is>
          <t>6c67e999d2a03612e30f4032c8e5e77e8becfbc79e05f4c8993e726b90d34d54</t>
        </is>
      </c>
      <c r="BH1223" s="24" t="inlineStr">
        <is>
          <t>2026-10-05T16:20:15.723186Z</t>
        </is>
      </c>
      <c r="BI1223" s="24" t="inlineStr">
        <is>
          <t>["same_event","same_team_same_day","same_league_same_day"]</t>
        </is>
      </c>
      <c r="BJ1223" s="25" t="n"/>
      <c r="BK1223" s="26" t="n">
        <v>-270</v>
      </c>
      <c r="BL1223" s="27" t="n">
        <v>1.37037</v>
      </c>
      <c r="BM1223" s="28" t="n">
        <v>0.72973</v>
      </c>
      <c r="BN1223" s="28" t="n"/>
      <c r="BO1223" s="28" t="n"/>
      <c r="BP1223" s="25" t="n"/>
      <c r="BQ1223" s="27" t="n">
        <v>1.37037</v>
      </c>
      <c r="BR1223" s="28" t="n">
        <v>0.73</v>
      </c>
      <c r="BS1223" s="28" t="n"/>
      <c r="BT1223" s="28" t="n"/>
      <c r="BU1223" s="25" t="n"/>
      <c r="BV1223" s="29" t="n"/>
      <c r="BW1223" s="24" t="n"/>
      <c r="BX1223" s="30" t="n"/>
      <c r="BY1223" s="27" t="n"/>
      <c r="BZ1223" s="24" t="n"/>
      <c r="CA1223" s="31" t="n"/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False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inlineStr">
        <is>
          <t>8e1f765ce001e27a984b866816dcc9af06e214239702a27c6e429221957fd73a</t>
        </is>
      </c>
      <c r="DE1223" s="24" t="inlineStr">
        <is>
          <t>E:\model-prediction\data\odds\tennis\2026-10-05\polymarket_snapshots.jsonl</t>
        </is>
      </c>
      <c r="DF1223" s="24" t="inlineStr">
        <is>
          <t>1220436:2026-10-05T16:20:15.723186Z</t>
        </is>
      </c>
      <c r="DG1223" s="24" t="n"/>
      <c r="DH1223" s="24" t="n"/>
      <c r="DI1223" s="24" t="n"/>
      <c r="DJ1223" s="24" t="n"/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{"artifact_hash": "6c67e999d2a03612e30f4032c8e5e77e8becfbc79e05f4c8993e726b90d34d54", "away_team": "Zheng Wushuang", "event_id": "1029-2026:185276", "event_start_utc": "2026-10-06T03:30Z", "features": {"elo_p1_surface": 1521.8, "elo_p2_surface": 1627.2, "expected_games_p1": 9.28, "expected_games_p2": 13.28, "expected_total_games": 22.55, "history_matches": 16571, "min_player_matches": 25,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[1521.6601673994435, 1639.4538024384037], "players": ["Zheng Wushuang", "Oleksandra Oliynykova"], "sport": "TENNIS", "surface": "Hard", "surface_counts": [25, 76], "surface_ratings": [1521.8397437085816, 1627.1897100700014]}, "market_type": "moneyline", "model_version": "tennis-surface-elo-v1", "observed_at_utc": "2026-10-05T22:23:41.871278+00:00", "probabilities": {"away": 0.3481, "home": 0.6519}, "replay_scope": "Exact full-precision serving state and rounding; upstream historical observation times are not certified.", "schema": "coded-moneyline-replay-v1", "snapshot_hash": "b412e6e9abf3f2a95e0f1ffd4efe5acaa88572611ef9b23da8934c796eaa4f47", "sport": "TENNIS"}</t>
        </is>
      </c>
    </row>
    <row r="1224" ht="36" customHeight="1">
      <c r="A1224" s="24" t="inlineStr">
        <is>
          <t>e078d5ac84d24884</t>
        </is>
      </c>
      <c r="B1224" s="24" t="inlineStr">
        <is>
          <t>2026-10-05T22:23:45.549967Z</t>
        </is>
      </c>
      <c r="C1224" s="24" t="inlineStr">
        <is>
          <t>2026-10-06T05:00Z</t>
        </is>
      </c>
      <c r="D1224" s="24" t="inlineStr">
        <is>
          <t>1029-2026:185272</t>
        </is>
      </c>
      <c r="E1224" s="24" t="inlineStr">
        <is>
          <t>TENNIS</t>
        </is>
      </c>
      <c r="F1224" s="24" t="inlineStr">
        <is>
          <t>Shao Yushan</t>
        </is>
      </c>
      <c r="G1224" s="24" t="inlineStr">
        <is>
          <t>Yulia Putintseva</t>
        </is>
      </c>
      <c r="H1224" s="24" t="inlineStr">
        <is>
          <t>moneyline</t>
        </is>
      </c>
      <c r="I1224" s="24" t="inlineStr">
        <is>
          <t>home</t>
        </is>
      </c>
      <c r="J1224" s="25" t="n"/>
      <c r="K1224" s="24" t="inlineStr">
        <is>
          <t>polymarket_us</t>
        </is>
      </c>
      <c r="L1224" s="26" t="n">
        <v>-1567</v>
      </c>
      <c r="M1224" s="27" t="n">
        <v>1.063816</v>
      </c>
      <c r="N1224" s="28" t="n">
        <v>0.940012</v>
      </c>
      <c r="O1224" s="28" t="n">
        <v>0.7322</v>
      </c>
      <c r="P1224" s="28" t="n">
        <v>0.05</v>
      </c>
      <c r="Q1224" s="28" t="n">
        <v>-0.207812</v>
      </c>
      <c r="R1224" s="26" t="n">
        <v>0</v>
      </c>
      <c r="S1224" s="29" t="n">
        <v>1</v>
      </c>
      <c r="T1224" s="24" t="inlineStr">
        <is>
          <t>tennis-surface-elo-v1</t>
        </is>
      </c>
      <c r="U1224" s="24" t="inlineStr">
        <is>
          <t>settled</t>
        </is>
      </c>
      <c r="V1224" s="24" t="inlineStr">
        <is>
          <t>win</t>
        </is>
      </c>
      <c r="W1224" s="26" t="n">
        <v>0</v>
      </c>
      <c r="X1224" s="26" t="n">
        <v>1</v>
      </c>
      <c r="Y1224" s="25" t="n"/>
      <c r="Z1224" s="26" t="n">
        <v>-1567</v>
      </c>
      <c r="AA1224" s="28" t="n">
        <v>0.9399999999999999</v>
      </c>
      <c r="AB1224" s="28" t="n">
        <v>-1.2e-05</v>
      </c>
      <c r="AC1224" s="30" t="n">
        <v>0.0638</v>
      </c>
      <c r="AD1224" s="24" t="inlineStr">
        <is>
          <t>2026-10-06T10:00:47.049981Z</t>
        </is>
      </c>
      <c r="AE1224" s="31" t="inlineStr">
        <is>
          <t>Surface-blended Elo on Hard: Shao Yushan p=0.268 vs Yulia Putintseva. Executable ask 0.9400 (aec-wta-yulput-yussha-2026-10-04).</t>
        </is>
      </c>
      <c r="AF1224" s="31" t="inlineStr">
        <is>
          <t>Surface-blended Elo model; singles only, WTA+ATP market coverage, not yet locked-holdout qualified -- promoted by explicit operator directive, not genuine walk-forward validation.</t>
        </is>
      </c>
      <c r="AG1224" s="24" t="inlineStr">
        <is>
          <t>not_applicable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Shao Yushan</t>
        </is>
      </c>
      <c r="AQ1224" s="24" t="inlineStr">
        <is>
          <t>Shao Yushan</t>
        </is>
      </c>
      <c r="AR1224" s="24" t="inlineStr">
        <is>
          <t>Shao Yushan</t>
        </is>
      </c>
      <c r="AS1224" s="24" t="inlineStr">
        <is>
          <t>Yulia Putintseva</t>
        </is>
      </c>
      <c r="AT1224" s="24" t="inlineStr">
        <is>
          <t>Yulia Putintseva</t>
        </is>
      </c>
      <c r="AU1224" s="24" t="inlineStr">
        <is>
          <t>Yulia Putintseva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6c67e999d2a03612e30f4032c8e5e77e8becfbc79e05f4c8993e726b90d34d54</t>
        </is>
      </c>
      <c r="BB1224" s="24" t="inlineStr">
        <is>
          <t>surface_blended_elo</t>
        </is>
      </c>
      <c r="BC1224" s="24" t="inlineStr">
        <is>
          <t>tennis-surface-elo-v1</t>
        </is>
      </c>
      <c r="BD1224" s="24" t="inlineStr">
        <is>
          <t>6c67e999d2a03612e30f4032c8e5e77e8becfbc79e05f4c8993e726b90d34d54</t>
        </is>
      </c>
      <c r="BE1224" s="24" t="inlineStr">
        <is>
          <t>tennis-surface-elo-v1</t>
        </is>
      </c>
      <c r="BF1224" s="24" t="inlineStr">
        <is>
          <t>1</t>
        </is>
      </c>
      <c r="BG1224" s="24" t="inlineStr">
        <is>
          <t>6c67e999d2a03612e30f4032c8e5e77e8becfbc79e05f4c8993e726b90d34d54</t>
        </is>
      </c>
      <c r="BH1224" s="24" t="inlineStr">
        <is>
          <t>2026-10-05T10:17:00.721020Z</t>
        </is>
      </c>
      <c r="BI1224" s="24" t="inlineStr">
        <is>
          <t>["same_event","same_team_same_day","same_league_same_day"]</t>
        </is>
      </c>
      <c r="BJ1224" s="25" t="n"/>
      <c r="BK1224" s="26" t="n">
        <v>-1567</v>
      </c>
      <c r="BL1224" s="27" t="n">
        <v>1.063816</v>
      </c>
      <c r="BM1224" s="28" t="n">
        <v>0.940012</v>
      </c>
      <c r="BN1224" s="28" t="n"/>
      <c r="BO1224" s="28" t="n"/>
      <c r="BP1224" s="25" t="n"/>
      <c r="BQ1224" s="27" t="n">
        <v>1.063816</v>
      </c>
      <c r="BR1224" s="28" t="n">
        <v>0.9399999999999999</v>
      </c>
      <c r="BS1224" s="28" t="n"/>
      <c r="BT1224" s="28" t="n"/>
      <c r="BU1224" s="25" t="n"/>
      <c r="BV1224" s="29" t="n"/>
      <c r="BW1224" s="24" t="n"/>
      <c r="BX1224" s="30" t="n"/>
      <c r="BY1224" s="27" t="n"/>
      <c r="BZ1224" s="24" t="n"/>
      <c r="CA1224" s="31" t="n"/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False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inlineStr">
        <is>
          <t>5461c251dcc95cddac373abcb1c3fdd1ab45ee3d20554e209f4dd881f5c47045</t>
        </is>
      </c>
      <c r="DE1224" s="24" t="inlineStr">
        <is>
          <t>E:\model-prediction\data\odds\tennis\2026-10-05\polymarket_snapshots.jsonl</t>
        </is>
      </c>
      <c r="DF1224" s="24" t="inlineStr">
        <is>
          <t>1198953:2026-10-05T10:17:00.721020Z</t>
        </is>
      </c>
      <c r="DG1224" s="24" t="n"/>
      <c r="DH1224" s="24" t="n"/>
      <c r="DI1224" s="24" t="n"/>
      <c r="DJ1224" s="24" t="n"/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{"artifact_hash": "6c67e999d2a03612e30f4032c8e5e77e8becfbc79e05f4c8993e726b90d34d54", "away_team": "Shao Yushan", "event_id": "1029-2026:185272", "event_start_utc": "2026-10-06T05:00Z", "features": {"elo_p1_surface": 1460.7, "elo_p2_surface": 1638.8, "expected_games_p1": 6.91, "expected_games_p2": 12.87, "expected_total_games": 19.77, "history_matches": 16571, "min_player_matches": 3, "surface": "Hard"}, "historical_source_observation_times_verified": false, "home_team": "Yulia Putintseva", "inference_inputs": {"code_sha256": {"features/elo_ratings.py": "8525faf022a6343c452286dbfeb17dbb043744c6bdabbe448b6b371216da439b", "models/tennis.py": "6c67e999d2a03612e30f4032c8e5e77e8becfbc79e05f4c8993e726b90d34d54"}, "overall_ratings": [1460.149837643288, 1622.9901290263363], "players": ["Shao Yushan", "Yulia Putintseva"], "sport": "TENNIS", "surface": "Hard", "surface_counts": [3, 117], "surface_ratings": [1460.7071550638293, 1638.8228655268704]}, "market_type": "moneyline", "model_version": "tennis-surface-elo-v1", "observed_at_utc": "2026-10-05T22:23:41.871278+00:00", "probabilities": {"away": 0.2678, "home": 0.7322}, "replay_scope": "Exact full-precision serving state and rounding; upstream historical observation times are not certified.", "schema": "coded-moneyline-replay-v1", "snapshot_hash": "c7e9c4c8420269472c7b23cc06090cef3c25d9787c6772b31aae029334a80675", "sport": "TENNIS"}</t>
        </is>
      </c>
    </row>
    <row r="1225" ht="36" customHeight="1">
      <c r="A1225" s="24" t="inlineStr">
        <is>
          <t>e6055ae4e6b64183</t>
        </is>
      </c>
      <c r="B1225" s="24" t="inlineStr">
        <is>
          <t>2026-10-05T22:23:45.549967Z</t>
        </is>
      </c>
      <c r="C1225" s="24" t="inlineStr">
        <is>
          <t>2026-10-06T05:00Z</t>
        </is>
      </c>
      <c r="D1225" s="24" t="inlineStr">
        <is>
          <t>1029-2026:185273</t>
        </is>
      </c>
      <c r="E1225" s="24" t="inlineStr">
        <is>
          <t>TENNIS</t>
        </is>
      </c>
      <c r="F1225" s="24" t="inlineStr">
        <is>
          <t>Mai Hontama</t>
        </is>
      </c>
      <c r="G1225" s="24" t="inlineStr">
        <is>
          <t>Emerson Jones</t>
        </is>
      </c>
      <c r="H1225" s="24" t="inlineStr">
        <is>
          <t>moneyline</t>
        </is>
      </c>
      <c r="I1225" s="24" t="inlineStr">
        <is>
          <t>home</t>
        </is>
      </c>
      <c r="J1225" s="25" t="n"/>
      <c r="K1225" s="24" t="inlineStr">
        <is>
          <t>polymarket_us</t>
        </is>
      </c>
      <c r="L1225" s="26" t="n">
        <v>-138</v>
      </c>
      <c r="M1225" s="27" t="n">
        <v>1.724638</v>
      </c>
      <c r="N1225" s="28" t="n">
        <v>0.579832</v>
      </c>
      <c r="O1225" s="28" t="n">
        <v>0.5089</v>
      </c>
      <c r="P1225" s="28" t="n">
        <v>0.05</v>
      </c>
      <c r="Q1225" s="28" t="n">
        <v>-0.070932</v>
      </c>
      <c r="R1225" s="26" t="n">
        <v>0</v>
      </c>
      <c r="S1225" s="29" t="n">
        <v>1</v>
      </c>
      <c r="T1225" s="24" t="inlineStr">
        <is>
          <t>tennis-surface-elo-v1</t>
        </is>
      </c>
      <c r="U1225" s="24" t="inlineStr">
        <is>
          <t>settled</t>
        </is>
      </c>
      <c r="V1225" s="24" t="inlineStr">
        <is>
          <t>win</t>
        </is>
      </c>
      <c r="W1225" s="26" t="n">
        <v>0</v>
      </c>
      <c r="X1225" s="26" t="n">
        <v>1</v>
      </c>
      <c r="Y1225" s="25" t="n"/>
      <c r="Z1225" s="26" t="n">
        <v>-138</v>
      </c>
      <c r="AA1225" s="28" t="n">
        <v>0.58</v>
      </c>
      <c r="AB1225" s="28" t="n">
        <v>0.000168</v>
      </c>
      <c r="AC1225" s="30" t="n">
        <v>0.7246</v>
      </c>
      <c r="AD1225" s="24" t="inlineStr">
        <is>
          <t>2026-10-06T10:00:52.572018Z</t>
        </is>
      </c>
      <c r="AE1225" s="31" t="inlineStr">
        <is>
          <t>Surface-blended Elo on Hard: Mai Hontama p=0.491 vs Emerson Jones. Executable ask 0.5800 (aec-wta-emejon-maihon-2026-10-04).</t>
        </is>
      </c>
      <c r="AF1225" s="31" t="inlineStr">
        <is>
          <t>Surface-blended Elo model; singles only, WTA+ATP market coverage, not yet locked-holdout qualified -- promoted by explicit operator directive, not genuine walk-forward validation.</t>
        </is>
      </c>
      <c r="AG1225" s="24" t="inlineStr">
        <is>
          <t>not_applicable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PAPER_CALL_LOW_EDGE</t>
        </is>
      </c>
      <c r="AP1225" s="24" t="inlineStr">
        <is>
          <t>Mai Hontama</t>
        </is>
      </c>
      <c r="AQ1225" s="24" t="inlineStr">
        <is>
          <t>Mai Hontama</t>
        </is>
      </c>
      <c r="AR1225" s="24" t="inlineStr">
        <is>
          <t>Mai Hontama</t>
        </is>
      </c>
      <c r="AS1225" s="24" t="inlineStr">
        <is>
          <t>Emerson Jones</t>
        </is>
      </c>
      <c r="AT1225" s="24" t="inlineStr">
        <is>
          <t>Emerson Jones</t>
        </is>
      </c>
      <c r="AU1225" s="24" t="inlineStr">
        <is>
          <t>Emerson Jones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6c67e999d2a03612e30f4032c8e5e77e8becfbc79e05f4c8993e726b90d34d54</t>
        </is>
      </c>
      <c r="BB1225" s="24" t="inlineStr">
        <is>
          <t>surface_blended_elo</t>
        </is>
      </c>
      <c r="BC1225" s="24" t="inlineStr">
        <is>
          <t>tennis-surface-elo-v1</t>
        </is>
      </c>
      <c r="BD1225" s="24" t="inlineStr">
        <is>
          <t>6c67e999d2a03612e30f4032c8e5e77e8becfbc79e05f4c8993e726b90d34d54</t>
        </is>
      </c>
      <c r="BE1225" s="24" t="inlineStr">
        <is>
          <t>tennis-surface-elo-v1</t>
        </is>
      </c>
      <c r="BF1225" s="24" t="inlineStr">
        <is>
          <t>1</t>
        </is>
      </c>
      <c r="BG1225" s="24" t="inlineStr">
        <is>
          <t>6c67e999d2a03612e30f4032c8e5e77e8becfbc79e05f4c8993e726b90d34d54</t>
        </is>
      </c>
      <c r="BH1225" s="24" t="inlineStr">
        <is>
          <t>2026-10-05T10:17:20.879103Z</t>
        </is>
      </c>
      <c r="BI1225" s="24" t="inlineStr">
        <is>
          <t>["same_event","same_team_same_day","same_league_same_day"]</t>
        </is>
      </c>
      <c r="BJ1225" s="25" t="n"/>
      <c r="BK1225" s="26" t="n">
        <v>-138</v>
      </c>
      <c r="BL1225" s="27" t="n">
        <v>1.724638</v>
      </c>
      <c r="BM1225" s="28" t="n">
        <v>0.579832</v>
      </c>
      <c r="BN1225" s="28" t="n"/>
      <c r="BO1225" s="28" t="n"/>
      <c r="BP1225" s="25" t="n"/>
      <c r="BQ1225" s="27" t="n">
        <v>1.724638</v>
      </c>
      <c r="BR1225" s="28" t="n">
        <v>0.58</v>
      </c>
      <c r="BS1225" s="28" t="n"/>
      <c r="BT1225" s="28" t="n"/>
      <c r="BU1225" s="25" t="n"/>
      <c r="BV1225" s="29" t="n"/>
      <c r="BW1225" s="24" t="n"/>
      <c r="BX1225" s="30" t="n"/>
      <c r="BY1225" s="27" t="n"/>
      <c r="BZ1225" s="24" t="n"/>
      <c r="CA1225" s="31" t="n"/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inlineStr">
        <is>
          <t>bd3f6590bb31304e2dcc25bae28a1a3c525008a6dc5c706afad551c4ee041bbd</t>
        </is>
      </c>
      <c r="DE1225" s="24" t="inlineStr">
        <is>
          <t>E:\model-prediction\data\odds\tennis\2026-10-05\polymarket_snapshots.jsonl</t>
        </is>
      </c>
      <c r="DF1225" s="24" t="inlineStr">
        <is>
          <t>1198949:2026-10-05T10:17:20.879103Z</t>
        </is>
      </c>
      <c r="DG1225" s="24" t="n"/>
      <c r="DH1225" s="24" t="n"/>
      <c r="DI1225" s="24" t="n"/>
      <c r="DJ1225" s="24" t="n"/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{"artifact_hash": "6c67e999d2a03612e30f4032c8e5e77e8becfbc79e05f4c8993e726b90d34d54", "away_team": "Mai Hontama", "event_id": "1029-2026:185273", "event_start_utc": "2026-10-06T05:00Z", "features": {"elo_p1_surface": 1504.5, "elo_p2_surface": 1513.9, "expected_games_p1": 12.34, "expected_games_p2": 12.44, "expected_total_games": 24.78, "history_matches": 16571, "min_player_matches": 37,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[1509.5331080299509, 1509.570806534977], "players": ["Mai Hontama", "Emerson Jones"], "sport": "TENNIS", "surface": "Hard", "surface_counts": [91, 30], "surface_ratings": [1504.474669170171, 1513.8734018301245]}, "market_type": "moneyline", "model_version": "tennis-surface-elo-v1", "observed_at_utc": "2026-10-05T22:23:41.871278+00:00", "probabilities": {"away": 0.4911, "home": 0.5089}, "replay_scope": "Exact full-precision serving state and rounding; upstream historical observation times are not certified.", "schema": "coded-moneyline-replay-v1", "snapshot_hash": "50097fbbdd7638fbaf03132d91d8195207339441441b0080ab49fca6b7820372", "sport": "TENNIS"}</t>
        </is>
      </c>
    </row>
    <row r="1226" ht="36" customHeight="1">
      <c r="A1226" s="24" t="inlineStr">
        <is>
          <t>fa9dcc8f9a6c4b1c</t>
        </is>
      </c>
      <c r="B1226" s="24" t="inlineStr">
        <is>
          <t>2026-10-06T10:49:48.002297Z</t>
        </is>
      </c>
      <c r="C1226" s="24" t="inlineStr">
        <is>
          <t>2026-10-06T11:00Z</t>
        </is>
      </c>
      <c r="D1226" s="24" t="inlineStr">
        <is>
          <t>1036-2026:185237</t>
        </is>
      </c>
      <c r="E1226" s="24" t="inlineStr">
        <is>
          <t>TENNIS</t>
        </is>
      </c>
      <c r="F1226" s="24" t="inlineStr">
        <is>
          <t>Carole Monnet</t>
        </is>
      </c>
      <c r="G1226" s="24" t="inlineStr">
        <is>
          <t>Lucrezia Stefanini</t>
        </is>
      </c>
      <c r="H1226" s="24" t="inlineStr">
        <is>
          <t>moneyline</t>
        </is>
      </c>
      <c r="I1226" s="24" t="inlineStr">
        <is>
          <t>home</t>
        </is>
      </c>
      <c r="J1226" s="25" t="n"/>
      <c r="K1226" s="24" t="inlineStr">
        <is>
          <t>polymarket_us</t>
        </is>
      </c>
      <c r="L1226" s="26" t="n">
        <v>-376</v>
      </c>
      <c r="M1226" s="27" t="n">
        <v>1.265957</v>
      </c>
      <c r="N1226" s="28" t="n">
        <v>0.789916</v>
      </c>
      <c r="O1226" s="28" t="n">
        <v>0.6643</v>
      </c>
      <c r="P1226" s="28" t="n">
        <v>0.05</v>
      </c>
      <c r="Q1226" s="28" t="n">
        <v>-0.125616</v>
      </c>
      <c r="R1226" s="26" t="n">
        <v>0</v>
      </c>
      <c r="S1226" s="29" t="n">
        <v>1</v>
      </c>
      <c r="T1226" s="24" t="inlineStr">
        <is>
          <t>tennis-surface-elo-v1</t>
        </is>
      </c>
      <c r="U1226" s="24" t="inlineStr">
        <is>
          <t>settled</t>
        </is>
      </c>
      <c r="V1226" s="24" t="inlineStr">
        <is>
          <t>win</t>
        </is>
      </c>
      <c r="W1226" s="26" t="n">
        <v>0</v>
      </c>
      <c r="X1226" s="26" t="n">
        <v>1</v>
      </c>
      <c r="Y1226" s="25" t="n"/>
      <c r="Z1226" s="26" t="n">
        <v>-376</v>
      </c>
      <c r="AA1226" s="28" t="n">
        <v>0.79</v>
      </c>
      <c r="AB1226" s="28" t="n">
        <v>8.4e-05</v>
      </c>
      <c r="AC1226" s="30" t="n">
        <v>0.266</v>
      </c>
      <c r="AD1226" s="24" t="inlineStr">
        <is>
          <t>2026-10-06T16:00:39.174599Z</t>
        </is>
      </c>
      <c r="AE1226" s="31" t="inlineStr">
        <is>
          <t>Surface-blended Elo on Hard: Carole Monnet p=0.336 vs Lucrezia Stefanini. Executable ask 0.7900 (aec-wta-lucste-carmon-2026-10-05).</t>
        </is>
      </c>
      <c r="AF1226" s="31" t="inlineStr">
        <is>
          <t>Surface-blended Elo model; singles only, WTA+ATP market coverage, not yet locked-holdout qualified -- promoted by explicit operator directive, not genuine walk-forward validation.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PAPER_CALL_LOW_EDGE</t>
        </is>
      </c>
      <c r="AP1226" s="24" t="inlineStr">
        <is>
          <t>Carole Monnet</t>
        </is>
      </c>
      <c r="AQ1226" s="24" t="inlineStr">
        <is>
          <t>Carole Monnet</t>
        </is>
      </c>
      <c r="AR1226" s="24" t="inlineStr">
        <is>
          <t>Carole Monnet</t>
        </is>
      </c>
      <c r="AS1226" s="24" t="inlineStr">
        <is>
          <t>Lucrezia Stefanini</t>
        </is>
      </c>
      <c r="AT1226" s="24" t="inlineStr">
        <is>
          <t>Lucrezia Stefanini</t>
        </is>
      </c>
      <c r="AU1226" s="24" t="inlineStr">
        <is>
          <t>Lucrezia Stefanini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6c67e999d2a03612e30f4032c8e5e77e8becfbc79e05f4c8993e726b90d34d54</t>
        </is>
      </c>
      <c r="BB1226" s="24" t="inlineStr">
        <is>
          <t>surface_blended_elo</t>
        </is>
      </c>
      <c r="BC1226" s="24" t="inlineStr">
        <is>
          <t>tennis-surface-elo-v1</t>
        </is>
      </c>
      <c r="BD1226" s="24" t="inlineStr">
        <is>
          <t>6c67e999d2a03612e30f4032c8e5e77e8becfbc79e05f4c8993e726b90d34d54</t>
        </is>
      </c>
      <c r="BE1226" s="24" t="inlineStr">
        <is>
          <t>tennis-surface-elo-v1</t>
        </is>
      </c>
      <c r="BF1226" s="24" t="inlineStr">
        <is>
          <t>1</t>
        </is>
      </c>
      <c r="BG1226" s="24" t="inlineStr">
        <is>
          <t>6c67e999d2a03612e30f4032c8e5e77e8becfbc79e05f4c8993e726b90d34d54</t>
        </is>
      </c>
      <c r="BH1226" s="24" t="inlineStr">
        <is>
          <t>2026-10-05T11:00:36.631477Z</t>
        </is>
      </c>
      <c r="BI1226" s="24" t="inlineStr">
        <is>
          <t>["same_event","same_team_same_day","same_league_same_day"]</t>
        </is>
      </c>
      <c r="BJ1226" s="25" t="n"/>
      <c r="BK1226" s="26" t="n">
        <v>-376</v>
      </c>
      <c r="BL1226" s="27" t="n">
        <v>1.265957</v>
      </c>
      <c r="BM1226" s="28" t="n">
        <v>0.789916</v>
      </c>
      <c r="BN1226" s="28" t="n"/>
      <c r="BO1226" s="28" t="n"/>
      <c r="BP1226" s="25" t="n"/>
      <c r="BQ1226" s="27" t="n">
        <v>1.265957</v>
      </c>
      <c r="BR1226" s="28" t="n">
        <v>0.79</v>
      </c>
      <c r="BS1226" s="28" t="n"/>
      <c r="BT1226" s="28" t="n"/>
      <c r="BU1226" s="25" t="n"/>
      <c r="BV1226" s="29" t="n"/>
      <c r="BW1226" s="24" t="n"/>
      <c r="BX1226" s="30" t="n"/>
      <c r="BY1226" s="27" t="n"/>
      <c r="BZ1226" s="24" t="n"/>
      <c r="CA1226" s="31" t="n"/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False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inlineStr">
        <is>
          <t>c85a3deabf536d9b4fc6e5a7f3bdc8735c6123484a009649e0c027942cb0b38b</t>
        </is>
      </c>
      <c r="DE1226" s="24" t="inlineStr">
        <is>
          <t>E:\model-prediction\data\odds\tennis\2026-10-06\polymarket_snapshots.jsonl</t>
        </is>
      </c>
      <c r="DF1226" s="24" t="inlineStr">
        <is>
          <t>1207496:2026-10-05T11:00:36.631477Z</t>
        </is>
      </c>
      <c r="DG1226" s="24" t="n"/>
      <c r="DH1226" s="24" t="n"/>
      <c r="DI1226" s="24" t="n"/>
      <c r="DJ1226" s="24" t="n"/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{"artifact_hash": "6c67e999d2a03612e30f4032c8e5e77e8becfbc79e05f4c8993e726b90d34d54", "away_team": "Carole Monnet", "event_id": "1036-2026:185237", "event_start_utc": "2026-10-06T11:00Z", "features": {"elo_p1_surface": 1472.9, "elo_p2_surface": 1587.0, "expected_games_p1": 8.97, "expected_games_p2": 13.25, "expected_total_games": 22.22, "history_matches": 16599, "min_player_matches": 106, "surface": "Hard"}, "historical_source_observation_times_verified": false, "home_team": "Lucrezia Stefanini", "inference_inputs": {"code_sha256": {"features/elo_ratings.py": "8525faf022a6343c452286dbfeb17dbb043744c6bdabbe448b6b371216da439b", "models/tennis.py": "6c67e999d2a03612e30f4032c8e5e77e8becfbc79e05f4c8993e726b90d34d54"}, "overall_ratings": [1465.1034135587556, 1595.78841546256], "players": ["Carole Monnet", "Lucrezia Stefanini"], "sport": "TENNIS", "surface": "Hard", "surface_counts": [89, 96], "surface_ratings": [1472.902041801892, 1587.0138978031416]}, "market_type": "moneyline", "model_version": "tennis-surface-elo-v1", "observed_at_utc": "2026-10-06T10:49:43.908743+00:00", "probabilities": {"away": 0.3357, "home": 0.6643}, "replay_scope": "Exact full-precision serving state and rounding; upstream historical observation times are not certified.", "schema": "coded-moneyline-replay-v1", "snapshot_hash": "b679c0555d4f976784f45ed8c0e604ea9ddcc75b11188fcd90d179e899c3db07", "sport": "TENNIS"}</t>
        </is>
      </c>
    </row>
    <row r="1227" ht="36" customHeight="1">
      <c r="A1227" s="24" t="inlineStr">
        <is>
          <t>a714242d82f64f8a</t>
        </is>
      </c>
      <c r="B1227" s="24" t="inlineStr">
        <is>
          <t>2026-10-06T10:49:48.002297Z</t>
        </is>
      </c>
      <c r="C1227" s="24" t="inlineStr">
        <is>
          <t>2026-10-06T11:30Z</t>
        </is>
      </c>
      <c r="D1227" s="24" t="inlineStr">
        <is>
          <t>1036-2026:185231</t>
        </is>
      </c>
      <c r="E1227" s="24" t="inlineStr">
        <is>
          <t>TENNIS</t>
        </is>
      </c>
      <c r="F1227" s="24" t="inlineStr">
        <is>
          <t>Alana Smith</t>
        </is>
      </c>
      <c r="G1227" s="24" t="inlineStr">
        <is>
          <t>Bianca Andreescu</t>
        </is>
      </c>
      <c r="H1227" s="24" t="inlineStr">
        <is>
          <t>moneyline</t>
        </is>
      </c>
      <c r="I1227" s="24" t="inlineStr">
        <is>
          <t>home</t>
        </is>
      </c>
      <c r="J1227" s="25" t="n"/>
      <c r="K1227" s="24" t="inlineStr">
        <is>
          <t>polymarket_us</t>
        </is>
      </c>
      <c r="L1227" s="26" t="n">
        <v>-733</v>
      </c>
      <c r="M1227" s="27" t="n">
        <v>1.136426</v>
      </c>
      <c r="N1227" s="28" t="n">
        <v>0.879952</v>
      </c>
      <c r="O1227" s="28" t="n">
        <v>0.5427999999999999</v>
      </c>
      <c r="P1227" s="28" t="n">
        <v>0.05</v>
      </c>
      <c r="Q1227" s="28" t="n">
        <v>-0.337152</v>
      </c>
      <c r="R1227" s="26" t="n">
        <v>0</v>
      </c>
      <c r="S1227" s="29" t="n">
        <v>1</v>
      </c>
      <c r="T1227" s="24" t="inlineStr">
        <is>
          <t>tennis-surface-elo-v1</t>
        </is>
      </c>
      <c r="U1227" s="24" t="inlineStr">
        <is>
          <t>settled</t>
        </is>
      </c>
      <c r="V1227" s="24" t="inlineStr">
        <is>
          <t>win</t>
        </is>
      </c>
      <c r="W1227" s="26" t="n">
        <v>0</v>
      </c>
      <c r="X1227" s="26" t="n">
        <v>1</v>
      </c>
      <c r="Y1227" s="25" t="n"/>
      <c r="Z1227" s="26" t="n">
        <v>-733</v>
      </c>
      <c r="AA1227" s="28" t="n">
        <v>0.88</v>
      </c>
      <c r="AB1227" s="28" t="n">
        <v>4.8e-05</v>
      </c>
      <c r="AC1227" s="30" t="n">
        <v>0.1364</v>
      </c>
      <c r="AD1227" s="24" t="inlineStr">
        <is>
          <t>2026-10-06T16:00:44.744801Z</t>
        </is>
      </c>
      <c r="AE1227" s="31" t="inlineStr">
        <is>
          <t>Surface-blended Elo on Hard: Alana Smith p=0.457 vs Bianca Andreescu. Executable ask 0.8800 (aec-wta-biaand-alasmi-2026-10-06).</t>
        </is>
      </c>
      <c r="AF1227" s="31" t="inlineStr">
        <is>
          <t>Surface-blended Elo model; singles only, WTA+ATP market coverage, not yet locked-holdout qualified -- promoted by explicit operator directive, not genuine walk-forward validation.</t>
        </is>
      </c>
      <c r="AG1227" s="24" t="inlineStr">
        <is>
          <t>not_applicable</t>
        </is>
      </c>
      <c r="AH1227" s="24" t="n"/>
      <c r="AI1227" s="31" t="n"/>
      <c r="AJ1227" s="31" t="n"/>
      <c r="AK1227" s="24" t="inlineStr">
        <is>
          <t>paper_call</t>
        </is>
      </c>
      <c r="AL1227" s="26" t="n">
        <v>4</v>
      </c>
      <c r="AM1227" s="24" t="inlineStr">
        <is>
          <t>RESEARCH_OBSERVATION</t>
        </is>
      </c>
      <c r="AN1227" s="24" t="inlineStr">
        <is>
          <t>CALL</t>
        </is>
      </c>
      <c r="AO1227" s="24" t="inlineStr">
        <is>
          <t>PAPER_CALL_LOW_EDGE</t>
        </is>
      </c>
      <c r="AP1227" s="24" t="inlineStr">
        <is>
          <t>Alana Smith</t>
        </is>
      </c>
      <c r="AQ1227" s="24" t="inlineStr">
        <is>
          <t>Alana Smith</t>
        </is>
      </c>
      <c r="AR1227" s="24" t="inlineStr">
        <is>
          <t>Alana Smith</t>
        </is>
      </c>
      <c r="AS1227" s="24" t="inlineStr">
        <is>
          <t>Bianca Andreescu</t>
        </is>
      </c>
      <c r="AT1227" s="24" t="inlineStr">
        <is>
          <t>Bianca Andreescu</t>
        </is>
      </c>
      <c r="AU1227" s="24" t="inlineStr">
        <is>
          <t>Bianca Andreescu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6c67e999d2a03612e30f4032c8e5e77e8becfbc79e05f4c8993e726b90d34d54</t>
        </is>
      </c>
      <c r="BB1227" s="24" t="inlineStr">
        <is>
          <t>surface_blended_elo</t>
        </is>
      </c>
      <c r="BC1227" s="24" t="inlineStr">
        <is>
          <t>tennis-surface-elo-v1</t>
        </is>
      </c>
      <c r="BD1227" s="24" t="inlineStr">
        <is>
          <t>6c67e999d2a03612e30f4032c8e5e77e8becfbc79e05f4c8993e726b90d34d54</t>
        </is>
      </c>
      <c r="BE1227" s="24" t="inlineStr">
        <is>
          <t>tennis-surface-elo-v1</t>
        </is>
      </c>
      <c r="BF1227" s="24" t="inlineStr">
        <is>
          <t>1</t>
        </is>
      </c>
      <c r="BG1227" s="24" t="inlineStr">
        <is>
          <t>6c67e999d2a03612e30f4032c8e5e77e8becfbc79e05f4c8993e726b90d34d54</t>
        </is>
      </c>
      <c r="BH1227" s="24" t="inlineStr">
        <is>
          <t>2026-10-06T10:16:10.740688Z</t>
        </is>
      </c>
      <c r="BI1227" s="24" t="inlineStr">
        <is>
          <t>["same_event","same_team_same_day","same_league_same_day"]</t>
        </is>
      </c>
      <c r="BJ1227" s="25" t="n"/>
      <c r="BK1227" s="26" t="n">
        <v>-733</v>
      </c>
      <c r="BL1227" s="27" t="n">
        <v>1.136426</v>
      </c>
      <c r="BM1227" s="28" t="n">
        <v>0.879952</v>
      </c>
      <c r="BN1227" s="28" t="n"/>
      <c r="BO1227" s="28" t="n"/>
      <c r="BP1227" s="25" t="n"/>
      <c r="BQ1227" s="27" t="n">
        <v>1.136426</v>
      </c>
      <c r="BR1227" s="28" t="n">
        <v>0.88</v>
      </c>
      <c r="BS1227" s="28" t="n"/>
      <c r="BT1227" s="28" t="n"/>
      <c r="BU1227" s="25" t="n"/>
      <c r="BV1227" s="29" t="n"/>
      <c r="BW1227" s="24" t="n"/>
      <c r="BX1227" s="30" t="n"/>
      <c r="BY1227" s="27" t="n"/>
      <c r="BZ1227" s="24" t="n"/>
      <c r="CA1227" s="31" t="n"/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False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inlineStr">
        <is>
          <t>7386f699d6a433a353e945ff81586f04919ae2afb3980b6cb25bd3e5dbf258eb</t>
        </is>
      </c>
      <c r="DE1227" s="24" t="inlineStr">
        <is>
          <t>E:\model-prediction\data\odds\tennis\2026-10-06\polymarket_snapshots.jsonl</t>
        </is>
      </c>
      <c r="DF1227" s="24" t="inlineStr">
        <is>
          <t>1224437:2026-10-06T10:16:10.740688Z</t>
        </is>
      </c>
      <c r="DG1227" s="24" t="n"/>
      <c r="DH1227" s="24" t="n"/>
      <c r="DI1227" s="24" t="n"/>
      <c r="DJ1227" s="24" t="n"/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{"artifact_hash": "6c67e999d2a03612e30f4032c8e5e77e8becfbc79e05f4c8993e726b90d34d54", "away_team": "Alana Smith", "event_id": "1036-2026:185231", "event_start_utc": "2026-10-06T11:30Z", "features": {"elo_p1_surface": 1499.5, "elo_p2_surface": 1508.8, "expected_games_p1": 12.34, "expected_games_p2": 12.44, "expected_total_games": 24.78, "history_matches": 16599, "min_player_matches": 33, "surface": "Hard"}, "historical_source_observation_times_verified": false, "home_team": "Bianca Andreescu", "inference_inputs": {"code_sha256": {"features/elo_ratings.py": "8525faf022a6343c452286dbfeb17dbb043744c6bdabbe448b6b371216da439b", "models/tennis.py": "6c67e999d2a03612e30f4032c8e5e77e8becfbc79e05f4c8993e726b90d34d54"}, "overall_ratings": [1497.8758090976526, 1565.2700420396993], "players": ["Alana Smith", "Bianca Andreescu"], "sport": "TENNIS", "surface": "Hard", "surface_counts": [33, 48], "surface_ratings": [1499.5255222416206, 1508.7818369609054]}, "market_type": "moneyline", "model_version": "tennis-surface-elo-v1", "observed_at_utc": "2026-10-06T10:49:43.908743+00:00", "probabilities": {"away": 0.4572, "home": 0.5428}, "replay_scope": "Exact full-precision serving state and rounding; upstream historical observation times are not certified.", "schema": "coded-moneyline-replay-v1", "snapshot_hash": "e7b4d609fab92f78d283f5b953c6f1320dc0bf8436d8959691d5fb87f8d4207f", "sport": "TENNIS"}</t>
        </is>
      </c>
    </row>
    <row r="1228" ht="36" customHeight="1">
      <c r="A1228" s="24" t="inlineStr">
        <is>
          <t>40d5ada984f24763</t>
        </is>
      </c>
      <c r="B1228" s="24" t="inlineStr">
        <is>
          <t>2026-10-06T10:49:48.002297Z</t>
        </is>
      </c>
      <c r="C1228" s="24" t="inlineStr">
        <is>
          <t>2026-10-06T12:00Z</t>
        </is>
      </c>
      <c r="D1228" s="24" t="inlineStr">
        <is>
          <t>1036-2026:185224</t>
        </is>
      </c>
      <c r="E1228" s="24" t="inlineStr">
        <is>
          <t>TENNIS</t>
        </is>
      </c>
      <c r="F1228" s="24" t="inlineStr">
        <is>
          <t>Anna Blinkova</t>
        </is>
      </c>
      <c r="G1228" s="24" t="inlineStr">
        <is>
          <t>Elena Pridankina</t>
        </is>
      </c>
      <c r="H1228" s="24" t="inlineStr">
        <is>
          <t>moneyline</t>
        </is>
      </c>
      <c r="I1228" s="24" t="inlineStr">
        <is>
          <t>away</t>
        </is>
      </c>
      <c r="J1228" s="25" t="n"/>
      <c r="K1228" s="24" t="inlineStr">
        <is>
          <t>polymarket_us</t>
        </is>
      </c>
      <c r="L1228" s="26" t="n">
        <v>-223</v>
      </c>
      <c r="M1228" s="27" t="n">
        <v>1.44843</v>
      </c>
      <c r="N1228" s="28" t="n">
        <v>0.690402</v>
      </c>
      <c r="O1228" s="28" t="n">
        <v>0.586</v>
      </c>
      <c r="P1228" s="28" t="n">
        <v>0.05</v>
      </c>
      <c r="Q1228" s="28" t="n">
        <v>-0.104402</v>
      </c>
      <c r="R1228" s="26" t="n">
        <v>0</v>
      </c>
      <c r="S1228" s="29" t="n">
        <v>1</v>
      </c>
      <c r="T1228" s="24" t="inlineStr">
        <is>
          <t>tennis-surface-elo-v1</t>
        </is>
      </c>
      <c r="U1228" s="24" t="inlineStr">
        <is>
          <t>settled</t>
        </is>
      </c>
      <c r="V1228" s="24" t="inlineStr">
        <is>
          <t>win</t>
        </is>
      </c>
      <c r="W1228" s="26" t="n">
        <v>1</v>
      </c>
      <c r="X1228" s="26" t="n">
        <v>0</v>
      </c>
      <c r="Y1228" s="25" t="n"/>
      <c r="Z1228" s="26" t="n">
        <v>-223</v>
      </c>
      <c r="AA1228" s="28" t="n">
        <v>0.6899999999999999</v>
      </c>
      <c r="AB1228" s="28" t="n">
        <v>-0.000402</v>
      </c>
      <c r="AC1228" s="30" t="n">
        <v>0.4484</v>
      </c>
      <c r="AD1228" s="24" t="inlineStr">
        <is>
          <t>2026-10-07T16:01:38.176919Z</t>
        </is>
      </c>
      <c r="AE1228" s="31" t="inlineStr">
        <is>
          <t>Surface-blended Elo on Hard: Anna Blinkova p=0.586 vs Elena Pridankina. Executable ask 0.6900 (aec-wta-elepri-annbli-2026-10-05).</t>
        </is>
      </c>
      <c r="AF1228" s="31" t="inlineStr">
        <is>
          <t>Surface-blended Elo model; singles only, WTA+ATP market coverage, not yet locked-holdout qualified -- promoted by explicit operator directive, not genuine walk-forward validation.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PAPER_CALL_LOW_EDGE</t>
        </is>
      </c>
      <c r="AP1228" s="24" t="inlineStr">
        <is>
          <t>Anna Blinkova</t>
        </is>
      </c>
      <c r="AQ1228" s="24" t="inlineStr">
        <is>
          <t>Anna Blinkova</t>
        </is>
      </c>
      <c r="AR1228" s="24" t="inlineStr">
        <is>
          <t>Anna Blinkova</t>
        </is>
      </c>
      <c r="AS1228" s="24" t="inlineStr">
        <is>
          <t>Elena Pridankina</t>
        </is>
      </c>
      <c r="AT1228" s="24" t="inlineStr">
        <is>
          <t>Elena Pridankina</t>
        </is>
      </c>
      <c r="AU1228" s="24" t="inlineStr">
        <is>
          <t>Elena Pridankina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6c67e999d2a03612e30f4032c8e5e77e8becfbc79e05f4c8993e726b90d34d54</t>
        </is>
      </c>
      <c r="BB1228" s="24" t="inlineStr">
        <is>
          <t>surface_blended_elo</t>
        </is>
      </c>
      <c r="BC1228" s="24" t="inlineStr">
        <is>
          <t>tennis-surface-elo-v1</t>
        </is>
      </c>
      <c r="BD1228" s="24" t="inlineStr">
        <is>
          <t>6c67e999d2a03612e30f4032c8e5e77e8becfbc79e05f4c8993e726b90d34d54</t>
        </is>
      </c>
      <c r="BE1228" s="24" t="inlineStr">
        <is>
          <t>tennis-surface-elo-v1</t>
        </is>
      </c>
      <c r="BF1228" s="24" t="inlineStr">
        <is>
          <t>1</t>
        </is>
      </c>
      <c r="BG1228" s="24" t="inlineStr">
        <is>
          <t>6c67e999d2a03612e30f4032c8e5e77e8becfbc79e05f4c8993e726b90d34d54</t>
        </is>
      </c>
      <c r="BH1228" s="24" t="inlineStr">
        <is>
          <t>2026-10-06T10:15:30.400408Z</t>
        </is>
      </c>
      <c r="BI1228" s="24" t="inlineStr">
        <is>
          <t>["same_event","same_team_same_day","same_league_same_day"]</t>
        </is>
      </c>
      <c r="BJ1228" s="25" t="n"/>
      <c r="BK1228" s="26" t="n">
        <v>-223</v>
      </c>
      <c r="BL1228" s="27" t="n">
        <v>1.44843</v>
      </c>
      <c r="BM1228" s="28" t="n">
        <v>0.690402</v>
      </c>
      <c r="BN1228" s="28" t="n"/>
      <c r="BO1228" s="28" t="n"/>
      <c r="BP1228" s="25" t="n"/>
      <c r="BQ1228" s="27" t="n">
        <v>1.44843</v>
      </c>
      <c r="BR1228" s="28" t="n">
        <v>0.6899999999999999</v>
      </c>
      <c r="BS1228" s="28" t="n"/>
      <c r="BT1228" s="28" t="n"/>
      <c r="BU1228" s="25" t="n"/>
      <c r="BV1228" s="29" t="n"/>
      <c r="BW1228" s="24" t="n"/>
      <c r="BX1228" s="30" t="n"/>
      <c r="BY1228" s="27" t="n"/>
      <c r="BZ1228" s="24" t="n"/>
      <c r="CA1228" s="31" t="n"/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False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inlineStr">
        <is>
          <t>4b2771a16485306de43c020fc014b5dc6c8fd35a7c0162240554336b34551c2e</t>
        </is>
      </c>
      <c r="DE1228" s="24" t="inlineStr">
        <is>
          <t>E:\model-prediction\data\odds\tennis\2026-10-06\polymarket_snapshots.jsonl</t>
        </is>
      </c>
      <c r="DF1228" s="24" t="inlineStr">
        <is>
          <t>1207491:2026-10-06T10:15:30.400408Z</t>
        </is>
      </c>
      <c r="DG1228" s="24" t="n"/>
      <c r="DH1228" s="24" t="n"/>
      <c r="DI1228" s="24" t="n"/>
      <c r="DJ1228" s="24" t="n"/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{"artifact_hash": "6c67e999d2a03612e30f4032c8e5e77e8becfbc79e05f4c8993e726b90d34d54", "away_team": "Anna Blinkova", "event_id": "1036-2026:185224", "event_start_utc": "2026-10-06T12:00Z", "features": {"elo_p1_surface": 1633.1, "elo_p2_surface": 1570.0, "expected_games_p1": 13.4, "expected_games_p2": 10.33, "expected_total_games": 23.73, "history_matches": 16599, "min_player_matches": 85,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[1641.4752024986337, 1585.8566685307956], "players": ["Anna Blinkova", "Elena Pridankina"], "sport": "TENNIS", "surface": "Hard", "surface_counts": [134, 72], "surface_ratings": [1633.0583176793118, 1570.003709527468]}, "market_type": "moneyline", "model_version": "tennis-surface-elo-v1", "observed_at_utc": "2026-10-06T10:49:43.908743+00:00", "probabilities": {"away": 0.586, "home": 0.414}, "replay_scope": "Exact full-precision serving state and rounding; upstream historical observation times are not certified.", "schema": "coded-moneyline-replay-v1", "snapshot_hash": "4ff3f6d886bc54fd24cd07ab266d134e47a7d2d267166def3d017b76fabbae05", "sport": "TENNIS"}</t>
        </is>
      </c>
    </row>
    <row r="1229" ht="36" customHeight="1">
      <c r="A1229" s="24" t="inlineStr">
        <is>
          <t>9f59f1d3e877418b</t>
        </is>
      </c>
      <c r="B1229" s="24" t="inlineStr">
        <is>
          <t>2026-10-06T10:49:48.002297Z</t>
        </is>
      </c>
      <c r="C1229" s="24" t="inlineStr">
        <is>
          <t>2026-10-06T12:00Z</t>
        </is>
      </c>
      <c r="D1229" s="24" t="inlineStr">
        <is>
          <t>1036-2026:185241</t>
        </is>
      </c>
      <c r="E1229" s="24" t="inlineStr">
        <is>
          <t>TENNIS</t>
        </is>
      </c>
      <c r="F1229" s="24" t="inlineStr">
        <is>
          <t>Melisa Ercan</t>
        </is>
      </c>
      <c r="G1229" s="24" t="inlineStr">
        <is>
          <t>Simona Waltert</t>
        </is>
      </c>
      <c r="H1229" s="24" t="inlineStr">
        <is>
          <t>moneyline</t>
        </is>
      </c>
      <c r="I1229" s="24" t="inlineStr">
        <is>
          <t>home</t>
        </is>
      </c>
      <c r="J1229" s="25" t="n"/>
      <c r="K1229" s="24" t="inlineStr">
        <is>
          <t>polymarket_us</t>
        </is>
      </c>
      <c r="L1229" s="26" t="n">
        <v>-456</v>
      </c>
      <c r="M1229" s="27" t="n">
        <v>1.219298</v>
      </c>
      <c r="N1229" s="28" t="n">
        <v>0.820144</v>
      </c>
      <c r="O1229" s="28" t="n">
        <v>0.6495</v>
      </c>
      <c r="P1229" s="28" t="n">
        <v>0.05</v>
      </c>
      <c r="Q1229" s="28" t="n">
        <v>-0.170644</v>
      </c>
      <c r="R1229" s="26" t="n">
        <v>0</v>
      </c>
      <c r="S1229" s="29" t="n">
        <v>1</v>
      </c>
      <c r="T1229" s="24" t="inlineStr">
        <is>
          <t>tennis-surface-elo-v1</t>
        </is>
      </c>
      <c r="U1229" s="24" t="inlineStr">
        <is>
          <t>settled</t>
        </is>
      </c>
      <c r="V1229" s="24" t="inlineStr">
        <is>
          <t>win</t>
        </is>
      </c>
      <c r="W1229" s="26" t="n">
        <v>0</v>
      </c>
      <c r="X1229" s="26" t="n">
        <v>1</v>
      </c>
      <c r="Y1229" s="25" t="n"/>
      <c r="Z1229" s="26" t="n">
        <v>-456</v>
      </c>
      <c r="AA1229" s="28" t="n">
        <v>0.82</v>
      </c>
      <c r="AB1229" s="28" t="n">
        <v>-0.000144</v>
      </c>
      <c r="AC1229" s="30" t="n">
        <v>0.2193</v>
      </c>
      <c r="AD1229" s="24" t="inlineStr">
        <is>
          <t>2026-10-06T16:00:50.975509Z</t>
        </is>
      </c>
      <c r="AE1229" s="31" t="inlineStr">
        <is>
          <t>Surface-blended Elo on Hard: Melisa Ercan p=0.351 vs Simona Waltert. Executable ask 0.8200 (aec-wta-simwal-melerc-2026-10-05).</t>
        </is>
      </c>
      <c r="AF1229" s="31" t="inlineStr">
        <is>
          <t>Surface-blended Elo model; singles only, WTA+ATP market coverage, not yet locked-holdout qualified -- promoted by explicit operator directive, not genuine walk-forward validation.</t>
        </is>
      </c>
      <c r="AG1229" s="24" t="inlineStr">
        <is>
          <t>not_applicable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PAPER_CALL_MODEL_UNVALIDATED</t>
        </is>
      </c>
      <c r="AP1229" s="24" t="inlineStr">
        <is>
          <t>Melisa Ercan</t>
        </is>
      </c>
      <c r="AQ1229" s="24" t="inlineStr">
        <is>
          <t>Melisa Ercan</t>
        </is>
      </c>
      <c r="AR1229" s="24" t="inlineStr">
        <is>
          <t>Melisa Ercan</t>
        </is>
      </c>
      <c r="AS1229" s="24" t="inlineStr">
        <is>
          <t>Simona Waltert</t>
        </is>
      </c>
      <c r="AT1229" s="24" t="inlineStr">
        <is>
          <t>Simona Waltert</t>
        </is>
      </c>
      <c r="AU1229" s="24" t="inlineStr">
        <is>
          <t>Simona Waltert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6c67e999d2a03612e30f4032c8e5e77e8becfbc79e05f4c8993e726b90d34d54</t>
        </is>
      </c>
      <c r="BB1229" s="24" t="inlineStr">
        <is>
          <t>surface_blended_elo</t>
        </is>
      </c>
      <c r="BC1229" s="24" t="inlineStr">
        <is>
          <t>tennis-surface-elo-v1</t>
        </is>
      </c>
      <c r="BD1229" s="24" t="inlineStr">
        <is>
          <t>6c67e999d2a03612e30f4032c8e5e77e8becfbc79e05f4c8993e726b90d34d54</t>
        </is>
      </c>
      <c r="BE1229" s="24" t="inlineStr">
        <is>
          <t>tennis-surface-elo-v1</t>
        </is>
      </c>
      <c r="BF1229" s="24" t="inlineStr">
        <is>
          <t>1</t>
        </is>
      </c>
      <c r="BG1229" s="24" t="inlineStr">
        <is>
          <t>6c67e999d2a03612e30f4032c8e5e77e8becfbc79e05f4c8993e726b90d34d54</t>
        </is>
      </c>
      <c r="BH1229" s="24" t="inlineStr">
        <is>
          <t>2026-10-06T10:15:50.565150Z</t>
        </is>
      </c>
      <c r="BI1229" s="24" t="inlineStr">
        <is>
          <t>["same_event","same_team_same_day","same_league_same_day"]</t>
        </is>
      </c>
      <c r="BJ1229" s="25" t="n"/>
      <c r="BK1229" s="26" t="n">
        <v>-456</v>
      </c>
      <c r="BL1229" s="27" t="n">
        <v>1.219298</v>
      </c>
      <c r="BM1229" s="28" t="n">
        <v>0.820144</v>
      </c>
      <c r="BN1229" s="28" t="n"/>
      <c r="BO1229" s="28" t="n"/>
      <c r="BP1229" s="25" t="n"/>
      <c r="BQ1229" s="27" t="n">
        <v>1.219298</v>
      </c>
      <c r="BR1229" s="28" t="n">
        <v>0.82</v>
      </c>
      <c r="BS1229" s="28" t="n"/>
      <c r="BT1229" s="28" t="n"/>
      <c r="BU1229" s="25" t="n"/>
      <c r="BV1229" s="29" t="n"/>
      <c r="BW1229" s="24" t="n"/>
      <c r="BX1229" s="30" t="n"/>
      <c r="BY1229" s="27" t="n"/>
      <c r="BZ1229" s="24" t="n"/>
      <c r="CA1229" s="31" t="n"/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inlineStr">
        <is>
          <t>193b141d9aa86564c3df59804f9467bb15ce77df47ea61f34618406806c4e0f8</t>
        </is>
      </c>
      <c r="DE1229" s="24" t="inlineStr">
        <is>
          <t>E:\model-prediction\data\odds\tennis\2026-10-06\polymarket_snapshots.jsonl</t>
        </is>
      </c>
      <c r="DF1229" s="24" t="inlineStr">
        <is>
          <t>1207502:2026-10-06T10:15:50.565150Z</t>
        </is>
      </c>
      <c r="DG1229" s="24" t="n"/>
      <c r="DH1229" s="24" t="n"/>
      <c r="DI1229" s="24" t="n"/>
      <c r="DJ1229" s="24" t="n"/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{"artifact_hash": "6c67e999d2a03612e30f4032c8e5e77e8becfbc79e05f4c8993e726b90d34d54", "away_team": "Melisa Ercan", "event_id": "1036-2026:185241", "event_start_utc": "2026-10-06T12:00Z", "features": {"elo_p1_surface": 1462.8, "elo_p2_surface": 1575.1, "expected_games_p1": 9.04, "expected_games_p2": 13.26, "expected_total_games": 22.3, "history_matches": 16599, "min_player_matches": 9,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[1467.8605879432798, 1568.4856852784917], "players": ["Melisa Ercan", "Simona Waltert"], "sport": "TENNIS", "surface": "Hard", "surface_counts": [9, 111], "surface_ratings": [1462.8453041770401, 1575.0550945833531]}, "market_type": "moneyline", "model_version": "tennis-surface-elo-v1", "observed_at_utc": "2026-10-06T10:49:43.908743+00:00", "probabilities": {"away": 0.3505, "home": 0.6495}, "replay_scope": "Exact full-precision serving state and rounding; upstream historical observation times are not certified.", "schema": "coded-moneyline-replay-v1", "snapshot_hash": "e5198f928b5914058aa5bdd3f190575a86eca1e9032abbfea9cdc71566f81fc2", "sport": "TENNIS"}</t>
        </is>
      </c>
    </row>
    <row r="1230" ht="36" customHeight="1">
      <c r="A1230" s="24" t="inlineStr">
        <is>
          <t>c12b55cacfd6462c</t>
        </is>
      </c>
      <c r="B1230" s="24" t="inlineStr">
        <is>
          <t>2026-10-06T10:49:48.002297Z</t>
        </is>
      </c>
      <c r="C1230" s="24" t="inlineStr">
        <is>
          <t>2026-10-06T12:30Z</t>
        </is>
      </c>
      <c r="D1230" s="24" t="inlineStr">
        <is>
          <t>1036-2026:185242</t>
        </is>
      </c>
      <c r="E1230" s="24" t="inlineStr">
        <is>
          <t>TENNIS</t>
        </is>
      </c>
      <c r="F1230" s="24" t="inlineStr">
        <is>
          <t>Linda Klimovicova</t>
        </is>
      </c>
      <c r="G1230" s="24" t="inlineStr">
        <is>
          <t>Cagla Buyukakcay</t>
        </is>
      </c>
      <c r="H1230" s="24" t="inlineStr">
        <is>
          <t>moneyline</t>
        </is>
      </c>
      <c r="I1230" s="24" t="inlineStr">
        <is>
          <t>away</t>
        </is>
      </c>
      <c r="J1230" s="25" t="n"/>
      <c r="K1230" s="24" t="inlineStr">
        <is>
          <t>polymarket_us</t>
        </is>
      </c>
      <c r="L1230" s="26" t="n">
        <v>-317</v>
      </c>
      <c r="M1230" s="27" t="n">
        <v>1.315457</v>
      </c>
      <c r="N1230" s="28" t="n">
        <v>0.760192</v>
      </c>
      <c r="O1230" s="28" t="n">
        <v>0.6556</v>
      </c>
      <c r="P1230" s="28" t="n">
        <v>0.05</v>
      </c>
      <c r="Q1230" s="28" t="n">
        <v>-0.104592</v>
      </c>
      <c r="R1230" s="26" t="n">
        <v>0</v>
      </c>
      <c r="S1230" s="29" t="n">
        <v>1</v>
      </c>
      <c r="T1230" s="24" t="inlineStr">
        <is>
          <t>tennis-surface-elo-v1</t>
        </is>
      </c>
      <c r="U1230" s="24" t="inlineStr">
        <is>
          <t>settled</t>
        </is>
      </c>
      <c r="V1230" s="24" t="inlineStr">
        <is>
          <t>win</t>
        </is>
      </c>
      <c r="W1230" s="26" t="n">
        <v>1</v>
      </c>
      <c r="X1230" s="26" t="n">
        <v>0</v>
      </c>
      <c r="Y1230" s="25" t="n"/>
      <c r="Z1230" s="26" t="n">
        <v>-317</v>
      </c>
      <c r="AA1230" s="28" t="n">
        <v>0.76</v>
      </c>
      <c r="AB1230" s="28" t="n">
        <v>-0.000192</v>
      </c>
      <c r="AC1230" s="30" t="n">
        <v>0.3155</v>
      </c>
      <c r="AD1230" s="24" t="inlineStr">
        <is>
          <t>2026-10-07T16:01:43.157481Z</t>
        </is>
      </c>
      <c r="AE1230" s="31" t="inlineStr">
        <is>
          <t>Surface-blended Elo on Hard: Linda Klimovicova p=0.656 vs Cagla Buyukakcay. Executable ask 0.7600 (aec-wta-cagbuy-linkli-2026-10-05).</t>
        </is>
      </c>
      <c r="AF1230" s="31" t="inlineStr">
        <is>
          <t>Surface-blended Elo model; singles only, WTA+ATP market coverage, not yet locked-holdout qualified -- promoted by explicit operator directive, not genuine walk-forward validation.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PAPER_CALL_LOW_EDGE</t>
        </is>
      </c>
      <c r="AP1230" s="24" t="inlineStr">
        <is>
          <t>Linda Klimovicova</t>
        </is>
      </c>
      <c r="AQ1230" s="24" t="inlineStr">
        <is>
          <t>Linda Klimovicova</t>
        </is>
      </c>
      <c r="AR1230" s="24" t="inlineStr">
        <is>
          <t>Linda Klimovicova</t>
        </is>
      </c>
      <c r="AS1230" s="24" t="inlineStr">
        <is>
          <t>Cagla Buyukakcay</t>
        </is>
      </c>
      <c r="AT1230" s="24" t="inlineStr">
        <is>
          <t>Cagla Buyukakcay</t>
        </is>
      </c>
      <c r="AU1230" s="24" t="inlineStr">
        <is>
          <t>Cagla Buyukakcay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6c67e999d2a03612e30f4032c8e5e77e8becfbc79e05f4c8993e726b90d34d54</t>
        </is>
      </c>
      <c r="BB1230" s="24" t="inlineStr">
        <is>
          <t>surface_blended_elo</t>
        </is>
      </c>
      <c r="BC1230" s="24" t="inlineStr">
        <is>
          <t>tennis-surface-elo-v1</t>
        </is>
      </c>
      <c r="BD1230" s="24" t="inlineStr">
        <is>
          <t>6c67e999d2a03612e30f4032c8e5e77e8becfbc79e05f4c8993e726b90d34d54</t>
        </is>
      </c>
      <c r="BE1230" s="24" t="inlineStr">
        <is>
          <t>tennis-surface-elo-v1</t>
        </is>
      </c>
      <c r="BF1230" s="24" t="inlineStr">
        <is>
          <t>1</t>
        </is>
      </c>
      <c r="BG1230" s="24" t="inlineStr">
        <is>
          <t>6c67e999d2a03612e30f4032c8e5e77e8becfbc79e05f4c8993e726b90d34d54</t>
        </is>
      </c>
      <c r="BH1230" s="24" t="inlineStr">
        <is>
          <t>2026-10-06T10:16:51.000265Z</t>
        </is>
      </c>
      <c r="BI1230" s="24" t="inlineStr">
        <is>
          <t>["same_event","same_team_same_day","same_league_same_day"]</t>
        </is>
      </c>
      <c r="BJ1230" s="25" t="n"/>
      <c r="BK1230" s="26" t="n">
        <v>-317</v>
      </c>
      <c r="BL1230" s="27" t="n">
        <v>1.315457</v>
      </c>
      <c r="BM1230" s="28" t="n">
        <v>0.760192</v>
      </c>
      <c r="BN1230" s="28" t="n"/>
      <c r="BO1230" s="28" t="n"/>
      <c r="BP1230" s="25" t="n"/>
      <c r="BQ1230" s="27" t="n">
        <v>1.315457</v>
      </c>
      <c r="BR1230" s="28" t="n">
        <v>0.76</v>
      </c>
      <c r="BS1230" s="28" t="n"/>
      <c r="BT1230" s="28" t="n"/>
      <c r="BU1230" s="25" t="n"/>
      <c r="BV1230" s="29" t="n"/>
      <c r="BW1230" s="24" t="n"/>
      <c r="BX1230" s="30" t="n"/>
      <c r="BY1230" s="27" t="n"/>
      <c r="BZ1230" s="24" t="n"/>
      <c r="CA1230" s="31" t="n"/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False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inlineStr">
        <is>
          <t>99aae1e9441bd52d77ec54d5eac4dd4ae45f19fa6cb6d72240fd8a331a52eb46</t>
        </is>
      </c>
      <c r="DE1230" s="24" t="inlineStr">
        <is>
          <t>E:\model-prediction\data\odds\tennis\2026-10-06\polymarket_snapshots.jsonl</t>
        </is>
      </c>
      <c r="DF1230" s="24" t="inlineStr">
        <is>
          <t>1207500:2026-10-06T10:16:51.000265Z</t>
        </is>
      </c>
      <c r="DG1230" s="24" t="n"/>
      <c r="DH1230" s="24" t="n"/>
      <c r="DI1230" s="24" t="n"/>
      <c r="DJ1230" s="24" t="n"/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{"artifact_hash": "6c67e999d2a03612e30f4032c8e5e77e8becfbc79e05f4c8993e726b90d34d54", "away_team": "Linda Klimovicova", "event_id": "1036-2026:185242", "event_start_utc": "2026-10-06T12:30Z", "features": {"elo_p1_surface": 1542.4, "elo_p2_surface": 1414.1, "expected_games_p1": 13.31, "expected_games_p2": 8.01, "expected_total_games": 21.32, "history_matches": 16599, "min_player_matches": 14, "surface": "Hard"}, "historical_source_observation_times_verified": false, "home_team": "Cagla Buyukakcay", "inference_inputs": {"code_sha256": {"features/elo_ratings.py": "8525faf022a6343c452286dbfeb17dbb043744c6bdabbe448b6b371216da439b", "models/tennis.py": "6c67e999d2a03612e30f4032c8e5e77e8becfbc79e05f4c8993e726b90d34d54"}, "overall_ratings": [1503.9792519199507, 1415.3332251145134], "players": ["Linda Klimovicova", "Cagla Buyukakcay"], "sport": "TENNIS", "surface": "Hard", "surface_counts": [34, 14], "surface_ratings": [1542.4072459683437, 1414.1358654236442]}, "market_type": "moneyline", "model_version": "tennis-surface-elo-v1", "observed_at_utc": "2026-10-06T10:49:43.908743+00:00", "probabilities": {"away": 0.6556, "home": 0.3444}, "replay_scope": "Exact full-precision serving state and rounding; upstream historical observation times are not certified.", "schema": "coded-moneyline-replay-v1", "snapshot_hash": "1e86b80e9aa07da57b84db9847dfb8c4365838cb33a2f8bc0383c7e17b0fd115", "sport": "TENNIS"}</t>
        </is>
      </c>
    </row>
    <row r="1231" ht="36" customHeight="1">
      <c r="A1231" s="24" t="inlineStr">
        <is>
          <t>9a439ca39e5d49d2</t>
        </is>
      </c>
      <c r="B1231" s="24" t="inlineStr">
        <is>
          <t>2026-10-06T10:49:48.002297Z</t>
        </is>
      </c>
      <c r="C1231" s="24" t="inlineStr">
        <is>
          <t>2026-10-06T13:00Z</t>
        </is>
      </c>
      <c r="D1231" s="24" t="inlineStr">
        <is>
          <t>1036-2026:185230</t>
        </is>
      </c>
      <c r="E1231" s="24" t="inlineStr">
        <is>
          <t>TENNIS</t>
        </is>
      </c>
      <c r="F1231" s="24" t="inlineStr">
        <is>
          <t>Mariam Bolkvadze</t>
        </is>
      </c>
      <c r="G1231" s="24" t="inlineStr">
        <is>
          <t>Leolia Jeanjean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-285</v>
      </c>
      <c r="M1231" s="27" t="n">
        <v>1.350877</v>
      </c>
      <c r="N1231" s="28" t="n">
        <v>0.74026</v>
      </c>
      <c r="O1231" s="28" t="n">
        <v>0.6127</v>
      </c>
      <c r="P1231" s="28" t="n">
        <v>0.05</v>
      </c>
      <c r="Q1231" s="28" t="n">
        <v>-0.12756</v>
      </c>
      <c r="R1231" s="26" t="n">
        <v>0</v>
      </c>
      <c r="S1231" s="29" t="n">
        <v>1</v>
      </c>
      <c r="T1231" s="24" t="inlineStr">
        <is>
          <t>tennis-surface-elo-v1</t>
        </is>
      </c>
      <c r="U1231" s="24" t="inlineStr">
        <is>
          <t>settled</t>
        </is>
      </c>
      <c r="V1231" s="24" t="inlineStr">
        <is>
          <t>loss</t>
        </is>
      </c>
      <c r="W1231" s="26" t="n">
        <v>1</v>
      </c>
      <c r="X1231" s="26" t="n">
        <v>0</v>
      </c>
      <c r="Y1231" s="25" t="n"/>
      <c r="Z1231" s="26" t="n">
        <v>-285</v>
      </c>
      <c r="AA1231" s="28" t="n">
        <v>0.74</v>
      </c>
      <c r="AB1231" s="28" t="n">
        <v>-0.00026</v>
      </c>
      <c r="AC1231" s="30" t="n">
        <v>-1</v>
      </c>
      <c r="AD1231" s="24" t="inlineStr">
        <is>
          <t>2026-10-07T10:02:12.855802Z</t>
        </is>
      </c>
      <c r="AE1231" s="31" t="inlineStr">
        <is>
          <t>Surface-blended Elo on Hard: Mariam Bolkvadze p=0.387 vs Leolia Jeanjean. Executable ask 0.7400 (aec-wta-leojea-marbol-2026-10-06).</t>
        </is>
      </c>
      <c r="AF1231" s="31" t="inlineStr">
        <is>
          <t>Surface-blended Elo model; singles only, WTA+ATP market coverage, not yet locked-holdout qualified -- promoted by explicit operator directive, not genuine walk-forward validation.</t>
        </is>
      </c>
      <c r="AG1231" s="24" t="inlineStr">
        <is>
          <t>review_required</t>
        </is>
      </c>
      <c r="AH1231" s="24" t="n"/>
      <c r="AI1231" s="31" t="n"/>
      <c r="AJ1231" s="31" t="n"/>
      <c r="AK1231" s="24" t="inlineStr">
        <is>
          <t>paper_call</t>
        </is>
      </c>
      <c r="AL1231" s="26" t="n">
        <v>4</v>
      </c>
      <c r="AM1231" s="24" t="inlineStr">
        <is>
          <t>RESEARCH_OBSERVATION</t>
        </is>
      </c>
      <c r="AN1231" s="24" t="inlineStr">
        <is>
          <t>CALL</t>
        </is>
      </c>
      <c r="AO1231" s="24" t="inlineStr">
        <is>
          <t>PAPER_CALL_LOW_EDGE</t>
        </is>
      </c>
      <c r="AP1231" s="24" t="inlineStr">
        <is>
          <t>Mariam Bolkvadze</t>
        </is>
      </c>
      <c r="AQ1231" s="24" t="inlineStr">
        <is>
          <t>Mariam Bolkvadze</t>
        </is>
      </c>
      <c r="AR1231" s="24" t="inlineStr">
        <is>
          <t>Mariam Bolkvadze</t>
        </is>
      </c>
      <c r="AS1231" s="24" t="inlineStr">
        <is>
          <t>Leolia Jeanjean</t>
        </is>
      </c>
      <c r="AT1231" s="24" t="inlineStr">
        <is>
          <t>Leolia Jeanjean</t>
        </is>
      </c>
      <c r="AU1231" s="24" t="inlineStr">
        <is>
          <t>Leolia Jeanjean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6c67e999d2a03612e30f4032c8e5e77e8becfbc79e05f4c8993e726b90d34d54</t>
        </is>
      </c>
      <c r="BB1231" s="24" t="inlineStr">
        <is>
          <t>surface_blended_elo</t>
        </is>
      </c>
      <c r="BC1231" s="24" t="inlineStr">
        <is>
          <t>tennis-surface-elo-v1</t>
        </is>
      </c>
      <c r="BD1231" s="24" t="inlineStr">
        <is>
          <t>6c67e999d2a03612e30f4032c8e5e77e8becfbc79e05f4c8993e726b90d34d54</t>
        </is>
      </c>
      <c r="BE1231" s="24" t="inlineStr">
        <is>
          <t>tennis-surface-elo-v1</t>
        </is>
      </c>
      <c r="BF1231" s="24" t="inlineStr">
        <is>
          <t>1</t>
        </is>
      </c>
      <c r="BG1231" s="24" t="inlineStr">
        <is>
          <t>6c67e999d2a03612e30f4032c8e5e77e8becfbc79e05f4c8993e726b90d34d54</t>
        </is>
      </c>
      <c r="BH1231" s="24" t="inlineStr">
        <is>
          <t>2026-10-06T10:16:51.006296Z</t>
        </is>
      </c>
      <c r="BI1231" s="24" t="inlineStr">
        <is>
          <t>["same_event","same_team_same_day","same_league_same_day"]</t>
        </is>
      </c>
      <c r="BJ1231" s="25" t="n"/>
      <c r="BK1231" s="26" t="n">
        <v>-285</v>
      </c>
      <c r="BL1231" s="27" t="n">
        <v>1.350877</v>
      </c>
      <c r="BM1231" s="28" t="n">
        <v>0.74026</v>
      </c>
      <c r="BN1231" s="28" t="n"/>
      <c r="BO1231" s="28" t="n"/>
      <c r="BP1231" s="25" t="n"/>
      <c r="BQ1231" s="27" t="n">
        <v>1.350877</v>
      </c>
      <c r="BR1231" s="28" t="n">
        <v>0.74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n"/>
      <c r="CD1231" s="24" t="n"/>
      <c r="CE1231" s="24" t="n"/>
      <c r="CF1231" s="24" t="n"/>
      <c r="CG1231" s="24" t="n"/>
      <c r="CH1231" s="24" t="n"/>
      <c r="CI1231" s="24" t="n"/>
      <c r="CJ1231" s="24" t="n"/>
      <c r="CK1231" s="24" t="n"/>
      <c r="CL1231" s="24" t="n"/>
      <c r="CM1231" s="24" t="n"/>
      <c r="CN1231" s="24" t="n"/>
      <c r="CO1231" s="24" t="n"/>
      <c r="CP1231" s="24" t="n"/>
      <c r="CQ1231" s="24" t="n"/>
      <c r="CR1231" s="24" t="n"/>
      <c r="CS1231" s="24" t="inlineStr">
        <is>
          <t>False</t>
        </is>
      </c>
      <c r="CT1231" s="24" t="n"/>
      <c r="CU1231" s="24" t="n"/>
      <c r="CV1231" s="24" t="n"/>
      <c r="CW1231" s="24" t="n"/>
      <c r="CX1231" s="24" t="n"/>
      <c r="CY1231" s="24" t="n"/>
      <c r="CZ1231" s="24" t="n"/>
      <c r="DA1231" s="24" t="n"/>
      <c r="DB1231" s="24" t="n"/>
      <c r="DC1231" s="24" t="n"/>
      <c r="DD1231" s="24" t="inlineStr">
        <is>
          <t>d58767a104008f43cb9d0159761c51ca2216e0fd7556a11da697247ec9f4e0cc</t>
        </is>
      </c>
      <c r="DE1231" s="24" t="inlineStr">
        <is>
          <t>E:\model-prediction\data\odds\tennis\2026-10-06\polymarket_snapshots.jsonl</t>
        </is>
      </c>
      <c r="DF1231" s="24" t="inlineStr">
        <is>
          <t>1224440:2026-10-06T10:16:51.006296Z</t>
        </is>
      </c>
      <c r="DG1231" s="24" t="n"/>
      <c r="DH1231" s="24" t="n"/>
      <c r="DI1231" s="24" t="n"/>
      <c r="DJ1231" s="24" t="n"/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{"artifact_hash": "6c67e999d2a03612e30f4032c8e5e77e8becfbc79e05f4c8993e726b90d34d54", "away_team": "Mariam Bolkvadze", "event_id": "1036-2026:185230", "event_start_utc": "2026-10-06T13:00Z", "features": {"elo_p1_surface": 1550.0, "elo_p2_surface": 1626.2, "expected_games_p1": 10.3, "expected_games_p2": 13.26, "expected_total_games": 23.56, "history_matches": 16599, "min_player_matches": 38,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[1572.086514039065, 1678.470453588812], "players": ["Mariam Bolkvadze", "Leolia Jeanjean"], "sport": "TENNIS", "surface": "Hard", "surface_counts": [27, 102], "surface_ratings": [1550.0439962119822, 1626.1853615632654]}, "market_type": "moneyline", "model_version": "tennis-surface-elo-v1", "observed_at_utc": "2026-10-06T10:49:43.908743+00:00", "probabilities": {"away": 0.3873, "home": 0.6127}, "replay_scope": "Exact full-precision serving state and rounding; upstream historical observation times are not certified.", "schema": "coded-moneyline-replay-v1", "snapshot_hash": "3b33ef7097db2d07073d0ccdd7e298e4a040a790858de9112c57046f65ddf531", "sport": "TENNIS"}</t>
        </is>
      </c>
    </row>
    <row r="1232" ht="36" customHeight="1">
      <c r="A1232" s="24" t="inlineStr">
        <is>
          <t>7aa31b3149ba459c</t>
        </is>
      </c>
      <c r="B1232" s="24" t="inlineStr">
        <is>
          <t>2026-10-06T22:24:14.242096Z</t>
        </is>
      </c>
      <c r="C1232" s="24" t="inlineStr">
        <is>
          <t>2026-10-07T02:00Z</t>
        </is>
      </c>
      <c r="D1232" s="24" t="inlineStr">
        <is>
          <t>1029-2026:185289</t>
        </is>
      </c>
      <c r="E1232" s="24" t="inlineStr">
        <is>
          <t>TENNIS</t>
        </is>
      </c>
      <c r="F1232" s="24" t="inlineStr">
        <is>
          <t>Renata Zarazua</t>
        </is>
      </c>
      <c r="G1232" s="24" t="inlineStr">
        <is>
          <t>Darya Astakhova</t>
        </is>
      </c>
      <c r="H1232" s="24" t="inlineStr">
        <is>
          <t>moneyline</t>
        </is>
      </c>
      <c r="I1232" s="24" t="inlineStr">
        <is>
          <t>home</t>
        </is>
      </c>
      <c r="J1232" s="25" t="n"/>
      <c r="K1232" s="24" t="inlineStr">
        <is>
          <t>polymarket_us</t>
        </is>
      </c>
      <c r="L1232" s="26" t="n">
        <v>194</v>
      </c>
      <c r="M1232" s="27" t="n">
        <v>2.94</v>
      </c>
      <c r="N1232" s="28" t="n">
        <v>0.340136</v>
      </c>
      <c r="O1232" s="28" t="n">
        <v>0.5134</v>
      </c>
      <c r="P1232" s="28" t="n">
        <v>0.05</v>
      </c>
      <c r="Q1232" s="28" t="n">
        <v>0.173264</v>
      </c>
      <c r="R1232" s="26" t="n">
        <v>100</v>
      </c>
      <c r="S1232" s="29" t="n">
        <v>1.75</v>
      </c>
      <c r="T1232" s="24" t="inlineStr">
        <is>
          <t>tennis-surface-elo-v1</t>
        </is>
      </c>
      <c r="U1232" s="24" t="inlineStr">
        <is>
          <t>settled</t>
        </is>
      </c>
      <c r="V1232" s="24" t="inlineStr">
        <is>
          <t>loss</t>
        </is>
      </c>
      <c r="W1232" s="26" t="n">
        <v>1</v>
      </c>
      <c r="X1232" s="26" t="n">
        <v>0</v>
      </c>
      <c r="Y1232" s="25" t="n"/>
      <c r="Z1232" s="26" t="n">
        <v>194</v>
      </c>
      <c r="AA1232" s="28" t="n">
        <v>0.34</v>
      </c>
      <c r="AB1232" s="28" t="n">
        <v>-0.000136</v>
      </c>
      <c r="AC1232" s="30" t="n">
        <v>-1.75</v>
      </c>
      <c r="AD1232" s="24" t="inlineStr">
        <is>
          <t>2026-10-07T03:37:14.589418Z</t>
        </is>
      </c>
      <c r="AE1232" s="31" t="inlineStr">
        <is>
          <t>Surface-blended Elo on Hard: Renata Zarazua p=0.487 vs Darya Astakhova. Executable ask 0.3400 (aec-wta-darast-renzar-2026-10-06).</t>
        </is>
      </c>
      <c r="AF1232" s="31" t="inlineStr">
        <is>
          <t>Surface-blended Elo model; singles only, WTA+ATP market coverage, not yet locked-holdout qualified -- promoted by explicit operator directive, not genuine walk-forward validation.</t>
        </is>
      </c>
      <c r="AG1232" s="24" t="inlineStr">
        <is>
          <t>review_required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PAPER_CALL_LOW_EDGE</t>
        </is>
      </c>
      <c r="AP1232" s="24" t="inlineStr">
        <is>
          <t>Renata Zarazua</t>
        </is>
      </c>
      <c r="AQ1232" s="24" t="inlineStr">
        <is>
          <t>Renata Zarazua</t>
        </is>
      </c>
      <c r="AR1232" s="24" t="inlineStr">
        <is>
          <t>Renata Zarazua</t>
        </is>
      </c>
      <c r="AS1232" s="24" t="inlineStr">
        <is>
          <t>Darya Astakhova</t>
        </is>
      </c>
      <c r="AT1232" s="24" t="inlineStr">
        <is>
          <t>Darya Astakhova</t>
        </is>
      </c>
      <c r="AU1232" s="24" t="inlineStr">
        <is>
          <t>Darya Astakhova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6c67e999d2a03612e30f4032c8e5e77e8becfbc79e05f4c8993e726b90d34d54</t>
        </is>
      </c>
      <c r="BB1232" s="24" t="inlineStr">
        <is>
          <t>surface_blended_elo</t>
        </is>
      </c>
      <c r="BC1232" s="24" t="inlineStr">
        <is>
          <t>tennis-surface-elo-v1</t>
        </is>
      </c>
      <c r="BD1232" s="24" t="inlineStr">
        <is>
          <t>6c67e999d2a03612e30f4032c8e5e77e8becfbc79e05f4c8993e726b90d34d54</t>
        </is>
      </c>
      <c r="BE1232" s="24" t="inlineStr">
        <is>
          <t>tennis-surface-elo-v1</t>
        </is>
      </c>
      <c r="BF1232" s="24" t="inlineStr">
        <is>
          <t>1</t>
        </is>
      </c>
      <c r="BG1232" s="24" t="inlineStr">
        <is>
          <t>6c67e999d2a03612e30f4032c8e5e77e8becfbc79e05f4c8993e726b90d34d54</t>
        </is>
      </c>
      <c r="BH1232" s="24" t="inlineStr">
        <is>
          <t>2026-10-06T22:17:14.736988Z</t>
        </is>
      </c>
      <c r="BI1232" s="24" t="inlineStr">
        <is>
          <t>["same_event","same_team_same_day","same_league_same_day"]</t>
        </is>
      </c>
      <c r="BJ1232" s="25" t="n"/>
      <c r="BK1232" s="26" t="n">
        <v>194</v>
      </c>
      <c r="BL1232" s="27" t="n">
        <v>2.94</v>
      </c>
      <c r="BM1232" s="28" t="n">
        <v>0.340136</v>
      </c>
      <c r="BN1232" s="28" t="n"/>
      <c r="BO1232" s="28" t="n"/>
      <c r="BP1232" s="25" t="n"/>
      <c r="BQ1232" s="27" t="n">
        <v>2.94</v>
      </c>
      <c r="BR1232" s="28" t="n">
        <v>0.34</v>
      </c>
      <c r="BS1232" s="28" t="n"/>
      <c r="BT1232" s="28" t="n"/>
      <c r="BU1232" s="25" t="n"/>
      <c r="BV1232" s="29" t="n"/>
      <c r="BW1232" s="24" t="n"/>
      <c r="BX1232" s="30" t="n"/>
      <c r="BY1232" s="27" t="n"/>
      <c r="BZ1232" s="24" t="n"/>
      <c r="CA1232" s="31" t="n"/>
      <c r="CB1232" s="24" t="n"/>
      <c r="CC1232" s="24" t="n"/>
      <c r="CD1232" s="24" t="n"/>
      <c r="CE1232" s="24" t="n"/>
      <c r="CF1232" s="24" t="n"/>
      <c r="CG1232" s="24" t="n"/>
      <c r="CH1232" s="24" t="n"/>
      <c r="CI1232" s="24" t="n"/>
      <c r="CJ1232" s="24" t="n"/>
      <c r="CK1232" s="24" t="n"/>
      <c r="CL1232" s="24" t="n"/>
      <c r="CM1232" s="24" t="n"/>
      <c r="CN1232" s="24" t="n"/>
      <c r="CO1232" s="24" t="n"/>
      <c r="CP1232" s="24" t="n"/>
      <c r="CQ1232" s="24" t="n"/>
      <c r="CR1232" s="24" t="n"/>
      <c r="CS1232" s="24" t="inlineStr">
        <is>
          <t>True</t>
        </is>
      </c>
      <c r="CT1232" s="24" t="n"/>
      <c r="CU1232" s="24" t="n"/>
      <c r="CV1232" s="24" t="n"/>
      <c r="CW1232" s="24" t="n"/>
      <c r="CX1232" s="24" t="n"/>
      <c r="CY1232" s="24" t="n"/>
      <c r="CZ1232" s="24" t="n"/>
      <c r="DA1232" s="24" t="n"/>
      <c r="DB1232" s="24" t="n"/>
      <c r="DC1232" s="24" t="n"/>
      <c r="DD1232" s="24" t="inlineStr">
        <is>
          <t>2c3f11654910e22dbdb20f87c17c8c097c85b5f0be23570a9d63f91d33af287b</t>
        </is>
      </c>
      <c r="DE1232" s="24" t="inlineStr">
        <is>
          <t>E:\model-prediction\data\odds\tennis\2026-10-06\polymarket_snapshots.jsonl</t>
        </is>
      </c>
      <c r="DF1232" s="24" t="inlineStr">
        <is>
          <t>1243048:2026-10-06T22:17:14.736988Z</t>
        </is>
      </c>
      <c r="DG1232" s="24" t="n"/>
      <c r="DH1232" s="24" t="n"/>
      <c r="DI1232" s="24" t="n"/>
      <c r="DJ1232" s="24" t="n"/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{"artifact_hash": "6c67e999d2a03612e30f4032c8e5e77e8becfbc79e05f4c8993e726b90d34d54", "away_team": "Renata Zarazua", "event_id": "1029-2026:185289", "event_start_utc": "2026-10-07T02:00Z", "features": {"elo_p1_surface": 1494.7, "elo_p2_surface": 1506.9, "expected_games_p1": 12.27, "expected_games_p2": 12.5, "expected_total_games": 24.77, "history_matches": 16599, "min_player_matches": 28,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[1505.2304824827315, 1506.2695015682007], "players": ["Renata Zarazua", "Darya Astakhova"], "sport": "TENNIS", "surface": "Hard", "surface_counts": [117, 25], "surface_ratings": [1494.6873360984264, 1506.9014327265436]}, "market_type": "moneyline", "model_version": "tennis-surface-elo-v1", "observed_at_utc": "2026-10-06T22:24:10.044540+00:00", "probabilities": {"away": 0.4866, "home": 0.5134}, "replay_scope": "Exact full-precision serving state and rounding; upstream historical observation times are not certified.", "schema": "coded-moneyline-replay-v1", "snapshot_hash": "ce5f56be1ee8a930ba338db8b5c8a19e3de8fc7727a28e414a8bbde5988a7909", "sport": "TENNIS"}</t>
        </is>
      </c>
    </row>
    <row r="1233" ht="36" customHeight="1">
      <c r="A1233" s="24" t="inlineStr">
        <is>
          <t>b0fc4d3f0e6c4947</t>
        </is>
      </c>
      <c r="B1233" s="24" t="inlineStr">
        <is>
          <t>2026-10-06T22:24:14.242096Z</t>
        </is>
      </c>
      <c r="C1233" s="24" t="inlineStr">
        <is>
          <t>2026-10-07T02:00Z</t>
        </is>
      </c>
      <c r="D1233" s="24" t="inlineStr">
        <is>
          <t>1029-2026:185285</t>
        </is>
      </c>
      <c r="E1233" s="24" t="inlineStr">
        <is>
          <t>TENNIS</t>
        </is>
      </c>
      <c r="F1233" s="24" t="inlineStr">
        <is>
          <t>Claire Liu</t>
        </is>
      </c>
      <c r="G1233" s="24" t="inlineStr">
        <is>
          <t>Rebecca Sramkova</t>
        </is>
      </c>
      <c r="H1233" s="24" t="inlineStr">
        <is>
          <t>moneyline</t>
        </is>
      </c>
      <c r="I1233" s="24" t="inlineStr">
        <is>
          <t>away</t>
        </is>
      </c>
      <c r="J1233" s="25" t="n"/>
      <c r="K1233" s="24" t="inlineStr">
        <is>
          <t>polymarket_us</t>
        </is>
      </c>
      <c r="L1233" s="26" t="n">
        <v>-203</v>
      </c>
      <c r="M1233" s="27" t="n">
        <v>1.492611</v>
      </c>
      <c r="N1233" s="28" t="n">
        <v>0.669967</v>
      </c>
      <c r="O1233" s="28" t="n">
        <v>0.5813</v>
      </c>
      <c r="P1233" s="28" t="n">
        <v>0.05</v>
      </c>
      <c r="Q1233" s="28" t="n">
        <v>-0.088667</v>
      </c>
      <c r="R1233" s="26" t="n">
        <v>0</v>
      </c>
      <c r="S1233" s="29" t="n">
        <v>1</v>
      </c>
      <c r="T1233" s="24" t="inlineStr">
        <is>
          <t>tennis-surface-elo-v1</t>
        </is>
      </c>
      <c r="U1233" s="24" t="inlineStr">
        <is>
          <t>settled</t>
        </is>
      </c>
      <c r="V1233" s="24" t="inlineStr">
        <is>
          <t>loss</t>
        </is>
      </c>
      <c r="W1233" s="26" t="n">
        <v>0</v>
      </c>
      <c r="X1233" s="26" t="n">
        <v>1</v>
      </c>
      <c r="Y1233" s="25" t="n"/>
      <c r="Z1233" s="26" t="n">
        <v>-203</v>
      </c>
      <c r="AA1233" s="28" t="n">
        <v>0.67</v>
      </c>
      <c r="AB1233" s="28" t="n">
        <v>3.3e-05</v>
      </c>
      <c r="AC1233" s="30" t="n">
        <v>-1</v>
      </c>
      <c r="AD1233" s="24" t="inlineStr">
        <is>
          <t>2026-10-07T04:30:35.759129Z</t>
        </is>
      </c>
      <c r="AE1233" s="31" t="inlineStr">
        <is>
          <t>Surface-blended Elo on Hard: Claire Liu p=0.581 vs Rebecca Sramkova. Executable ask 0.6700 (aec-wta-rebsra-claliu-2026-10-05).</t>
        </is>
      </c>
      <c r="AF1233" s="31" t="inlineStr">
        <is>
          <t>Surface-blended Elo model; singles only, WTA+ATP market coverage, not yet locked-holdout qualified -- promoted by explicit operator directive, not genuine walk-forward validation.</t>
        </is>
      </c>
      <c r="AG1233" s="24" t="inlineStr">
        <is>
          <t>review_required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PAPER_CALL_LOW_EDGE</t>
        </is>
      </c>
      <c r="AP1233" s="24" t="inlineStr">
        <is>
          <t>Claire Liu</t>
        </is>
      </c>
      <c r="AQ1233" s="24" t="inlineStr">
        <is>
          <t>Claire Liu</t>
        </is>
      </c>
      <c r="AR1233" s="24" t="inlineStr">
        <is>
          <t>Claire Liu</t>
        </is>
      </c>
      <c r="AS1233" s="24" t="inlineStr">
        <is>
          <t>Rebecca Sramkova</t>
        </is>
      </c>
      <c r="AT1233" s="24" t="inlineStr">
        <is>
          <t>Rebecca Sramkova</t>
        </is>
      </c>
      <c r="AU1233" s="24" t="inlineStr">
        <is>
          <t>Rebecca Sramkova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6c67e999d2a03612e30f4032c8e5e77e8becfbc79e05f4c8993e726b90d34d54</t>
        </is>
      </c>
      <c r="BB1233" s="24" t="inlineStr">
        <is>
          <t>surface_blended_elo</t>
        </is>
      </c>
      <c r="BC1233" s="24" t="inlineStr">
        <is>
          <t>tennis-surface-elo-v1</t>
        </is>
      </c>
      <c r="BD1233" s="24" t="inlineStr">
        <is>
          <t>6c67e999d2a03612e30f4032c8e5e77e8becfbc79e05f4c8993e726b90d34d54</t>
        </is>
      </c>
      <c r="BE1233" s="24" t="inlineStr">
        <is>
          <t>tennis-surface-elo-v1</t>
        </is>
      </c>
      <c r="BF1233" s="24" t="inlineStr">
        <is>
          <t>1</t>
        </is>
      </c>
      <c r="BG1233" s="24" t="inlineStr">
        <is>
          <t>6c67e999d2a03612e30f4032c8e5e77e8becfbc79e05f4c8993e726b90d34d54</t>
        </is>
      </c>
      <c r="BH1233" s="24" t="inlineStr">
        <is>
          <t>2026-10-06T16:16:00.793893Z</t>
        </is>
      </c>
      <c r="BI1233" s="24" t="inlineStr">
        <is>
          <t>["same_event","same_team_same_day","same_league_same_day"]</t>
        </is>
      </c>
      <c r="BJ1233" s="25" t="n"/>
      <c r="BK1233" s="26" t="n">
        <v>-203</v>
      </c>
      <c r="BL1233" s="27" t="n">
        <v>1.492611</v>
      </c>
      <c r="BM1233" s="28" t="n">
        <v>0.669967</v>
      </c>
      <c r="BN1233" s="28" t="n"/>
      <c r="BO1233" s="28" t="n"/>
      <c r="BP1233" s="25" t="n"/>
      <c r="BQ1233" s="27" t="n">
        <v>1.492611</v>
      </c>
      <c r="BR1233" s="28" t="n">
        <v>0.67</v>
      </c>
      <c r="BS1233" s="28" t="n"/>
      <c r="BT1233" s="28" t="n"/>
      <c r="BU1233" s="25" t="n"/>
      <c r="BV1233" s="29" t="n"/>
      <c r="BW1233" s="24" t="n"/>
      <c r="BX1233" s="30" t="n"/>
      <c r="BY1233" s="27" t="n"/>
      <c r="BZ1233" s="24" t="n"/>
      <c r="CA1233" s="31" t="n"/>
      <c r="CB1233" s="24" t="n"/>
      <c r="CC1233" s="24" t="n"/>
      <c r="CD1233" s="24" t="n"/>
      <c r="CE1233" s="24" t="n"/>
      <c r="CF1233" s="24" t="n"/>
      <c r="CG1233" s="24" t="n"/>
      <c r="CH1233" s="24" t="n"/>
      <c r="CI1233" s="24" t="n"/>
      <c r="CJ1233" s="24" t="n"/>
      <c r="CK1233" s="24" t="n"/>
      <c r="CL1233" s="24" t="n"/>
      <c r="CM1233" s="24" t="n"/>
      <c r="CN1233" s="24" t="n"/>
      <c r="CO1233" s="24" t="n"/>
      <c r="CP1233" s="24" t="n"/>
      <c r="CQ1233" s="24" t="n"/>
      <c r="CR1233" s="24" t="n"/>
      <c r="CS1233" s="24" t="inlineStr">
        <is>
          <t>False</t>
        </is>
      </c>
      <c r="CT1233" s="24" t="n"/>
      <c r="CU1233" s="24" t="n"/>
      <c r="CV1233" s="24" t="n"/>
      <c r="CW1233" s="24" t="n"/>
      <c r="CX1233" s="24" t="n"/>
      <c r="CY1233" s="24" t="n"/>
      <c r="CZ1233" s="24" t="n"/>
      <c r="DA1233" s="24" t="n"/>
      <c r="DB1233" s="24" t="n"/>
      <c r="DC1233" s="24" t="n"/>
      <c r="DD1233" s="24" t="inlineStr">
        <is>
          <t>d2ca7703898127f610327ca05f7c485a971f79180bce1828cb0b50cc7e341e28</t>
        </is>
      </c>
      <c r="DE1233" s="24" t="inlineStr">
        <is>
          <t>E:\model-prediction\data\odds\tennis\2026-10-06\polymarket_snapshots.jsonl</t>
        </is>
      </c>
      <c r="DF1233" s="24" t="inlineStr">
        <is>
          <t>1222554:2026-10-06T16:16:00.793893Z</t>
        </is>
      </c>
      <c r="DG1233" s="24" t="n"/>
      <c r="DH1233" s="24" t="n"/>
      <c r="DI1233" s="24" t="n"/>
      <c r="DJ1233" s="24" t="n"/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{"artifact_hash": "6c67e999d2a03612e30f4032c8e5e77e8becfbc79e05f4c8993e726b90d34d54", "away_team": "Claire Liu", "event_id": "1029-2026:185285", "event_start_utc": "2026-10-07T02:00Z", "features": {"elo_p1_surface": 1589.0, "elo_p2_surface": 1550.8, "expected_games_p1": 13.2, "expected_games_p2": 11.16, "expected_total_games": 24.35, "history_matches": 16599, "min_player_matches": 81, "surface": "Hard"}, "historical_source_observation_times_verified": false, "home_team": "Rebecca Sramkova", "inference_inputs": {"code_sha256": {"features/elo_ratings.py": "8525faf022a6343c452286dbfeb17dbb043744c6bdabbe448b6b371216da439b", "models/tennis.py": "6c67e999d2a03612e30f4032c8e5e77e8becfbc79e05f4c8993e726b90d34d54"}, "overall_ratings": [1652.3335856726, 1552.751020658999], "players": ["Claire Liu", "Rebecca Sramkova"], "sport": "TENNIS", "surface": "Hard", "surface_counts": [68, 114], "surface_ratings": [1589.0114710749774, 1550.7654245992621]}, "market_type": "moneyline", "model_version": "tennis-surface-elo-v1", "observed_at_utc": "2026-10-06T22:24:10.044540+00:00", "probabilities": {"away": 0.5813, "home": 0.4187}, "replay_scope": "Exact full-precision serving state and rounding; upstream historical observation times are not certified.", "schema": "coded-moneyline-replay-v1", "snapshot_hash": "820ce008407259f78d6911a90c531fa3055164017c106d6f9d91ade8c29c6d7e", "sport": "TENNIS"}</t>
        </is>
      </c>
    </row>
    <row r="1234" ht="36" customHeight="1">
      <c r="A1234" s="24" t="inlineStr">
        <is>
          <t>9ea9e887099f4b41</t>
        </is>
      </c>
      <c r="B1234" s="24" t="inlineStr">
        <is>
          <t>2026-10-06T22:24:14.242096Z</t>
        </is>
      </c>
      <c r="C1234" s="24" t="inlineStr">
        <is>
          <t>2026-10-07T03:30Z</t>
        </is>
      </c>
      <c r="D1234" s="24" t="inlineStr">
        <is>
          <t>1029-2026:185275</t>
        </is>
      </c>
      <c r="E1234" s="24" t="inlineStr">
        <is>
          <t>TENNIS</t>
        </is>
      </c>
      <c r="F1234" s="24" t="inlineStr">
        <is>
          <t>Kyoka Okamura</t>
        </is>
      </c>
      <c r="G1234" s="24" t="inlineStr">
        <is>
          <t>Tatiana Prozorova</t>
        </is>
      </c>
      <c r="H1234" s="24" t="inlineStr">
        <is>
          <t>moneyline</t>
        </is>
      </c>
      <c r="I1234" s="24" t="inlineStr">
        <is>
          <t>home</t>
        </is>
      </c>
      <c r="J1234" s="25" t="n"/>
      <c r="K1234" s="24" t="inlineStr">
        <is>
          <t>polymarket_us</t>
        </is>
      </c>
      <c r="L1234" s="26" t="n">
        <v>-335</v>
      </c>
      <c r="M1234" s="27" t="n">
        <v>1.298507</v>
      </c>
      <c r="N1234" s="28" t="n">
        <v>0.770115</v>
      </c>
      <c r="O1234" s="28" t="n">
        <v>0.6235000000000001</v>
      </c>
      <c r="P1234" s="28" t="n">
        <v>0.05</v>
      </c>
      <c r="Q1234" s="28" t="n">
        <v>-0.146615</v>
      </c>
      <c r="R1234" s="26" t="n">
        <v>0</v>
      </c>
      <c r="S1234" s="29" t="n">
        <v>1</v>
      </c>
      <c r="T1234" s="24" t="inlineStr">
        <is>
          <t>tennis-surface-elo-v1</t>
        </is>
      </c>
      <c r="U1234" s="24" t="inlineStr">
        <is>
          <t>settled</t>
        </is>
      </c>
      <c r="V1234" s="24" t="inlineStr">
        <is>
          <t>loss</t>
        </is>
      </c>
      <c r="W1234" s="26" t="n">
        <v>1</v>
      </c>
      <c r="X1234" s="26" t="n">
        <v>0</v>
      </c>
      <c r="Y1234" s="25" t="n"/>
      <c r="Z1234" s="26" t="n">
        <v>-335</v>
      </c>
      <c r="AA1234" s="28" t="n">
        <v>0.77</v>
      </c>
      <c r="AB1234" s="28" t="n">
        <v>-0.000115</v>
      </c>
      <c r="AC1234" s="30" t="n">
        <v>-1</v>
      </c>
      <c r="AD1234" s="24" t="inlineStr">
        <is>
          <t>2026-10-07T10:03:03.087551Z</t>
        </is>
      </c>
      <c r="AE1234" s="31" t="inlineStr">
        <is>
          <t>Surface-blended Elo on Hard: Kyoka Okamura p=0.377 vs Tatiana Prozorova. Executable ask 0.7700 (aec-wta-tatpro-kyooka-2026-10-06).</t>
        </is>
      </c>
      <c r="AF1234" s="31" t="inlineStr">
        <is>
          <t>Surface-blended Elo model; singles only, WTA+ATP market coverage, not yet locked-holdout qualified -- promoted by explicit operator directive, not genuine walk-forward validation.</t>
        </is>
      </c>
      <c r="AG1234" s="24" t="inlineStr">
        <is>
          <t>review_required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PAPER_CALL_LOW_EDGE</t>
        </is>
      </c>
      <c r="AP1234" s="24" t="inlineStr">
        <is>
          <t>Kyoka Okamura</t>
        </is>
      </c>
      <c r="AQ1234" s="24" t="inlineStr">
        <is>
          <t>Kyoka Okamura</t>
        </is>
      </c>
      <c r="AR1234" s="24" t="inlineStr">
        <is>
          <t>Kyoka Okamura</t>
        </is>
      </c>
      <c r="AS1234" s="24" t="inlineStr">
        <is>
          <t>Tatiana Prozorova</t>
        </is>
      </c>
      <c r="AT1234" s="24" t="inlineStr">
        <is>
          <t>Tatiana Prozorova</t>
        </is>
      </c>
      <c r="AU1234" s="24" t="inlineStr">
        <is>
          <t>Tatiana Prozorova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6c67e999d2a03612e30f4032c8e5e77e8becfbc79e05f4c8993e726b90d34d54</t>
        </is>
      </c>
      <c r="BB1234" s="24" t="inlineStr">
        <is>
          <t>surface_blended_elo</t>
        </is>
      </c>
      <c r="BC1234" s="24" t="inlineStr">
        <is>
          <t>tennis-surface-elo-v1</t>
        </is>
      </c>
      <c r="BD1234" s="24" t="inlineStr">
        <is>
          <t>6c67e999d2a03612e30f4032c8e5e77e8becfbc79e05f4c8993e726b90d34d54</t>
        </is>
      </c>
      <c r="BE1234" s="24" t="inlineStr">
        <is>
          <t>tennis-surface-elo-v1</t>
        </is>
      </c>
      <c r="BF1234" s="24" t="inlineStr">
        <is>
          <t>1</t>
        </is>
      </c>
      <c r="BG1234" s="24" t="inlineStr">
        <is>
          <t>6c67e999d2a03612e30f4032c8e5e77e8becfbc79e05f4c8993e726b90d34d54</t>
        </is>
      </c>
      <c r="BH1234" s="24" t="inlineStr">
        <is>
          <t>2026-10-06T16:16:00.765461Z</t>
        </is>
      </c>
      <c r="BI1234" s="24" t="inlineStr">
        <is>
          <t>["same_event","same_team_same_day","same_league_same_day"]</t>
        </is>
      </c>
      <c r="BJ1234" s="25" t="n"/>
      <c r="BK1234" s="26" t="n">
        <v>-335</v>
      </c>
      <c r="BL1234" s="27" t="n">
        <v>1.298507</v>
      </c>
      <c r="BM1234" s="28" t="n">
        <v>0.770115</v>
      </c>
      <c r="BN1234" s="28" t="n"/>
      <c r="BO1234" s="28" t="n"/>
      <c r="BP1234" s="25" t="n"/>
      <c r="BQ1234" s="27" t="n">
        <v>1.298507</v>
      </c>
      <c r="BR1234" s="28" t="n">
        <v>0.77</v>
      </c>
      <c r="BS1234" s="28" t="n"/>
      <c r="BT1234" s="28" t="n"/>
      <c r="BU1234" s="25" t="n"/>
      <c r="BV1234" s="29" t="n"/>
      <c r="BW1234" s="24" t="n"/>
      <c r="BX1234" s="30" t="n"/>
      <c r="BY1234" s="27" t="n"/>
      <c r="BZ1234" s="24" t="n"/>
      <c r="CA1234" s="31" t="n"/>
      <c r="CB1234" s="24" t="n"/>
      <c r="CC1234" s="24" t="n"/>
      <c r="CD1234" s="24" t="n"/>
      <c r="CE1234" s="24" t="n"/>
      <c r="CF1234" s="24" t="n"/>
      <c r="CG1234" s="24" t="n"/>
      <c r="CH1234" s="24" t="n"/>
      <c r="CI1234" s="24" t="n"/>
      <c r="CJ1234" s="24" t="n"/>
      <c r="CK1234" s="24" t="n"/>
      <c r="CL1234" s="24" t="n"/>
      <c r="CM1234" s="24" t="n"/>
      <c r="CN1234" s="24" t="n"/>
      <c r="CO1234" s="24" t="n"/>
      <c r="CP1234" s="24" t="n"/>
      <c r="CQ1234" s="24" t="n"/>
      <c r="CR1234" s="24" t="n"/>
      <c r="CS1234" s="24" t="inlineStr">
        <is>
          <t>False</t>
        </is>
      </c>
      <c r="CT1234" s="24" t="n"/>
      <c r="CU1234" s="24" t="n"/>
      <c r="CV1234" s="24" t="n"/>
      <c r="CW1234" s="24" t="n"/>
      <c r="CX1234" s="24" t="n"/>
      <c r="CY1234" s="24" t="n"/>
      <c r="CZ1234" s="24" t="n"/>
      <c r="DA1234" s="24" t="n"/>
      <c r="DB1234" s="24" t="n"/>
      <c r="DC1234" s="24" t="n"/>
      <c r="DD1234" s="24" t="inlineStr">
        <is>
          <t>6b71b4b9e078db964f9aa59aa5f405a492124779cb8a2b6a5038cd011e060ec1</t>
        </is>
      </c>
      <c r="DE1234" s="24" t="inlineStr">
        <is>
          <t>E:\model-prediction\data\odds\tennis\2026-10-06\polymarket_snapshots.jsonl</t>
        </is>
      </c>
      <c r="DF1234" s="24" t="inlineStr">
        <is>
          <t>1244541:2026-10-06T16:16:00.765461Z</t>
        </is>
      </c>
      <c r="DG1234" s="24" t="n"/>
      <c r="DH1234" s="24" t="n"/>
      <c r="DI1234" s="24" t="n"/>
      <c r="DJ1234" s="24" t="n"/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{"artifact_hash": "6c67e999d2a03612e30f4032c8e5e77e8becfbc79e05f4c8993e726b90d34d54", "away_team": "Kyoka Okamura", "event_id": "1029-2026:185275", "event_start_utc": "2026-10-07T03:30Z", "features": {"elo_p1_surface": 1552.8, "elo_p2_surface": 1640.2, "expected_games_p1": 9.91, "expected_games_p2": 13.29, "expected_total_games": 23.19, "history_matches": 16599, "min_player_matches": 52, "surface": "Hard"}, "historical_source_observation_times_verified": false, "home_team": "Tatiana Prozorova", "inference_inputs": {"code_sha256": {"features/elo_ratings.py": "8525faf022a6343c452286dbfeb17dbb043744c6bdabbe448b6b371216da439b", "models/tennis.py": "6c67e999d2a03612e30f4032c8e5e77e8becfbc79e05f4c8993e726b90d34d54"}, "overall_ratings": [1539.9633230267318, 1626.2391147221958], "players": ["Kyoka Okamura", "Tatiana Prozorova"], "sport": "TENNIS", "surface": "Hard", "surface_counts": [49, 66], "surface_ratings": [1552.7710010582714, 1640.218157550625]}, "market_type": "moneyline", "model_version": "tennis-surface-elo-v1", "observed_at_utc": "2026-10-06T22:24:10.044540+00:00", "probabilities": {"away": 0.3765, "home": 0.6235}, "replay_scope": "Exact full-precision serving state and rounding; upstream historical observation times are not certified.", "schema": "coded-moneyline-replay-v1", "snapshot_hash": "6d18227e18cb59e5f3df024c7a620cee4396bc1fb4443514ac45a8333fb6c2c8", "sport": "TENNIS"}</t>
        </is>
      </c>
    </row>
    <row r="1235" ht="36" customHeight="1">
      <c r="A1235" s="24" t="inlineStr">
        <is>
          <t>4f0c7018c7fa40af</t>
        </is>
      </c>
      <c r="B1235" s="24" t="inlineStr">
        <is>
          <t>2026-10-06T22:24:14.242096Z</t>
        </is>
      </c>
      <c r="C1235" s="24" t="inlineStr">
        <is>
          <t>2026-10-07T03:30Z</t>
        </is>
      </c>
      <c r="D1235" s="24" t="inlineStr">
        <is>
          <t>1029-2026:185278</t>
        </is>
      </c>
      <c r="E1235" s="24" t="inlineStr">
        <is>
          <t>TENNIS</t>
        </is>
      </c>
      <c r="F1235" s="24" t="inlineStr">
        <is>
          <t>Aliaksandra Sasnovich</t>
        </is>
      </c>
      <c r="G1235" s="24" t="inlineStr">
        <is>
          <t>Linda Fruhvirtova</t>
        </is>
      </c>
      <c r="H1235" s="24" t="inlineStr">
        <is>
          <t>moneyline</t>
        </is>
      </c>
      <c r="I1235" s="24" t="inlineStr">
        <is>
          <t>away</t>
        </is>
      </c>
      <c r="J1235" s="25" t="n"/>
      <c r="K1235" s="24" t="inlineStr">
        <is>
          <t>polymarket_us</t>
        </is>
      </c>
      <c r="L1235" s="26" t="n">
        <v>-203</v>
      </c>
      <c r="M1235" s="27" t="n">
        <v>1.492611</v>
      </c>
      <c r="N1235" s="28" t="n">
        <v>0.669967</v>
      </c>
      <c r="O1235" s="28" t="n">
        <v>0.6655</v>
      </c>
      <c r="P1235" s="28" t="n">
        <v>0.05</v>
      </c>
      <c r="Q1235" s="28" t="n">
        <v>-0.004467</v>
      </c>
      <c r="R1235" s="26" t="n">
        <v>18</v>
      </c>
      <c r="S1235" s="29" t="n">
        <v>1</v>
      </c>
      <c r="T1235" s="24" t="inlineStr">
        <is>
          <t>tennis-surface-elo-v1</t>
        </is>
      </c>
      <c r="U1235" s="24" t="inlineStr">
        <is>
          <t>settled</t>
        </is>
      </c>
      <c r="V1235" s="24" t="inlineStr">
        <is>
          <t>win</t>
        </is>
      </c>
      <c r="W1235" s="26" t="n">
        <v>1</v>
      </c>
      <c r="X1235" s="26" t="n">
        <v>0</v>
      </c>
      <c r="Y1235" s="25" t="n"/>
      <c r="Z1235" s="26" t="n">
        <v>-203</v>
      </c>
      <c r="AA1235" s="28" t="n">
        <v>0.67</v>
      </c>
      <c r="AB1235" s="28" t="n">
        <v>3.3e-05</v>
      </c>
      <c r="AC1235" s="30" t="n">
        <v>0.4926</v>
      </c>
      <c r="AD1235" s="24" t="inlineStr">
        <is>
          <t>2026-10-07T10:03:08.816559Z</t>
        </is>
      </c>
      <c r="AE1235" s="31" t="inlineStr">
        <is>
          <t>Surface-blended Elo on Hard: Aliaksandra Sasnovich p=0.665 vs Linda Fruhvirtova. Executable ask 0.6700 (aec-wta-linfru-alisas-2026-10-06).</t>
        </is>
      </c>
      <c r="AF1235" s="31" t="inlineStr">
        <is>
          <t>Surface-blended Elo model; singles only, WTA+ATP market coverage, not yet locked-holdout qualified -- promoted by explicit operator directive, not genuine walk-forward validation.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paper_call</t>
        </is>
      </c>
      <c r="AL1235" s="26" t="n">
        <v>4</v>
      </c>
      <c r="AM1235" s="24" t="inlineStr">
        <is>
          <t>RESEARCH_OBSERVATION</t>
        </is>
      </c>
      <c r="AN1235" s="24" t="inlineStr">
        <is>
          <t>CALL</t>
        </is>
      </c>
      <c r="AO1235" s="24" t="inlineStr">
        <is>
          <t>PAPER_CALL_LOW_EDGE</t>
        </is>
      </c>
      <c r="AP1235" s="24" t="inlineStr">
        <is>
          <t>Aliaksandra Sasnovich</t>
        </is>
      </c>
      <c r="AQ1235" s="24" t="inlineStr">
        <is>
          <t>Aliaksandra Sasnovich</t>
        </is>
      </c>
      <c r="AR1235" s="24" t="inlineStr">
        <is>
          <t>Aliaksandra Sasnovich</t>
        </is>
      </c>
      <c r="AS1235" s="24" t="inlineStr">
        <is>
          <t>Linda Fruhvirtova</t>
        </is>
      </c>
      <c r="AT1235" s="24" t="inlineStr">
        <is>
          <t>Linda Fruhvirtova</t>
        </is>
      </c>
      <c r="AU1235" s="24" t="inlineStr">
        <is>
          <t>Linda Fruhvirtova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6c67e999d2a03612e30f4032c8e5e77e8becfbc79e05f4c8993e726b90d34d54</t>
        </is>
      </c>
      <c r="BB1235" s="24" t="inlineStr">
        <is>
          <t>surface_blended_elo</t>
        </is>
      </c>
      <c r="BC1235" s="24" t="inlineStr">
        <is>
          <t>tennis-surface-elo-v1</t>
        </is>
      </c>
      <c r="BD1235" s="24" t="inlineStr">
        <is>
          <t>6c67e999d2a03612e30f4032c8e5e77e8becfbc79e05f4c8993e726b90d34d54</t>
        </is>
      </c>
      <c r="BE1235" s="24" t="inlineStr">
        <is>
          <t>tennis-surface-elo-v1</t>
        </is>
      </c>
      <c r="BF1235" s="24" t="inlineStr">
        <is>
          <t>1</t>
        </is>
      </c>
      <c r="BG1235" s="24" t="inlineStr">
        <is>
          <t>6c67e999d2a03612e30f4032c8e5e77e8becfbc79e05f4c8993e726b90d34d54</t>
        </is>
      </c>
      <c r="BH1235" s="24" t="inlineStr">
        <is>
          <t>2026-10-06T16:16:00.771006Z</t>
        </is>
      </c>
      <c r="BI1235" s="24" t="inlineStr">
        <is>
          <t>["same_event","same_team_same_day","same_league_same_day"]</t>
        </is>
      </c>
      <c r="BJ1235" s="25" t="n"/>
      <c r="BK1235" s="26" t="n">
        <v>-203</v>
      </c>
      <c r="BL1235" s="27" t="n">
        <v>1.492611</v>
      </c>
      <c r="BM1235" s="28" t="n">
        <v>0.669967</v>
      </c>
      <c r="BN1235" s="28" t="n"/>
      <c r="BO1235" s="28" t="n"/>
      <c r="BP1235" s="25" t="n"/>
      <c r="BQ1235" s="27" t="n">
        <v>1.492611</v>
      </c>
      <c r="BR1235" s="28" t="n">
        <v>0.67</v>
      </c>
      <c r="BS1235" s="28" t="n"/>
      <c r="BT1235" s="28" t="n"/>
      <c r="BU1235" s="25" t="n"/>
      <c r="BV1235" s="29" t="n"/>
      <c r="BW1235" s="24" t="n"/>
      <c r="BX1235" s="30" t="n"/>
      <c r="BY1235" s="27" t="n"/>
      <c r="BZ1235" s="24" t="n"/>
      <c r="CA1235" s="31" t="n"/>
      <c r="CB1235" s="24" t="n"/>
      <c r="CC1235" s="24" t="n"/>
      <c r="CD1235" s="24" t="n"/>
      <c r="CE1235" s="24" t="n"/>
      <c r="CF1235" s="24" t="n"/>
      <c r="CG1235" s="24" t="n"/>
      <c r="CH1235" s="24" t="n"/>
      <c r="CI1235" s="24" t="n"/>
      <c r="CJ1235" s="24" t="n"/>
      <c r="CK1235" s="24" t="n"/>
      <c r="CL1235" s="24" t="n"/>
      <c r="CM1235" s="24" t="n"/>
      <c r="CN1235" s="24" t="n"/>
      <c r="CO1235" s="24" t="n"/>
      <c r="CP1235" s="24" t="n"/>
      <c r="CQ1235" s="24" t="n"/>
      <c r="CR1235" s="24" t="n"/>
      <c r="CS1235" s="24" t="inlineStr">
        <is>
          <t>False</t>
        </is>
      </c>
      <c r="CT1235" s="24" t="n"/>
      <c r="CU1235" s="24" t="n"/>
      <c r="CV1235" s="24" t="n"/>
      <c r="CW1235" s="24" t="n"/>
      <c r="CX1235" s="24" t="n"/>
      <c r="CY1235" s="24" t="n"/>
      <c r="CZ1235" s="24" t="n"/>
      <c r="DA1235" s="24" t="n"/>
      <c r="DB1235" s="24" t="n"/>
      <c r="DC1235" s="24" t="n"/>
      <c r="DD1235" s="24" t="inlineStr">
        <is>
          <t>f3fcb04d9239639a59ee93c2c86c6360e6ed39f0286adb8cf795001035b0f7bd</t>
        </is>
      </c>
      <c r="DE1235" s="24" t="inlineStr">
        <is>
          <t>E:\model-prediction\data\odds\tennis\2026-10-06\polymarket_snapshots.jsonl</t>
        </is>
      </c>
      <c r="DF1235" s="24" t="inlineStr">
        <is>
          <t>1240467:2026-10-06T16:16:00.771006Z</t>
        </is>
      </c>
      <c r="DG1235" s="24" t="n"/>
      <c r="DH1235" s="24" t="n"/>
      <c r="DI1235" s="24" t="n"/>
      <c r="DJ1235" s="24" t="n"/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{"artifact_hash": "6c67e999d2a03612e30f4032c8e5e77e8becfbc79e05f4c8993e726b90d34d54", "away_team": "Aliaksandra Sasnovich", "event_id": "1029-2026:185278", "event_start_utc": "2026-10-07T03:30Z", "features": {"elo_p1_surface": 1641.3, "elo_p2_surface": 1517.7, "expected_games_p1": 13.33, "expected_games_p2": 8.17, "expected_total_games": 21.51, "history_matches": 16599, "min_player_matches": 130,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[1622.3183064644656, 1516.1608061467887], "players": ["Aliaksandra Sasnovich", "Linda Fruhvirtova"], "sport": "TENNIS", "surface": "Hard", "surface_counts": [127, 98], "surface_ratings": [1641.309075127888, 1517.680594318886]}, "market_type": "moneyline", "model_version": "tennis-surface-elo-v1", "observed_at_utc": "2026-10-06T22:24:10.044540+00:00", "probabilities": {"away": 0.6655, "home": 0.3345}, "replay_scope": "Exact full-precision serving state and rounding; upstream historical observation times are not certified.", "schema": "coded-moneyline-replay-v1", "snapshot_hash": "cf2a2f0433ec087f6c5d079a3a6a3b05b90581c7b119bbad23218e249f781f00", "sport": "TENNIS"}</t>
        </is>
      </c>
    </row>
    <row r="1236" ht="36" customHeight="1">
      <c r="A1236" s="24" t="inlineStr">
        <is>
          <t>bb083009cda54b3d</t>
        </is>
      </c>
      <c r="B1236" s="24" t="inlineStr">
        <is>
          <t>2026-10-07T05:27:50.367605Z</t>
        </is>
      </c>
      <c r="C1236" s="24" t="inlineStr">
        <is>
          <t>2026-10-07T06:15Z</t>
        </is>
      </c>
      <c r="D1236" s="24" t="inlineStr">
        <is>
          <t>959-2026:184346</t>
        </is>
      </c>
      <c r="E1236" s="24" t="inlineStr">
        <is>
          <t>TENNIS</t>
        </is>
      </c>
      <c r="F1236" s="24" t="inlineStr">
        <is>
          <t>Elise Mertens</t>
        </is>
      </c>
      <c r="G1236" s="24" t="inlineStr">
        <is>
          <t>Coco Gauff</t>
        </is>
      </c>
      <c r="H1236" s="24" t="inlineStr">
        <is>
          <t>moneyline</t>
        </is>
      </c>
      <c r="I1236" s="24" t="inlineStr">
        <is>
          <t>home</t>
        </is>
      </c>
      <c r="J1236" s="25" t="n"/>
      <c r="K1236" s="24" t="inlineStr">
        <is>
          <t>polymarket_us</t>
        </is>
      </c>
      <c r="L1236" s="26" t="n">
        <v>-376</v>
      </c>
      <c r="M1236" s="27" t="n">
        <v>1.265957</v>
      </c>
      <c r="N1236" s="28" t="n">
        <v>0.789916</v>
      </c>
      <c r="O1236" s="28" t="n">
        <v>0.7745</v>
      </c>
      <c r="P1236" s="28" t="n">
        <v>0.05</v>
      </c>
      <c r="Q1236" s="28" t="n">
        <v>-0.015416</v>
      </c>
      <c r="R1236" s="26" t="n">
        <v>12</v>
      </c>
      <c r="S1236" s="29" t="n">
        <v>1</v>
      </c>
      <c r="T1236" s="24" t="inlineStr">
        <is>
          <t>tennis-surface-elo-v1</t>
        </is>
      </c>
      <c r="U1236" s="24" t="inlineStr">
        <is>
          <t>settled</t>
        </is>
      </c>
      <c r="V1236" s="24" t="inlineStr">
        <is>
          <t>loss</t>
        </is>
      </c>
      <c r="W1236" s="26" t="n">
        <v>1</v>
      </c>
      <c r="X1236" s="26" t="n">
        <v>0</v>
      </c>
      <c r="Y1236" s="25" t="n"/>
      <c r="Z1236" s="26" t="n">
        <v>-376</v>
      </c>
      <c r="AA1236" s="28" t="n">
        <v>0.79</v>
      </c>
      <c r="AB1236" s="28" t="n">
        <v>8.4e-05</v>
      </c>
      <c r="AC1236" s="30" t="n">
        <v>-1</v>
      </c>
      <c r="AD1236" s="24" t="inlineStr">
        <is>
          <t>2026-10-07T10:03:14.527720Z</t>
        </is>
      </c>
      <c r="AE1236" s="31" t="inlineStr">
        <is>
          <t>Surface-blended Elo on Hard: Elise Mertens p=0.226 vs Coco Gauff. Executable ask 0.7900 (aec-wta-cocgau-elimer-2026-10-06).</t>
        </is>
      </c>
      <c r="AF1236" s="31" t="inlineStr">
        <is>
          <t>Surface-blended Elo model; singles only, WTA+ATP market coverage, not yet locked-holdout qualified -- promoted by explicit operator directive, not genuine walk-forward validation.</t>
        </is>
      </c>
      <c r="AG1236" s="24" t="inlineStr">
        <is>
          <t>review_required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PAPER_CALL_LOW_EDGE</t>
        </is>
      </c>
      <c r="AP1236" s="24" t="inlineStr">
        <is>
          <t>Elise Mertens</t>
        </is>
      </c>
      <c r="AQ1236" s="24" t="inlineStr">
        <is>
          <t>Elise Mertens</t>
        </is>
      </c>
      <c r="AR1236" s="24" t="inlineStr">
        <is>
          <t>Elise Mertens</t>
        </is>
      </c>
      <c r="AS1236" s="24" t="inlineStr">
        <is>
          <t>Coco Gauff</t>
        </is>
      </c>
      <c r="AT1236" s="24" t="inlineStr">
        <is>
          <t>Coco Gauff</t>
        </is>
      </c>
      <c r="AU1236" s="24" t="inlineStr">
        <is>
          <t>Coco Gauff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6c67e999d2a03612e30f4032c8e5e77e8becfbc79e05f4c8993e726b90d34d54</t>
        </is>
      </c>
      <c r="BB1236" s="24" t="inlineStr">
        <is>
          <t>surface_blended_elo</t>
        </is>
      </c>
      <c r="BC1236" s="24" t="inlineStr">
        <is>
          <t>tennis-surface-elo-v1</t>
        </is>
      </c>
      <c r="BD1236" s="24" t="inlineStr">
        <is>
          <t>6c67e999d2a03612e30f4032c8e5e77e8becfbc79e05f4c8993e726b90d34d54</t>
        </is>
      </c>
      <c r="BE1236" s="24" t="inlineStr">
        <is>
          <t>tennis-surface-elo-v1</t>
        </is>
      </c>
      <c r="BF1236" s="24" t="inlineStr">
        <is>
          <t>1</t>
        </is>
      </c>
      <c r="BG1236" s="24" t="inlineStr">
        <is>
          <t>6c67e999d2a03612e30f4032c8e5e77e8becfbc79e05f4c8993e726b90d34d54</t>
        </is>
      </c>
      <c r="BH1236" s="24" t="inlineStr">
        <is>
          <t>2026-10-07T04:49:22.856784Z</t>
        </is>
      </c>
      <c r="BI1236" s="24" t="inlineStr">
        <is>
          <t>["same_event","same_team_same_day","same_league_same_day"]</t>
        </is>
      </c>
      <c r="BJ1236" s="25" t="n"/>
      <c r="BK1236" s="26" t="n">
        <v>-376</v>
      </c>
      <c r="BL1236" s="27" t="n">
        <v>1.265957</v>
      </c>
      <c r="BM1236" s="28" t="n">
        <v>0.789916</v>
      </c>
      <c r="BN1236" s="28" t="n"/>
      <c r="BO1236" s="28" t="n"/>
      <c r="BP1236" s="25" t="n"/>
      <c r="BQ1236" s="27" t="n">
        <v>1.265957</v>
      </c>
      <c r="BR1236" s="28" t="n">
        <v>0.79</v>
      </c>
      <c r="BS1236" s="28" t="n"/>
      <c r="BT1236" s="28" t="n"/>
      <c r="BU1236" s="25" t="n"/>
      <c r="BV1236" s="29" t="n"/>
      <c r="BW1236" s="24" t="n"/>
      <c r="BX1236" s="30" t="n"/>
      <c r="BY1236" s="27" t="n"/>
      <c r="BZ1236" s="24" t="n"/>
      <c r="CA1236" s="31" t="n"/>
      <c r="CB1236" s="24" t="n"/>
      <c r="CC1236" s="24" t="n"/>
      <c r="CD1236" s="24" t="n"/>
      <c r="CE1236" s="24" t="n"/>
      <c r="CF1236" s="24" t="n"/>
      <c r="CG1236" s="24" t="n"/>
      <c r="CH1236" s="24" t="n"/>
      <c r="CI1236" s="24" t="n"/>
      <c r="CJ1236" s="24" t="n"/>
      <c r="CK1236" s="24" t="n"/>
      <c r="CL1236" s="24" t="n"/>
      <c r="CM1236" s="24" t="n"/>
      <c r="CN1236" s="24" t="n"/>
      <c r="CO1236" s="24" t="n"/>
      <c r="CP1236" s="24" t="n"/>
      <c r="CQ1236" s="24" t="n"/>
      <c r="CR1236" s="24" t="n"/>
      <c r="CS1236" s="24" t="inlineStr">
        <is>
          <t>False</t>
        </is>
      </c>
      <c r="CT1236" s="24" t="n"/>
      <c r="CU1236" s="24" t="n"/>
      <c r="CV1236" s="24" t="n"/>
      <c r="CW1236" s="24" t="n"/>
      <c r="CX1236" s="24" t="n"/>
      <c r="CY1236" s="24" t="n"/>
      <c r="CZ1236" s="24" t="n"/>
      <c r="DA1236" s="24" t="n"/>
      <c r="DB1236" s="24" t="n"/>
      <c r="DC1236" s="24" t="n"/>
      <c r="DD1236" s="24" t="inlineStr">
        <is>
          <t>6c675788de4a5fb5c811203ae7096586bbbcf6f9e77e840fd6347fdf1ec002db</t>
        </is>
      </c>
      <c r="DE1236" s="24" t="inlineStr">
        <is>
          <t>E:\model-prediction\data\odds\tennis\2026-10-07\polymarket_snapshots.jsonl</t>
        </is>
      </c>
      <c r="DF1236" s="24" t="inlineStr">
        <is>
          <t>1224443:2026-10-07T04:49:22.856784Z</t>
        </is>
      </c>
      <c r="DG1236" s="24" t="n"/>
      <c r="DH1236" s="24" t="n"/>
      <c r="DI1236" s="24" t="n"/>
      <c r="DJ1236" s="24" t="n"/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{"artifact_hash": "6c67e999d2a03612e30f4032c8e5e77e8becfbc79e05f4c8993e726b90d34d54", "away_team": "Elise Mertens", "event_id": "959-2026:184346", "event_start_utc": "2026-10-07T06:15Z", "features": {"elo_p1_surface": 1745.3, "elo_p2_surface": 1962.2, "expected_games_p1": 5.87, "expected_games_p2": 12.59, "expected_total_games": 18.46, "history_matches": 16618, "min_player_matches": 155,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[1809.028927023661, 2016.7958475002554], "players": ["Elise Mertens", "Coco Gauff"], "sport": "TENNIS", "surface": "Hard", "surface_counts": [119, 127], "surface_ratings": [1745.294690200598, 1962.1595840848968]}, "market_type": "moneyline", "model_version": "tennis-surface-elo-v1", "observed_at_utc": "2026-10-07T05:27:47.824568+00:00", "probabilities": {"away": 0.2255, "home": 0.7745}, "replay_scope": "Exact full-precision serving state and rounding; upstream historical observation times are not certified.", "schema": "coded-moneyline-replay-v1", "snapshot_hash": "a4bb20a0c082cde077e3a9781f8f1f3365a915e0142b9aba859b41ee30e0ed71", "sport": "TENNIS"}</t>
        </is>
      </c>
    </row>
    <row r="1237" ht="36" customHeight="1">
      <c r="A1237" s="24" t="inlineStr">
        <is>
          <t>daedf47825594367</t>
        </is>
      </c>
      <c r="B1237" s="24" t="inlineStr">
        <is>
          <t>2026-10-07T05:27:50.367605Z</t>
        </is>
      </c>
      <c r="C1237" s="24" t="inlineStr">
        <is>
          <t>2026-10-07T09:30Z</t>
        </is>
      </c>
      <c r="D1237" s="24" t="inlineStr">
        <is>
          <t>1036-2026:185226</t>
        </is>
      </c>
      <c r="E1237" s="24" t="inlineStr">
        <is>
          <t>TENNIS</t>
        </is>
      </c>
      <c r="F1237" s="24" t="inlineStr">
        <is>
          <t>Oksana Selekhmeteva</t>
        </is>
      </c>
      <c r="G1237" s="24" t="inlineStr">
        <is>
          <t>Fiona Crawley</t>
        </is>
      </c>
      <c r="H1237" s="24" t="inlineStr">
        <is>
          <t>moneyline</t>
        </is>
      </c>
      <c r="I1237" s="24" t="inlineStr">
        <is>
          <t>away</t>
        </is>
      </c>
      <c r="J1237" s="25" t="n"/>
      <c r="K1237" s="24" t="inlineStr">
        <is>
          <t>polymarket_us</t>
        </is>
      </c>
      <c r="L1237" s="26" t="n">
        <v>100</v>
      </c>
      <c r="M1237" s="27" t="n">
        <v>2</v>
      </c>
      <c r="N1237" s="28" t="n">
        <v>0.5</v>
      </c>
      <c r="O1237" s="28" t="n">
        <v>0.5537</v>
      </c>
      <c r="P1237" s="28" t="n">
        <v>0.05</v>
      </c>
      <c r="Q1237" s="28" t="n">
        <v>0.0537</v>
      </c>
      <c r="R1237" s="26" t="n">
        <v>47</v>
      </c>
      <c r="S1237" s="29" t="n">
        <v>1</v>
      </c>
      <c r="T1237" s="24" t="inlineStr">
        <is>
          <t>tennis-surface-elo-v1</t>
        </is>
      </c>
      <c r="U1237" s="24" t="inlineStr">
        <is>
          <t>settled</t>
        </is>
      </c>
      <c r="V1237" s="24" t="inlineStr">
        <is>
          <t>loss</t>
        </is>
      </c>
      <c r="W1237" s="26" t="n">
        <v>0</v>
      </c>
      <c r="X1237" s="26" t="n">
        <v>1</v>
      </c>
      <c r="Y1237" s="25" t="n"/>
      <c r="Z1237" s="26" t="n">
        <v>100</v>
      </c>
      <c r="AA1237" s="28" t="n">
        <v>0.5</v>
      </c>
      <c r="AB1237" s="28" t="n">
        <v>0</v>
      </c>
      <c r="AC1237" s="30" t="n">
        <v>-1</v>
      </c>
      <c r="AD1237" s="24" t="inlineStr">
        <is>
          <t>2026-10-07T16:01:48.204501Z</t>
        </is>
      </c>
      <c r="AE1237" s="31" t="inlineStr">
        <is>
          <t>Surface-blended Elo on Hard: Oksana Selekhmeteva p=0.554 vs Fiona Crawley. Executable ask 0.5000 (aec-wta-fiocra-okssel-2026-10-07).</t>
        </is>
      </c>
      <c r="AF1237" s="31" t="inlineStr">
        <is>
          <t>Surface-blended Elo model; singles only, WTA+ATP market coverage, not yet locked-holdout qualified -- promoted by explicit operator directive, not genuine walk-forward validation.</t>
        </is>
      </c>
      <c r="AG1237" s="24" t="inlineStr">
        <is>
          <t>review_required</t>
        </is>
      </c>
      <c r="AH1237" s="24" t="n"/>
      <c r="AI1237" s="31" t="n"/>
      <c r="AJ1237" s="31" t="n"/>
      <c r="AK1237" s="24" t="inlineStr">
        <is>
          <t>model_qualified</t>
        </is>
      </c>
      <c r="AL1237" s="26" t="n">
        <v>4</v>
      </c>
      <c r="AM1237" s="24" t="inlineStr">
        <is>
          <t>QUALIFIED_SHADOW_CALL</t>
        </is>
      </c>
      <c r="AN1237" s="24" t="inlineStr">
        <is>
          <t>CALL</t>
        </is>
      </c>
      <c r="AO1237" s="24" t="inlineStr">
        <is>
          <t>QUALIFIED</t>
        </is>
      </c>
      <c r="AP1237" s="24" t="inlineStr">
        <is>
          <t>Oksana Selekhmeteva</t>
        </is>
      </c>
      <c r="AQ1237" s="24" t="inlineStr">
        <is>
          <t>Oksana Selekhmeteva</t>
        </is>
      </c>
      <c r="AR1237" s="24" t="inlineStr">
        <is>
          <t>Oksana Selekhmeteva</t>
        </is>
      </c>
      <c r="AS1237" s="24" t="inlineStr">
        <is>
          <t>Fiona Crawley</t>
        </is>
      </c>
      <c r="AT1237" s="24" t="inlineStr">
        <is>
          <t>Fiona Crawley</t>
        </is>
      </c>
      <c r="AU1237" s="24" t="inlineStr">
        <is>
          <t>Fiona Crawley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shadow_qualified</t>
        </is>
      </c>
      <c r="BA1237" s="24" t="inlineStr">
        <is>
          <t>6c67e999d2a03612e30f4032c8e5e77e8becfbc79e05f4c8993e726b90d34d54</t>
        </is>
      </c>
      <c r="BB1237" s="24" t="inlineStr">
        <is>
          <t>surface_blended_elo</t>
        </is>
      </c>
      <c r="BC1237" s="24" t="inlineStr">
        <is>
          <t>tennis-surface-elo-v1</t>
        </is>
      </c>
      <c r="BD1237" s="24" t="inlineStr">
        <is>
          <t>6c67e999d2a03612e30f4032c8e5e77e8becfbc79e05f4c8993e726b90d34d54</t>
        </is>
      </c>
      <c r="BE1237" s="24" t="inlineStr">
        <is>
          <t>tennis-surface-elo-v1</t>
        </is>
      </c>
      <c r="BF1237" s="24" t="inlineStr">
        <is>
          <t>1</t>
        </is>
      </c>
      <c r="BG1237" s="24" t="inlineStr">
        <is>
          <t>6c67e999d2a03612e30f4032c8e5e77e8becfbc79e05f4c8993e726b90d34d54</t>
        </is>
      </c>
      <c r="BH1237" s="24" t="inlineStr">
        <is>
          <t>2026-10-07T04:50:23.257455Z</t>
        </is>
      </c>
      <c r="BI1237" s="24" t="inlineStr">
        <is>
          <t>["same_event","same_team_same_day","same_league_same_day"]</t>
        </is>
      </c>
      <c r="BJ1237" s="25" t="n"/>
      <c r="BK1237" s="26" t="n">
        <v>100</v>
      </c>
      <c r="BL1237" s="27" t="n">
        <v>2</v>
      </c>
      <c r="BM1237" s="28" t="n">
        <v>0.5</v>
      </c>
      <c r="BN1237" s="28" t="n"/>
      <c r="BO1237" s="28" t="n"/>
      <c r="BP1237" s="25" t="n"/>
      <c r="BQ1237" s="27" t="n">
        <v>2</v>
      </c>
      <c r="BR1237" s="28" t="n">
        <v>0.5</v>
      </c>
      <c r="BS1237" s="28" t="n"/>
      <c r="BT1237" s="28" t="n"/>
      <c r="BU1237" s="25" t="n"/>
      <c r="BV1237" s="29" t="n"/>
      <c r="BW1237" s="24" t="n"/>
      <c r="BX1237" s="30" t="n"/>
      <c r="BY1237" s="27" t="n"/>
      <c r="BZ1237" s="24" t="n"/>
      <c r="CA1237" s="31" t="n"/>
      <c r="CB1237" s="24" t="n"/>
      <c r="CC1237" s="24" t="n"/>
      <c r="CD1237" s="24" t="n"/>
      <c r="CE1237" s="24" t="n"/>
      <c r="CF1237" s="24" t="n"/>
      <c r="CG1237" s="24" t="n"/>
      <c r="CH1237" s="24" t="n"/>
      <c r="CI1237" s="24" t="n"/>
      <c r="CJ1237" s="24" t="n"/>
      <c r="CK1237" s="24" t="n"/>
      <c r="CL1237" s="24" t="n"/>
      <c r="CM1237" s="24" t="n"/>
      <c r="CN1237" s="24" t="n"/>
      <c r="CO1237" s="24" t="n"/>
      <c r="CP1237" s="24" t="n"/>
      <c r="CQ1237" s="24" t="n"/>
      <c r="CR1237" s="24" t="n"/>
      <c r="CS1237" s="24" t="inlineStr">
        <is>
          <t>True</t>
        </is>
      </c>
      <c r="CT1237" s="24" t="n"/>
      <c r="CU1237" s="24" t="n"/>
      <c r="CV1237" s="24" t="n"/>
      <c r="CW1237" s="24" t="n"/>
      <c r="CX1237" s="24" t="n"/>
      <c r="CY1237" s="24" t="n"/>
      <c r="CZ1237" s="24" t="n"/>
      <c r="DA1237" s="24" t="n"/>
      <c r="DB1237" s="24" t="n"/>
      <c r="DC1237" s="24" t="n"/>
      <c r="DD1237" s="24" t="inlineStr">
        <is>
          <t>00a6e3393e524678cf0e60845aa8f0a31ab0e2d638c58a7fcc24f6294fc1488d</t>
        </is>
      </c>
      <c r="DE1237" s="24" t="inlineStr">
        <is>
          <t>E:\model-prediction\data\odds\tennis\2026-10-07\polymarket_snapshots.jsonl</t>
        </is>
      </c>
      <c r="DF1237" s="24" t="inlineStr">
        <is>
          <t>1247436:2026-10-07T04:50:23.257455Z</t>
        </is>
      </c>
      <c r="DG1237" s="24" t="n"/>
      <c r="DH1237" s="24" t="n"/>
      <c r="DI1237" s="24" t="n"/>
      <c r="DJ1237" s="24" t="n"/>
      <c r="DK1237" s="24" t="n"/>
      <c r="DL1237" s="24" t="n"/>
      <c r="DM1237" s="24" t="n"/>
      <c r="DN1237" s="24" t="n"/>
      <c r="DO1237" s="24" t="n"/>
      <c r="DP1237" s="24" t="n"/>
      <c r="DQ1237" s="24" t="inlineStr">
        <is>
          <t>{"artifact_hash": "6c67e999d2a03612e30f4032c8e5e77e8becfbc79e05f4c8993e726b90d34d54", "away_team": "Oksana Selekhmeteva", "event_id": "1036-2026:185226", "event_start_utc": "2026-10-07T09:30Z", "features": {"elo_p1_surface": 1605.7, "elo_p2_surface": 1553.7, "expected_games_p1": 13.33, "expected_games_p2": 10.7, "expected_total_games": 24.03, "history_matches": 16618, "min_player_matches": 17,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[1589.870984683575, 1571.372069102402], "players": ["Oksana Selekhmeteva", "Fiona Crawley"], "sport": "TENNIS", "surface": "Hard", "surface_counts": [100, 14], "surface_ratings": [1605.6859552115677, 1553.6868371714595]}, "market_type": "moneyline", "model_version": "tennis-surface-elo-v1", "observed_at_utc": "2026-10-07T05:27:47.824568+00:00", "probabilities": {"away": 0.5537, "home": 0.4463}, "replay_scope": "Exact full-precision serving state and rounding; upstream historical observation times are not certified.", "schema": "coded-moneyline-replay-v1", "snapshot_hash": "bf9c1a99876dcd454806c683f514e541dc2f454ef153c83da261ef07544b29c5", "sport": "TENNIS"}</t>
        </is>
      </c>
    </row>
    <row r="1238" ht="36" customHeight="1">
      <c r="A1238" s="24" t="inlineStr">
        <is>
          <t>4b1033a291bb4791</t>
        </is>
      </c>
      <c r="B1238" s="24" t="inlineStr">
        <is>
          <t>2026-10-07T05:27:50.367605Z</t>
        </is>
      </c>
      <c r="C1238" s="24" t="inlineStr">
        <is>
          <t>2026-10-07T05:40Z</t>
        </is>
      </c>
      <c r="D1238" s="24" t="inlineStr">
        <is>
          <t>315-2026:184881</t>
        </is>
      </c>
      <c r="E1238" s="24" t="inlineStr">
        <is>
          <t>TENNIS</t>
        </is>
      </c>
      <c r="F1238" s="24" t="inlineStr">
        <is>
          <t>Nikoloz Basilashvili</t>
        </is>
      </c>
      <c r="G1238" s="24" t="inlineStr">
        <is>
          <t>Adrian Mannarino</t>
        </is>
      </c>
      <c r="H1238" s="24" t="inlineStr">
        <is>
          <t>moneyline</t>
        </is>
      </c>
      <c r="I1238" s="24" t="inlineStr">
        <is>
          <t>away</t>
        </is>
      </c>
      <c r="J1238" s="25" t="n"/>
      <c r="K1238" s="24" t="inlineStr">
        <is>
          <t>polymarket_us</t>
        </is>
      </c>
      <c r="L1238" s="26" t="n">
        <v>104</v>
      </c>
      <c r="M1238" s="27" t="n">
        <v>2.04</v>
      </c>
      <c r="N1238" s="28" t="n">
        <v>0.490196</v>
      </c>
      <c r="O1238" s="28" t="n">
        <v>0.5415</v>
      </c>
      <c r="P1238" s="28" t="n">
        <v>0.05</v>
      </c>
      <c r="Q1238" s="28" t="n">
        <v>0.051304</v>
      </c>
      <c r="R1238" s="26" t="n">
        <v>46</v>
      </c>
      <c r="S1238" s="29" t="n">
        <v>1</v>
      </c>
      <c r="T1238" s="24" t="inlineStr">
        <is>
          <t>tennis-surface-elo-v1</t>
        </is>
      </c>
      <c r="U1238" s="24" t="inlineStr">
        <is>
          <t>settled</t>
        </is>
      </c>
      <c r="V1238" s="24" t="inlineStr">
        <is>
          <t>loss</t>
        </is>
      </c>
      <c r="W1238" s="26" t="n">
        <v>0</v>
      </c>
      <c r="X1238" s="26" t="n">
        <v>1</v>
      </c>
      <c r="Y1238" s="25" t="n"/>
      <c r="Z1238" s="26" t="n">
        <v>104</v>
      </c>
      <c r="AA1238" s="28" t="n">
        <v>0.49</v>
      </c>
      <c r="AB1238" s="28" t="n">
        <v>-0.000196</v>
      </c>
      <c r="AC1238" s="30" t="n">
        <v>-1</v>
      </c>
      <c r="AD1238" s="24" t="inlineStr">
        <is>
          <t>2026-10-07T10:03:20.230889Z</t>
        </is>
      </c>
      <c r="AE1238" s="31" t="inlineStr">
        <is>
          <t>Surface-blended Elo on Hard: Nikoloz Basilashvili p=0.542 vs Adrian Mannarino. Executable ask 0.4900 (aec-atp-adrman-nikbas-2026-10-07).</t>
        </is>
      </c>
      <c r="AF1238" s="31" t="inlineStr">
        <is>
          <t>Surface-blended Elo model; singles only, WTA+ATP market coverage, not yet locked-holdout qualified -- promoted by explicit operator directive, not genuine walk-forward validation.</t>
        </is>
      </c>
      <c r="AG1238" s="24" t="inlineStr">
        <is>
          <t>review_required</t>
        </is>
      </c>
      <c r="AH1238" s="24" t="n"/>
      <c r="AI1238" s="31" t="n"/>
      <c r="AJ1238" s="31" t="n"/>
      <c r="AK1238" s="24" t="inlineStr">
        <is>
          <t>model_qualified</t>
        </is>
      </c>
      <c r="AL1238" s="26" t="n">
        <v>4</v>
      </c>
      <c r="AM1238" s="24" t="inlineStr">
        <is>
          <t>QUALIFIED_SHADOW_CALL</t>
        </is>
      </c>
      <c r="AN1238" s="24" t="inlineStr">
        <is>
          <t>CALL</t>
        </is>
      </c>
      <c r="AO1238" s="24" t="inlineStr">
        <is>
          <t>QUALIFIED</t>
        </is>
      </c>
      <c r="AP1238" s="24" t="inlineStr">
        <is>
          <t>Nikoloz Basilashvili</t>
        </is>
      </c>
      <c r="AQ1238" s="24" t="inlineStr">
        <is>
          <t>Nikoloz Basilashvili</t>
        </is>
      </c>
      <c r="AR1238" s="24" t="inlineStr">
        <is>
          <t>Nikoloz Basilashvili</t>
        </is>
      </c>
      <c r="AS1238" s="24" t="inlineStr">
        <is>
          <t>Adrian Mannarino</t>
        </is>
      </c>
      <c r="AT1238" s="24" t="inlineStr">
        <is>
          <t>Adrian Mannarino</t>
        </is>
      </c>
      <c r="AU1238" s="24" t="inlineStr">
        <is>
          <t>Adrian Mannarino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shadow_qualified</t>
        </is>
      </c>
      <c r="BA1238" s="24" t="inlineStr">
        <is>
          <t>6c67e999d2a03612e30f4032c8e5e77e8becfbc79e05f4c8993e726b90d34d54</t>
        </is>
      </c>
      <c r="BB1238" s="24" t="inlineStr">
        <is>
          <t>surface_blended_elo</t>
        </is>
      </c>
      <c r="BC1238" s="24" t="inlineStr">
        <is>
          <t>tennis-surface-elo-v1</t>
        </is>
      </c>
      <c r="BD1238" s="24" t="inlineStr">
        <is>
          <t>6c67e999d2a03612e30f4032c8e5e77e8becfbc79e05f4c8993e726b90d34d54</t>
        </is>
      </c>
      <c r="BE1238" s="24" t="inlineStr">
        <is>
          <t>tennis-surface-elo-v1</t>
        </is>
      </c>
      <c r="BF1238" s="24" t="inlineStr">
        <is>
          <t>1</t>
        </is>
      </c>
      <c r="BG1238" s="24" t="inlineStr">
        <is>
          <t>6c67e999d2a03612e30f4032c8e5e77e8becfbc79e05f4c8993e726b90d34d54</t>
        </is>
      </c>
      <c r="BH1238" s="24" t="inlineStr">
        <is>
          <t>2026-10-07T04:54:32.820244Z</t>
        </is>
      </c>
      <c r="BI1238" s="24" t="inlineStr">
        <is>
          <t>["same_event","same_team_same_day","same_league_same_day"]</t>
        </is>
      </c>
      <c r="BJ1238" s="25" t="n"/>
      <c r="BK1238" s="26" t="n">
        <v>104</v>
      </c>
      <c r="BL1238" s="27" t="n">
        <v>2.04</v>
      </c>
      <c r="BM1238" s="28" t="n">
        <v>0.490196</v>
      </c>
      <c r="BN1238" s="28" t="n"/>
      <c r="BO1238" s="28" t="n"/>
      <c r="BP1238" s="25" t="n"/>
      <c r="BQ1238" s="27" t="n">
        <v>2.04</v>
      </c>
      <c r="BR1238" s="28" t="n">
        <v>0.49</v>
      </c>
      <c r="BS1238" s="28" t="n"/>
      <c r="BT1238" s="28" t="n"/>
      <c r="BU1238" s="25" t="n"/>
      <c r="BV1238" s="29" t="n"/>
      <c r="BW1238" s="24" t="n"/>
      <c r="BX1238" s="30" t="n"/>
      <c r="BY1238" s="27" t="n"/>
      <c r="BZ1238" s="24" t="n"/>
      <c r="CA1238" s="31" t="n"/>
      <c r="CB1238" s="24" t="n"/>
      <c r="CC1238" s="24" t="n"/>
      <c r="CD1238" s="24" t="n"/>
      <c r="CE1238" s="24" t="n"/>
      <c r="CF1238" s="24" t="n"/>
      <c r="CG1238" s="24" t="n"/>
      <c r="CH1238" s="24" t="n"/>
      <c r="CI1238" s="24" t="n"/>
      <c r="CJ1238" s="24" t="n"/>
      <c r="CK1238" s="24" t="n"/>
      <c r="CL1238" s="24" t="n"/>
      <c r="CM1238" s="24" t="n"/>
      <c r="CN1238" s="24" t="n"/>
      <c r="CO1238" s="24" t="n"/>
      <c r="CP1238" s="24" t="n"/>
      <c r="CQ1238" s="24" t="n"/>
      <c r="CR1238" s="24" t="n"/>
      <c r="CS1238" s="24" t="inlineStr">
        <is>
          <t>True</t>
        </is>
      </c>
      <c r="CT1238" s="24" t="n"/>
      <c r="CU1238" s="24" t="n"/>
      <c r="CV1238" s="24" t="n"/>
      <c r="CW1238" s="24" t="n"/>
      <c r="CX1238" s="24" t="n"/>
      <c r="CY1238" s="24" t="n"/>
      <c r="CZ1238" s="24" t="n"/>
      <c r="DA1238" s="24" t="n"/>
      <c r="DB1238" s="24" t="n"/>
      <c r="DC1238" s="24" t="n"/>
      <c r="DD1238" s="24" t="inlineStr">
        <is>
          <t>cc363ec10b2deb151afe0fbb37600348b649895daf19bd04d7157352122ad725</t>
        </is>
      </c>
      <c r="DE1238" s="24" t="inlineStr">
        <is>
          <t>E:\model-prediction\data\odds\tennis\2026-10-07\polymarket_snapshots.jsonl</t>
        </is>
      </c>
      <c r="DF1238" s="24" t="inlineStr">
        <is>
          <t>1247494:2026-10-07T04:54:32.820244Z</t>
        </is>
      </c>
      <c r="DG1238" s="24" t="n"/>
      <c r="DH1238" s="24" t="n"/>
      <c r="DI1238" s="24" t="n"/>
      <c r="DJ1238" s="24" t="n"/>
      <c r="DK1238" s="24" t="n"/>
      <c r="DL1238" s="24" t="n"/>
      <c r="DM1238" s="24" t="n"/>
      <c r="DN1238" s="24" t="n"/>
      <c r="DO1238" s="24" t="n"/>
      <c r="DP1238" s="24" t="n"/>
      <c r="DQ1238" s="24" t="inlineStr">
        <is>
          <t>{"artifact_hash": "6c67e999d2a03612e30f4032c8e5e77e8becfbc79e05f4c8993e726b90d34d54", "away_team": "Nikoloz Basilashvili", "event_id": "315-2026:184881", "event_start_utc": "2026-10-07T05:40Z", "features": {"elo_p1_surface": 1571.3, "elo_p2_surface": 1559.1, "expected_games_p1": 13.22, "expected_games_p2": 12.29, "expected_total_games": 25.51, "history_matches": 11406, "min_player_matches": 93, "surface": "Hard"}, "historical_source_observation_times_verified": false, "home_team": "Adrian Mannarino", "inference_inputs": {"code_sha256": {"features/elo_ratings.py": "8525faf022a6343c452286dbfeb17dbb043744c6bdabbe448b6b371216da439b", "models/tennis.py": "6c67e999d2a03612e30f4032c8e5e77e8becfbc79e05f4c8993e726b90d34d54"}, "overall_ratings": [1598.7267149530528, 1527.6659683595076], "players": ["Nikoloz Basilashvili", "Adrian Mannarino"], "sport": "TENNIS", "surface": "Hard", "surface_counts": [61, 108], "surface_ratings": [1571.336177213379, 1559.076527761089]}, "market_type": "moneyline", "model_version": "tennis-surface-elo-v1", "observed_at_utc": "2026-10-07T05:27:47.824568+00:00", "probabilities": {"away": 0.5415, "home": 0.4585}, "replay_scope": "Exact full-precision serving state and rounding; upstream historical observation times are not certified.", "schema": "coded-moneyline-replay-v1", "snapshot_hash": "b29523e048d9b8465f0fdf7113d39084939b00cbdf3bc2f30618052f751aa23f", "sport": "TENNIS"}</t>
        </is>
      </c>
    </row>
    <row r="1239" ht="36" customHeight="1">
      <c r="A1239" s="24" t="inlineStr">
        <is>
          <t>b61667f3517041fc</t>
        </is>
      </c>
      <c r="B1239" s="24" t="inlineStr">
        <is>
          <t>2026-10-07T05:27:50.367605Z</t>
        </is>
      </c>
      <c r="C1239" s="24" t="inlineStr">
        <is>
          <t>2026-10-07T05:50Z</t>
        </is>
      </c>
      <c r="D1239" s="24" t="inlineStr">
        <is>
          <t>315-2026:184839</t>
        </is>
      </c>
      <c r="E1239" s="24" t="inlineStr">
        <is>
          <t>TENNIS</t>
        </is>
      </c>
      <c r="F1239" s="24" t="inlineStr">
        <is>
          <t>Tomas Machac</t>
        </is>
      </c>
      <c r="G1239" s="24" t="inlineStr">
        <is>
          <t>Zhang Zhizhen</t>
        </is>
      </c>
      <c r="H1239" s="24" t="inlineStr">
        <is>
          <t>moneyline</t>
        </is>
      </c>
      <c r="I1239" s="24" t="inlineStr">
        <is>
          <t>away</t>
        </is>
      </c>
      <c r="J1239" s="25" t="n"/>
      <c r="K1239" s="24" t="inlineStr">
        <is>
          <t>polymarket_us</t>
        </is>
      </c>
      <c r="L1239" s="26" t="n">
        <v>-213</v>
      </c>
      <c r="M1239" s="27" t="n">
        <v>1.469484</v>
      </c>
      <c r="N1239" s="28" t="n">
        <v>0.680511</v>
      </c>
      <c r="O1239" s="28" t="n">
        <v>0.7156</v>
      </c>
      <c r="P1239" s="28" t="n">
        <v>0.05</v>
      </c>
      <c r="Q1239" s="28" t="n">
        <v>0.035089</v>
      </c>
      <c r="R1239" s="26" t="n">
        <v>38</v>
      </c>
      <c r="S1239" s="29" t="n">
        <v>1</v>
      </c>
      <c r="T1239" s="24" t="inlineStr">
        <is>
          <t>tennis-surface-elo-v1</t>
        </is>
      </c>
      <c r="U1239" s="24" t="inlineStr">
        <is>
          <t>settled</t>
        </is>
      </c>
      <c r="V1239" s="24" t="inlineStr">
        <is>
          <t>win</t>
        </is>
      </c>
      <c r="W1239" s="26" t="n">
        <v>1</v>
      </c>
      <c r="X1239" s="26" t="n">
        <v>0</v>
      </c>
      <c r="Y1239" s="25" t="n"/>
      <c r="Z1239" s="26" t="n">
        <v>-213</v>
      </c>
      <c r="AA1239" s="28" t="n">
        <v>0.68</v>
      </c>
      <c r="AB1239" s="28" t="n">
        <v>-0.000511</v>
      </c>
      <c r="AC1239" s="30" t="n">
        <v>0.4695</v>
      </c>
      <c r="AD1239" s="24" t="inlineStr">
        <is>
          <t>2026-10-07T10:03:25.922074Z</t>
        </is>
      </c>
      <c r="AE1239" s="31" t="inlineStr">
        <is>
          <t>Surface-blended Elo on Hard: Tomas Machac p=0.716 vs Zhang Zhizhen. Executable ask 0.6800 (aec-atp-zhizha-tommac-2026-10-06).</t>
        </is>
      </c>
      <c r="AF1239" s="31" t="inlineStr">
        <is>
          <t>Surface-blended Elo model; singles only, WTA+ATP market coverage, not yet locked-holdout qualified -- promoted by explicit operator directive, not genuine walk-forward validation.</t>
        </is>
      </c>
      <c r="AG1239" s="24" t="inlineStr">
        <is>
          <t>not_applicable</t>
        </is>
      </c>
      <c r="AH1239" s="24" t="n"/>
      <c r="AI1239" s="31" t="n"/>
      <c r="AJ1239" s="31" t="n"/>
      <c r="AK1239" s="24" t="inlineStr">
        <is>
          <t>paper_call</t>
        </is>
      </c>
      <c r="AL1239" s="26" t="n">
        <v>4</v>
      </c>
      <c r="AM1239" s="24" t="inlineStr">
        <is>
          <t>RESEARCH_OBSERVATION</t>
        </is>
      </c>
      <c r="AN1239" s="24" t="inlineStr">
        <is>
          <t>CALL</t>
        </is>
      </c>
      <c r="AO1239" s="24" t="inlineStr">
        <is>
          <t>PAPER_CALL_LOW_EDGE</t>
        </is>
      </c>
      <c r="AP1239" s="24" t="inlineStr">
        <is>
          <t>Tomas Machac</t>
        </is>
      </c>
      <c r="AQ1239" s="24" t="inlineStr">
        <is>
          <t>Tomas Machac</t>
        </is>
      </c>
      <c r="AR1239" s="24" t="inlineStr">
        <is>
          <t>Tomas Machac</t>
        </is>
      </c>
      <c r="AS1239" s="24" t="inlineStr">
        <is>
          <t>Zhang Zhizhen</t>
        </is>
      </c>
      <c r="AT1239" s="24" t="inlineStr">
        <is>
          <t>Zhang Zhizhen</t>
        </is>
      </c>
      <c r="AU1239" s="24" t="inlineStr">
        <is>
          <t>Zhang Zhizhen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shadow_qualified</t>
        </is>
      </c>
      <c r="BA1239" s="24" t="inlineStr">
        <is>
          <t>6c67e999d2a03612e30f4032c8e5e77e8becfbc79e05f4c8993e726b90d34d54</t>
        </is>
      </c>
      <c r="BB1239" s="24" t="inlineStr">
        <is>
          <t>surface_blended_elo</t>
        </is>
      </c>
      <c r="BC1239" s="24" t="inlineStr">
        <is>
          <t>tennis-surface-elo-v1</t>
        </is>
      </c>
      <c r="BD1239" s="24" t="inlineStr">
        <is>
          <t>6c67e999d2a03612e30f4032c8e5e77e8becfbc79e05f4c8993e726b90d34d54</t>
        </is>
      </c>
      <c r="BE1239" s="24" t="inlineStr">
        <is>
          <t>tennis-surface-elo-v1</t>
        </is>
      </c>
      <c r="BF1239" s="24" t="inlineStr">
        <is>
          <t>1</t>
        </is>
      </c>
      <c r="BG1239" s="24" t="inlineStr">
        <is>
          <t>6c67e999d2a03612e30f4032c8e5e77e8becfbc79e05f4c8993e726b90d34d54</t>
        </is>
      </c>
      <c r="BH1239" s="24" t="inlineStr">
        <is>
          <t>2026-10-07T04:53:52.554876Z</t>
        </is>
      </c>
      <c r="BI1239" s="24" t="inlineStr">
        <is>
          <t>["same_event","same_team_same_day","same_league_same_day"]</t>
        </is>
      </c>
      <c r="BJ1239" s="25" t="n"/>
      <c r="BK1239" s="26" t="n">
        <v>-213</v>
      </c>
      <c r="BL1239" s="27" t="n">
        <v>1.469484</v>
      </c>
      <c r="BM1239" s="28" t="n">
        <v>0.680511</v>
      </c>
      <c r="BN1239" s="28" t="n"/>
      <c r="BO1239" s="28" t="n"/>
      <c r="BP1239" s="25" t="n"/>
      <c r="BQ1239" s="27" t="n">
        <v>1.469484</v>
      </c>
      <c r="BR1239" s="28" t="n">
        <v>0.68</v>
      </c>
      <c r="BS1239" s="28" t="n"/>
      <c r="BT1239" s="28" t="n"/>
      <c r="BU1239" s="25" t="n"/>
      <c r="BV1239" s="29" t="n"/>
      <c r="BW1239" s="24" t="n"/>
      <c r="BX1239" s="30" t="n"/>
      <c r="BY1239" s="27" t="n"/>
      <c r="BZ1239" s="24" t="n"/>
      <c r="CA1239" s="31" t="n"/>
      <c r="CB1239" s="24" t="n"/>
      <c r="CC1239" s="24" t="n"/>
      <c r="CD1239" s="24" t="n"/>
      <c r="CE1239" s="24" t="n"/>
      <c r="CF1239" s="24" t="n"/>
      <c r="CG1239" s="24" t="n"/>
      <c r="CH1239" s="24" t="n"/>
      <c r="CI1239" s="24" t="n"/>
      <c r="CJ1239" s="24" t="n"/>
      <c r="CK1239" s="24" t="n"/>
      <c r="CL1239" s="24" t="n"/>
      <c r="CM1239" s="24" t="n"/>
      <c r="CN1239" s="24" t="n"/>
      <c r="CO1239" s="24" t="n"/>
      <c r="CP1239" s="24" t="n"/>
      <c r="CQ1239" s="24" t="n"/>
      <c r="CR1239" s="24" t="n"/>
      <c r="CS1239" s="24" t="inlineStr">
        <is>
          <t>True</t>
        </is>
      </c>
      <c r="CT1239" s="24" t="n"/>
      <c r="CU1239" s="24" t="n"/>
      <c r="CV1239" s="24" t="n"/>
      <c r="CW1239" s="24" t="n"/>
      <c r="CX1239" s="24" t="n"/>
      <c r="CY1239" s="24" t="n"/>
      <c r="CZ1239" s="24" t="n"/>
      <c r="DA1239" s="24" t="n"/>
      <c r="DB1239" s="24" t="n"/>
      <c r="DC1239" s="24" t="n"/>
      <c r="DD1239" s="24" t="inlineStr">
        <is>
          <t>74ec28c905e1238204c1e13425c87d8855d9967744f80637e26a9b4f3b8faffe</t>
        </is>
      </c>
      <c r="DE1239" s="24" t="inlineStr">
        <is>
          <t>E:\model-prediction\data\odds\tennis\2026-10-07\polymarket_snapshots.jsonl</t>
        </is>
      </c>
      <c r="DF1239" s="24" t="inlineStr">
        <is>
          <t>1220366:2026-10-07T04:53:52.554876Z</t>
        </is>
      </c>
      <c r="DG1239" s="24" t="n"/>
      <c r="DH1239" s="24" t="n"/>
      <c r="DI1239" s="24" t="n"/>
      <c r="DJ1239" s="24" t="n"/>
      <c r="DK1239" s="24" t="n"/>
      <c r="DL1239" s="24" t="n"/>
      <c r="DM1239" s="24" t="n"/>
      <c r="DN1239" s="24" t="n"/>
      <c r="DO1239" s="24" t="n"/>
      <c r="DP1239" s="24" t="n"/>
      <c r="DQ1239" s="24" t="inlineStr">
        <is>
          <t>{"artifact_hash": "6c67e999d2a03612e30f4032c8e5e77e8becfbc79e05f4c8993e726b90d34d54", "away_team": "Tomas Machac", "event_id": "315-2026:184839", "event_start_utc": "2026-10-07T05:50Z", "features": {"elo_p1_surface": 1566.9, "elo_p2_surface": 1430.5, "expected_games_p1": 13.47, "expected_games_p2": 8.39, "expected_total_games": 21.86, "history_matches": 11406, "min_player_matches": 80, "surface": "Hard"}, "historical_source_observation_times_verified": false, "home_team": "Zhang Zhizhen", "inference_inputs": {"code_sha256": {"features/elo_ratings.py": "8525faf022a6343c452286dbfeb17dbb043744c6bdabbe448b6b371216da439b", "models/tennis.py": "6c67e999d2a03612e30f4032c8e5e77e8becfbc79e05f4c8993e726b90d34d54"}, "overall_ratings": [1607.7413264415964, 1392.6572531619056], "players": ["Tomas Machac", "Zhang Zhizhen"], "sport": "TENNIS", "surface": "Hard", "surface_counts": [90, 53], "surface_ratings": [1566.9132284779034, 1430.4972084876626]}, "market_type": "moneyline", "model_version": "tennis-surface-elo-v1", "observed_at_utc": "2026-10-07T05:27:47.824568+00:00", "probabilities": {"away": 0.7156, "home": 0.2844}, "replay_scope": "Exact full-precision serving state and rounding; upstream historical observation times are not certified.", "schema": "coded-moneyline-replay-v1", "snapshot_hash": "50ba2292b94ab8cf3b4786e946186a47d5ea51d5d93c5d0783a265f7e3934d7f", "sport": "TENNIS"}</t>
        </is>
      </c>
    </row>
    <row r="1240" ht="36" customHeight="1">
      <c r="A1240" s="24" t="inlineStr">
        <is>
          <t>a0b83d75181843de</t>
        </is>
      </c>
      <c r="B1240" s="24" t="inlineStr">
        <is>
          <t>2026-10-07T05:27:50.367605Z</t>
        </is>
      </c>
      <c r="C1240" s="24" t="inlineStr">
        <is>
          <t>2026-10-07T05:50Z</t>
        </is>
      </c>
      <c r="D1240" s="24" t="inlineStr">
        <is>
          <t>315-2026:184878</t>
        </is>
      </c>
      <c r="E1240" s="24" t="inlineStr">
        <is>
          <t>TENNIS</t>
        </is>
      </c>
      <c r="F1240" s="24" t="inlineStr">
        <is>
          <t>Kamil Majchrzak</t>
        </is>
      </c>
      <c r="G1240" s="24" t="inlineStr">
        <is>
          <t>Yannick Hanfmann</t>
        </is>
      </c>
      <c r="H1240" s="24" t="inlineStr">
        <is>
          <t>moneyline</t>
        </is>
      </c>
      <c r="I1240" s="24" t="inlineStr">
        <is>
          <t>home</t>
        </is>
      </c>
      <c r="J1240" s="25" t="n"/>
      <c r="K1240" s="24" t="inlineStr">
        <is>
          <t>polymarket_us</t>
        </is>
      </c>
      <c r="L1240" s="26" t="n">
        <v>150</v>
      </c>
      <c r="M1240" s="27" t="n">
        <v>2.5</v>
      </c>
      <c r="N1240" s="28" t="n">
        <v>0.4</v>
      </c>
      <c r="O1240" s="28" t="n">
        <v>0.517</v>
      </c>
      <c r="P1240" s="28" t="n">
        <v>0.05</v>
      </c>
      <c r="Q1240" s="28" t="n">
        <v>0.117</v>
      </c>
      <c r="R1240" s="26" t="n">
        <v>78</v>
      </c>
      <c r="S1240" s="29" t="n">
        <v>1.5</v>
      </c>
      <c r="T1240" s="24" t="inlineStr">
        <is>
          <t>tennis-surface-elo-v1</t>
        </is>
      </c>
      <c r="U1240" s="24" t="inlineStr">
        <is>
          <t>settled</t>
        </is>
      </c>
      <c r="V1240" s="24" t="inlineStr">
        <is>
          <t>win</t>
        </is>
      </c>
      <c r="W1240" s="26" t="n">
        <v>0</v>
      </c>
      <c r="X1240" s="26" t="n">
        <v>1</v>
      </c>
      <c r="Y1240" s="25" t="n"/>
      <c r="Z1240" s="26" t="n">
        <v>150</v>
      </c>
      <c r="AA1240" s="28" t="n">
        <v>0.4</v>
      </c>
      <c r="AB1240" s="28" t="n">
        <v>0</v>
      </c>
      <c r="AC1240" s="30" t="n">
        <v>2.25</v>
      </c>
      <c r="AD1240" s="24" t="inlineStr">
        <is>
          <t>2026-10-07T10:03:31.600661Z</t>
        </is>
      </c>
      <c r="AE1240" s="31" t="inlineStr">
        <is>
          <t>Surface-blended Elo on Hard: Kamil Majchrzak p=0.483 vs Yannick Hanfmann. Executable ask 0.4000 (aec-atp-yanhan-kammaj-2026-10-06).</t>
        </is>
      </c>
      <c r="AF1240" s="31" t="inlineStr">
        <is>
          <t>Surface-blended Elo model; singles only, WTA+ATP market coverage, not yet locked-holdout qualified -- promoted by explicit operator directive, not genuine walk-forward validation.</t>
        </is>
      </c>
      <c r="AG1240" s="24" t="inlineStr">
        <is>
          <t>not_applicable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PAPER_CALL_LOW_EDGE</t>
        </is>
      </c>
      <c r="AP1240" s="24" t="inlineStr">
        <is>
          <t>Kamil Majchrzak</t>
        </is>
      </c>
      <c r="AQ1240" s="24" t="inlineStr">
        <is>
          <t>Kamil Majchrzak</t>
        </is>
      </c>
      <c r="AR1240" s="24" t="inlineStr">
        <is>
          <t>Kamil Majchrzak</t>
        </is>
      </c>
      <c r="AS1240" s="24" t="inlineStr">
        <is>
          <t>Yannick Hanfmann</t>
        </is>
      </c>
      <c r="AT1240" s="24" t="inlineStr">
        <is>
          <t>Yannick Hanfmann</t>
        </is>
      </c>
      <c r="AU1240" s="24" t="inlineStr">
        <is>
          <t>Yannick Hanfmann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shadow_qualified</t>
        </is>
      </c>
      <c r="BA1240" s="24" t="inlineStr">
        <is>
          <t>6c67e999d2a03612e30f4032c8e5e77e8becfbc79e05f4c8993e726b90d34d54</t>
        </is>
      </c>
      <c r="BB1240" s="24" t="inlineStr">
        <is>
          <t>surface_blended_elo</t>
        </is>
      </c>
      <c r="BC1240" s="24" t="inlineStr">
        <is>
          <t>tennis-surface-elo-v1</t>
        </is>
      </c>
      <c r="BD1240" s="24" t="inlineStr">
        <is>
          <t>6c67e999d2a03612e30f4032c8e5e77e8becfbc79e05f4c8993e726b90d34d54</t>
        </is>
      </c>
      <c r="BE1240" s="24" t="inlineStr">
        <is>
          <t>tennis-surface-elo-v1</t>
        </is>
      </c>
      <c r="BF1240" s="24" t="inlineStr">
        <is>
          <t>1</t>
        </is>
      </c>
      <c r="BG1240" s="24" t="inlineStr">
        <is>
          <t>6c67e999d2a03612e30f4032c8e5e77e8becfbc79e05f4c8993e726b90d34d54</t>
        </is>
      </c>
      <c r="BH1240" s="24" t="inlineStr">
        <is>
          <t>2026-10-07T04:53:32.503498Z</t>
        </is>
      </c>
      <c r="BI1240" s="24" t="inlineStr">
        <is>
          <t>["same_event","same_team_same_day","same_league_same_day"]</t>
        </is>
      </c>
      <c r="BJ1240" s="25" t="n"/>
      <c r="BK1240" s="26" t="n">
        <v>150</v>
      </c>
      <c r="BL1240" s="27" t="n">
        <v>2.5</v>
      </c>
      <c r="BM1240" s="28" t="n">
        <v>0.4</v>
      </c>
      <c r="BN1240" s="28" t="n"/>
      <c r="BO1240" s="28" t="n"/>
      <c r="BP1240" s="25" t="n"/>
      <c r="BQ1240" s="27" t="n">
        <v>2.5</v>
      </c>
      <c r="BR1240" s="28" t="n">
        <v>0.4</v>
      </c>
      <c r="BS1240" s="28" t="n"/>
      <c r="BT1240" s="28" t="n"/>
      <c r="BU1240" s="25" t="n"/>
      <c r="BV1240" s="29" t="n"/>
      <c r="BW1240" s="24" t="n"/>
      <c r="BX1240" s="30" t="n"/>
      <c r="BY1240" s="27" t="n"/>
      <c r="BZ1240" s="24" t="n"/>
      <c r="CA1240" s="31" t="n"/>
      <c r="CB1240" s="24" t="n"/>
      <c r="CC1240" s="24" t="n"/>
      <c r="CD1240" s="24" t="n"/>
      <c r="CE1240" s="24" t="n"/>
      <c r="CF1240" s="24" t="n"/>
      <c r="CG1240" s="24" t="n"/>
      <c r="CH1240" s="24" t="n"/>
      <c r="CI1240" s="24" t="n"/>
      <c r="CJ1240" s="24" t="n"/>
      <c r="CK1240" s="24" t="n"/>
      <c r="CL1240" s="24" t="n"/>
      <c r="CM1240" s="24" t="n"/>
      <c r="CN1240" s="24" t="n"/>
      <c r="CO1240" s="24" t="n"/>
      <c r="CP1240" s="24" t="n"/>
      <c r="CQ1240" s="24" t="n"/>
      <c r="CR1240" s="24" t="n"/>
      <c r="CS1240" s="24" t="inlineStr">
        <is>
          <t>True</t>
        </is>
      </c>
      <c r="CT1240" s="24" t="n"/>
      <c r="CU1240" s="24" t="n"/>
      <c r="CV1240" s="24" t="n"/>
      <c r="CW1240" s="24" t="n"/>
      <c r="CX1240" s="24" t="n"/>
      <c r="CY1240" s="24" t="n"/>
      <c r="CZ1240" s="24" t="n"/>
      <c r="DA1240" s="24" t="n"/>
      <c r="DB1240" s="24" t="n"/>
      <c r="DC1240" s="24" t="n"/>
      <c r="DD1240" s="24" t="inlineStr">
        <is>
          <t>d2f9d8204dff4d89dadfde4861b5d0c3d95ac00f741e83e261db029bc088220c</t>
        </is>
      </c>
      <c r="DE1240" s="24" t="inlineStr">
        <is>
          <t>E:\model-prediction\data\odds\tennis\2026-10-07\polymarket_snapshots.jsonl</t>
        </is>
      </c>
      <c r="DF1240" s="24" t="inlineStr">
        <is>
          <t>1220358:2026-10-07T04:53:32.503498Z</t>
        </is>
      </c>
      <c r="DG1240" s="24" t="n"/>
      <c r="DH1240" s="24" t="n"/>
      <c r="DI1240" s="24" t="n"/>
      <c r="DJ1240" s="24" t="n"/>
      <c r="DK1240" s="24" t="n"/>
      <c r="DL1240" s="24" t="n"/>
      <c r="DM1240" s="24" t="n"/>
      <c r="DN1240" s="24" t="n"/>
      <c r="DO1240" s="24" t="n"/>
      <c r="DP1240" s="24" t="n"/>
      <c r="DQ1240" s="24" t="inlineStr">
        <is>
          <t>{"artifact_hash": "6c67e999d2a03612e30f4032c8e5e77e8becfbc79e05f4c8993e726b90d34d54", "away_team": "Kamil Majchrzak", "event_id": "315-2026:184878", "event_start_utc": "2026-10-07T05:50Z", "features": {"elo_p1_surface": 1599.4, "elo_p2_surface": 1604.3, "expected_games_p1": 12.91, "expected_games_p2": 12.67, "expected_total_games": 25.58, "history_matches": 11406, "min_player_matches": 81,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[1589.1460825858767, 1618.8258946535884], "players": ["Kamil Majchrzak", "Yannick Hanfmann"], "sport": "TENNIS", "surface": "Hard", "surface_counts": [64, 102], "surface_ratings": [1599.42995616866, 1604.3169455948196]}, "market_type": "moneyline", "model_version": "tennis-surface-elo-v1", "observed_at_utc": "2026-10-07T05:27:47.824568+00:00", "probabilities": {"away": 0.483, "home": 0.517}, "replay_scope": "Exact full-precision serving state and rounding; upstream historical observation times are not certified.", "schema": "coded-moneyline-replay-v1", "snapshot_hash": "90b374d89c27be7ec3f58d7045a7ea67b258a262fe53fc35122d1a01165f4009", "sport": "TENNIS"}</t>
        </is>
      </c>
    </row>
    <row r="1241" ht="36" customHeight="1">
      <c r="A1241" s="24" t="inlineStr">
        <is>
          <t>c6285add75774430</t>
        </is>
      </c>
      <c r="B1241" s="24" t="inlineStr">
        <is>
          <t>2026-10-07T05:27:50.367605Z</t>
        </is>
      </c>
      <c r="C1241" s="24" t="inlineStr">
        <is>
          <t>2026-10-07T06:00Z</t>
        </is>
      </c>
      <c r="D1241" s="24" t="inlineStr">
        <is>
          <t>315-2026:184854</t>
        </is>
      </c>
      <c r="E1241" s="24" t="inlineStr">
        <is>
          <t>TENNIS</t>
        </is>
      </c>
      <c r="F1241" s="24" t="inlineStr">
        <is>
          <t>Federico Cina</t>
        </is>
      </c>
      <c r="G1241" s="24" t="inlineStr">
        <is>
          <t>Alex Molcan</t>
        </is>
      </c>
      <c r="H1241" s="24" t="inlineStr">
        <is>
          <t>moneyline</t>
        </is>
      </c>
      <c r="I1241" s="24" t="inlineStr">
        <is>
          <t>home</t>
        </is>
      </c>
      <c r="J1241" s="25" t="n"/>
      <c r="K1241" s="24" t="inlineStr">
        <is>
          <t>polymarket_us</t>
        </is>
      </c>
      <c r="L1241" s="26" t="n">
        <v>-150</v>
      </c>
      <c r="M1241" s="27" t="n">
        <v>1.666667</v>
      </c>
      <c r="N1241" s="28" t="n">
        <v>0.6</v>
      </c>
      <c r="O1241" s="28" t="n">
        <v>0.6268</v>
      </c>
      <c r="P1241" s="28" t="n">
        <v>0.05</v>
      </c>
      <c r="Q1241" s="28" t="n">
        <v>0.0268</v>
      </c>
      <c r="R1241" s="26" t="n">
        <v>33</v>
      </c>
      <c r="S1241" s="29" t="n">
        <v>1</v>
      </c>
      <c r="T1241" s="24" t="inlineStr">
        <is>
          <t>tennis-surface-elo-v1</t>
        </is>
      </c>
      <c r="U1241" s="24" t="inlineStr">
        <is>
          <t>settled</t>
        </is>
      </c>
      <c r="V1241" s="24" t="inlineStr">
        <is>
          <t>win</t>
        </is>
      </c>
      <c r="W1241" s="26" t="n">
        <v>0</v>
      </c>
      <c r="X1241" s="26" t="n">
        <v>1</v>
      </c>
      <c r="Y1241" s="25" t="n"/>
      <c r="Z1241" s="26" t="n">
        <v>-150</v>
      </c>
      <c r="AA1241" s="28" t="n">
        <v>0.6</v>
      </c>
      <c r="AB1241" s="28" t="n">
        <v>0</v>
      </c>
      <c r="AC1241" s="30" t="n">
        <v>0.6667</v>
      </c>
      <c r="AD1241" s="24" t="inlineStr">
        <is>
          <t>2026-10-07T10:03:37.359614Z</t>
        </is>
      </c>
      <c r="AE1241" s="31" t="inlineStr">
        <is>
          <t>Surface-blended Elo on Hard: Federico Cina p=0.373 vs Alex Molcan. Executable ask 0.6000 (aec-atp-alemol-fedcin-2026-10-07).</t>
        </is>
      </c>
      <c r="AF1241" s="31" t="inlineStr">
        <is>
          <t>Surface-blended Elo model; singles only, WTA+ATP market coverage, not yet locked-holdout qualified -- promoted by explicit operator directive, not genuine walk-forward validation.</t>
        </is>
      </c>
      <c r="AG1241" s="24" t="inlineStr">
        <is>
          <t>not_applicable</t>
        </is>
      </c>
      <c r="AH1241" s="24" t="n"/>
      <c r="AI1241" s="31" t="n"/>
      <c r="AJ1241" s="31" t="n"/>
      <c r="AK1241" s="24" t="inlineStr">
        <is>
          <t>paper_call</t>
        </is>
      </c>
      <c r="AL1241" s="26" t="n">
        <v>4</v>
      </c>
      <c r="AM1241" s="24" t="inlineStr">
        <is>
          <t>RESEARCH_OBSERVATION</t>
        </is>
      </c>
      <c r="AN1241" s="24" t="inlineStr">
        <is>
          <t>CALL</t>
        </is>
      </c>
      <c r="AO1241" s="24" t="inlineStr">
        <is>
          <t>PAPER_CALL_LOW_EDGE</t>
        </is>
      </c>
      <c r="AP1241" s="24" t="inlineStr">
        <is>
          <t>Federico Cina</t>
        </is>
      </c>
      <c r="AQ1241" s="24" t="inlineStr">
        <is>
          <t>Federico Cina</t>
        </is>
      </c>
      <c r="AR1241" s="24" t="inlineStr">
        <is>
          <t>Federico Cina</t>
        </is>
      </c>
      <c r="AS1241" s="24" t="inlineStr">
        <is>
          <t>Alex Molcan</t>
        </is>
      </c>
      <c r="AT1241" s="24" t="inlineStr">
        <is>
          <t>Alex Molcan</t>
        </is>
      </c>
      <c r="AU1241" s="24" t="inlineStr">
        <is>
          <t>Alex Molcan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shadow_qualified</t>
        </is>
      </c>
      <c r="BA1241" s="24" t="inlineStr">
        <is>
          <t>6c67e999d2a03612e30f4032c8e5e77e8becfbc79e05f4c8993e726b90d34d54</t>
        </is>
      </c>
      <c r="BB1241" s="24" t="inlineStr">
        <is>
          <t>surface_blended_elo</t>
        </is>
      </c>
      <c r="BC1241" s="24" t="inlineStr">
        <is>
          <t>tennis-surface-elo-v1</t>
        </is>
      </c>
      <c r="BD1241" s="24" t="inlineStr">
        <is>
          <t>6c67e999d2a03612e30f4032c8e5e77e8becfbc79e05f4c8993e726b90d34d54</t>
        </is>
      </c>
      <c r="BE1241" s="24" t="inlineStr">
        <is>
          <t>tennis-surface-elo-v1</t>
        </is>
      </c>
      <c r="BF1241" s="24" t="inlineStr">
        <is>
          <t>1</t>
        </is>
      </c>
      <c r="BG1241" s="24" t="inlineStr">
        <is>
          <t>6c67e999d2a03612e30f4032c8e5e77e8becfbc79e05f4c8993e726b90d34d54</t>
        </is>
      </c>
      <c r="BH1241" s="24" t="inlineStr">
        <is>
          <t>2026-10-07T04:54:52.982095Z</t>
        </is>
      </c>
      <c r="BI1241" s="24" t="inlineStr">
        <is>
          <t>["same_event","same_team_same_day","same_league_same_day"]</t>
        </is>
      </c>
      <c r="BJ1241" s="25" t="n"/>
      <c r="BK1241" s="26" t="n">
        <v>-150</v>
      </c>
      <c r="BL1241" s="27" t="n">
        <v>1.666667</v>
      </c>
      <c r="BM1241" s="28" t="n">
        <v>0.6</v>
      </c>
      <c r="BN1241" s="28" t="n"/>
      <c r="BO1241" s="28" t="n"/>
      <c r="BP1241" s="25" t="n"/>
      <c r="BQ1241" s="27" t="n">
        <v>1.666667</v>
      </c>
      <c r="BR1241" s="28" t="n">
        <v>0.6</v>
      </c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True</t>
        </is>
      </c>
      <c r="CT1241" s="24" t="n"/>
      <c r="CU1241" s="24" t="n"/>
      <c r="CV1241" s="24" t="n"/>
      <c r="CW1241" s="24" t="n"/>
      <c r="CX1241" s="24" t="n"/>
      <c r="CY1241" s="24" t="n"/>
      <c r="CZ1241" s="24" t="n"/>
      <c r="DA1241" s="24" t="n"/>
      <c r="DB1241" s="24" t="n"/>
      <c r="DC1241" s="24" t="n"/>
      <c r="DD1241" s="24" t="inlineStr">
        <is>
          <t>a174014a89206de8631538c1808435b2779f3c7ec4a3c26002e1f117322097e4</t>
        </is>
      </c>
      <c r="DE1241" s="24" t="inlineStr">
        <is>
          <t>E:\model-prediction\data\odds\tennis\2026-10-07\polymarket_snapshots.jsonl</t>
        </is>
      </c>
      <c r="DF1241" s="24" t="inlineStr">
        <is>
          <t>1247493:2026-10-07T04:54:52.982095Z</t>
        </is>
      </c>
      <c r="DG1241" s="24" t="n"/>
      <c r="DH1241" s="24" t="n"/>
      <c r="DI1241" s="24" t="n"/>
      <c r="DJ1241" s="24" t="n"/>
      <c r="DK1241" s="24" t="n"/>
      <c r="DL1241" s="24" t="n"/>
      <c r="DM1241" s="24" t="n"/>
      <c r="DN1241" s="24" t="n"/>
      <c r="DO1241" s="24" t="n"/>
      <c r="DP1241" s="24" t="n"/>
      <c r="DQ1241" s="24" t="inlineStr">
        <is>
          <t>{"artifact_hash": "6c67e999d2a03612e30f4032c8e5e77e8becfbc79e05f4c8993e726b90d34d54", "away_team": "Federico Cina", "event_id": "315-2026:184854", "event_start_utc": "2026-10-07T06:00Z", "features": {"elo_p1_surface": 1541.7, "elo_p2_surface": 1626.4, "expected_games_p1": 10.72, "expected_games_p2": 13.49, "expected_total_games": 24.21, "history_matches": 11406, "min_player_matches": 35,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[1551.6608301963724, 1651.567097914927], "players": ["Federico Cina", "Alex Molcan"], "sport": "TENNIS", "surface": "Hard", "surface_counts": [21, 33], "surface_ratings": [1541.7228060947648, 1626.3540083757032]}, "market_type": "moneyline", "model_version": "tennis-surface-elo-v1", "observed_at_utc": "2026-10-07T05:27:47.824568+00:00", "probabilities": {"away": 0.3732, "home": 0.6268}, "replay_scope": "Exact full-precision serving state and rounding; upstream historical observation times are not certified.", "schema": "coded-moneyline-replay-v1", "snapshot_hash": "1ee0e9527f4f5620146bd41bffa939cf84c951cb3d004f3a350c8d01b39582aa", "sport": "TENNIS"}</t>
        </is>
      </c>
    </row>
    <row r="1242" ht="36" customHeight="1">
      <c r="A1242" s="24" t="inlineStr">
        <is>
          <t>5d531e7ab1114f7b</t>
        </is>
      </c>
      <c r="B1242" s="24" t="inlineStr">
        <is>
          <t>2026-10-07T05:27:50.367605Z</t>
        </is>
      </c>
      <c r="C1242" s="24" t="inlineStr">
        <is>
          <t>2026-10-07T07:00Z</t>
        </is>
      </c>
      <c r="D1242" s="24" t="inlineStr">
        <is>
          <t>315-2026:184842</t>
        </is>
      </c>
      <c r="E1242" s="24" t="inlineStr">
        <is>
          <t>TENNIS</t>
        </is>
      </c>
      <c r="F1242" s="24" t="inlineStr">
        <is>
          <t>Rei Sakamoto</t>
        </is>
      </c>
      <c r="G1242" s="24" t="inlineStr">
        <is>
          <t>Marco Trungelliti</t>
        </is>
      </c>
      <c r="H1242" s="24" t="inlineStr">
        <is>
          <t>moneyline</t>
        </is>
      </c>
      <c r="I1242" s="24" t="inlineStr">
        <is>
          <t>away</t>
        </is>
      </c>
      <c r="J1242" s="25" t="n"/>
      <c r="K1242" s="24" t="inlineStr">
        <is>
          <t>polymarket_us</t>
        </is>
      </c>
      <c r="L1242" s="26" t="n">
        <v>-203</v>
      </c>
      <c r="M1242" s="27" t="n">
        <v>1.492611</v>
      </c>
      <c r="N1242" s="28" t="n">
        <v>0.669967</v>
      </c>
      <c r="O1242" s="28" t="n">
        <v>0.5282</v>
      </c>
      <c r="P1242" s="28" t="n">
        <v>0.05</v>
      </c>
      <c r="Q1242" s="28" t="n">
        <v>-0.141767</v>
      </c>
      <c r="R1242" s="26" t="n">
        <v>0</v>
      </c>
      <c r="S1242" s="29" t="n">
        <v>1</v>
      </c>
      <c r="T1242" s="24" t="inlineStr">
        <is>
          <t>tennis-surface-elo-v1</t>
        </is>
      </c>
      <c r="U1242" s="24" t="inlineStr">
        <is>
          <t>settled</t>
        </is>
      </c>
      <c r="V1242" s="24" t="inlineStr">
        <is>
          <t>win</t>
        </is>
      </c>
      <c r="W1242" s="26" t="n">
        <v>1</v>
      </c>
      <c r="X1242" s="26" t="n">
        <v>0</v>
      </c>
      <c r="Y1242" s="25" t="n"/>
      <c r="Z1242" s="26" t="n">
        <v>-203</v>
      </c>
      <c r="AA1242" s="28" t="n">
        <v>0.67</v>
      </c>
      <c r="AB1242" s="28" t="n">
        <v>3.3e-05</v>
      </c>
      <c r="AC1242" s="30" t="n">
        <v>0.4926</v>
      </c>
      <c r="AD1242" s="24" t="inlineStr">
        <is>
          <t>2026-10-07T10:03:43.042978Z</t>
        </is>
      </c>
      <c r="AE1242" s="31" t="inlineStr">
        <is>
          <t>Surface-blended Elo on Hard: Rei Sakamoto p=0.528 vs Marco Trungelliti. Executable ask 0.6700 (aec-atp-martru-reisak-2026-10-07).</t>
        </is>
      </c>
      <c r="AF1242" s="31" t="inlineStr">
        <is>
          <t>Surface-blended Elo model; singles only, WTA+ATP market coverage, not yet locked-holdout qualified -- promoted by explicit operator directive, not genuine walk-forward validation.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PAPER_CALL_LOW_EDGE</t>
        </is>
      </c>
      <c r="AP1242" s="24" t="inlineStr">
        <is>
          <t>Rei Sakamoto</t>
        </is>
      </c>
      <c r="AQ1242" s="24" t="inlineStr">
        <is>
          <t>Rei Sakamoto</t>
        </is>
      </c>
      <c r="AR1242" s="24" t="inlineStr">
        <is>
          <t>Rei Sakamoto</t>
        </is>
      </c>
      <c r="AS1242" s="24" t="inlineStr">
        <is>
          <t>Marco Trungelliti</t>
        </is>
      </c>
      <c r="AT1242" s="24" t="inlineStr">
        <is>
          <t>Marco Trungelliti</t>
        </is>
      </c>
      <c r="AU1242" s="24" t="inlineStr">
        <is>
          <t>Marco Trungelliti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shadow_qualified</t>
        </is>
      </c>
      <c r="BA1242" s="24" t="inlineStr">
        <is>
          <t>6c67e999d2a03612e30f4032c8e5e77e8becfbc79e05f4c8993e726b90d34d54</t>
        </is>
      </c>
      <c r="BB1242" s="24" t="inlineStr">
        <is>
          <t>surface_blended_elo</t>
        </is>
      </c>
      <c r="BC1242" s="24" t="inlineStr">
        <is>
          <t>tennis-surface-elo-v1</t>
        </is>
      </c>
      <c r="BD1242" s="24" t="inlineStr">
        <is>
          <t>6c67e999d2a03612e30f4032c8e5e77e8becfbc79e05f4c8993e726b90d34d54</t>
        </is>
      </c>
      <c r="BE1242" s="24" t="inlineStr">
        <is>
          <t>tennis-surface-elo-v1</t>
        </is>
      </c>
      <c r="BF1242" s="24" t="inlineStr">
        <is>
          <t>1</t>
        </is>
      </c>
      <c r="BG1242" s="24" t="inlineStr">
        <is>
          <t>6c67e999d2a03612e30f4032c8e5e77e8becfbc79e05f4c8993e726b90d34d54</t>
        </is>
      </c>
      <c r="BH1242" s="24" t="inlineStr">
        <is>
          <t>2026-10-07T04:55:33.236225Z</t>
        </is>
      </c>
      <c r="BI1242" s="24" t="inlineStr">
        <is>
          <t>["same_event","same_team_same_day","same_league_same_day"]</t>
        </is>
      </c>
      <c r="BJ1242" s="25" t="n"/>
      <c r="BK1242" s="26" t="n">
        <v>-203</v>
      </c>
      <c r="BL1242" s="27" t="n">
        <v>1.492611</v>
      </c>
      <c r="BM1242" s="28" t="n">
        <v>0.669967</v>
      </c>
      <c r="BN1242" s="28" t="n"/>
      <c r="BO1242" s="28" t="n"/>
      <c r="BP1242" s="25" t="n"/>
      <c r="BQ1242" s="27" t="n">
        <v>1.492611</v>
      </c>
      <c r="BR1242" s="28" t="n">
        <v>0.67</v>
      </c>
      <c r="BS1242" s="28" t="n"/>
      <c r="BT1242" s="28" t="n"/>
      <c r="BU1242" s="25" t="n"/>
      <c r="BV1242" s="29" t="n"/>
      <c r="BW1242" s="24" t="n"/>
      <c r="BX1242" s="30" t="n"/>
      <c r="BY1242" s="27" t="n"/>
      <c r="BZ1242" s="24" t="n"/>
      <c r="CA1242" s="31" t="n"/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False</t>
        </is>
      </c>
      <c r="CT1242" s="24" t="n"/>
      <c r="CU1242" s="24" t="n"/>
      <c r="CV1242" s="24" t="n"/>
      <c r="CW1242" s="24" t="n"/>
      <c r="CX1242" s="24" t="n"/>
      <c r="CY1242" s="24" t="n"/>
      <c r="CZ1242" s="24" t="n"/>
      <c r="DA1242" s="24" t="n"/>
      <c r="DB1242" s="24" t="n"/>
      <c r="DC1242" s="24" t="n"/>
      <c r="DD1242" s="24" t="inlineStr">
        <is>
          <t>2988b3ebb0c50890008b7a44265d71f3570464efb1476c50b03d4b9f0cfe326a</t>
        </is>
      </c>
      <c r="DE1242" s="24" t="inlineStr">
        <is>
          <t>E:\model-prediction\data\odds\tennis\2026-10-07\polymarket_snapshots.jsonl</t>
        </is>
      </c>
      <c r="DF1242" s="24" t="inlineStr">
        <is>
          <t>1247495:2026-10-07T04:55:33.236225Z</t>
        </is>
      </c>
      <c r="DG1242" s="24" t="n"/>
      <c r="DH1242" s="24" t="n"/>
      <c r="DI1242" s="24" t="n"/>
      <c r="DJ1242" s="24" t="n"/>
      <c r="DK1242" s="24" t="n"/>
      <c r="DL1242" s="24" t="n"/>
      <c r="DM1242" s="24" t="n"/>
      <c r="DN1242" s="24" t="n"/>
      <c r="DO1242" s="24" t="n"/>
      <c r="DP1242" s="24" t="n"/>
      <c r="DQ1242" s="24" t="inlineStr">
        <is>
          <t>{"artifact_hash": "6c67e999d2a03612e30f4032c8e5e77e8becfbc79e05f4c8993e726b90d34d54", "away_team": "Rei Sakamoto", "event_id": "315-2026:184842", "event_start_utc": "2026-10-07T07:00Z", "features": {"elo_p1_surface": 1563.9, "elo_p2_surface": 1553.8, "expected_games_p1": 13.18, "expected_games_p2": 12.34, "expected_total_games": 25.53, "history_matches": 11406, "min_player_matches": 39, "surface": "Hard"}, "historical_source_observation_times_verified": false, "home_team": "Marco Trungelliti", "inference_inputs": {"code_sha256": {"features/elo_ratings.py": "8525faf022a6343c452286dbfeb17dbb043744c6bdabbe448b6b371216da439b", "models/tennis.py": "6c67e999d2a03612e30f4032c8e5e77e8becfbc79e05f4c8993e726b90d34d54"}, "overall_ratings": [1573.366381343761, 1538.418312425658], "players": ["Rei Sakamoto", "Marco Trungelliti"], "sport": "TENNIS", "surface": "Hard", "surface_counts": [33, 45], "surface_ratings": [1563.8632805076284, 1553.80512803782]}, "market_type": "moneyline", "model_version": "tennis-surface-elo-v1", "observed_at_utc": "2026-10-07T05:27:47.824568+00:00", "probabilities": {"away": 0.5282, "home": 0.4718}, "replay_scope": "Exact full-precision serving state and rounding; upstream historical observation times are not certified.", "schema": "coded-moneyline-replay-v1", "snapshot_hash": "48de9d4660106b128443003f5d58992b58f11db44b8533d18a17e4b7dda725bb", "sport": "TENNIS"}</t>
        </is>
      </c>
    </row>
    <row r="1243" ht="36" customHeight="1">
      <c r="A1243" s="24" t="inlineStr">
        <is>
          <t>b52a859f5bdf46ff</t>
        </is>
      </c>
      <c r="B1243" s="24" t="inlineStr">
        <is>
          <t>2026-10-07T05:27:50.367605Z</t>
        </is>
      </c>
      <c r="C1243" s="24" t="inlineStr">
        <is>
          <t>2026-10-07T07:00Z</t>
        </is>
      </c>
      <c r="D1243" s="24" t="inlineStr">
        <is>
          <t>315-2026:184870</t>
        </is>
      </c>
      <c r="E1243" s="24" t="inlineStr">
        <is>
          <t>TENNIS</t>
        </is>
      </c>
      <c r="F1243" s="24" t="inlineStr">
        <is>
          <t>Zhou Yi</t>
        </is>
      </c>
      <c r="G1243" s="24" t="inlineStr">
        <is>
          <t>Mattia Bellucci</t>
        </is>
      </c>
      <c r="H1243" s="24" t="inlineStr">
        <is>
          <t>moneyline</t>
        </is>
      </c>
      <c r="I1243" s="24" t="inlineStr">
        <is>
          <t>home</t>
        </is>
      </c>
      <c r="J1243" s="25" t="n"/>
      <c r="K1243" s="24" t="inlineStr">
        <is>
          <t>polymarket_us</t>
        </is>
      </c>
      <c r="L1243" s="26" t="n">
        <v>-355</v>
      </c>
      <c r="M1243" s="27" t="n">
        <v>1.28169</v>
      </c>
      <c r="N1243" s="28" t="n">
        <v>0.78022</v>
      </c>
      <c r="O1243" s="28" t="n">
        <v>0.6607</v>
      </c>
      <c r="P1243" s="28" t="n">
        <v>0.05</v>
      </c>
      <c r="Q1243" s="28" t="n">
        <v>-0.11952</v>
      </c>
      <c r="R1243" s="26" t="n">
        <v>0</v>
      </c>
      <c r="S1243" s="29" t="n">
        <v>1</v>
      </c>
      <c r="T1243" s="24" t="inlineStr">
        <is>
          <t>tennis-surface-elo-v1</t>
        </is>
      </c>
      <c r="U1243" s="24" t="inlineStr">
        <is>
          <t>settled</t>
        </is>
      </c>
      <c r="V1243" s="24" t="inlineStr">
        <is>
          <t>loss</t>
        </is>
      </c>
      <c r="W1243" s="26" t="n">
        <v>1</v>
      </c>
      <c r="X1243" s="26" t="n">
        <v>0</v>
      </c>
      <c r="Y1243" s="25" t="n"/>
      <c r="Z1243" s="26" t="n">
        <v>-355</v>
      </c>
      <c r="AA1243" s="28" t="n">
        <v>0.78</v>
      </c>
      <c r="AB1243" s="28" t="n">
        <v>-0.00022</v>
      </c>
      <c r="AC1243" s="30" t="n">
        <v>-1</v>
      </c>
      <c r="AD1243" s="24" t="inlineStr">
        <is>
          <t>2026-10-07T16:01:53.227456Z</t>
        </is>
      </c>
      <c r="AE1243" s="31" t="inlineStr">
        <is>
          <t>Surface-blended Elo on Hard: Zhou Yi p=0.339 vs Mattia Bellucci. Executable ask 0.7800 (aec-atp-matbel-yizho-2026-10-07).</t>
        </is>
      </c>
      <c r="AF1243" s="31" t="inlineStr">
        <is>
          <t>Surface-blended Elo model; singles only, WTA+ATP market coverage, not yet locked-holdout qualified -- promoted by explicit operator directive, not genuine walk-forward validation.</t>
        </is>
      </c>
      <c r="AG1243" s="24" t="inlineStr">
        <is>
          <t>review_required</t>
        </is>
      </c>
      <c r="AH1243" s="24" t="n"/>
      <c r="AI1243" s="31" t="n"/>
      <c r="AJ1243" s="31" t="n"/>
      <c r="AK1243" s="24" t="inlineStr">
        <is>
          <t>paper_call</t>
        </is>
      </c>
      <c r="AL1243" s="26" t="n">
        <v>4</v>
      </c>
      <c r="AM1243" s="24" t="inlineStr">
        <is>
          <t>RESEARCH_OBSERVATION</t>
        </is>
      </c>
      <c r="AN1243" s="24" t="inlineStr">
        <is>
          <t>CALL</t>
        </is>
      </c>
      <c r="AO1243" s="24" t="inlineStr">
        <is>
          <t>PAPER_CALL_LOW_EDGE</t>
        </is>
      </c>
      <c r="AP1243" s="24" t="inlineStr">
        <is>
          <t>Zhou Yi</t>
        </is>
      </c>
      <c r="AQ1243" s="24" t="inlineStr">
        <is>
          <t>Zhou Yi</t>
        </is>
      </c>
      <c r="AR1243" s="24" t="inlineStr">
        <is>
          <t>Zhou Yi</t>
        </is>
      </c>
      <c r="AS1243" s="24" t="inlineStr">
        <is>
          <t>Mattia Bellucci</t>
        </is>
      </c>
      <c r="AT1243" s="24" t="inlineStr">
        <is>
          <t>Mattia Bellucci</t>
        </is>
      </c>
      <c r="AU1243" s="24" t="inlineStr">
        <is>
          <t>Mattia Bellucci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shadow_qualified</t>
        </is>
      </c>
      <c r="BA1243" s="24" t="inlineStr">
        <is>
          <t>6c67e999d2a03612e30f4032c8e5e77e8becfbc79e05f4c8993e726b90d34d54</t>
        </is>
      </c>
      <c r="BB1243" s="24" t="inlineStr">
        <is>
          <t>surface_blended_elo</t>
        </is>
      </c>
      <c r="BC1243" s="24" t="inlineStr">
        <is>
          <t>tennis-surface-elo-v1</t>
        </is>
      </c>
      <c r="BD1243" s="24" t="inlineStr">
        <is>
          <t>6c67e999d2a03612e30f4032c8e5e77e8becfbc79e05f4c8993e726b90d34d54</t>
        </is>
      </c>
      <c r="BE1243" s="24" t="inlineStr">
        <is>
          <t>tennis-surface-elo-v1</t>
        </is>
      </c>
      <c r="BF1243" s="24" t="inlineStr">
        <is>
          <t>1</t>
        </is>
      </c>
      <c r="BG1243" s="24" t="inlineStr">
        <is>
          <t>6c67e999d2a03612e30f4032c8e5e77e8becfbc79e05f4c8993e726b90d34d54</t>
        </is>
      </c>
      <c r="BH1243" s="24" t="inlineStr">
        <is>
          <t>2026-10-07T04:55:13.103390Z</t>
        </is>
      </c>
      <c r="BI1243" s="24" t="inlineStr">
        <is>
          <t>["same_event","same_team_same_day","same_league_same_day"]</t>
        </is>
      </c>
      <c r="BJ1243" s="25" t="n"/>
      <c r="BK1243" s="26" t="n">
        <v>-355</v>
      </c>
      <c r="BL1243" s="27" t="n">
        <v>1.28169</v>
      </c>
      <c r="BM1243" s="28" t="n">
        <v>0.78022</v>
      </c>
      <c r="BN1243" s="28" t="n"/>
      <c r="BO1243" s="28" t="n"/>
      <c r="BP1243" s="25" t="n"/>
      <c r="BQ1243" s="27" t="n">
        <v>1.28169</v>
      </c>
      <c r="BR1243" s="28" t="n">
        <v>0.78</v>
      </c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False</t>
        </is>
      </c>
      <c r="CT1243" s="24" t="n"/>
      <c r="CU1243" s="24" t="n"/>
      <c r="CV1243" s="24" t="n"/>
      <c r="CW1243" s="24" t="n"/>
      <c r="CX1243" s="24" t="n"/>
      <c r="CY1243" s="24" t="n"/>
      <c r="CZ1243" s="24" t="n"/>
      <c r="DA1243" s="24" t="n"/>
      <c r="DB1243" s="24" t="n"/>
      <c r="DC1243" s="24" t="n"/>
      <c r="DD1243" s="24" t="inlineStr">
        <is>
          <t>294f78914718db250b449000810c83a1acaf0e33c68a243affa245e780b32f7c</t>
        </is>
      </c>
      <c r="DE1243" s="24" t="inlineStr">
        <is>
          <t>E:\model-prediction\data\odds\tennis\2026-10-07\polymarket_snapshots.jsonl</t>
        </is>
      </c>
      <c r="DF1243" s="24" t="inlineStr">
        <is>
          <t>1247491:2026-10-07T04:55:13.103390Z</t>
        </is>
      </c>
      <c r="DG1243" s="24" t="n"/>
      <c r="DH1243" s="24" t="n"/>
      <c r="DI1243" s="24" t="n"/>
      <c r="DJ1243" s="24" t="n"/>
      <c r="DK1243" s="24" t="n"/>
      <c r="DL1243" s="24" t="n"/>
      <c r="DM1243" s="24" t="n"/>
      <c r="DN1243" s="24" t="n"/>
      <c r="DO1243" s="24" t="n"/>
      <c r="DP1243" s="24" t="n"/>
      <c r="DQ1243" s="24" t="inlineStr">
        <is>
          <t>{"artifact_hash": "6c67e999d2a03612e30f4032c8e5e77e8becfbc79e05f4c8993e726b90d34d54", "away_team": "Zhou Yi", "event_id": "315-2026:184870", "event_start_utc": "2026-10-07T07:00Z", "features": {"elo_p1_surface": 1443.3, "elo_p2_surface": 1555.3, "expected_games_p1": 9.83, "expected_games_p2": 13.45, "expected_total_games": 23.29, "history_matches": 11406, "min_player_matches": 17, "surface": "Hard"}, "historical_source_observation_times_verified": false, "home_team": "Mattia Bellucci", "inference_inputs": {"code_sha256": {"features/elo_ratings.py": "8525faf022a6343c452286dbfeb17dbb043744c6bdabbe448b6b371216da439b", "models/tennis.py": "6c67e999d2a03612e30f4032c8e5e77e8becfbc79e05f4c8993e726b90d34d54"}, "overall_ratings": [1445.7976446192163, 1573.9663773131983], "players": ["Zhou Yi", "Mattia Bellucci"], "sport": "TENNIS", "surface": "Hard", "surface_counts": [13, 83], "surface_ratings": [1443.3374026843371, 1555.3491441588376]}, "market_type": "moneyline", "model_version": "tennis-surface-elo-v1", "observed_at_utc": "2026-10-07T05:27:47.824568+00:00", "probabilities": {"away": 0.3393, "home": 0.6607}, "replay_scope": "Exact full-precision serving state and rounding; upstream historical observation times are not certified.", "schema": "coded-moneyline-replay-v1", "snapshot_hash": "50744b350a28a555ea36086f22801071049d34125d092c1f6f23bd2050988400", "sport": "TENNIS"}</t>
        </is>
      </c>
    </row>
    <row r="1244" ht="36" customHeight="1">
      <c r="A1244" s="24" t="inlineStr">
        <is>
          <t>d090f9a9480f485a</t>
        </is>
      </c>
      <c r="B1244" s="24" t="inlineStr">
        <is>
          <t>2026-10-07T05:27:50.367605Z</t>
        </is>
      </c>
      <c r="C1244" s="24" t="inlineStr">
        <is>
          <t>2026-10-07T10:00Z</t>
        </is>
      </c>
      <c r="D1244" s="24" t="inlineStr">
        <is>
          <t>315-2026:184862</t>
        </is>
      </c>
      <c r="E1244" s="24" t="inlineStr">
        <is>
          <t>TENNIS</t>
        </is>
      </c>
      <c r="F1244" s="24" t="inlineStr">
        <is>
          <t>Michael Zheng</t>
        </is>
      </c>
      <c r="G1244" s="24" t="inlineStr">
        <is>
          <t>Wu Yibing</t>
        </is>
      </c>
      <c r="H1244" s="24" t="inlineStr">
        <is>
          <t>moneyline</t>
        </is>
      </c>
      <c r="I1244" s="24" t="inlineStr">
        <is>
          <t>away</t>
        </is>
      </c>
      <c r="J1244" s="25" t="n"/>
      <c r="K1244" s="24" t="inlineStr">
        <is>
          <t>polymarket_us</t>
        </is>
      </c>
      <c r="L1244" s="26" t="n">
        <v>122</v>
      </c>
      <c r="M1244" s="27" t="n">
        <v>2.22</v>
      </c>
      <c r="N1244" s="28" t="n">
        <v>0.45045</v>
      </c>
      <c r="O1244" s="28" t="n">
        <v>0.5058</v>
      </c>
      <c r="P1244" s="28" t="n">
        <v>0.05</v>
      </c>
      <c r="Q1244" s="28" t="n">
        <v>0.05535</v>
      </c>
      <c r="R1244" s="26" t="n">
        <v>48</v>
      </c>
      <c r="S1244" s="29" t="n">
        <v>1</v>
      </c>
      <c r="T1244" s="24" t="inlineStr">
        <is>
          <t>tennis-surface-elo-v1</t>
        </is>
      </c>
      <c r="U1244" s="24" t="inlineStr">
        <is>
          <t>settled</t>
        </is>
      </c>
      <c r="V1244" s="24" t="inlineStr">
        <is>
          <t>loss</t>
        </is>
      </c>
      <c r="W1244" s="26" t="n">
        <v>0</v>
      </c>
      <c r="X1244" s="26" t="n">
        <v>1</v>
      </c>
      <c r="Y1244" s="25" t="n"/>
      <c r="Z1244" s="26" t="n">
        <v>122</v>
      </c>
      <c r="AA1244" s="28" t="n">
        <v>0.45</v>
      </c>
      <c r="AB1244" s="28" t="n">
        <v>-0.00045</v>
      </c>
      <c r="AC1244" s="30" t="n">
        <v>-1</v>
      </c>
      <c r="AD1244" s="24" t="inlineStr">
        <is>
          <t>2026-10-07T16:01:58.159333Z</t>
        </is>
      </c>
      <c r="AE1244" s="31" t="inlineStr">
        <is>
          <t>Surface-blended Elo on Hard: Michael Zheng p=0.506 vs Wu Yibing. Executable ask 0.4500 (aec-atp-yibwu-miczhe-2026-10-07).</t>
        </is>
      </c>
      <c r="AF1244" s="31" t="inlineStr">
        <is>
          <t>Surface-blended Elo model; singles only, WTA+ATP market coverage, not yet locked-holdout qualified -- promoted by explicit operator directive, not genuine walk-forward validation.</t>
        </is>
      </c>
      <c r="AG1244" s="24" t="inlineStr">
        <is>
          <t>review_required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PAPER_CALL_LOW_EDGE</t>
        </is>
      </c>
      <c r="AP1244" s="24" t="inlineStr">
        <is>
          <t>Michael Zheng</t>
        </is>
      </c>
      <c r="AQ1244" s="24" t="inlineStr">
        <is>
          <t>Michael Zheng</t>
        </is>
      </c>
      <c r="AR1244" s="24" t="inlineStr">
        <is>
          <t>Michael Zheng</t>
        </is>
      </c>
      <c r="AS1244" s="24" t="inlineStr">
        <is>
          <t>Wu Yibing</t>
        </is>
      </c>
      <c r="AT1244" s="24" t="inlineStr">
        <is>
          <t>Wu Yibing</t>
        </is>
      </c>
      <c r="AU1244" s="24" t="inlineStr">
        <is>
          <t>Wu Yibing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shadow_qualified</t>
        </is>
      </c>
      <c r="BA1244" s="24" t="inlineStr">
        <is>
          <t>6c67e999d2a03612e30f4032c8e5e77e8becfbc79e05f4c8993e726b90d34d54</t>
        </is>
      </c>
      <c r="BB1244" s="24" t="inlineStr">
        <is>
          <t>surface_blended_elo</t>
        </is>
      </c>
      <c r="BC1244" s="24" t="inlineStr">
        <is>
          <t>tennis-surface-elo-v1</t>
        </is>
      </c>
      <c r="BD1244" s="24" t="inlineStr">
        <is>
          <t>6c67e999d2a03612e30f4032c8e5e77e8becfbc79e05f4c8993e726b90d34d54</t>
        </is>
      </c>
      <c r="BE1244" s="24" t="inlineStr">
        <is>
          <t>tennis-surface-elo-v1</t>
        </is>
      </c>
      <c r="BF1244" s="24" t="inlineStr">
        <is>
          <t>1</t>
        </is>
      </c>
      <c r="BG1244" s="24" t="inlineStr">
        <is>
          <t>6c67e999d2a03612e30f4032c8e5e77e8becfbc79e05f4c8993e726b90d34d54</t>
        </is>
      </c>
      <c r="BH1244" s="24" t="inlineStr">
        <is>
          <t>2026-10-07T04:58:33.400351Z</t>
        </is>
      </c>
      <c r="BI1244" s="24" t="inlineStr">
        <is>
          <t>["same_event","same_team_same_day","same_league_same_day"]</t>
        </is>
      </c>
      <c r="BJ1244" s="25" t="n"/>
      <c r="BK1244" s="26" t="n">
        <v>122</v>
      </c>
      <c r="BL1244" s="27" t="n">
        <v>2.22</v>
      </c>
      <c r="BM1244" s="28" t="n">
        <v>0.45045</v>
      </c>
      <c r="BN1244" s="28" t="n"/>
      <c r="BO1244" s="28" t="n"/>
      <c r="BP1244" s="25" t="n"/>
      <c r="BQ1244" s="27" t="n">
        <v>2.22</v>
      </c>
      <c r="BR1244" s="28" t="n">
        <v>0.45</v>
      </c>
      <c r="BS1244" s="28" t="n"/>
      <c r="BT1244" s="28" t="n"/>
      <c r="BU1244" s="25" t="n"/>
      <c r="BV1244" s="29" t="n"/>
      <c r="BW1244" s="24" t="n"/>
      <c r="BX1244" s="30" t="n"/>
      <c r="BY1244" s="27" t="n"/>
      <c r="BZ1244" s="24" t="n"/>
      <c r="CA1244" s="31" t="n"/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True</t>
        </is>
      </c>
      <c r="CT1244" s="24" t="n"/>
      <c r="CU1244" s="24" t="n"/>
      <c r="CV1244" s="24" t="n"/>
      <c r="CW1244" s="24" t="n"/>
      <c r="CX1244" s="24" t="n"/>
      <c r="CY1244" s="24" t="n"/>
      <c r="CZ1244" s="24" t="n"/>
      <c r="DA1244" s="24" t="n"/>
      <c r="DB1244" s="24" t="n"/>
      <c r="DC1244" s="24" t="n"/>
      <c r="DD1244" s="24" t="inlineStr">
        <is>
          <t>15f05a789106bb31914ebddb318aa6a0b89154947d146ed2ae5b18ad462bcdf9</t>
        </is>
      </c>
      <c r="DE1244" s="24" t="inlineStr">
        <is>
          <t>E:\model-prediction\data\odds\tennis\2026-10-07\polymarket_snapshots.jsonl</t>
        </is>
      </c>
      <c r="DF1244" s="24" t="inlineStr">
        <is>
          <t>1247497:2026-10-07T04:58:33.400351Z</t>
        </is>
      </c>
      <c r="DG1244" s="24" t="n"/>
      <c r="DH1244" s="24" t="n"/>
      <c r="DI1244" s="24" t="n"/>
      <c r="DJ1244" s="24" t="n"/>
      <c r="DK1244" s="24" t="n"/>
      <c r="DL1244" s="24" t="n"/>
      <c r="DM1244" s="24" t="n"/>
      <c r="DN1244" s="24" t="n"/>
      <c r="DO1244" s="24" t="n"/>
      <c r="DP1244" s="24" t="n"/>
      <c r="DQ1244" s="24" t="inlineStr">
        <is>
          <t>{"artifact_hash": "6c67e999d2a03612e30f4032c8e5e77e8becfbc79e05f4c8993e726b90d34d54", "away_team": "Michael Zheng", "event_id": "315-2026:184862", "event_start_utc": "2026-10-07T10:00Z", "features": {"elo_p1_surface": 1552.7, "elo_p2_surface": 1580.4, "expected_games_p1": 12.39, "expected_games_p2": 13.07, "expected_total_games": 25.46, "history_matches": 11406, "min_player_matches": 33, "surface": "Hard"}, "historical_source_observation_times_verified": false, "home_team": "Wu Yibing", "inference_inputs": {"code_sha256": {"features/elo_ratings.py": "8525faf022a6343c452286dbfeb17dbb043744c6bdabbe448b6b371216da439b", "models/tennis.py": "6c67e999d2a03612e30f4032c8e5e77e8becfbc79e05f4c8993e726b90d34d54"}, "overall_ratings": [1610.4442954407095, 1569.9676544002111], "players": ["Michael Zheng", "Wu Yibing"], "sport": "TENNIS", "surface": "Hard", "surface_counts": [23, 47], "surface_ratings": [1552.7361445351946, 1580.4411035417863]}, "market_type": "moneyline", "model_version": "tennis-surface-elo-v1", "observed_at_utc": "2026-10-07T05:27:47.824568+00:00", "probabilities": {"away": 0.5058, "home": 0.4942}, "replay_scope": "Exact full-precision serving state and rounding; upstream historical observation times are not certified.", "schema": "coded-moneyline-replay-v1", "snapshot_hash": "15e8c3241c847da6f0c6d55d21ea95c429108324773a0017188f1c4af7d0a48b", "sport": "TENNIS"}</t>
        </is>
      </c>
    </row>
    <row r="1245" ht="36" customHeight="1">
      <c r="A1245" s="24" t="inlineStr">
        <is>
          <t>092736243c834697</t>
        </is>
      </c>
      <c r="B1245" s="24" t="inlineStr">
        <is>
          <t>2026-10-07T10:22:02.617605Z</t>
        </is>
      </c>
      <c r="C1245" s="24" t="inlineStr">
        <is>
          <t>2026-10-07T12:30Z</t>
        </is>
      </c>
      <c r="D1245" s="24" t="inlineStr">
        <is>
          <t>959-2026:184354</t>
        </is>
      </c>
      <c r="E1245" s="24" t="inlineStr">
        <is>
          <t>TENNIS</t>
        </is>
      </c>
      <c r="F1245" s="24" t="inlineStr">
        <is>
          <t>Elina Svitolina</t>
        </is>
      </c>
      <c r="G1245" s="24" t="inlineStr">
        <is>
          <t>Ann Li</t>
        </is>
      </c>
      <c r="H1245" s="24" t="inlineStr">
        <is>
          <t>moneyline</t>
        </is>
      </c>
      <c r="I1245" s="24" t="inlineStr">
        <is>
          <t>away</t>
        </is>
      </c>
      <c r="J1245" s="25" t="n"/>
      <c r="K1245" s="24" t="inlineStr">
        <is>
          <t>polymarket_us</t>
        </is>
      </c>
      <c r="L1245" s="26" t="n">
        <v>-317</v>
      </c>
      <c r="M1245" s="27" t="n">
        <v>1.315457</v>
      </c>
      <c r="N1245" s="28" t="n">
        <v>0.760192</v>
      </c>
      <c r="O1245" s="28" t="n">
        <v>0.6858</v>
      </c>
      <c r="P1245" s="28" t="n">
        <v>0.05</v>
      </c>
      <c r="Q1245" s="28" t="n">
        <v>-0.074392</v>
      </c>
      <c r="R1245" s="26" t="n">
        <v>0</v>
      </c>
      <c r="S1245" s="29" t="n">
        <v>1</v>
      </c>
      <c r="T1245" s="24" t="inlineStr">
        <is>
          <t>tennis-surface-elo-v1</t>
        </is>
      </c>
      <c r="U1245" s="24" t="inlineStr">
        <is>
          <t>settled</t>
        </is>
      </c>
      <c r="V1245" s="24" t="inlineStr">
        <is>
          <t>win</t>
        </is>
      </c>
      <c r="W1245" s="26" t="n">
        <v>1</v>
      </c>
      <c r="X1245" s="26" t="n">
        <v>0</v>
      </c>
      <c r="Y1245" s="25" t="n"/>
      <c r="Z1245" s="26" t="n">
        <v>-317</v>
      </c>
      <c r="AA1245" s="28" t="n">
        <v>0.76</v>
      </c>
      <c r="AB1245" s="28" t="n">
        <v>-0.000192</v>
      </c>
      <c r="AC1245" s="30" t="n">
        <v>0.3155</v>
      </c>
      <c r="AD1245" s="24" t="inlineStr">
        <is>
          <t>2026-10-07T16:02:03.192259Z</t>
        </is>
      </c>
      <c r="AE1245" s="31" t="inlineStr">
        <is>
          <t>Surface-blended Elo on Hard: Elina Svitolina p=0.686 vs Ann Li. Executable ask 0.7600 (aec-wta-annli-elisvi-2026-10-06).</t>
        </is>
      </c>
      <c r="AF1245" s="31" t="inlineStr">
        <is>
          <t>Surface-blended Elo model; singles only, WTA+ATP market coverage, not yet locked-holdout qualified -- promoted by explicit operator directive, not genuine walk-forward validation.</t>
        </is>
      </c>
      <c r="AG1245" s="24" t="inlineStr">
        <is>
          <t>not_applicable</t>
        </is>
      </c>
      <c r="AH1245" s="24" t="n"/>
      <c r="AI1245" s="31" t="n"/>
      <c r="AJ1245" s="31" t="n"/>
      <c r="AK1245" s="24" t="inlineStr">
        <is>
          <t>paper_call</t>
        </is>
      </c>
      <c r="AL1245" s="26" t="n">
        <v>4</v>
      </c>
      <c r="AM1245" s="24" t="inlineStr">
        <is>
          <t>RESEARCH_OBSERVATION</t>
        </is>
      </c>
      <c r="AN1245" s="24" t="inlineStr">
        <is>
          <t>CALL</t>
        </is>
      </c>
      <c r="AO1245" s="24" t="inlineStr">
        <is>
          <t>PAPER_CALL_LOW_EDGE</t>
        </is>
      </c>
      <c r="AP1245" s="24" t="inlineStr">
        <is>
          <t>Elina Svitolina</t>
        </is>
      </c>
      <c r="AQ1245" s="24" t="inlineStr">
        <is>
          <t>Elina Svitolina</t>
        </is>
      </c>
      <c r="AR1245" s="24" t="inlineStr">
        <is>
          <t>Elina Svitolina</t>
        </is>
      </c>
      <c r="AS1245" s="24" t="inlineStr">
        <is>
          <t>Ann Li</t>
        </is>
      </c>
      <c r="AT1245" s="24" t="inlineStr">
        <is>
          <t>Ann Li</t>
        </is>
      </c>
      <c r="AU1245" s="24" t="inlineStr">
        <is>
          <t>Ann Li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shadow_qualified</t>
        </is>
      </c>
      <c r="BA1245" s="24" t="inlineStr">
        <is>
          <t>6c67e999d2a03612e30f4032c8e5e77e8becfbc79e05f4c8993e726b90d34d54</t>
        </is>
      </c>
      <c r="BB1245" s="24" t="inlineStr">
        <is>
          <t>surface_blended_elo</t>
        </is>
      </c>
      <c r="BC1245" s="24" t="inlineStr">
        <is>
          <t>tennis-surface-elo-v1</t>
        </is>
      </c>
      <c r="BD1245" s="24" t="inlineStr">
        <is>
          <t>6c67e999d2a03612e30f4032c8e5e77e8becfbc79e05f4c8993e726b90d34d54</t>
        </is>
      </c>
      <c r="BE1245" s="24" t="inlineStr">
        <is>
          <t>tennis-surface-elo-v1</t>
        </is>
      </c>
      <c r="BF1245" s="24" t="inlineStr">
        <is>
          <t>1</t>
        </is>
      </c>
      <c r="BG1245" s="24" t="inlineStr">
        <is>
          <t>6c67e999d2a03612e30f4032c8e5e77e8becfbc79e05f4c8993e726b90d34d54</t>
        </is>
      </c>
      <c r="BH1245" s="24" t="inlineStr">
        <is>
          <t>2026-10-07T04:51:52.813299Z</t>
        </is>
      </c>
      <c r="BI1245" s="24" t="inlineStr">
        <is>
          <t>["same_event","same_team_same_day","same_league_same_day"]</t>
        </is>
      </c>
      <c r="BJ1245" s="25" t="n"/>
      <c r="BK1245" s="26" t="n">
        <v>-317</v>
      </c>
      <c r="BL1245" s="27" t="n">
        <v>1.315457</v>
      </c>
      <c r="BM1245" s="28" t="n">
        <v>0.760192</v>
      </c>
      <c r="BN1245" s="28" t="n"/>
      <c r="BO1245" s="28" t="n"/>
      <c r="BP1245" s="25" t="n"/>
      <c r="BQ1245" s="27" t="n">
        <v>1.315457</v>
      </c>
      <c r="BR1245" s="28" t="n">
        <v>0.76</v>
      </c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False</t>
        </is>
      </c>
      <c r="CT1245" s="24" t="n"/>
      <c r="CU1245" s="24" t="n"/>
      <c r="CV1245" s="24" t="n"/>
      <c r="CW1245" s="24" t="n"/>
      <c r="CX1245" s="24" t="n"/>
      <c r="CY1245" s="24" t="n"/>
      <c r="CZ1245" s="24" t="n"/>
      <c r="DA1245" s="24" t="n"/>
      <c r="DB1245" s="24" t="n"/>
      <c r="DC1245" s="24" t="n"/>
      <c r="DD1245" s="24" t="inlineStr">
        <is>
          <t>887a840c6b7169806d2c810f51368d3d61129c1852a804b42dad78b936057ef4</t>
        </is>
      </c>
      <c r="DE1245" s="24" t="inlineStr">
        <is>
          <t>E:\model-prediction\data\odds\tennis\2026-10-07\polymarket_snapshots.jsonl</t>
        </is>
      </c>
      <c r="DF1245" s="24" t="inlineStr">
        <is>
          <t>1222403:2026-10-07T04:51:52.813299Z</t>
        </is>
      </c>
      <c r="DG1245" s="24" t="n"/>
      <c r="DH1245" s="24" t="n"/>
      <c r="DI1245" s="24" t="n"/>
      <c r="DJ1245" s="24" t="n"/>
      <c r="DK1245" s="24" t="n"/>
      <c r="DL1245" s="24" t="n"/>
      <c r="DM1245" s="24" t="n"/>
      <c r="DN1245" s="24" t="n"/>
      <c r="DO1245" s="24" t="n"/>
      <c r="DP1245" s="24" t="n"/>
      <c r="DQ1245" s="24" t="inlineStr">
        <is>
          <t>{"artifact_hash": "6c67e999d2a03612e30f4032c8e5e77e8becfbc79e05f4c8993e726b90d34d54", "away_team": "Elina Svitolina", "event_id": "959-2026:184354", "event_start_utc": "2026-10-07T12:30Z", "features": {"elo_p1_surface": 1850.1, "elo_p2_surface": 1723.5, "expected_games_p1": 13.32, "expected_games_p2": 8.07, "expected_total_games": 21.39, "history_matches": 16618, "min_player_matches": 145, "surface": "Hard"}, "historical_source_observation_times_verified": false, "home_team": "Ann Li", "inference_inputs": {"code_sha256": {"features/elo_ratings.py": "8525faf022a6343c452286dbfeb17dbb043744c6bdabbe448b6b371216da439b", "models/tennis.py": "6c67e999d2a03612e30f4032c8e5e77e8becfbc79e05f4c8993e726b90d34d54"}, "overall_ratings": [1905.5870609775664, 1744.8655689548486], "players": ["Elina Svitolina", "Ann Li"], "sport": "TENNIS", "surface": "Hard", "surface_counts": [105, 123], "surface_ratings": [1850.1068280154632, 1723.5486685197077]}, "market_type": "moneyline", "model_version": "tennis-surface-elo-v1", "observed_at_utc": "2026-10-07T10:22:00.469320+00:00", "probabilities": {"away": 0.6858, "home": 0.3142}, "replay_scope": "Exact full-precision serving state and rounding; upstream historical observation times are not certified.", "schema": "coded-moneyline-replay-v1", "snapshot_hash": "8bcd7974b7dee2853d55c479b63b5bfee2f57cda87487a72de41383c3e61b3ba", "sport": "TENNIS"}</t>
        </is>
      </c>
    </row>
    <row r="1246" ht="36" customHeight="1">
      <c r="A1246" s="24" t="inlineStr">
        <is>
          <t>2da01dba242c452a</t>
        </is>
      </c>
      <c r="B1246" s="24" t="inlineStr">
        <is>
          <t>2026-10-07T10:22:02.617605Z</t>
        </is>
      </c>
      <c r="C1246" s="24" t="inlineStr">
        <is>
          <t>2026-10-07T12:00Z</t>
        </is>
      </c>
      <c r="D1246" s="24" t="inlineStr">
        <is>
          <t>1036-2026:185239</t>
        </is>
      </c>
      <c r="E1246" s="24" t="inlineStr">
        <is>
          <t>TENNIS</t>
        </is>
      </c>
      <c r="F1246" s="24" t="inlineStr">
        <is>
          <t>Dalma Galfi</t>
        </is>
      </c>
      <c r="G1246" s="24" t="inlineStr">
        <is>
          <t>Polina Iatcenko</t>
        </is>
      </c>
      <c r="H1246" s="24" t="inlineStr">
        <is>
          <t>moneyline</t>
        </is>
      </c>
      <c r="I1246" s="24" t="inlineStr">
        <is>
          <t>home</t>
        </is>
      </c>
      <c r="J1246" s="25" t="n"/>
      <c r="K1246" s="24" t="inlineStr">
        <is>
          <t>polymarket_us</t>
        </is>
      </c>
      <c r="L1246" s="26" t="n">
        <v>113</v>
      </c>
      <c r="M1246" s="27" t="n">
        <v>2.13</v>
      </c>
      <c r="N1246" s="28" t="n">
        <v>0.469484</v>
      </c>
      <c r="O1246" s="28" t="n">
        <v>0.5462</v>
      </c>
      <c r="P1246" s="28" t="n">
        <v>0.05</v>
      </c>
      <c r="Q1246" s="28" t="n">
        <v>0.07671600000000001</v>
      </c>
      <c r="R1246" s="26" t="n">
        <v>58</v>
      </c>
      <c r="S1246" s="29" t="n">
        <v>1.25</v>
      </c>
      <c r="T1246" s="24" t="inlineStr">
        <is>
          <t>tennis-surface-elo-v1</t>
        </is>
      </c>
      <c r="U1246" s="24" t="inlineStr">
        <is>
          <t>settled</t>
        </is>
      </c>
      <c r="V1246" s="24" t="inlineStr">
        <is>
          <t>win</t>
        </is>
      </c>
      <c r="W1246" s="26" t="n">
        <v>0</v>
      </c>
      <c r="X1246" s="26" t="n">
        <v>1</v>
      </c>
      <c r="Y1246" s="25" t="n"/>
      <c r="Z1246" s="26" t="n">
        <v>113</v>
      </c>
      <c r="AA1246" s="28" t="n">
        <v>0.47</v>
      </c>
      <c r="AB1246" s="28" t="n">
        <v>0.000516</v>
      </c>
      <c r="AC1246" s="30" t="n">
        <v>1.4125</v>
      </c>
      <c r="AD1246" s="24" t="inlineStr">
        <is>
          <t>2026-10-07T16:02:08.194423Z</t>
        </is>
      </c>
      <c r="AE1246" s="31" t="inlineStr">
        <is>
          <t>Surface-blended Elo on Hard: Dalma Galfi p=0.454 vs Polina Iatcenko. Executable ask 0.4700 (aec-wta-poliat-dalgal-2026-10-07).</t>
        </is>
      </c>
      <c r="AF1246" s="31" t="inlineStr">
        <is>
          <t>Surface-blended Elo model; singles only, WTA+ATP market coverage, not yet locked-holdout qualified -- promoted by explicit operator directive, not genuine walk-forward validation.</t>
        </is>
      </c>
      <c r="AG1246" s="24" t="inlineStr">
        <is>
          <t>not_applicable</t>
        </is>
      </c>
      <c r="AH1246" s="24" t="n"/>
      <c r="AI1246" s="31" t="n"/>
      <c r="AJ1246" s="31" t="n"/>
      <c r="AK1246" s="24" t="inlineStr">
        <is>
          <t>model_qualified</t>
        </is>
      </c>
      <c r="AL1246" s="26" t="n">
        <v>4</v>
      </c>
      <c r="AM1246" s="24" t="inlineStr">
        <is>
          <t>QUALIFIED_SHADOW_CALL</t>
        </is>
      </c>
      <c r="AN1246" s="24" t="inlineStr">
        <is>
          <t>CALL</t>
        </is>
      </c>
      <c r="AO1246" s="24" t="inlineStr">
        <is>
          <t>QUALIFIED</t>
        </is>
      </c>
      <c r="AP1246" s="24" t="inlineStr">
        <is>
          <t>Dalma Galfi</t>
        </is>
      </c>
      <c r="AQ1246" s="24" t="inlineStr">
        <is>
          <t>Dalma Galfi</t>
        </is>
      </c>
      <c r="AR1246" s="24" t="inlineStr">
        <is>
          <t>Dalma Galfi</t>
        </is>
      </c>
      <c r="AS1246" s="24" t="inlineStr">
        <is>
          <t>Polina Iatcenko</t>
        </is>
      </c>
      <c r="AT1246" s="24" t="inlineStr">
        <is>
          <t>Polina Iatcenko</t>
        </is>
      </c>
      <c r="AU1246" s="24" t="inlineStr">
        <is>
          <t>Polina Iatcenko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shadow_qualified</t>
        </is>
      </c>
      <c r="BA1246" s="24" t="inlineStr">
        <is>
          <t>6c67e999d2a03612e30f4032c8e5e77e8becfbc79e05f4c8993e726b90d34d54</t>
        </is>
      </c>
      <c r="BB1246" s="24" t="inlineStr">
        <is>
          <t>surface_blended_elo</t>
        </is>
      </c>
      <c r="BC1246" s="24" t="inlineStr">
        <is>
          <t>tennis-surface-elo-v1</t>
        </is>
      </c>
      <c r="BD1246" s="24" t="inlineStr">
        <is>
          <t>6c67e999d2a03612e30f4032c8e5e77e8becfbc79e05f4c8993e726b90d34d54</t>
        </is>
      </c>
      <c r="BE1246" s="24" t="inlineStr">
        <is>
          <t>tennis-surface-elo-v1</t>
        </is>
      </c>
      <c r="BF1246" s="24" t="inlineStr">
        <is>
          <t>1</t>
        </is>
      </c>
      <c r="BG1246" s="24" t="inlineStr">
        <is>
          <t>6c67e999d2a03612e30f4032c8e5e77e8becfbc79e05f4c8993e726b90d34d54</t>
        </is>
      </c>
      <c r="BH1246" s="24" t="inlineStr">
        <is>
          <t>2026-10-07T04:50:42.604366Z</t>
        </is>
      </c>
      <c r="BI1246" s="24" t="inlineStr">
        <is>
          <t>["same_event","same_team_same_day","same_league_same_day"]</t>
        </is>
      </c>
      <c r="BJ1246" s="25" t="n"/>
      <c r="BK1246" s="26" t="n">
        <v>113</v>
      </c>
      <c r="BL1246" s="27" t="n">
        <v>2.13</v>
      </c>
      <c r="BM1246" s="28" t="n">
        <v>0.469484</v>
      </c>
      <c r="BN1246" s="28" t="n"/>
      <c r="BO1246" s="28" t="n"/>
      <c r="BP1246" s="25" t="n"/>
      <c r="BQ1246" s="27" t="n">
        <v>2.13</v>
      </c>
      <c r="BR1246" s="28" t="n">
        <v>0.47</v>
      </c>
      <c r="BS1246" s="28" t="n"/>
      <c r="BT1246" s="28" t="n"/>
      <c r="BU1246" s="25" t="n"/>
      <c r="BV1246" s="29" t="n"/>
      <c r="BW1246" s="24" t="n"/>
      <c r="BX1246" s="30" t="n"/>
      <c r="BY1246" s="27" t="n"/>
      <c r="BZ1246" s="24" t="n"/>
      <c r="CA1246" s="31" t="n"/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True</t>
        </is>
      </c>
      <c r="CT1246" s="24" t="n"/>
      <c r="CU1246" s="24" t="n"/>
      <c r="CV1246" s="24" t="n"/>
      <c r="CW1246" s="24" t="n"/>
      <c r="CX1246" s="24" t="n"/>
      <c r="CY1246" s="24" t="n"/>
      <c r="CZ1246" s="24" t="n"/>
      <c r="DA1246" s="24" t="n"/>
      <c r="DB1246" s="24" t="n"/>
      <c r="DC1246" s="24" t="n"/>
      <c r="DD1246" s="24" t="inlineStr">
        <is>
          <t>f0a2628c74158b1c051fe78ce9d9cc44e4d6ac25d54b9ddd816c09d7d1cc2f54</t>
        </is>
      </c>
      <c r="DE1246" s="24" t="inlineStr">
        <is>
          <t>E:\model-prediction\data\odds\tennis\2026-10-07\polymarket_snapshots.jsonl</t>
        </is>
      </c>
      <c r="DF1246" s="24" t="inlineStr">
        <is>
          <t>1222763:2026-10-07T04:50:42.604366Z</t>
        </is>
      </c>
      <c r="DG1246" s="24" t="n"/>
      <c r="DH1246" s="24" t="n"/>
      <c r="DI1246" s="24" t="n"/>
      <c r="DJ1246" s="24" t="n"/>
      <c r="DK1246" s="24" t="n"/>
      <c r="DL1246" s="24" t="n"/>
      <c r="DM1246" s="24" t="n"/>
      <c r="DN1246" s="24" t="n"/>
      <c r="DO1246" s="24" t="n"/>
      <c r="DP1246" s="24" t="n"/>
      <c r="DQ1246" s="24" t="inlineStr">
        <is>
          <t>{"artifact_hash": "6c67e999d2a03612e30f4032c8e5e77e8becfbc79e05f4c8993e726b90d34d54", "away_team": "Dalma Galfi", "event_id": "1036-2026:185239", "event_start_utc": "2026-10-07T12:00Z", "features": {"elo_p1_surface": 1543.0, "elo_p2_surface": 1575.4, "expected_games_p1": 11.72, "expected_games_p2": 12.86, "expected_total_games": 24.58, "history_matches": 16618, "min_player_matches": 35,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[1555.7124357518273, 1582.3692162320317], "players": ["Dalma Galfi", "Polina Iatcenko"], "sport": "TENNIS", "surface": "Hard", "surface_counts": [110, 31], "surface_ratings": [1542.979112390989, 1575.411404622591]}, "market_type": "moneyline", "model_version": "tennis-surface-elo-v1", "observed_at_utc": "2026-10-07T10:22:00.469320+00:00", "probabilities": {"away": 0.4538, "home": 0.5462}, "replay_scope": "Exact full-precision serving state and rounding; upstream historical observation times are not certified.", "schema": "coded-moneyline-replay-v1", "snapshot_hash": "387550a732471270992f0199450cb95bde783095237f72ce88e9b37cbf9391f1", "sport": "TENNIS"}</t>
        </is>
      </c>
    </row>
    <row r="1247" ht="36" customHeight="1">
      <c r="A1247" s="24" t="inlineStr">
        <is>
          <t>01fb772fd1a9435d</t>
        </is>
      </c>
      <c r="B1247" s="24" t="inlineStr">
        <is>
          <t>2026-10-07T10:22:02.617605Z</t>
        </is>
      </c>
      <c r="C1247" s="24" t="inlineStr">
        <is>
          <t>2026-10-07T14:30Z</t>
        </is>
      </c>
      <c r="D1247" s="24" t="inlineStr">
        <is>
          <t>1036-2026:185233</t>
        </is>
      </c>
      <c r="E1247" s="24" t="inlineStr">
        <is>
          <t>TENNIS</t>
        </is>
      </c>
      <c r="F1247" s="24" t="inlineStr">
        <is>
          <t>Himeno Sakatsume</t>
        </is>
      </c>
      <c r="G1247" s="24" t="inlineStr">
        <is>
          <t>Viktoria Hruncakova</t>
        </is>
      </c>
      <c r="H1247" s="24" t="inlineStr">
        <is>
          <t>moneyline</t>
        </is>
      </c>
      <c r="I1247" s="24" t="inlineStr">
        <is>
          <t>away</t>
        </is>
      </c>
      <c r="J1247" s="25" t="n"/>
      <c r="K1247" s="24" t="inlineStr">
        <is>
          <t>polymarket_us</t>
        </is>
      </c>
      <c r="L1247" s="26" t="n">
        <v>-270</v>
      </c>
      <c r="M1247" s="27" t="n">
        <v>1.37037</v>
      </c>
      <c r="N1247" s="28" t="n">
        <v>0.72973</v>
      </c>
      <c r="O1247" s="28" t="n">
        <v>0.6619</v>
      </c>
      <c r="P1247" s="28" t="n">
        <v>0.05</v>
      </c>
      <c r="Q1247" s="28" t="n">
        <v>-0.06783</v>
      </c>
      <c r="R1247" s="26" t="n">
        <v>0</v>
      </c>
      <c r="S1247" s="29" t="n">
        <v>1</v>
      </c>
      <c r="T1247" s="24" t="inlineStr">
        <is>
          <t>tennis-surface-elo-v1</t>
        </is>
      </c>
      <c r="U1247" s="24" t="inlineStr">
        <is>
          <t>settled</t>
        </is>
      </c>
      <c r="V1247" s="24" t="inlineStr">
        <is>
          <t>win</t>
        </is>
      </c>
      <c r="W1247" s="26" t="n">
        <v>1</v>
      </c>
      <c r="X1247" s="26" t="n">
        <v>0</v>
      </c>
      <c r="Y1247" s="25" t="n"/>
      <c r="Z1247" s="26" t="n">
        <v>-270</v>
      </c>
      <c r="AA1247" s="28" t="n">
        <v>0.73</v>
      </c>
      <c r="AB1247" s="28" t="n">
        <v>0.00027</v>
      </c>
      <c r="AC1247" s="30" t="n">
        <v>0.3704</v>
      </c>
      <c r="AD1247" s="24" t="inlineStr">
        <is>
          <t>2026-10-07T22:00:26.303752Z</t>
        </is>
      </c>
      <c r="AE1247" s="31" t="inlineStr">
        <is>
          <t>Surface-blended Elo on Hard: Himeno Sakatsume p=0.662 vs Viktoria Hruncakova. Executable ask 0.7300 (aec-wta-vikhru-himsak-2026-10-07).</t>
        </is>
      </c>
      <c r="AF1247" s="31" t="inlineStr">
        <is>
          <t>Surface-blended Elo model; singles only, WTA+ATP market coverage, not yet locked-holdout qualified -- promoted by explicit operator directive, not genuine walk-forward validation.</t>
        </is>
      </c>
      <c r="AG1247" s="24" t="inlineStr">
        <is>
          <t>not_applicable</t>
        </is>
      </c>
      <c r="AH1247" s="24" t="n"/>
      <c r="AI1247" s="31" t="n"/>
      <c r="AJ1247" s="31" t="n"/>
      <c r="AK1247" s="24" t="inlineStr">
        <is>
          <t>paper_call</t>
        </is>
      </c>
      <c r="AL1247" s="26" t="n">
        <v>4</v>
      </c>
      <c r="AM1247" s="24" t="inlineStr">
        <is>
          <t>RESEARCH_OBSERVATION</t>
        </is>
      </c>
      <c r="AN1247" s="24" t="inlineStr">
        <is>
          <t>CALL</t>
        </is>
      </c>
      <c r="AO1247" s="24" t="inlineStr">
        <is>
          <t>PAPER_CALL_LOW_EDGE</t>
        </is>
      </c>
      <c r="AP1247" s="24" t="inlineStr">
        <is>
          <t>Himeno Sakatsume</t>
        </is>
      </c>
      <c r="AQ1247" s="24" t="inlineStr">
        <is>
          <t>Himeno Sakatsume</t>
        </is>
      </c>
      <c r="AR1247" s="24" t="inlineStr">
        <is>
          <t>Himeno Sakatsume</t>
        </is>
      </c>
      <c r="AS1247" s="24" t="inlineStr">
        <is>
          <t>Viktoria Hruncakova</t>
        </is>
      </c>
      <c r="AT1247" s="24" t="inlineStr">
        <is>
          <t>Viktoria Hruncakova</t>
        </is>
      </c>
      <c r="AU1247" s="24" t="inlineStr">
        <is>
          <t>Viktoria Hruncakova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shadow_qualified</t>
        </is>
      </c>
      <c r="BA1247" s="24" t="inlineStr">
        <is>
          <t>6c67e999d2a03612e30f4032c8e5e77e8becfbc79e05f4c8993e726b90d34d54</t>
        </is>
      </c>
      <c r="BB1247" s="24" t="inlineStr">
        <is>
          <t>surface_blended_elo</t>
        </is>
      </c>
      <c r="BC1247" s="24" t="inlineStr">
        <is>
          <t>tennis-surface-elo-v1</t>
        </is>
      </c>
      <c r="BD1247" s="24" t="inlineStr">
        <is>
          <t>6c67e999d2a03612e30f4032c8e5e77e8becfbc79e05f4c8993e726b90d34d54</t>
        </is>
      </c>
      <c r="BE1247" s="24" t="inlineStr">
        <is>
          <t>tennis-surface-elo-v1</t>
        </is>
      </c>
      <c r="BF1247" s="24" t="inlineStr">
        <is>
          <t>1</t>
        </is>
      </c>
      <c r="BG1247" s="24" t="inlineStr">
        <is>
          <t>6c67e999d2a03612e30f4032c8e5e77e8becfbc79e05f4c8993e726b90d34d54</t>
        </is>
      </c>
      <c r="BH1247" s="24" t="inlineStr">
        <is>
          <t>2026-10-07T04:52:02.866492Z</t>
        </is>
      </c>
      <c r="BI1247" s="24" t="inlineStr">
        <is>
          <t>["same_event","same_team_same_day","same_league_same_day"]</t>
        </is>
      </c>
      <c r="BJ1247" s="25" t="n"/>
      <c r="BK1247" s="26" t="n">
        <v>-270</v>
      </c>
      <c r="BL1247" s="27" t="n">
        <v>1.37037</v>
      </c>
      <c r="BM1247" s="28" t="n">
        <v>0.72973</v>
      </c>
      <c r="BN1247" s="28" t="n"/>
      <c r="BO1247" s="28" t="n"/>
      <c r="BP1247" s="25" t="n"/>
      <c r="BQ1247" s="27" t="n">
        <v>1.37037</v>
      </c>
      <c r="BR1247" s="28" t="n">
        <v>0.73</v>
      </c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False</t>
        </is>
      </c>
      <c r="CT1247" s="24" t="n"/>
      <c r="CU1247" s="24" t="n"/>
      <c r="CV1247" s="24" t="n"/>
      <c r="CW1247" s="24" t="n"/>
      <c r="CX1247" s="24" t="n"/>
      <c r="CY1247" s="24" t="n"/>
      <c r="CZ1247" s="24" t="n"/>
      <c r="DA1247" s="24" t="n"/>
      <c r="DB1247" s="24" t="n"/>
      <c r="DC1247" s="24" t="n"/>
      <c r="DD1247" s="24" t="inlineStr">
        <is>
          <t>e443383ce754d9f9b16779fecbde7845f9cdee0a6f5e89532d7c53fdc25e9649</t>
        </is>
      </c>
      <c r="DE1247" s="24" t="inlineStr">
        <is>
          <t>E:\model-prediction\data\odds\tennis\2026-10-07\polymarket_snapshots.jsonl</t>
        </is>
      </c>
      <c r="DF1247" s="24" t="inlineStr">
        <is>
          <t>1247440:2026-10-07T04:52:02.866492Z</t>
        </is>
      </c>
      <c r="DG1247" s="24" t="n"/>
      <c r="DH1247" s="24" t="n"/>
      <c r="DI1247" s="24" t="n"/>
      <c r="DJ1247" s="24" t="n"/>
      <c r="DK1247" s="24" t="n"/>
      <c r="DL1247" s="24" t="n"/>
      <c r="DM1247" s="24" t="n"/>
      <c r="DN1247" s="24" t="n"/>
      <c r="DO1247" s="24" t="n"/>
      <c r="DP1247" s="24" t="n"/>
      <c r="DQ1247" s="24" t="inlineStr">
        <is>
          <t>{"artifact_hash": "6c67e999d2a03612e30f4032c8e5e77e8becfbc79e05f4c8993e726b90d34d54", "away_team": "Himeno Sakatsume", "event_id": "1036-2026:185233", "event_start_utc": "2026-10-07T14:30Z", "features": {"elo_p1_surface": 1579.5, "elo_p2_surface": 1452.9, "expected_games_p1": 13.32, "expected_games_p2": 8.07, "expected_total_games": 21.39, "history_matches": 16618, "min_player_matches": 44,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[1563.7030697322468, 1464.4890829217138], "players": ["Himeno Sakatsume", "Viktoria Hruncakova"], "sport": "TENNIS", "surface": "Hard", "surface_counts": [55, 36], "surface_ratings": [1579.470780617284, 1452.8952975561306]}, "market_type": "moneyline", "model_version": "tennis-surface-elo-v1", "observed_at_utc": "2026-10-07T10:22:00.469320+00:00", "probabilities": {"away": 0.6619, "home": 0.3381}, "replay_scope": "Exact full-precision serving state and rounding; upstream historical observation times are not certified.", "schema": "coded-moneyline-replay-v1", "snapshot_hash": "fd78f4f74dd6bb532209a42545e31ab0df18cd2e25ee35049631fbff52bb0969", "sport": "TENNIS"}</t>
        </is>
      </c>
    </row>
    <row r="1248" ht="36" customHeight="1">
      <c r="A1248" s="24" t="inlineStr">
        <is>
          <t>9c7265e2da174edb</t>
        </is>
      </c>
      <c r="B1248" s="24" t="inlineStr">
        <is>
          <t>2026-10-07T10:22:02.617605Z</t>
        </is>
      </c>
      <c r="C1248" s="24" t="inlineStr">
        <is>
          <t>2026-10-07T11:30Z</t>
        </is>
      </c>
      <c r="D1248" s="24" t="inlineStr">
        <is>
          <t>315-2026:184849</t>
        </is>
      </c>
      <c r="E1248" s="24" t="inlineStr">
        <is>
          <t>TENNIS</t>
        </is>
      </c>
      <c r="F1248" s="24" t="inlineStr">
        <is>
          <t>Marin Cilic</t>
        </is>
      </c>
      <c r="G1248" s="24" t="inlineStr">
        <is>
          <t>Arthur Fery</t>
        </is>
      </c>
      <c r="H1248" s="24" t="inlineStr">
        <is>
          <t>moneyline</t>
        </is>
      </c>
      <c r="I1248" s="24" t="inlineStr">
        <is>
          <t>home</t>
        </is>
      </c>
      <c r="J1248" s="25" t="n"/>
      <c r="K1248" s="24" t="inlineStr">
        <is>
          <t>polymarket_us</t>
        </is>
      </c>
      <c r="L1248" s="26" t="n">
        <v>-156</v>
      </c>
      <c r="M1248" s="27" t="n">
        <v>1.641026</v>
      </c>
      <c r="N1248" s="28" t="n">
        <v>0.609375</v>
      </c>
      <c r="O1248" s="28" t="n">
        <v>0.5516</v>
      </c>
      <c r="P1248" s="28" t="n">
        <v>0.05</v>
      </c>
      <c r="Q1248" s="28" t="n">
        <v>-0.057775</v>
      </c>
      <c r="R1248" s="26" t="n">
        <v>0</v>
      </c>
      <c r="S1248" s="29" t="n">
        <v>1</v>
      </c>
      <c r="T1248" s="24" t="inlineStr">
        <is>
          <t>tennis-surface-elo-v1</t>
        </is>
      </c>
      <c r="U1248" s="24" t="inlineStr">
        <is>
          <t>settled</t>
        </is>
      </c>
      <c r="V1248" s="24" t="inlineStr">
        <is>
          <t>win</t>
        </is>
      </c>
      <c r="W1248" s="26" t="n">
        <v>0</v>
      </c>
      <c r="X1248" s="26" t="n">
        <v>1</v>
      </c>
      <c r="Y1248" s="25" t="n"/>
      <c r="Z1248" s="26" t="n">
        <v>-156</v>
      </c>
      <c r="AA1248" s="28" t="n">
        <v>0.61</v>
      </c>
      <c r="AB1248" s="28" t="n">
        <v>0.000625</v>
      </c>
      <c r="AC1248" s="30" t="n">
        <v>0.641</v>
      </c>
      <c r="AD1248" s="24" t="inlineStr">
        <is>
          <t>2026-10-07T16:02:13.283291Z</t>
        </is>
      </c>
      <c r="AE1248" s="31" t="inlineStr">
        <is>
          <t>Surface-blended Elo on Hard: Marin Cilic p=0.448 vs Arthur Fery. Executable ask 0.6100 (aec-atp-artfer-marcil-2026-10-06).</t>
        </is>
      </c>
      <c r="AF1248" s="31" t="inlineStr">
        <is>
          <t>Surface-blended Elo model; singles only, WTA+ATP market coverage, not yet locked-holdout qualified -- promoted by explicit operator directive, not genuine walk-forward validation.</t>
        </is>
      </c>
      <c r="AG1248" s="24" t="inlineStr">
        <is>
          <t>not_applicable</t>
        </is>
      </c>
      <c r="AH1248" s="24" t="n"/>
      <c r="AI1248" s="31" t="n"/>
      <c r="AJ1248" s="31" t="n"/>
      <c r="AK1248" s="24" t="inlineStr">
        <is>
          <t>paper_call</t>
        </is>
      </c>
      <c r="AL1248" s="26" t="n">
        <v>4</v>
      </c>
      <c r="AM1248" s="24" t="inlineStr">
        <is>
          <t>RESEARCH_OBSERVATION</t>
        </is>
      </c>
      <c r="AN1248" s="24" t="inlineStr">
        <is>
          <t>CALL</t>
        </is>
      </c>
      <c r="AO1248" s="24" t="inlineStr">
        <is>
          <t>PAPER_CALL_LOW_EDGE</t>
        </is>
      </c>
      <c r="AP1248" s="24" t="inlineStr">
        <is>
          <t>Marin Cilic</t>
        </is>
      </c>
      <c r="AQ1248" s="24" t="inlineStr">
        <is>
          <t>Marin Cilic</t>
        </is>
      </c>
      <c r="AR1248" s="24" t="inlineStr">
        <is>
          <t>Marin Cilic</t>
        </is>
      </c>
      <c r="AS1248" s="24" t="inlineStr">
        <is>
          <t>Arthur Fery</t>
        </is>
      </c>
      <c r="AT1248" s="24" t="inlineStr">
        <is>
          <t>Arthur Fery</t>
        </is>
      </c>
      <c r="AU1248" s="24" t="inlineStr">
        <is>
          <t>Arthur Fery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shadow_qualified</t>
        </is>
      </c>
      <c r="BA1248" s="24" t="inlineStr">
        <is>
          <t>6c67e999d2a03612e30f4032c8e5e77e8becfbc79e05f4c8993e726b90d34d54</t>
        </is>
      </c>
      <c r="BB1248" s="24" t="inlineStr">
        <is>
          <t>surface_blended_elo</t>
        </is>
      </c>
      <c r="BC1248" s="24" t="inlineStr">
        <is>
          <t>tennis-surface-elo-v1</t>
        </is>
      </c>
      <c r="BD1248" s="24" t="inlineStr">
        <is>
          <t>6c67e999d2a03612e30f4032c8e5e77e8becfbc79e05f4c8993e726b90d34d54</t>
        </is>
      </c>
      <c r="BE1248" s="24" t="inlineStr">
        <is>
          <t>tennis-surface-elo-v1</t>
        </is>
      </c>
      <c r="BF1248" s="24" t="inlineStr">
        <is>
          <t>1</t>
        </is>
      </c>
      <c r="BG1248" s="24" t="inlineStr">
        <is>
          <t>6c67e999d2a03612e30f4032c8e5e77e8becfbc79e05f4c8993e726b90d34d54</t>
        </is>
      </c>
      <c r="BH1248" s="24" t="inlineStr">
        <is>
          <t>2026-10-07T04:59:53.939491Z</t>
        </is>
      </c>
      <c r="BI1248" s="24" t="inlineStr">
        <is>
          <t>["same_event","same_team_same_day","same_league_same_day"]</t>
        </is>
      </c>
      <c r="BJ1248" s="25" t="n"/>
      <c r="BK1248" s="26" t="n">
        <v>-156</v>
      </c>
      <c r="BL1248" s="27" t="n">
        <v>1.641026</v>
      </c>
      <c r="BM1248" s="28" t="n">
        <v>0.609375</v>
      </c>
      <c r="BN1248" s="28" t="n"/>
      <c r="BO1248" s="28" t="n"/>
      <c r="BP1248" s="25" t="n"/>
      <c r="BQ1248" s="27" t="n">
        <v>1.641026</v>
      </c>
      <c r="BR1248" s="28" t="n">
        <v>0.61</v>
      </c>
      <c r="BS1248" s="28" t="n"/>
      <c r="BT1248" s="28" t="n"/>
      <c r="BU1248" s="25" t="n"/>
      <c r="BV1248" s="29" t="n"/>
      <c r="BW1248" s="24" t="n"/>
      <c r="BX1248" s="30" t="n"/>
      <c r="BY1248" s="27" t="n"/>
      <c r="BZ1248" s="24" t="n"/>
      <c r="CA1248" s="31" t="n"/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False</t>
        </is>
      </c>
      <c r="CT1248" s="24" t="n"/>
      <c r="CU1248" s="24" t="n"/>
      <c r="CV1248" s="24" t="n"/>
      <c r="CW1248" s="24" t="n"/>
      <c r="CX1248" s="24" t="n"/>
      <c r="CY1248" s="24" t="n"/>
      <c r="CZ1248" s="24" t="n"/>
      <c r="DA1248" s="24" t="n"/>
      <c r="DB1248" s="24" t="n"/>
      <c r="DC1248" s="24" t="n"/>
      <c r="DD1248" s="24" t="inlineStr">
        <is>
          <t>4dcd076b5efe70a375ed190a951d3a9a23e4e462328144e457ba75d064a1341c</t>
        </is>
      </c>
      <c r="DE1248" s="24" t="inlineStr">
        <is>
          <t>E:\model-prediction\data\odds\tennis\2026-10-07\polymarket_snapshots.jsonl</t>
        </is>
      </c>
      <c r="DF1248" s="24" t="inlineStr">
        <is>
          <t>1220364:2026-10-07T04:59:53.939491Z</t>
        </is>
      </c>
      <c r="DG1248" s="24" t="n"/>
      <c r="DH1248" s="24" t="n"/>
      <c r="DI1248" s="24" t="n"/>
      <c r="DJ1248" s="24" t="n"/>
      <c r="DK1248" s="24" t="n"/>
      <c r="DL1248" s="24" t="n"/>
      <c r="DM1248" s="24" t="n"/>
      <c r="DN1248" s="24" t="n"/>
      <c r="DO1248" s="24" t="n"/>
      <c r="DP1248" s="24" t="n"/>
      <c r="DQ1248" s="24" t="inlineStr">
        <is>
          <t>{"artifact_hash": "6c67e999d2a03612e30f4032c8e5e77e8becfbc79e05f4c8993e726b90d34d54", "away_team": "Marin Cilic", "event_id": "315-2026:184849", "event_start_utc": "2026-10-07T11:30Z", "features": {"elo_p1_surface": 1586.5, "elo_p2_surface": 1596.9, "expected_games_p1": 12.79, "expected_games_p2": 12.78, "expected_total_games": 25.57, "history_matches": 11406, "min_player_matches": 39, "surface": "Hard"}, "historical_source_observation_times_verified": false, "home_team": "Arthur Fery", "inference_inputs": {"code_sha256": {"features/elo_ratings.py": "8525faf022a6343c452286dbfeb17dbb043744c6bdabbe448b6b371216da439b", "models/tennis.py": "6c67e999d2a03612e30f4032c8e5e77e8becfbc79e05f4c8993e726b90d34d54"}, "overall_ratings": [1588.9032701500655, 1653.1250505073758], "players": ["Marin Cilic", "Arthur Fery"], "sport": "TENNIS", "surface": "Hard", "surface_counts": [51, 25], "surface_ratings": [1586.4503530757065, 1596.898954733841]}, "market_type": "moneyline", "model_version": "tennis-surface-elo-v1", "observed_at_utc": "2026-10-07T10:22:00.469320+00:00", "probabilities": {"away": 0.4484, "home": 0.5516}, "replay_scope": "Exact full-precision serving state and rounding; upstream historical observation times are not certified.", "schema": "coded-moneyline-replay-v1", "snapshot_hash": "78e2a46d6d938ff1fd6213d5c43ba71e86f1c586f6c8c24faa10bffb69f0b5a2", "sport": "TENNIS"}</t>
        </is>
      </c>
    </row>
    <row r="1249" ht="36" customHeight="1">
      <c r="A1249" s="24" t="inlineStr">
        <is>
          <t>08ee55728e5245a1</t>
        </is>
      </c>
      <c r="B1249" s="24" t="inlineStr">
        <is>
          <t>2026-10-07T22:26:21.238238Z</t>
        </is>
      </c>
      <c r="C1249" s="24" t="inlineStr">
        <is>
          <t>2026-10-08T11:00Z</t>
        </is>
      </c>
      <c r="D1249" s="24" t="inlineStr">
        <is>
          <t>959-2026:184352</t>
        </is>
      </c>
      <c r="E1249" s="24" t="inlineStr">
        <is>
          <t>TENNIS</t>
        </is>
      </c>
      <c r="F1249" s="24" t="inlineStr">
        <is>
          <t>Mirra Andreeva</t>
        </is>
      </c>
      <c r="G1249" s="24" t="inlineStr">
        <is>
          <t>Ekaterina Alexandrova</t>
        </is>
      </c>
      <c r="H1249" s="24" t="inlineStr">
        <is>
          <t>moneyline</t>
        </is>
      </c>
      <c r="I1249" s="24" t="inlineStr">
        <is>
          <t>away</t>
        </is>
      </c>
      <c r="J1249" s="25" t="n"/>
      <c r="K1249" s="24" t="inlineStr">
        <is>
          <t>polymarket_us</t>
        </is>
      </c>
      <c r="L1249" s="26" t="n">
        <v>-317</v>
      </c>
      <c r="M1249" s="27" t="n">
        <v>1.315457</v>
      </c>
      <c r="N1249" s="28" t="n">
        <v>0.760192</v>
      </c>
      <c r="O1249" s="28" t="n">
        <v>0.6509</v>
      </c>
      <c r="P1249" s="28" t="n">
        <v>0.05</v>
      </c>
      <c r="Q1249" s="28" t="n">
        <v>-0.109292</v>
      </c>
      <c r="R1249" s="26" t="n">
        <v>0</v>
      </c>
      <c r="S1249" s="29" t="n">
        <v>1</v>
      </c>
      <c r="T1249" s="24" t="inlineStr">
        <is>
          <t>tennis-surface-elo-v1</t>
        </is>
      </c>
      <c r="U1249" s="24" t="inlineStr">
        <is>
          <t>settled</t>
        </is>
      </c>
      <c r="V1249" s="24" t="inlineStr">
        <is>
          <t>win</t>
        </is>
      </c>
      <c r="W1249" s="26" t="n">
        <v>1</v>
      </c>
      <c r="X1249" s="26" t="n">
        <v>0</v>
      </c>
      <c r="Y1249" s="25" t="n"/>
      <c r="Z1249" s="26" t="n">
        <v>-317</v>
      </c>
      <c r="AA1249" s="28" t="n">
        <v>0.76</v>
      </c>
      <c r="AB1249" s="28" t="n">
        <v>-0.000192</v>
      </c>
      <c r="AC1249" s="30" t="n">
        <v>0.3155</v>
      </c>
      <c r="AD1249" s="24" t="inlineStr">
        <is>
          <t>2026-10-11T04:34:28.324819Z</t>
        </is>
      </c>
      <c r="AE1249" s="31" t="inlineStr">
        <is>
          <t>Surface-blended Elo on Hard: Mirra Andreeva p=0.651 vs Ekaterina Alexandrova. Executable ask 0.7600 (aec-wta-ekaale-mirand-2026-10-07).</t>
        </is>
      </c>
      <c r="AF1249" s="31" t="inlineStr">
        <is>
          <t>Surface-blended Elo model; singles only, WTA+ATP market coverage, not yet locked-holdout qualified -- promoted by explicit operator directive, not genuine walk-forward validation.</t>
        </is>
      </c>
      <c r="AG1249" s="24" t="inlineStr">
        <is>
          <t>not_applicable</t>
        </is>
      </c>
      <c r="AH1249" s="24" t="n"/>
      <c r="AI1249" s="31" t="n"/>
      <c r="AJ1249" s="31" t="n"/>
      <c r="AK1249" s="24" t="inlineStr">
        <is>
          <t>paper_call</t>
        </is>
      </c>
      <c r="AL1249" s="26" t="n">
        <v>4</v>
      </c>
      <c r="AM1249" s="24" t="inlineStr">
        <is>
          <t>RESEARCH_OBSERVATION</t>
        </is>
      </c>
      <c r="AN1249" s="24" t="inlineStr">
        <is>
          <t>CALL</t>
        </is>
      </c>
      <c r="AO1249" s="24" t="inlineStr">
        <is>
          <t>PAPER_CALL_LOW_EDGE</t>
        </is>
      </c>
      <c r="AP1249" s="24" t="inlineStr">
        <is>
          <t>Mirra Andreeva</t>
        </is>
      </c>
      <c r="AQ1249" s="24" t="inlineStr">
        <is>
          <t>Mirra Andreeva</t>
        </is>
      </c>
      <c r="AR1249" s="24" t="inlineStr">
        <is>
          <t>Mirra Andreeva</t>
        </is>
      </c>
      <c r="AS1249" s="24" t="inlineStr">
        <is>
          <t>Ekaterina Alexandrova</t>
        </is>
      </c>
      <c r="AT1249" s="24" t="inlineStr">
        <is>
          <t>Ekaterina Alexandrova</t>
        </is>
      </c>
      <c r="AU1249" s="24" t="inlineStr">
        <is>
          <t>Ekaterina Alexandrova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shadow_qualified</t>
        </is>
      </c>
      <c r="BA1249" s="24" t="inlineStr">
        <is>
          <t>6c67e999d2a03612e30f4032c8e5e77e8becfbc79e05f4c8993e726b90d34d54</t>
        </is>
      </c>
      <c r="BB1249" s="24" t="inlineStr">
        <is>
          <t>surface_blended_elo</t>
        </is>
      </c>
      <c r="BC1249" s="24" t="inlineStr">
        <is>
          <t>tennis-surface-elo-v1</t>
        </is>
      </c>
      <c r="BD1249" s="24" t="inlineStr">
        <is>
          <t>6c67e999d2a03612e30f4032c8e5e77e8becfbc79e05f4c8993e726b90d34d54</t>
        </is>
      </c>
      <c r="BE1249" s="24" t="inlineStr">
        <is>
          <t>tennis-surface-elo-v1</t>
        </is>
      </c>
      <c r="BF1249" s="24" t="inlineStr">
        <is>
          <t>1</t>
        </is>
      </c>
      <c r="BG1249" s="24" t="inlineStr">
        <is>
          <t>6c67e999d2a03612e30f4032c8e5e77e8becfbc79e05f4c8993e726b90d34d54</t>
        </is>
      </c>
      <c r="BH1249" s="24" t="inlineStr">
        <is>
          <t>2026-10-07T04:52:12.937832Z</t>
        </is>
      </c>
      <c r="BI1249" s="24" t="inlineStr">
        <is>
          <t>["same_event","same_team_same_day","same_league_same_day"]</t>
        </is>
      </c>
      <c r="BJ1249" s="25" t="n"/>
      <c r="BK1249" s="26" t="n">
        <v>-317</v>
      </c>
      <c r="BL1249" s="27" t="n">
        <v>1.315457</v>
      </c>
      <c r="BM1249" s="28" t="n">
        <v>0.760192</v>
      </c>
      <c r="BN1249" s="28" t="n"/>
      <c r="BO1249" s="28" t="n"/>
      <c r="BP1249" s="25" t="n"/>
      <c r="BQ1249" s="27" t="n">
        <v>1.315457</v>
      </c>
      <c r="BR1249" s="28" t="n">
        <v>0.76</v>
      </c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False</t>
        </is>
      </c>
      <c r="CT1249" s="24" t="n"/>
      <c r="CU1249" s="24" t="n"/>
      <c r="CV1249" s="24" t="n"/>
      <c r="CW1249" s="24" t="n"/>
      <c r="CX1249" s="24" t="n"/>
      <c r="CY1249" s="24" t="n"/>
      <c r="CZ1249" s="24" t="n"/>
      <c r="DA1249" s="24" t="n"/>
      <c r="DB1249" s="24" t="n"/>
      <c r="DC1249" s="24" t="n"/>
      <c r="DD1249" s="24" t="inlineStr">
        <is>
          <t>baeeca72975cfb2a5d133251b44489cdc3d6a735eec852f475c46ae2bde100ca</t>
        </is>
      </c>
      <c r="DE1249" s="24" t="inlineStr">
        <is>
          <t>E:\model-prediction\data\odds\tennis\2026-10-07\polymarket_snapshots.jsonl</t>
        </is>
      </c>
      <c r="DF1249" s="24" t="inlineStr">
        <is>
          <t>1243049:2026-10-07T04:52:12.937832Z</t>
        </is>
      </c>
      <c r="DG1249" s="24" t="n"/>
      <c r="DH1249" s="24" t="n"/>
      <c r="DI1249" s="24" t="n"/>
      <c r="DJ1249" s="24" t="n"/>
      <c r="DK1249" s="24" t="n"/>
      <c r="DL1249" s="24" t="n"/>
      <c r="DM1249" s="24" t="n"/>
      <c r="DN1249" s="24" t="n"/>
      <c r="DO1249" s="24" t="n"/>
      <c r="DP1249" s="24" t="n"/>
      <c r="DQ1249" s="24" t="inlineStr">
        <is>
          <t>{"artifact_hash": "6c67e999d2a03612e30f4032c8e5e77e8becfbc79e05f4c8993e726b90d34d54", "away_team": "Mirra Andreeva", "event_id": "959-2026:184352", "event_start_utc": "2026-10-08T11:00Z", "features": {"elo_p1_surface": 1843.5, "elo_p2_surface": 1743.5, "expected_games_p1": 13.44, "expected_games_p2": 9.01, "expected_total_games": 22.44, "history_matches": 16618, "min_player_matches": 164, "surface": "Hard"}, "historical_source_observation_times_verified": false, "home_team": "Ekaterina Alexandrova", "inference_inputs": {"code_sha256": {"features/elo_ratings.py": "8525faf022a6343c452286dbfeb17dbb043744c6bdabbe448b6b371216da439b", "models/tennis.py": "6c67e999d2a03612e30f4032c8e5e77e8becfbc79e05f4c8993e726b90d34d54"}, "overall_ratings": [1909.9088028849267, 1778.0442351263014], "players": ["Mirra Andreeva", "Ekaterina Alexandrova"], "sport": "TENNIS", "surface": "Hard", "surface_counts": [120, 138], "surface_ratings": [1843.4835691950404, 1743.4559121904292]}, "market_type": "moneyline", "model_version": "tennis-surface-elo-v1", "observed_at_utc": "2026-10-07T22:26:18.680656+00:00", "probabilities": {"away": 0.6509, "home": 0.3491}, "replay_scope": "Exact full-precision serving state and rounding; upstream historical observation times are not certified.", "schema": "coded-moneyline-replay-v1", "snapshot_hash": "07f1956d1fcba914278b54b1ec3a3b3f06277bc63b76f754c36f0405cdc43795", "sport": "TENNIS"}</t>
        </is>
      </c>
    </row>
    <row r="1250" ht="36" customHeight="1">
      <c r="A1250" s="24" t="inlineStr">
        <is>
          <t>ea34bdb68b834757</t>
        </is>
      </c>
      <c r="B1250" s="24" t="inlineStr">
        <is>
          <t>2026-10-07T22:26:21.238238Z</t>
        </is>
      </c>
      <c r="C1250" s="24" t="inlineStr">
        <is>
          <t>2026-10-08T02:00Z</t>
        </is>
      </c>
      <c r="D1250" s="24" t="inlineStr">
        <is>
          <t>1029-2026:185281</t>
        </is>
      </c>
      <c r="E1250" s="24" t="inlineStr">
        <is>
          <t>TENNIS</t>
        </is>
      </c>
      <c r="F1250" s="24" t="inlineStr">
        <is>
          <t>Tamara Korpatsch</t>
        </is>
      </c>
      <c r="G1250" s="24" t="inlineStr">
        <is>
          <t>Elvina Kalieva</t>
        </is>
      </c>
      <c r="H1250" s="24" t="inlineStr">
        <is>
          <t>moneyline</t>
        </is>
      </c>
      <c r="I1250" s="24" t="inlineStr">
        <is>
          <t>away</t>
        </is>
      </c>
      <c r="J1250" s="25" t="n"/>
      <c r="K1250" s="24" t="inlineStr">
        <is>
          <t>polymarket_us</t>
        </is>
      </c>
      <c r="L1250" s="26" t="n">
        <v>100</v>
      </c>
      <c r="M1250" s="27" t="n">
        <v>2</v>
      </c>
      <c r="N1250" s="28" t="n">
        <v>0.5</v>
      </c>
      <c r="O1250" s="28" t="n">
        <v>0.5492</v>
      </c>
      <c r="P1250" s="28" t="n">
        <v>0.05</v>
      </c>
      <c r="Q1250" s="28" t="n">
        <v>0.0492</v>
      </c>
      <c r="R1250" s="26" t="n">
        <v>45</v>
      </c>
      <c r="S1250" s="29" t="n">
        <v>1</v>
      </c>
      <c r="T1250" s="24" t="inlineStr">
        <is>
          <t>tennis-surface-elo-v1</t>
        </is>
      </c>
      <c r="U1250" s="24" t="inlineStr">
        <is>
          <t>settled</t>
        </is>
      </c>
      <c r="V1250" s="24" t="inlineStr">
        <is>
          <t>loss</t>
        </is>
      </c>
      <c r="W1250" s="26" t="n">
        <v>0</v>
      </c>
      <c r="X1250" s="26" t="n">
        <v>1</v>
      </c>
      <c r="Y1250" s="25" t="n"/>
      <c r="Z1250" s="26" t="n">
        <v>100</v>
      </c>
      <c r="AA1250" s="28" t="n">
        <v>0.5</v>
      </c>
      <c r="AB1250" s="28" t="n">
        <v>0</v>
      </c>
      <c r="AC1250" s="30" t="n">
        <v>-1</v>
      </c>
      <c r="AD1250" s="24" t="inlineStr">
        <is>
          <t>2026-10-11T04:34:34.456309Z</t>
        </is>
      </c>
      <c r="AE1250" s="31" t="inlineStr">
        <is>
          <t>Surface-blended Elo on Hard: Tamara Korpatsch p=0.549 vs Elvina Kalieva. Executable ask 0.5000 (aec-wta-elvkal-tamkor-2026-10-06).</t>
        </is>
      </c>
      <c r="AF1250" s="31" t="inlineStr">
        <is>
          <t>Surface-blended Elo model; singles only, WTA+ATP market coverage, not yet locked-holdout qualified -- promoted by explicit operator directive, not genuine walk-forward validation.</t>
        </is>
      </c>
      <c r="AG1250" s="24" t="inlineStr">
        <is>
          <t>review_required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PAPER_CALL_LOW_EDGE</t>
        </is>
      </c>
      <c r="AP1250" s="24" t="inlineStr">
        <is>
          <t>Tamara Korpatsch</t>
        </is>
      </c>
      <c r="AQ1250" s="24" t="inlineStr">
        <is>
          <t>Tamara Korpatsch</t>
        </is>
      </c>
      <c r="AR1250" s="24" t="inlineStr">
        <is>
          <t>Tamara Korpatsch</t>
        </is>
      </c>
      <c r="AS1250" s="24" t="inlineStr">
        <is>
          <t>Elvina Kalieva</t>
        </is>
      </c>
      <c r="AT1250" s="24" t="inlineStr">
        <is>
          <t>Elvina Kalieva</t>
        </is>
      </c>
      <c r="AU1250" s="24" t="inlineStr">
        <is>
          <t>Elvina Kalieva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shadow_qualified</t>
        </is>
      </c>
      <c r="BA1250" s="24" t="inlineStr">
        <is>
          <t>6c67e999d2a03612e30f4032c8e5e77e8becfbc79e05f4c8993e726b90d34d54</t>
        </is>
      </c>
      <c r="BB1250" s="24" t="inlineStr">
        <is>
          <t>surface_blended_elo</t>
        </is>
      </c>
      <c r="BC1250" s="24" t="inlineStr">
        <is>
          <t>tennis-surface-elo-v1</t>
        </is>
      </c>
      <c r="BD1250" s="24" t="inlineStr">
        <is>
          <t>6c67e999d2a03612e30f4032c8e5e77e8becfbc79e05f4c8993e726b90d34d54</t>
        </is>
      </c>
      <c r="BE1250" s="24" t="inlineStr">
        <is>
          <t>tennis-surface-elo-v1</t>
        </is>
      </c>
      <c r="BF1250" s="24" t="inlineStr">
        <is>
          <t>1</t>
        </is>
      </c>
      <c r="BG1250" s="24" t="inlineStr">
        <is>
          <t>6c67e999d2a03612e30f4032c8e5e77e8becfbc79e05f4c8993e726b90d34d54</t>
        </is>
      </c>
      <c r="BH1250" s="24" t="inlineStr">
        <is>
          <t>2026-10-07T22:20:02.215911Z</t>
        </is>
      </c>
      <c r="BI1250" s="24" t="inlineStr">
        <is>
          <t>["same_event","same_team_same_day","same_league_same_day"]</t>
        </is>
      </c>
      <c r="BJ1250" s="25" t="n"/>
      <c r="BK1250" s="26" t="n">
        <v>100</v>
      </c>
      <c r="BL1250" s="27" t="n">
        <v>2</v>
      </c>
      <c r="BM1250" s="28" t="n">
        <v>0.5</v>
      </c>
      <c r="BN1250" s="28" t="n"/>
      <c r="BO1250" s="28" t="n"/>
      <c r="BP1250" s="25" t="n"/>
      <c r="BQ1250" s="27" t="n">
        <v>2</v>
      </c>
      <c r="BR1250" s="28" t="n">
        <v>0.5</v>
      </c>
      <c r="BS1250" s="28" t="n"/>
      <c r="BT1250" s="28" t="n"/>
      <c r="BU1250" s="25" t="n"/>
      <c r="BV1250" s="29" t="n"/>
      <c r="BW1250" s="24" t="n"/>
      <c r="BX1250" s="30" t="n"/>
      <c r="BY1250" s="27" t="n"/>
      <c r="BZ1250" s="24" t="n"/>
      <c r="CA1250" s="31" t="n"/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True</t>
        </is>
      </c>
      <c r="CT1250" s="24" t="n"/>
      <c r="CU1250" s="24" t="n"/>
      <c r="CV1250" s="24" t="n"/>
      <c r="CW1250" s="24" t="n"/>
      <c r="CX1250" s="24" t="n"/>
      <c r="CY1250" s="24" t="n"/>
      <c r="CZ1250" s="24" t="n"/>
      <c r="DA1250" s="24" t="n"/>
      <c r="DB1250" s="24" t="n"/>
      <c r="DC1250" s="24" t="n"/>
      <c r="DD1250" s="24" t="inlineStr">
        <is>
          <t>a290433b7816bf2b8df19f76adefcb80848d756715a4ad04ff4be6756b2a23e2</t>
        </is>
      </c>
      <c r="DE1250" s="24" t="inlineStr">
        <is>
          <t>E:\model-prediction\data\odds\tennis\2026-10-07\polymarket_snapshots.jsonl</t>
        </is>
      </c>
      <c r="DF1250" s="24" t="inlineStr">
        <is>
          <t>1246201:2026-10-07T22:20:02.215911Z</t>
        </is>
      </c>
      <c r="DG1250" s="24" t="n"/>
      <c r="DH1250" s="24" t="n"/>
      <c r="DI1250" s="24" t="n"/>
      <c r="DJ1250" s="24" t="n"/>
      <c r="DK1250" s="24" t="n"/>
      <c r="DL1250" s="24" t="n"/>
      <c r="DM1250" s="24" t="n"/>
      <c r="DN1250" s="24" t="n"/>
      <c r="DO1250" s="24" t="n"/>
      <c r="DP1250" s="24" t="n"/>
      <c r="DQ1250" s="24" t="inlineStr">
        <is>
          <t>{"artifact_hash": "6c67e999d2a03612e30f4032c8e5e77e8becfbc79e05f4c8993e726b90d34d54", "away_team": "Tamara Korpatsch", "event_id": "1029-2026:185281", "event_start_utc": "2026-10-08T02:00Z", "features": {"elo_p1_surface": 1553.0, "elo_p2_surface": 1534.2, "expected_games_p1": 12.92, "expected_games_p2": 11.74, "expected_total_games": 24.66, "history_matches": 16618, "min_player_matches": 80, "surface": "Hard"}, "historical_source_observation_times_verified": false, "home_team": "Elvina Kalieva", "inference_inputs": {"code_sha256": {"features/elo_ratings.py": "8525faf022a6343c452286dbfeb17dbb043744c6bdabbe448b6b371216da439b", "models/tennis.py": "6c67e999d2a03612e30f4032c8e5e77e8becfbc79e05f4c8993e726b90d34d54"}, "overall_ratings": [1620.7307081237752, 1539.3609883870638], "players": ["Tamara Korpatsch", "Elvina Kalieva"], "sport": "TENNIS", "surface": "Hard", "surface_counts": [111, 67], "surface_ratings": [1553.0280977221203, 1534.1910226402185]}, "market_type": "moneyline", "model_version": "tennis-surface-elo-v1", "observed_at_utc": "2026-10-07T22:26:18.680656+00:00", "probabilities": {"away": 0.5492, "home": 0.4508}, "replay_scope": "Exact full-precision serving state and rounding; upstream historical observation times are not certified.", "schema": "coded-moneyline-replay-v1", "snapshot_hash": "f4e9dc933e2ac238066442b3263a30391e9b9305a157662a579c1099eb0beb58", "sport": "TENNIS"}</t>
        </is>
      </c>
    </row>
    <row r="1251" ht="36" customHeight="1">
      <c r="A1251" s="24" t="inlineStr">
        <is>
          <t>1703e1cc88a04b14</t>
        </is>
      </c>
      <c r="B1251" s="24" t="inlineStr">
        <is>
          <t>2026-10-07T22:26:21.238238Z</t>
        </is>
      </c>
      <c r="C1251" s="24" t="inlineStr">
        <is>
          <t>2026-10-08T02:00Z</t>
        </is>
      </c>
      <c r="D1251" s="24" t="inlineStr">
        <is>
          <t>1029-2026:185274</t>
        </is>
      </c>
      <c r="E1251" s="24" t="inlineStr">
        <is>
          <t>TENNIS</t>
        </is>
      </c>
      <c r="F1251" s="24" t="inlineStr">
        <is>
          <t>Emerson Jones</t>
        </is>
      </c>
      <c r="G1251" s="24" t="inlineStr">
        <is>
          <t>Bai Zhuoxuan</t>
        </is>
      </c>
      <c r="H1251" s="24" t="inlineStr">
        <is>
          <t>moneyline</t>
        </is>
      </c>
      <c r="I1251" s="24" t="inlineStr">
        <is>
          <t>home</t>
        </is>
      </c>
      <c r="J1251" s="25" t="n"/>
      <c r="K1251" s="24" t="inlineStr">
        <is>
          <t>polymarket_us</t>
        </is>
      </c>
      <c r="L1251" s="26" t="n">
        <v>138</v>
      </c>
      <c r="M1251" s="27" t="n">
        <v>2.38</v>
      </c>
      <c r="N1251" s="28" t="n">
        <v>0.420168</v>
      </c>
      <c r="O1251" s="28" t="n">
        <v>0.5534</v>
      </c>
      <c r="P1251" s="28" t="n">
        <v>0.05</v>
      </c>
      <c r="Q1251" s="28" t="n">
        <v>0.133232</v>
      </c>
      <c r="R1251" s="26" t="n">
        <v>87</v>
      </c>
      <c r="S1251" s="29" t="n">
        <v>1.5</v>
      </c>
      <c r="T1251" s="24" t="inlineStr">
        <is>
          <t>tennis-surface-elo-v1</t>
        </is>
      </c>
      <c r="U1251" s="24" t="inlineStr">
        <is>
          <t>settled</t>
        </is>
      </c>
      <c r="V1251" s="24" t="inlineStr">
        <is>
          <t>win</t>
        </is>
      </c>
      <c r="W1251" s="26" t="n">
        <v>0</v>
      </c>
      <c r="X1251" s="26" t="n">
        <v>1</v>
      </c>
      <c r="Y1251" s="25" t="n"/>
      <c r="Z1251" s="26" t="n"/>
      <c r="AA1251" s="28" t="n"/>
      <c r="AB1251" s="28" t="n"/>
      <c r="AC1251" s="30" t="n">
        <v>2.07</v>
      </c>
      <c r="AD1251" s="24" t="inlineStr">
        <is>
          <t>2026-10-11T04:34:40.864448Z</t>
        </is>
      </c>
      <c r="AE1251" s="31" t="inlineStr">
        <is>
          <t>Surface-blended Elo on Hard: Emerson Jones p=0.447 vs Bai Zhuoxuan. Executable ask 0.4200 (aec-wta-zhubai-emejon-2026-10-06).</t>
        </is>
      </c>
      <c r="AF1251" s="31" t="inlineStr">
        <is>
          <t>Surface-blended Elo model; singles only, WTA+ATP market coverage, not yet locked-holdout qualified -- promoted by explicit operator directive, not genuine walk-forward validation.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model_qualified</t>
        </is>
      </c>
      <c r="AL1251" s="26" t="n">
        <v>4</v>
      </c>
      <c r="AM1251" s="24" t="inlineStr">
        <is>
          <t>QUALIFIED_SHADOW_CALL</t>
        </is>
      </c>
      <c r="AN1251" s="24" t="inlineStr">
        <is>
          <t>CALL</t>
        </is>
      </c>
      <c r="AO1251" s="24" t="inlineStr">
        <is>
          <t>QUALIFIED</t>
        </is>
      </c>
      <c r="AP1251" s="24" t="inlineStr">
        <is>
          <t>Emerson Jones</t>
        </is>
      </c>
      <c r="AQ1251" s="24" t="inlineStr">
        <is>
          <t>Emerson Jones</t>
        </is>
      </c>
      <c r="AR1251" s="24" t="inlineStr">
        <is>
          <t>Emerson Jones</t>
        </is>
      </c>
      <c r="AS1251" s="24" t="inlineStr">
        <is>
          <t>Bai Zhuoxuan</t>
        </is>
      </c>
      <c r="AT1251" s="24" t="inlineStr">
        <is>
          <t>Bai Zhuoxuan</t>
        </is>
      </c>
      <c r="AU1251" s="24" t="inlineStr">
        <is>
          <t>Bai Zhuoxuan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shadow_qualified</t>
        </is>
      </c>
      <c r="BA1251" s="24" t="inlineStr">
        <is>
          <t>6c67e999d2a03612e30f4032c8e5e77e8becfbc79e05f4c8993e726b90d34d54</t>
        </is>
      </c>
      <c r="BB1251" s="24" t="inlineStr">
        <is>
          <t>surface_blended_elo</t>
        </is>
      </c>
      <c r="BC1251" s="24" t="inlineStr">
        <is>
          <t>tennis-surface-elo-v1</t>
        </is>
      </c>
      <c r="BD1251" s="24" t="inlineStr">
        <is>
          <t>6c67e999d2a03612e30f4032c8e5e77e8becfbc79e05f4c8993e726b90d34d54</t>
        </is>
      </c>
      <c r="BE1251" s="24" t="inlineStr">
        <is>
          <t>tennis-surface-elo-v1</t>
        </is>
      </c>
      <c r="BF1251" s="24" t="inlineStr">
        <is>
          <t>1</t>
        </is>
      </c>
      <c r="BG1251" s="24" t="inlineStr">
        <is>
          <t>6c67e999d2a03612e30f4032c8e5e77e8becfbc79e05f4c8993e726b90d34d54</t>
        </is>
      </c>
      <c r="BH1251" s="24" t="inlineStr">
        <is>
          <t>2026-10-07T22:19:51.962949Z</t>
        </is>
      </c>
      <c r="BI1251" s="24" t="inlineStr">
        <is>
          <t>["same_event","same_team_same_day","same_league_same_day"]</t>
        </is>
      </c>
      <c r="BJ1251" s="25" t="n"/>
      <c r="BK1251" s="26" t="n">
        <v>138</v>
      </c>
      <c r="BL1251" s="27" t="n">
        <v>2.38</v>
      </c>
      <c r="BM1251" s="28" t="n">
        <v>0.420168</v>
      </c>
      <c r="BN1251" s="28" t="n"/>
      <c r="BO1251" s="28" t="n"/>
      <c r="BP1251" s="25" t="n"/>
      <c r="BQ1251" s="27" t="n"/>
      <c r="BR1251" s="28" t="n"/>
      <c r="BS1251" s="28" t="n"/>
      <c r="BT1251" s="28" t="n"/>
      <c r="BU1251" s="25" t="n"/>
      <c r="BV1251" s="29" t="n"/>
      <c r="BW1251" s="24" t="n"/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True</t>
        </is>
      </c>
      <c r="CT1251" s="24" t="n"/>
      <c r="CU1251" s="24" t="n"/>
      <c r="CV1251" s="24" t="n"/>
      <c r="CW1251" s="24" t="n"/>
      <c r="CX1251" s="24" t="n"/>
      <c r="CY1251" s="24" t="n"/>
      <c r="CZ1251" s="24" t="n"/>
      <c r="DA1251" s="24" t="n"/>
      <c r="DB1251" s="24" t="n"/>
      <c r="DC1251" s="24" t="n"/>
      <c r="DD1251" s="24" t="inlineStr">
        <is>
          <t>ac4eb82b9bc657bc784c1e9df9e773dc958310c0c4e6549b190c87d85c5bad8e</t>
        </is>
      </c>
      <c r="DE1251" s="24" t="inlineStr">
        <is>
          <t>E:\model-prediction\data\odds\tennis\2026-10-07\polymarket_snapshots.jsonl</t>
        </is>
      </c>
      <c r="DF1251" s="24" t="inlineStr">
        <is>
          <t>1245321:2026-10-07T22:19:51.962949Z</t>
        </is>
      </c>
      <c r="DG1251" s="24" t="n"/>
      <c r="DH1251" s="24" t="n"/>
      <c r="DI1251" s="24" t="n"/>
      <c r="DJ1251" s="24" t="n"/>
      <c r="DK1251" s="24" t="n"/>
      <c r="DL1251" s="24" t="n"/>
      <c r="DM1251" s="24" t="n"/>
      <c r="DN1251" s="24" t="n"/>
      <c r="DO1251" s="24" t="n"/>
      <c r="DP1251" s="24" t="n"/>
      <c r="DQ1251" s="24" t="inlineStr">
        <is>
          <t>{"artifact_hash": "6c67e999d2a03612e30f4032c8e5e77e8becfbc79e05f4c8993e726b90d34d54", "away_team": "Emerson Jones", "event_id": "1029-2026:185274", "event_start_utc": "2026-10-08T02:00Z", "features": {"elo_p1_surface": 1529.4, "elo_p2_surface": 1565.7, "expected_games_p1": 11.6, "expected_games_p2": 12.92, "expected_total_games": 24.52, "history_matches": 16618, "min_player_matches": 38, "surface": "Hard"}, "historical_source_observation_times_verified": false, "home_team": "Bai Zhuoxuan", "inference_inputs": {"code_sha256": {"features/elo_ratings.py": "8525faf022a6343c452286dbfeb17dbb043744c6bdabbe448b6b371216da439b", "models/tennis.py": "6c67e999d2a03612e30f4032c8e5e77e8becfbc79e05f4c8993e726b90d34d54"}, "overall_ratings": [1525.5690704546698, 1564.0222591492893], "players": ["Emerson Jones", "Bai Zhuoxuan"], "sport": "TENNIS", "surface": "Hard", "surface_counts": [31, 33], "surface_ratings": [1529.4406797454135, 1565.718673200113]}, "market_type": "moneyline", "model_version": "tennis-surface-elo-v1", "observed_at_utc": "2026-10-07T22:26:18.680656+00:00", "probabilities": {"away": 0.4466, "home": 0.5534}, "replay_scope": "Exact full-precision serving state and rounding; upstream historical observation times are not certified.", "schema": "coded-moneyline-replay-v1", "snapshot_hash": "e8b6c15e976b7bbe2ac1e7cb0d37cb3f98c2b3d78d04db96baddac33683fe2b2", "sport": "TENNIS"}</t>
        </is>
      </c>
    </row>
    <row r="1252" ht="36" customHeight="1">
      <c r="A1252" s="24" t="inlineStr">
        <is>
          <t>b0b29b4f09604542</t>
        </is>
      </c>
      <c r="B1252" s="24" t="inlineStr">
        <is>
          <t>2026-10-07T22:26:21.238238Z</t>
        </is>
      </c>
      <c r="C1252" s="24" t="inlineStr">
        <is>
          <t>2026-10-08T03:30Z</t>
        </is>
      </c>
      <c r="D1252" s="24" t="inlineStr">
        <is>
          <t>1029-2026:185283</t>
        </is>
      </c>
      <c r="E1252" s="24" t="inlineStr">
        <is>
          <t>TENNIS</t>
        </is>
      </c>
      <c r="F1252" s="24" t="inlineStr">
        <is>
          <t>Aliona Falei</t>
        </is>
      </c>
      <c r="G1252" s="24" t="inlineStr">
        <is>
          <t>Oleksandra Oliynykova</t>
        </is>
      </c>
      <c r="H1252" s="24" t="inlineStr">
        <is>
          <t>moneyline</t>
        </is>
      </c>
      <c r="I1252" s="24" t="inlineStr">
        <is>
          <t>home</t>
        </is>
      </c>
      <c r="J1252" s="25" t="n"/>
      <c r="K1252" s="24" t="inlineStr">
        <is>
          <t>polymarket_us</t>
        </is>
      </c>
      <c r="L1252" s="26" t="n">
        <v>-122</v>
      </c>
      <c r="M1252" s="27" t="n">
        <v>1.819672</v>
      </c>
      <c r="N1252" s="28" t="n">
        <v>0.54955</v>
      </c>
      <c r="O1252" s="28" t="n">
        <v>0.661</v>
      </c>
      <c r="P1252" s="28" t="n">
        <v>0.05</v>
      </c>
      <c r="Q1252" s="28" t="n">
        <v>0.11145</v>
      </c>
      <c r="R1252" s="26" t="n">
        <v>76</v>
      </c>
      <c r="S1252" s="29" t="n">
        <v>1.5</v>
      </c>
      <c r="T1252" s="24" t="inlineStr">
        <is>
          <t>tennis-surface-elo-v1</t>
        </is>
      </c>
      <c r="U1252" s="24" t="inlineStr">
        <is>
          <t>settled</t>
        </is>
      </c>
      <c r="V1252" s="24" t="inlineStr">
        <is>
          <t>loss</t>
        </is>
      </c>
      <c r="W1252" s="26" t="n">
        <v>1</v>
      </c>
      <c r="X1252" s="26" t="n">
        <v>0</v>
      </c>
      <c r="Y1252" s="25" t="n"/>
      <c r="Z1252" s="26" t="n">
        <v>-122</v>
      </c>
      <c r="AA1252" s="28" t="n">
        <v>0.55</v>
      </c>
      <c r="AB1252" s="28" t="n">
        <v>0.00045</v>
      </c>
      <c r="AC1252" s="30" t="n">
        <v>-1.5</v>
      </c>
      <c r="AD1252" s="24" t="inlineStr">
        <is>
          <t>2026-10-11T04:34:50.264098Z</t>
        </is>
      </c>
      <c r="AE1252" s="31" t="inlineStr">
        <is>
          <t>Surface-blended Elo on Hard: Aliona Falei p=0.339 vs Oleksandra Oliynykova. Executable ask 0.5500 (aec-wta-oleoli-alifal-2026-10-06).</t>
        </is>
      </c>
      <c r="AF1252" s="31" t="inlineStr">
        <is>
          <t>Surface-blended Elo model; singles only, WTA+ATP market coverage, not yet locked-holdout qualified -- promoted by explicit operator directive, not genuine walk-forward validation.</t>
        </is>
      </c>
      <c r="AG1252" s="24" t="inlineStr">
        <is>
          <t>review_required</t>
        </is>
      </c>
      <c r="AH1252" s="24" t="n"/>
      <c r="AI1252" s="31" t="n"/>
      <c r="AJ1252" s="31" t="n"/>
      <c r="AK1252" s="24" t="inlineStr">
        <is>
          <t>model_qualified</t>
        </is>
      </c>
      <c r="AL1252" s="26" t="n">
        <v>4</v>
      </c>
      <c r="AM1252" s="24" t="inlineStr">
        <is>
          <t>QUALIFIED_SHADOW_CALL</t>
        </is>
      </c>
      <c r="AN1252" s="24" t="inlineStr">
        <is>
          <t>CALL</t>
        </is>
      </c>
      <c r="AO1252" s="24" t="inlineStr">
        <is>
          <t>QUALIFIED</t>
        </is>
      </c>
      <c r="AP1252" s="24" t="inlineStr">
        <is>
          <t>Aliona Falei</t>
        </is>
      </c>
      <c r="AQ1252" s="24" t="inlineStr">
        <is>
          <t>Aliona Falei</t>
        </is>
      </c>
      <c r="AR1252" s="24" t="inlineStr">
        <is>
          <t>Aliona Falei</t>
        </is>
      </c>
      <c r="AS1252" s="24" t="inlineStr">
        <is>
          <t>Oleksandra Oliynykova</t>
        </is>
      </c>
      <c r="AT1252" s="24" t="inlineStr">
        <is>
          <t>Oleksandra Oliynykova</t>
        </is>
      </c>
      <c r="AU1252" s="24" t="inlineStr">
        <is>
          <t>Oleksandra Oliynykova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shadow_qualified</t>
        </is>
      </c>
      <c r="BA1252" s="24" t="inlineStr">
        <is>
          <t>6c67e999d2a03612e30f4032c8e5e77e8becfbc79e05f4c8993e726b90d34d54</t>
        </is>
      </c>
      <c r="BB1252" s="24" t="inlineStr">
        <is>
          <t>surface_blended_elo</t>
        </is>
      </c>
      <c r="BC1252" s="24" t="inlineStr">
        <is>
          <t>tennis-surface-elo-v1</t>
        </is>
      </c>
      <c r="BD1252" s="24" t="inlineStr">
        <is>
          <t>6c67e999d2a03612e30f4032c8e5e77e8becfbc79e05f4c8993e726b90d34d54</t>
        </is>
      </c>
      <c r="BE1252" s="24" t="inlineStr">
        <is>
          <t>tennis-surface-elo-v1</t>
        </is>
      </c>
      <c r="BF1252" s="24" t="inlineStr">
        <is>
          <t>1</t>
        </is>
      </c>
      <c r="BG1252" s="24" t="inlineStr">
        <is>
          <t>6c67e999d2a03612e30f4032c8e5e77e8becfbc79e05f4c8993e726b90d34d54</t>
        </is>
      </c>
      <c r="BH1252" s="24" t="inlineStr">
        <is>
          <t>2026-10-07T16:19:30.228156Z</t>
        </is>
      </c>
      <c r="BI1252" s="24" t="inlineStr">
        <is>
          <t>["same_event","same_team_same_day","same_league_same_day"]</t>
        </is>
      </c>
      <c r="BJ1252" s="25" t="n"/>
      <c r="BK1252" s="26" t="n">
        <v>-122</v>
      </c>
      <c r="BL1252" s="27" t="n">
        <v>1.819672</v>
      </c>
      <c r="BM1252" s="28" t="n">
        <v>0.54955</v>
      </c>
      <c r="BN1252" s="28" t="n"/>
      <c r="BO1252" s="28" t="n"/>
      <c r="BP1252" s="25" t="n"/>
      <c r="BQ1252" s="27" t="n">
        <v>1.819672</v>
      </c>
      <c r="BR1252" s="28" t="n">
        <v>0.55</v>
      </c>
      <c r="BS1252" s="28" t="n"/>
      <c r="BT1252" s="28" t="n"/>
      <c r="BU1252" s="25" t="n"/>
      <c r="BV1252" s="29" t="n"/>
      <c r="BW1252" s="24" t="n"/>
      <c r="BX1252" s="30" t="n"/>
      <c r="BY1252" s="27" t="n"/>
      <c r="BZ1252" s="24" t="n"/>
      <c r="CA1252" s="31" t="n"/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True</t>
        </is>
      </c>
      <c r="CT1252" s="24" t="n"/>
      <c r="CU1252" s="24" t="n"/>
      <c r="CV1252" s="24" t="n"/>
      <c r="CW1252" s="24" t="n"/>
      <c r="CX1252" s="24" t="n"/>
      <c r="CY1252" s="24" t="n"/>
      <c r="CZ1252" s="24" t="n"/>
      <c r="DA1252" s="24" t="n"/>
      <c r="DB1252" s="24" t="n"/>
      <c r="DC1252" s="24" t="n"/>
      <c r="DD1252" s="24" t="inlineStr">
        <is>
          <t>5aba680245d3a1dc467fc8907ab5d032e25b14c7dd5d11d787f905cb808c60eb</t>
        </is>
      </c>
      <c r="DE1252" s="24" t="inlineStr">
        <is>
          <t>E:\model-prediction\data\odds\tennis\2026-10-07\polymarket_snapshots.jsonl</t>
        </is>
      </c>
      <c r="DF1252" s="24" t="inlineStr">
        <is>
          <t>1243052:2026-10-07T16:19:30.228156Z</t>
        </is>
      </c>
      <c r="DG1252" s="24" t="n"/>
      <c r="DH1252" s="24" t="n"/>
      <c r="DI1252" s="24" t="n"/>
      <c r="DJ1252" s="24" t="n"/>
      <c r="DK1252" s="24" t="n"/>
      <c r="DL1252" s="24" t="n"/>
      <c r="DM1252" s="24" t="n"/>
      <c r="DN1252" s="24" t="n"/>
      <c r="DO1252" s="24" t="n"/>
      <c r="DP1252" s="24" t="n"/>
      <c r="DQ1252" s="24" t="inlineStr">
        <is>
          <t>{"artifact_hash": "6c67e999d2a03612e30f4032c8e5e77e8becfbc79e05f4c8993e726b90d34d54", "away_team": "Aliona Falei", "event_id": "1029-2026:185283", "event_start_utc": "2026-10-08T03:30Z", "features": {"elo_p1_surface": 1529.2, "elo_p2_surface": 1638.5, "expected_games_p1": 9.14, "expected_games_p2": 13.27, "expected_total_games": 22.41, "history_matches": 16618, "min_player_matches": 40,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[1520.7176104358005, 1650.2279192905771], "players": ["Aliona Falei", "Oleksandra Oliynykova"], "sport": "TENNIS", "surface": "Hard", "surface_counts": [38, 77], "surface_ratings": [1529.1858081466053, 1638.481581705442]}, "market_type": "moneyline", "model_version": "tennis-surface-elo-v1", "observed_at_utc": "2026-10-07T22:26:18.680656+00:00", "probabilities": {"away": 0.339, "home": 0.661}, "replay_scope": "Exact full-precision serving state and rounding; upstream historical observation times are not certified.", "schema": "coded-moneyline-replay-v1", "snapshot_hash": "d6344b33245a0bb4a436d0eed03601ab81711d4175c67283077949c5f88291ad", "sport": "TENNIS"}</t>
        </is>
      </c>
    </row>
    <row r="1253" ht="36" customHeight="1">
      <c r="A1253" s="24" t="inlineStr">
        <is>
          <t>107ccc9ad5d64bfb</t>
        </is>
      </c>
      <c r="B1253" s="24" t="inlineStr">
        <is>
          <t>2026-10-07T22:26:21.238238Z</t>
        </is>
      </c>
      <c r="C1253" s="24" t="inlineStr">
        <is>
          <t>2026-10-08T04:00Z</t>
        </is>
      </c>
      <c r="D1253" s="24" t="inlineStr">
        <is>
          <t>315-2026:184857</t>
        </is>
      </c>
      <c r="E1253" s="24" t="inlineStr">
        <is>
          <t>TENNIS</t>
        </is>
      </c>
      <c r="F1253" s="24" t="inlineStr">
        <is>
          <t>Facundo Diaz Acosta</t>
        </is>
      </c>
      <c r="G1253" s="24" t="inlineStr">
        <is>
          <t>Nuno Borges</t>
        </is>
      </c>
      <c r="H1253" s="24" t="inlineStr">
        <is>
          <t>moneyline</t>
        </is>
      </c>
      <c r="I1253" s="24" t="inlineStr">
        <is>
          <t>home</t>
        </is>
      </c>
      <c r="J1253" s="25" t="n"/>
      <c r="K1253" s="24" t="inlineStr">
        <is>
          <t>polymarket_us</t>
        </is>
      </c>
      <c r="L1253" s="26" t="n">
        <v>-335</v>
      </c>
      <c r="M1253" s="27" t="n">
        <v>1.298507</v>
      </c>
      <c r="N1253" s="28" t="n">
        <v>0.770115</v>
      </c>
      <c r="O1253" s="28" t="n">
        <v>0.7663</v>
      </c>
      <c r="P1253" s="28" t="n">
        <v>0.05</v>
      </c>
      <c r="Q1253" s="28" t="n">
        <v>-0.003815</v>
      </c>
      <c r="R1253" s="26" t="n">
        <v>18</v>
      </c>
      <c r="S1253" s="29" t="n">
        <v>1</v>
      </c>
      <c r="T1253" s="24" t="inlineStr">
        <is>
          <t>tennis-surface-elo-v1</t>
        </is>
      </c>
      <c r="U1253" s="24" t="inlineStr">
        <is>
          <t>settled</t>
        </is>
      </c>
      <c r="V1253" s="24" t="inlineStr">
        <is>
          <t>win</t>
        </is>
      </c>
      <c r="W1253" s="26" t="n">
        <v>0</v>
      </c>
      <c r="X1253" s="26" t="n">
        <v>1</v>
      </c>
      <c r="Y1253" s="25" t="n"/>
      <c r="Z1253" s="26" t="n">
        <v>-317</v>
      </c>
      <c r="AA1253" s="28" t="n">
        <v>0.76</v>
      </c>
      <c r="AB1253" s="28" t="n">
        <v>-0.010115</v>
      </c>
      <c r="AC1253" s="30" t="n">
        <v>0.2985</v>
      </c>
      <c r="AD1253" s="24" t="inlineStr">
        <is>
          <t>2026-10-11T04:34:58.111550Z</t>
        </is>
      </c>
      <c r="AE1253" s="31" t="inlineStr">
        <is>
          <t>Surface-blended Elo on Hard: Facundo Diaz Acosta p=0.234 vs Nuno Borges. Executable ask 0.7700 (aec-atp-nunbor-facaco-2026-10-06).</t>
        </is>
      </c>
      <c r="AF1253" s="31" t="inlineStr">
        <is>
          <t>Surface-blended Elo model; singles only, WTA+ATP market coverage, not yet locked-holdout qualified -- promoted by explicit operator directive, not genuine walk-forward validation.</t>
        </is>
      </c>
      <c r="AG1253" s="24" t="inlineStr">
        <is>
          <t>not_applicable</t>
        </is>
      </c>
      <c r="AH1253" s="24" t="n"/>
      <c r="AI1253" s="31" t="n"/>
      <c r="AJ1253" s="31" t="n"/>
      <c r="AK1253" s="24" t="inlineStr">
        <is>
          <t>paper_call</t>
        </is>
      </c>
      <c r="AL1253" s="26" t="n">
        <v>4</v>
      </c>
      <c r="AM1253" s="24" t="inlineStr">
        <is>
          <t>RESEARCH_OBSERVATION</t>
        </is>
      </c>
      <c r="AN1253" s="24" t="inlineStr">
        <is>
          <t>CALL</t>
        </is>
      </c>
      <c r="AO1253" s="24" t="inlineStr">
        <is>
          <t>PAPER_CALL_LOW_EDGE</t>
        </is>
      </c>
      <c r="AP1253" s="24" t="inlineStr">
        <is>
          <t>Facundo Diaz Acosta</t>
        </is>
      </c>
      <c r="AQ1253" s="24" t="inlineStr">
        <is>
          <t>Facundo Diaz Acosta</t>
        </is>
      </c>
      <c r="AR1253" s="24" t="inlineStr">
        <is>
          <t>Facundo Diaz Acosta</t>
        </is>
      </c>
      <c r="AS1253" s="24" t="inlineStr">
        <is>
          <t>Nuno Borges</t>
        </is>
      </c>
      <c r="AT1253" s="24" t="inlineStr">
        <is>
          <t>Nuno Borges</t>
        </is>
      </c>
      <c r="AU1253" s="24" t="inlineStr">
        <is>
          <t>Nuno Borges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shadow_qualified</t>
        </is>
      </c>
      <c r="BA1253" s="24" t="inlineStr">
        <is>
          <t>6c67e999d2a03612e30f4032c8e5e77e8becfbc79e05f4c8993e726b90d34d54</t>
        </is>
      </c>
      <c r="BB1253" s="24" t="inlineStr">
        <is>
          <t>surface_blended_elo</t>
        </is>
      </c>
      <c r="BC1253" s="24" t="inlineStr">
        <is>
          <t>tennis-surface-elo-v1</t>
        </is>
      </c>
      <c r="BD1253" s="24" t="inlineStr">
        <is>
          <t>6c67e999d2a03612e30f4032c8e5e77e8becfbc79e05f4c8993e726b90d34d54</t>
        </is>
      </c>
      <c r="BE1253" s="24" t="inlineStr">
        <is>
          <t>tennis-surface-elo-v1</t>
        </is>
      </c>
      <c r="BF1253" s="24" t="inlineStr">
        <is>
          <t>1</t>
        </is>
      </c>
      <c r="BG1253" s="24" t="inlineStr">
        <is>
          <t>6c67e999d2a03612e30f4032c8e5e77e8becfbc79e05f4c8993e726b90d34d54</t>
        </is>
      </c>
      <c r="BH1253" s="24" t="inlineStr">
        <is>
          <t>2026-10-06T05:13:04.265781Z</t>
        </is>
      </c>
      <c r="BI1253" s="24" t="inlineStr">
        <is>
          <t>["same_event","same_team_same_day","same_league_same_day"]</t>
        </is>
      </c>
      <c r="BJ1253" s="25" t="n"/>
      <c r="BK1253" s="26" t="n">
        <v>-335</v>
      </c>
      <c r="BL1253" s="27" t="n">
        <v>1.298507</v>
      </c>
      <c r="BM1253" s="28" t="n">
        <v>0.770115</v>
      </c>
      <c r="BN1253" s="28" t="n"/>
      <c r="BO1253" s="28" t="n"/>
      <c r="BP1253" s="25" t="n"/>
      <c r="BQ1253" s="27" t="n">
        <v>1.315457</v>
      </c>
      <c r="BR1253" s="28" t="n">
        <v>0.76</v>
      </c>
      <c r="BS1253" s="28" t="n"/>
      <c r="BT1253" s="28" t="n"/>
      <c r="BU1253" s="25" t="n"/>
      <c r="BV1253" s="29" t="n"/>
      <c r="BW1253" s="24" t="n"/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False</t>
        </is>
      </c>
      <c r="CT1253" s="24" t="n"/>
      <c r="CU1253" s="24" t="n"/>
      <c r="CV1253" s="24" t="n"/>
      <c r="CW1253" s="24" t="n"/>
      <c r="CX1253" s="24" t="n"/>
      <c r="CY1253" s="24" t="n"/>
      <c r="CZ1253" s="24" t="n"/>
      <c r="DA1253" s="24" t="n"/>
      <c r="DB1253" s="24" t="n"/>
      <c r="DC1253" s="24" t="n"/>
      <c r="DD1253" s="24" t="inlineStr">
        <is>
          <t>c536a29a12c7c36d1733df258e8deeb64f03ad0fa958216d8d57054786f69c20</t>
        </is>
      </c>
      <c r="DE1253" s="24" t="inlineStr">
        <is>
          <t>E:\model-prediction\data\odds\tennis\2026-10-07\polymarket_snapshots.jsonl</t>
        </is>
      </c>
      <c r="DF1253" s="24" t="inlineStr">
        <is>
          <t>1220356:2026-10-06T05:13:04.265781Z</t>
        </is>
      </c>
      <c r="DG1253" s="24" t="n"/>
      <c r="DH1253" s="24" t="n"/>
      <c r="DI1253" s="24" t="n"/>
      <c r="DJ1253" s="24" t="n"/>
      <c r="DK1253" s="24" t="n"/>
      <c r="DL1253" s="24" t="n"/>
      <c r="DM1253" s="24" t="n"/>
      <c r="DN1253" s="24" t="n"/>
      <c r="DO1253" s="24" t="n"/>
      <c r="DP1253" s="24" t="n"/>
      <c r="DQ1253" s="24" t="inlineStr">
        <is>
          <t>{"artifact_hash": "6c67e999d2a03612e30f4032c8e5e77e8becfbc79e05f4c8993e726b90d34d54", "away_team": "Facundo Diaz Acosta", "event_id": "315-2026:184857", "event_start_utc": "2026-10-08T04:00Z", "features": {"elo_p1_surface": 1415.2, "elo_p2_surface": 1623.9, "expected_games_p1": 6.98, "expected_games_p2": 12.79, "expected_total_games": 19.77, "history_matches": 11406, "min_player_matches": 63, "surface": "Hard"}, "historical_source_observation_times_verified": false, "home_team": "Nuno Borges", "inference_inputs": {"code_sha256": {"features/elo_ratings.py": "8525faf022a6343c452286dbfeb17dbb043744c6bdabbe448b6b371216da439b", "models/tennis.py": "6c67e999d2a03612e30f4032c8e5e77e8becfbc79e05f4c8993e726b90d34d54"}, "overall_ratings": [1451.5492736095591, 1667.8224756469879], "players": ["Facundo Diaz Acosta", "Nuno Borges"], "sport": "TENNIS", "surface": "Hard", "surface_counts": [43, 109], "surface_ratings": [1415.1807995849344, 1623.8560406458714]}, "market_type": "moneyline", "model_version": "tennis-surface-elo-v1", "observed_at_utc": "2026-10-07T22:26:18.680656+00:00", "probabilities": {"away": 0.2337, "home": 0.7663}, "replay_scope": "Exact full-precision serving state and rounding; upstream historical observation times are not certified.", "schema": "coded-moneyline-replay-v1", "snapshot_hash": "7d0115c8ca2555f4b2d127e7e80ccbf5a6abcb03692f190836668a3c4f1a9e08", "sport": "TENNIS"}</t>
        </is>
      </c>
    </row>
    <row r="1254" ht="36" customHeight="1">
      <c r="A1254" s="24" t="inlineStr">
        <is>
          <t>24b6dc6e4e2342b4</t>
        </is>
      </c>
      <c r="B1254" s="24" t="inlineStr">
        <is>
          <t>2026-10-07T22:26:21.238238Z</t>
        </is>
      </c>
      <c r="C1254" s="24" t="inlineStr">
        <is>
          <t>2026-10-08T04:00Z</t>
        </is>
      </c>
      <c r="D1254" s="24" t="inlineStr">
        <is>
          <t>315-2026:184877</t>
        </is>
      </c>
      <c r="E1254" s="24" t="inlineStr">
        <is>
          <t>TENNIS</t>
        </is>
      </c>
      <c r="F1254" s="24" t="inlineStr">
        <is>
          <t>Jenson Brooksby</t>
        </is>
      </c>
      <c r="G1254" s="24" t="inlineStr">
        <is>
          <t>Jaume Munar</t>
        </is>
      </c>
      <c r="H1254" s="24" t="inlineStr">
        <is>
          <t>moneyline</t>
        </is>
      </c>
      <c r="I1254" s="24" t="inlineStr">
        <is>
          <t>home</t>
        </is>
      </c>
      <c r="J1254" s="25" t="n"/>
      <c r="K1254" s="24" t="inlineStr">
        <is>
          <t>polymarket_us</t>
        </is>
      </c>
      <c r="L1254" s="26" t="n">
        <v>-156</v>
      </c>
      <c r="M1254" s="27" t="n">
        <v>1.641026</v>
      </c>
      <c r="N1254" s="28" t="n">
        <v>0.609375</v>
      </c>
      <c r="O1254" s="28" t="n">
        <v>0.6847</v>
      </c>
      <c r="P1254" s="28" t="n">
        <v>0.05</v>
      </c>
      <c r="Q1254" s="28" t="n">
        <v>0.075325</v>
      </c>
      <c r="R1254" s="26" t="n">
        <v>58</v>
      </c>
      <c r="S1254" s="29" t="n">
        <v>1.25</v>
      </c>
      <c r="T1254" s="24" t="inlineStr">
        <is>
          <t>tennis-surface-elo-v1</t>
        </is>
      </c>
      <c r="U1254" s="24" t="inlineStr">
        <is>
          <t>settled</t>
        </is>
      </c>
      <c r="V1254" s="24" t="inlineStr">
        <is>
          <t>loss</t>
        </is>
      </c>
      <c r="W1254" s="26" t="n">
        <v>1</v>
      </c>
      <c r="X1254" s="26" t="n">
        <v>0</v>
      </c>
      <c r="Y1254" s="25" t="n"/>
      <c r="Z1254" s="26" t="n">
        <v>-170</v>
      </c>
      <c r="AA1254" s="28" t="n">
        <v>0.63</v>
      </c>
      <c r="AB1254" s="28" t="n">
        <v>0.020625</v>
      </c>
      <c r="AC1254" s="30" t="n">
        <v>-1.25</v>
      </c>
      <c r="AD1254" s="24" t="inlineStr">
        <is>
          <t>2026-10-11T04:35:12.732372Z</t>
        </is>
      </c>
      <c r="AE1254" s="31" t="inlineStr">
        <is>
          <t>Surface-blended Elo on Hard: Jenson Brooksby p=0.315 vs Jaume Munar. Executable ask 0.6100 (aec-atp-jaumun-jenbro-2026-10-06).</t>
        </is>
      </c>
      <c r="AF1254" s="31" t="inlineStr">
        <is>
          <t>Surface-blended Elo model; singles only, WTA+ATP market coverage, not yet locked-holdout qualified -- promoted by explicit operator directive, not genuine walk-forward validation.</t>
        </is>
      </c>
      <c r="AG1254" s="24" t="inlineStr">
        <is>
          <t>review_required</t>
        </is>
      </c>
      <c r="AH1254" s="24" t="n"/>
      <c r="AI1254" s="31" t="n"/>
      <c r="AJ1254" s="31" t="n"/>
      <c r="AK1254" s="24" t="inlineStr">
        <is>
          <t>paper_call</t>
        </is>
      </c>
      <c r="AL1254" s="26" t="n">
        <v>4</v>
      </c>
      <c r="AM1254" s="24" t="inlineStr">
        <is>
          <t>RESEARCH_OBSERVATION</t>
        </is>
      </c>
      <c r="AN1254" s="24" t="inlineStr">
        <is>
          <t>CALL</t>
        </is>
      </c>
      <c r="AO1254" s="24" t="inlineStr">
        <is>
          <t>PAPER_CALL_STALE_DATA</t>
        </is>
      </c>
      <c r="AP1254" s="24" t="inlineStr">
        <is>
          <t>Jenson Brooksby</t>
        </is>
      </c>
      <c r="AQ1254" s="24" t="inlineStr">
        <is>
          <t>Jenson Brooksby</t>
        </is>
      </c>
      <c r="AR1254" s="24" t="inlineStr">
        <is>
          <t>Jenson Brooksby</t>
        </is>
      </c>
      <c r="AS1254" s="24" t="inlineStr">
        <is>
          <t>Jaume Munar</t>
        </is>
      </c>
      <c r="AT1254" s="24" t="inlineStr">
        <is>
          <t>Jaume Munar</t>
        </is>
      </c>
      <c r="AU1254" s="24" t="inlineStr">
        <is>
          <t>Jaume Munar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shadow_qualified</t>
        </is>
      </c>
      <c r="BA1254" s="24" t="inlineStr">
        <is>
          <t>6c67e999d2a03612e30f4032c8e5e77e8becfbc79e05f4c8993e726b90d34d54</t>
        </is>
      </c>
      <c r="BB1254" s="24" t="inlineStr">
        <is>
          <t>surface_blended_elo</t>
        </is>
      </c>
      <c r="BC1254" s="24" t="inlineStr">
        <is>
          <t>tennis-surface-elo-v1</t>
        </is>
      </c>
      <c r="BD1254" s="24" t="inlineStr">
        <is>
          <t>6c67e999d2a03612e30f4032c8e5e77e8becfbc79e05f4c8993e726b90d34d54</t>
        </is>
      </c>
      <c r="BE1254" s="24" t="inlineStr">
        <is>
          <t>tennis-surface-elo-v1</t>
        </is>
      </c>
      <c r="BF1254" s="24" t="inlineStr">
        <is>
          <t>1</t>
        </is>
      </c>
      <c r="BG1254" s="24" t="inlineStr">
        <is>
          <t>6c67e999d2a03612e30f4032c8e5e77e8becfbc79e05f4c8993e726b90d34d54</t>
        </is>
      </c>
      <c r="BH1254" s="24" t="inlineStr">
        <is>
          <t>2026-10-06T05:13:54.684260Z</t>
        </is>
      </c>
      <c r="BI1254" s="24" t="inlineStr">
        <is>
          <t>["same_event","same_team_same_day","same_league_same_day"]</t>
        </is>
      </c>
      <c r="BJ1254" s="25" t="n"/>
      <c r="BK1254" s="26" t="n">
        <v>-156</v>
      </c>
      <c r="BL1254" s="27" t="n">
        <v>1.641026</v>
      </c>
      <c r="BM1254" s="28" t="n">
        <v>0.609375</v>
      </c>
      <c r="BN1254" s="28" t="n"/>
      <c r="BO1254" s="28" t="n"/>
      <c r="BP1254" s="25" t="n"/>
      <c r="BQ1254" s="27" t="n">
        <v>1.588235</v>
      </c>
      <c r="BR1254" s="28" t="n">
        <v>0.63</v>
      </c>
      <c r="BS1254" s="28" t="n"/>
      <c r="BT1254" s="28" t="n"/>
      <c r="BU1254" s="25" t="n"/>
      <c r="BV1254" s="29" t="n"/>
      <c r="BW1254" s="24" t="n"/>
      <c r="BX1254" s="30" t="n"/>
      <c r="BY1254" s="27" t="n"/>
      <c r="BZ1254" s="24" t="n"/>
      <c r="CA1254" s="31" t="n"/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n"/>
      <c r="CU1254" s="24" t="n"/>
      <c r="CV1254" s="24" t="n"/>
      <c r="CW1254" s="24" t="n"/>
      <c r="CX1254" s="24" t="n"/>
      <c r="CY1254" s="24" t="n"/>
      <c r="CZ1254" s="24" t="n"/>
      <c r="DA1254" s="24" t="n"/>
      <c r="DB1254" s="24" t="n"/>
      <c r="DC1254" s="24" t="n"/>
      <c r="DD1254" s="24" t="inlineStr">
        <is>
          <t>5a3f5fe559f8e8f8ad8da2a036ea01fa37798992b3706e502087f874eb7b8ea6</t>
        </is>
      </c>
      <c r="DE1254" s="24" t="inlineStr">
        <is>
          <t>E:\model-prediction\data\odds\tennis\2026-10-07\polymarket_snapshots.jsonl</t>
        </is>
      </c>
      <c r="DF1254" s="24" t="inlineStr">
        <is>
          <t>1220359:2026-10-06T05:13:54.684260Z</t>
        </is>
      </c>
      <c r="DG1254" s="24" t="n"/>
      <c r="DH1254" s="24" t="n"/>
      <c r="DI1254" s="24" t="n"/>
      <c r="DJ1254" s="24" t="n"/>
      <c r="DK1254" s="24" t="n"/>
      <c r="DL1254" s="24" t="n"/>
      <c r="DM1254" s="24" t="n"/>
      <c r="DN1254" s="24" t="n"/>
      <c r="DO1254" s="24" t="n"/>
      <c r="DP1254" s="24" t="n"/>
      <c r="DQ1254" s="24" t="inlineStr">
        <is>
          <t>{"artifact_hash": "6c67e999d2a03612e30f4032c8e5e77e8becfbc79e05f4c8993e726b90d34d54", "away_team": "Jenson Brooksby", "event_id": "315-2026:184877", "event_start_utc": "2026-10-08T04:00Z", "features": {"elo_p1_surface": 1540.0, "elo_p2_surface": 1684.3, "expected_games_p1": 8.8, "expected_games_p2": 13.28, "expected_total_games": 22.08, "history_matches": 11406, "min_player_matches": 75, "surface": "Hard"}, "historical_source_observation_times_verified": false, "home_team": "Jaume Munar", "inference_inputs": {"code_sha256": {"features/elo_ratings.py": "8525faf022a6343c452286dbfeb17dbb043744c6bdabbe448b6b371216da439b", "models/tennis.py": "6c67e999d2a03612e30f4032c8e5e77e8becfbc79e05f4c8993e726b90d34d54"}, "overall_ratings": [1558.968411837328, 1672.8436811150998], "players": ["Jenson Brooksby", "Jaume Munar"], "sport": "TENNIS", "surface": "Hard", "surface_counts": [53, 88], "surface_ratings": [1539.989973082723, 1684.26691298192]}, "market_type": "moneyline", "model_version": "tennis-surface-elo-v1", "observed_at_utc": "2026-10-07T22:26:18.680656+00:00", "probabilities": {"away": 0.3153, "home": 0.6847}, "replay_scope": "Exact full-precision serving state and rounding; upstream historical observation times are not certified.", "schema": "coded-moneyline-replay-v1", "snapshot_hash": "6840bf6e6088a444c810cd183f801529254bb0205b9a90b4cce7e080949deb0e", "sport": "TENNIS"}</t>
        </is>
      </c>
    </row>
    <row r="1255" ht="36" customHeight="1">
      <c r="A1255" s="24" t="inlineStr">
        <is>
          <t>c32971b1bc7745d7</t>
        </is>
      </c>
      <c r="B1255" s="24" t="inlineStr">
        <is>
          <t>2026-10-11T01:05:51.056165Z</t>
        </is>
      </c>
      <c r="C1255" s="24" t="inlineStr">
        <is>
          <t>2026-10-11T03:00Z</t>
        </is>
      </c>
      <c r="D1255" s="24" t="inlineStr">
        <is>
          <t>381-2026:186380</t>
        </is>
      </c>
      <c r="E1255" s="24" t="inlineStr">
        <is>
          <t>TENNIS</t>
        </is>
      </c>
      <c r="F1255" s="24" t="inlineStr">
        <is>
          <t>Daria Kasatkina</t>
        </is>
      </c>
      <c r="G1255" s="24" t="inlineStr">
        <is>
          <t>Sara Sorribes Tormo</t>
        </is>
      </c>
      <c r="H1255" s="24" t="inlineStr">
        <is>
          <t>moneyline</t>
        </is>
      </c>
      <c r="I1255" s="24" t="inlineStr">
        <is>
          <t>away</t>
        </is>
      </c>
      <c r="J1255" s="25" t="n"/>
      <c r="K1255" s="24" t="inlineStr">
        <is>
          <t>polymarket_us</t>
        </is>
      </c>
      <c r="L1255" s="26" t="n">
        <v>-170</v>
      </c>
      <c r="M1255" s="27" t="n">
        <v>1.588235</v>
      </c>
      <c r="N1255" s="28" t="n">
        <v>0.62963</v>
      </c>
      <c r="O1255" s="28" t="n">
        <v>0.6055</v>
      </c>
      <c r="P1255" s="28" t="n">
        <v>0.05</v>
      </c>
      <c r="Q1255" s="28" t="n">
        <v>-0.02413</v>
      </c>
      <c r="R1255" s="26" t="n">
        <v>8</v>
      </c>
      <c r="S1255" s="29" t="n">
        <v>1</v>
      </c>
      <c r="T1255" s="24" t="inlineStr">
        <is>
          <t>tennis-learned-v3</t>
        </is>
      </c>
      <c r="U1255" s="24" t="inlineStr">
        <is>
          <t>settled</t>
        </is>
      </c>
      <c r="V1255" s="24" t="inlineStr">
        <is>
          <t>win</t>
        </is>
      </c>
      <c r="W1255" s="26" t="n">
        <v>1</v>
      </c>
      <c r="X1255" s="26" t="n">
        <v>0</v>
      </c>
      <c r="Y1255" s="25" t="n"/>
      <c r="Z1255" s="26" t="n">
        <v>-170</v>
      </c>
      <c r="AA1255" s="28" t="n">
        <v>0.63</v>
      </c>
      <c r="AB1255" s="28" t="n">
        <v>0.00037</v>
      </c>
      <c r="AC1255" s="30" t="n">
        <v>0.5881999999999999</v>
      </c>
      <c r="AD1255" s="24" t="inlineStr">
        <is>
          <t>2026-10-11T10:01:55.021657Z</t>
        </is>
      </c>
      <c r="AE1255" s="31" t="inlineStr">
        <is>
          <t>Tennis v3 Learned Fundamental on Hard (Bo3): Daria Kasatkina p=0.605 vs Sara Sorribes Tormo. Executable ask 0.6300 (aec-wta-sartor-darkas-2026-10-10).</t>
        </is>
      </c>
      <c r="AF1255" s="31" t="inlineStr">
        <is>
          <t>Surface-blended Elo model; singles only, WTA+ATP market coverage, not yet locked-holdout qualified -- promoted by explicit operator directive, not genuine walk-forward validation.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paper_call</t>
        </is>
      </c>
      <c r="AL1255" s="26" t="n">
        <v>4</v>
      </c>
      <c r="AM1255" s="24" t="inlineStr">
        <is>
          <t>RESEARCH_OBSERVATION</t>
        </is>
      </c>
      <c r="AN1255" s="24" t="inlineStr">
        <is>
          <t>CALL</t>
        </is>
      </c>
      <c r="AO1255" s="24" t="inlineStr">
        <is>
          <t>PAPER_CALL_LOW_EDGE</t>
        </is>
      </c>
      <c r="AP1255" s="24" t="inlineStr">
        <is>
          <t>Daria Kasatkina</t>
        </is>
      </c>
      <c r="AQ1255" s="24" t="inlineStr">
        <is>
          <t>Daria Kasatkina</t>
        </is>
      </c>
      <c r="AR1255" s="24" t="inlineStr">
        <is>
          <t>Daria Kasatkina</t>
        </is>
      </c>
      <c r="AS1255" s="24" t="inlineStr">
        <is>
          <t>Sara Sorribes Tormo</t>
        </is>
      </c>
      <c r="AT1255" s="24" t="inlineStr">
        <is>
          <t>Sara Sorribes Tormo</t>
        </is>
      </c>
      <c r="AU1255" s="24" t="inlineStr">
        <is>
          <t>Sara Sorribes Tormo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shadow_qualified</t>
        </is>
      </c>
      <c r="BA1255" s="24" t="inlineStr">
        <is>
          <t>7443acc419841200d57e1edf36b77f1940cdd0c48dce3d43fcd05498a109440b</t>
        </is>
      </c>
      <c r="BB1255" s="24" t="inlineStr">
        <is>
          <t>learned_v3</t>
        </is>
      </c>
      <c r="BC1255" s="24" t="inlineStr">
        <is>
          <t>tennis-learned-v3</t>
        </is>
      </c>
      <c r="BD1255" s="24" t="inlineStr">
        <is>
          <t>7443acc419841200d57e1edf36b77f1940cdd0c48dce3d43fcd05498a109440b</t>
        </is>
      </c>
      <c r="BE1255" s="24" t="inlineStr">
        <is>
          <t>tennis-learned-v3</t>
        </is>
      </c>
      <c r="BF1255" s="24" t="inlineStr">
        <is>
          <t>1</t>
        </is>
      </c>
      <c r="BG1255" s="24" t="inlineStr">
        <is>
          <t>7443acc419841200d57e1edf36b77f1940cdd0c48dce3d43fcd05498a109440b</t>
        </is>
      </c>
      <c r="BH1255" s="24" t="inlineStr">
        <is>
          <t>2026-10-11T01:01:31.676348Z</t>
        </is>
      </c>
      <c r="BI1255" s="24" t="inlineStr">
        <is>
          <t>["same_event","same_team_same_day","same_league_same_day"]</t>
        </is>
      </c>
      <c r="BJ1255" s="25" t="n"/>
      <c r="BK1255" s="26" t="n">
        <v>-170</v>
      </c>
      <c r="BL1255" s="27" t="n">
        <v>1.588235</v>
      </c>
      <c r="BM1255" s="28" t="n">
        <v>0.62963</v>
      </c>
      <c r="BN1255" s="28" t="n"/>
      <c r="BO1255" s="28" t="n"/>
      <c r="BP1255" s="25" t="n"/>
      <c r="BQ1255" s="27" t="n">
        <v>1.588235</v>
      </c>
      <c r="BR1255" s="28" t="n">
        <v>0.63</v>
      </c>
      <c r="BS1255" s="28" t="n"/>
      <c r="BT1255" s="28" t="n"/>
      <c r="BU1255" s="25" t="n"/>
      <c r="BV1255" s="29" t="n"/>
      <c r="BW1255" s="24" t="n"/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False</t>
        </is>
      </c>
      <c r="CT1255" s="24" t="n"/>
      <c r="CU1255" s="24" t="n"/>
      <c r="CV1255" s="24" t="n"/>
      <c r="CW1255" s="24" t="n"/>
      <c r="CX1255" s="24" t="n"/>
      <c r="CY1255" s="24" t="n"/>
      <c r="CZ1255" s="24" t="n"/>
      <c r="DA1255" s="24" t="n"/>
      <c r="DB1255" s="24" t="n"/>
      <c r="DC1255" s="24" t="n"/>
      <c r="DD1255" s="24" t="inlineStr">
        <is>
          <t>a865f2feda1fd1707321d95fe28db780b55963b512b4823d50b024aa455bbb8c</t>
        </is>
      </c>
      <c r="DE1255" s="24" t="inlineStr">
        <is>
          <t>E:\model-prediction\data\odds\tennis\2026-10-10\polymarket_snapshots.jsonl</t>
        </is>
      </c>
      <c r="DF1255" s="24" t="inlineStr">
        <is>
          <t>1330660:2026-10-11T01:01:31.676348Z</t>
        </is>
      </c>
      <c r="DG1255" s="24" t="n"/>
      <c r="DH1255" s="24" t="n"/>
      <c r="DI1255" s="24" t="n"/>
      <c r="DJ1255" s="24" t="n"/>
      <c r="DK1255" s="24" t="n"/>
      <c r="DL1255" s="24" t="n"/>
      <c r="DM1255" s="24" t="n"/>
      <c r="DN1255" s="24" t="n"/>
      <c r="DO1255" s="24" t="n"/>
      <c r="DP1255" s="24" t="n"/>
      <c r="DQ1255" s="24" t="inlineStr">
        <is>
          <t>{"artifact_hash": "7443acc419841200d57e1edf36b77f1940cdd0c48dce3d43fcd05498a109440b", "away_team": "Daria Kasatkina", "event_id": "381-2026:186380", "event_start_utc": "2026-10-11T03:00Z", "features": {"elo_p1_surface": 1591.8, "elo_p2_surface": 1558.9, "expected_games_p1": 13.44, "expected_games_p2": 9.93, "expected_total_games": 23.37, "history_matches": 16656, "min_player_matches": 100, "surface": "Hard"}, "historical_source_observation_times_verified": false, "home_team": "Sara Sorribes Tormo", "inference_inputs": {"best_of": 3, "code_sha256": {"features/elo_ratings.py": "8525faf022a6343c452286dbfeb17dbb043744c6bdabbe448b6b371216da439b", "models/tennis.py": "7443acc419841200d57e1edf36b77f1940cdd0c48dce3d43fcd05498a109440b"}, "counts": [147, 100], "market_probability": null, "model_version": "tennis-learned-v3", "overall_ratings": [1633.5919089946265, 1567.2291708388236], "p_serve_a": 0.6209998204546187, "p_serve_b": 0.5590001795453813, "players": ["Daria Kasatkina", "Sara Sorribes Tormo"], "rest_days": [0.0, 0.0], "sport": "TENNIS", "surface": "Hard", "surface_counts": [108, 85], "surface_ratings": [1591.777619392175, 1558.890038157875], "tour": "WTA"}, "market_type": "moneyline", "model_version": "tennis-learned-v3", "observed_at_utc": "2026-10-11T01:05:49.165248+00:00", "probabilities": {"away": 0.6055, "home": 0.3945}, "replay_scope": "Exact full-precision serving state and rounding; upstream historical observation times are not certified.", "schema": "coded-moneyline-replay-v1", "snapshot_hash": "f986ba7e452f7c970bb7a394dca55b6d368a77b8072c8fa0dafe04aff2507a89", "sport": "TENNIS"}</t>
        </is>
      </c>
    </row>
    <row r="1256" ht="36" customHeight="1">
      <c r="A1256" s="24" t="inlineStr">
        <is>
          <t>83bba6c0d9c04644</t>
        </is>
      </c>
      <c r="B1256" s="24" t="inlineStr">
        <is>
          <t>2026-10-11T01:05:51.056165Z</t>
        </is>
      </c>
      <c r="C1256" s="24" t="inlineStr">
        <is>
          <t>2026-10-11T03:00Z</t>
        </is>
      </c>
      <c r="D1256" s="24" t="inlineStr">
        <is>
          <t>381-2026:186382</t>
        </is>
      </c>
      <c r="E1256" s="24" t="inlineStr">
        <is>
          <t>TENNIS</t>
        </is>
      </c>
      <c r="F1256" s="24" t="inlineStr">
        <is>
          <t>Ashlyn Krueger</t>
        </is>
      </c>
      <c r="G1256" s="24" t="inlineStr">
        <is>
          <t>Yulia Putintseva</t>
        </is>
      </c>
      <c r="H1256" s="24" t="inlineStr">
        <is>
          <t>moneyline</t>
        </is>
      </c>
      <c r="I1256" s="24" t="inlineStr">
        <is>
          <t>away</t>
        </is>
      </c>
      <c r="J1256" s="25" t="n"/>
      <c r="K1256" s="24" t="inlineStr">
        <is>
          <t>polymarket_us</t>
        </is>
      </c>
      <c r="L1256" s="26" t="n">
        <v>-104</v>
      </c>
      <c r="M1256" s="27" t="n">
        <v>1.961538</v>
      </c>
      <c r="N1256" s="28" t="n">
        <v>0.509804</v>
      </c>
      <c r="O1256" s="28" t="n">
        <v>0.5586</v>
      </c>
      <c r="P1256" s="28" t="n">
        <v>0.05</v>
      </c>
      <c r="Q1256" s="28" t="n">
        <v>0.048796</v>
      </c>
      <c r="R1256" s="26" t="n">
        <v>44</v>
      </c>
      <c r="S1256" s="29" t="n">
        <v>1</v>
      </c>
      <c r="T1256" s="24" t="inlineStr">
        <is>
          <t>tennis-learned-v3</t>
        </is>
      </c>
      <c r="U1256" s="24" t="inlineStr">
        <is>
          <t>settled</t>
        </is>
      </c>
      <c r="V1256" s="24" t="inlineStr">
        <is>
          <t>loss</t>
        </is>
      </c>
      <c r="W1256" s="26" t="n">
        <v>0</v>
      </c>
      <c r="X1256" s="26" t="n">
        <v>1</v>
      </c>
      <c r="Y1256" s="25" t="n"/>
      <c r="Z1256" s="26" t="n">
        <v>-104</v>
      </c>
      <c r="AA1256" s="28" t="n">
        <v>0.51</v>
      </c>
      <c r="AB1256" s="28" t="n">
        <v>0.000196</v>
      </c>
      <c r="AC1256" s="30" t="n">
        <v>-1</v>
      </c>
      <c r="AD1256" s="24" t="inlineStr">
        <is>
          <t>2026-10-11T04:35:33.367782Z</t>
        </is>
      </c>
      <c r="AE1256" s="31" t="inlineStr">
        <is>
          <t>Tennis v3 Learned Fundamental on Hard (Bo3): Ashlyn Krueger p=0.559 vs Yulia Putintseva. Executable ask 0.5100 (aec-wta-yulput-ashkru-2026-10-10).</t>
        </is>
      </c>
      <c r="AF1256" s="31" t="inlineStr">
        <is>
          <t>Surface-blended Elo model; singles only, WTA+ATP market coverage, not yet locked-holdout qualified -- promoted by explicit operator directive, not genuine walk-forward validation.</t>
        </is>
      </c>
      <c r="AG1256" s="24" t="inlineStr">
        <is>
          <t>review_required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PAPER_CALL_LOW_EDGE</t>
        </is>
      </c>
      <c r="AP1256" s="24" t="inlineStr">
        <is>
          <t>Ashlyn Krueger</t>
        </is>
      </c>
      <c r="AQ1256" s="24" t="inlineStr">
        <is>
          <t>Ashlyn Krueger</t>
        </is>
      </c>
      <c r="AR1256" s="24" t="inlineStr">
        <is>
          <t>Ashlyn Krueger</t>
        </is>
      </c>
      <c r="AS1256" s="24" t="inlineStr">
        <is>
          <t>Yulia Putintseva</t>
        </is>
      </c>
      <c r="AT1256" s="24" t="inlineStr">
        <is>
          <t>Yulia Putintseva</t>
        </is>
      </c>
      <c r="AU1256" s="24" t="inlineStr">
        <is>
          <t>Yulia Putintseva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shadow_qualified</t>
        </is>
      </c>
      <c r="BA1256" s="24" t="inlineStr">
        <is>
          <t>7443acc419841200d57e1edf36b77f1940cdd0c48dce3d43fcd05498a109440b</t>
        </is>
      </c>
      <c r="BB1256" s="24" t="inlineStr">
        <is>
          <t>learned_v3</t>
        </is>
      </c>
      <c r="BC1256" s="24" t="inlineStr">
        <is>
          <t>tennis-learned-v3</t>
        </is>
      </c>
      <c r="BD1256" s="24" t="inlineStr">
        <is>
          <t>7443acc419841200d57e1edf36b77f1940cdd0c48dce3d43fcd05498a109440b</t>
        </is>
      </c>
      <c r="BE1256" s="24" t="inlineStr">
        <is>
          <t>tennis-learned-v3</t>
        </is>
      </c>
      <c r="BF1256" s="24" t="inlineStr">
        <is>
          <t>1</t>
        </is>
      </c>
      <c r="BG1256" s="24" t="inlineStr">
        <is>
          <t>7443acc419841200d57e1edf36b77f1940cdd0c48dce3d43fcd05498a109440b</t>
        </is>
      </c>
      <c r="BH1256" s="24" t="inlineStr">
        <is>
          <t>2026-10-11T01:01:11.521305Z</t>
        </is>
      </c>
      <c r="BI1256" s="24" t="inlineStr">
        <is>
          <t>["same_event","same_team_same_day","same_league_same_day"]</t>
        </is>
      </c>
      <c r="BJ1256" s="25" t="n"/>
      <c r="BK1256" s="26" t="n">
        <v>-104</v>
      </c>
      <c r="BL1256" s="27" t="n">
        <v>1.961538</v>
      </c>
      <c r="BM1256" s="28" t="n">
        <v>0.509804</v>
      </c>
      <c r="BN1256" s="28" t="n"/>
      <c r="BO1256" s="28" t="n"/>
      <c r="BP1256" s="25" t="n"/>
      <c r="BQ1256" s="27" t="n">
        <v>1.961538</v>
      </c>
      <c r="BR1256" s="28" t="n">
        <v>0.51</v>
      </c>
      <c r="BS1256" s="28" t="n"/>
      <c r="BT1256" s="28" t="n"/>
      <c r="BU1256" s="25" t="n"/>
      <c r="BV1256" s="29" t="n"/>
      <c r="BW1256" s="24" t="n"/>
      <c r="BX1256" s="30" t="n"/>
      <c r="BY1256" s="27" t="n"/>
      <c r="BZ1256" s="24" t="n"/>
      <c r="CA1256" s="31" t="n"/>
      <c r="CB1256" s="24" t="n"/>
      <c r="CC1256" s="24" t="n"/>
      <c r="CD1256" s="24" t="n"/>
      <c r="CE1256" s="24" t="n"/>
      <c r="CF1256" s="24" t="n"/>
      <c r="CG1256" s="24" t="n"/>
      <c r="CH1256" s="24" t="n"/>
      <c r="CI1256" s="24" t="n"/>
      <c r="CJ1256" s="24" t="n"/>
      <c r="CK1256" s="24" t="n"/>
      <c r="CL1256" s="24" t="n"/>
      <c r="CM1256" s="24" t="n"/>
      <c r="CN1256" s="24" t="n"/>
      <c r="CO1256" s="24" t="n"/>
      <c r="CP1256" s="24" t="n"/>
      <c r="CQ1256" s="24" t="n"/>
      <c r="CR1256" s="24" t="n"/>
      <c r="CS1256" s="24" t="inlineStr">
        <is>
          <t>True</t>
        </is>
      </c>
      <c r="CT1256" s="24" t="n"/>
      <c r="CU1256" s="24" t="n"/>
      <c r="CV1256" s="24" t="n"/>
      <c r="CW1256" s="24" t="n"/>
      <c r="CX1256" s="24" t="n"/>
      <c r="CY1256" s="24" t="n"/>
      <c r="CZ1256" s="24" t="n"/>
      <c r="DA1256" s="24" t="n"/>
      <c r="DB1256" s="24" t="n"/>
      <c r="DC1256" s="24" t="n"/>
      <c r="DD1256" s="24" t="inlineStr">
        <is>
          <t>95d5ecd77bb60dab24617cdea969fc7cadf202b5c24dd18a06e36e5670785eb7</t>
        </is>
      </c>
      <c r="DE1256" s="24" t="inlineStr">
        <is>
          <t>E:\model-prediction\data\odds\tennis\2026-10-10\polymarket_snapshots.jsonl</t>
        </is>
      </c>
      <c r="DF1256" s="24" t="inlineStr">
        <is>
          <t>1331327:2026-10-11T01:01:11.521305Z</t>
        </is>
      </c>
      <c r="DG1256" s="24" t="n"/>
      <c r="DH1256" s="24" t="n"/>
      <c r="DI1256" s="24" t="n"/>
      <c r="DJ1256" s="24" t="n"/>
      <c r="DK1256" s="24" t="n"/>
      <c r="DL1256" s="24" t="n"/>
      <c r="DM1256" s="24" t="n"/>
      <c r="DN1256" s="24" t="n"/>
      <c r="DO1256" s="24" t="n"/>
      <c r="DP1256" s="24" t="n"/>
      <c r="DQ1256" s="24" t="inlineStr">
        <is>
          <t>{"artifact_hash": "7443acc419841200d57e1edf36b77f1940cdd0c48dce3d43fcd05498a109440b", "away_team": "Ashlyn Krueger", "event_id": "381-2026:186382", "event_start_utc": "2026-10-11T03:00Z", "features": {"elo_p1_surface": 1564.8, "elo_p2_surface": 1598.0, "expected_games_p1": 13.23, "expected_games_p2": 11.07, "expected_total_games": 24.3, "history_matches": 16656, "min_player_matches": 156, "surface": "Hard"}, "historical_source_observation_times_verified": false, "home_team": "Yulia Putintseva", "inference_inputs": {"best_of": 3, "code_sha256": {"features/elo_ratings.py": "8525faf022a6343c452286dbfeb17dbb043744c6bdabbe448b6b371216da439b", "models/tennis.py": "7443acc419841200d57e1edf36b77f1940cdd0c48dce3d43fcd05498a109440b"}, "counts": [156, 156], "market_probability": null, "model_version": "tennis-learned-v3", "overall_ratings": [1673.9670393938195, 1619.263254539492], "p_serve_a": 0.6070537005645966, "p_serve_b": 0.5729462994354033, "players": ["Ashlyn Krueger", "Yulia Putintseva"], "rest_days": [7.0, 37.0], "sport": "TENNIS", "surface": "Hard", "surface_counts": [114, 117], "surface_ratings": [1564.8381839127192, 1598.0470901143674], "tour": "WTA"}, "market_type": "moneyline", "model_version": "tennis-learned-v3", "observed_at_utc": "2026-10-11T01:05:49.165248+00:00", "probabilities": {"away": 0.5586, "home": 0.4414}, "replay_scope": "Exact full-precision serving state and rounding; upstream historical observation times are not certified.", "schema": "coded-moneyline-replay-v1", "snapshot_hash": "104c9ea5ca17b29b042292d9ebd18d61671a9adb8002131d31977f44f41253e6", "sport": "TENNIS"}</t>
        </is>
      </c>
    </row>
    <row r="1257" ht="36" customHeight="1">
      <c r="A1257" s="24" t="inlineStr">
        <is>
          <t>7a8804d9c8d04186</t>
        </is>
      </c>
      <c r="B1257" s="24" t="inlineStr">
        <is>
          <t>2026-10-11T01:05:51.056165Z</t>
        </is>
      </c>
      <c r="C1257" s="24" t="inlineStr">
        <is>
          <t>2026-10-11T03:00Z</t>
        </is>
      </c>
      <c r="D1257" s="24" t="inlineStr">
        <is>
          <t>381-2026:186385</t>
        </is>
      </c>
      <c r="E1257" s="24" t="inlineStr">
        <is>
          <t>TENNIS</t>
        </is>
      </c>
      <c r="F1257" s="24" t="inlineStr">
        <is>
          <t>Sinja Kraus</t>
        </is>
      </c>
      <c r="G1257" s="24" t="inlineStr">
        <is>
          <t>Zeynep Sonmez</t>
        </is>
      </c>
      <c r="H1257" s="24" t="inlineStr">
        <is>
          <t>moneyline</t>
        </is>
      </c>
      <c r="I1257" s="24" t="inlineStr">
        <is>
          <t>away</t>
        </is>
      </c>
      <c r="J1257" s="25" t="n"/>
      <c r="K1257" s="24" t="inlineStr">
        <is>
          <t>polymarket_us</t>
        </is>
      </c>
      <c r="L1257" s="26" t="n">
        <v>150</v>
      </c>
      <c r="M1257" s="27" t="n">
        <v>2.5</v>
      </c>
      <c r="N1257" s="28" t="n">
        <v>0.4</v>
      </c>
      <c r="O1257" s="28" t="n">
        <v>0.5187</v>
      </c>
      <c r="P1257" s="28" t="n">
        <v>0.05</v>
      </c>
      <c r="Q1257" s="28" t="n">
        <v>0.1187</v>
      </c>
      <c r="R1257" s="26" t="n">
        <v>79</v>
      </c>
      <c r="S1257" s="29" t="n">
        <v>1.5</v>
      </c>
      <c r="T1257" s="24" t="inlineStr">
        <is>
          <t>tennis-learned-v3</t>
        </is>
      </c>
      <c r="U1257" s="24" t="inlineStr">
        <is>
          <t>settled</t>
        </is>
      </c>
      <c r="V1257" s="24" t="inlineStr">
        <is>
          <t>loss</t>
        </is>
      </c>
      <c r="W1257" s="26" t="n">
        <v>0</v>
      </c>
      <c r="X1257" s="26" t="n">
        <v>1</v>
      </c>
      <c r="Y1257" s="25" t="n"/>
      <c r="Z1257" s="26" t="n">
        <v>150</v>
      </c>
      <c r="AA1257" s="28" t="n">
        <v>0.4</v>
      </c>
      <c r="AB1257" s="28" t="n">
        <v>0</v>
      </c>
      <c r="AC1257" s="30" t="n">
        <v>-1.5</v>
      </c>
      <c r="AD1257" s="24" t="inlineStr">
        <is>
          <t>2026-10-11T10:02:00.597465Z</t>
        </is>
      </c>
      <c r="AE1257" s="31" t="inlineStr">
        <is>
          <t>Tennis v3 Learned Fundamental on Hard (Bo3): Sinja Kraus p=0.519 vs Zeynep Sonmez. Executable ask 0.4000 (aec-wta-zeyson-sinkra-2026-10-10).</t>
        </is>
      </c>
      <c r="AF1257" s="31" t="inlineStr">
        <is>
          <t>Surface-blended Elo model; singles only, WTA+ATP market coverage, not yet locked-holdout qualified -- promoted by explicit operator directive, not genuine walk-forward validation.</t>
        </is>
      </c>
      <c r="AG1257" s="24" t="inlineStr">
        <is>
          <t>review_required</t>
        </is>
      </c>
      <c r="AH1257" s="24" t="n"/>
      <c r="AI1257" s="31" t="n"/>
      <c r="AJ1257" s="31" t="n"/>
      <c r="AK1257" s="24" t="inlineStr">
        <is>
          <t>paper_call</t>
        </is>
      </c>
      <c r="AL1257" s="26" t="n">
        <v>4</v>
      </c>
      <c r="AM1257" s="24" t="inlineStr">
        <is>
          <t>RESEARCH_OBSERVATION</t>
        </is>
      </c>
      <c r="AN1257" s="24" t="inlineStr">
        <is>
          <t>CALL</t>
        </is>
      </c>
      <c r="AO1257" s="24" t="inlineStr">
        <is>
          <t>PAPER_CALL_LOW_EDGE</t>
        </is>
      </c>
      <c r="AP1257" s="24" t="inlineStr">
        <is>
          <t>Sinja Kraus</t>
        </is>
      </c>
      <c r="AQ1257" s="24" t="inlineStr">
        <is>
          <t>Sinja Kraus</t>
        </is>
      </c>
      <c r="AR1257" s="24" t="inlineStr">
        <is>
          <t>Sinja Kraus</t>
        </is>
      </c>
      <c r="AS1257" s="24" t="inlineStr">
        <is>
          <t>Zeynep Sonmez</t>
        </is>
      </c>
      <c r="AT1257" s="24" t="inlineStr">
        <is>
          <t>Zeynep Sonmez</t>
        </is>
      </c>
      <c r="AU1257" s="24" t="inlineStr">
        <is>
          <t>Zeynep Sonmez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shadow_qualified</t>
        </is>
      </c>
      <c r="BA1257" s="24" t="inlineStr">
        <is>
          <t>7443acc419841200d57e1edf36b77f1940cdd0c48dce3d43fcd05498a109440b</t>
        </is>
      </c>
      <c r="BB1257" s="24" t="inlineStr">
        <is>
          <t>learned_v3</t>
        </is>
      </c>
      <c r="BC1257" s="24" t="inlineStr">
        <is>
          <t>tennis-learned-v3</t>
        </is>
      </c>
      <c r="BD1257" s="24" t="inlineStr">
        <is>
          <t>7443acc419841200d57e1edf36b77f1940cdd0c48dce3d43fcd05498a109440b</t>
        </is>
      </c>
      <c r="BE1257" s="24" t="inlineStr">
        <is>
          <t>tennis-learned-v3</t>
        </is>
      </c>
      <c r="BF1257" s="24" t="inlineStr">
        <is>
          <t>1</t>
        </is>
      </c>
      <c r="BG1257" s="24" t="inlineStr">
        <is>
          <t>7443acc419841200d57e1edf36b77f1940cdd0c48dce3d43fcd05498a109440b</t>
        </is>
      </c>
      <c r="BH1257" s="24" t="inlineStr">
        <is>
          <t>2026-10-11T01:01:31.678902Z</t>
        </is>
      </c>
      <c r="BI1257" s="24" t="inlineStr">
        <is>
          <t>["same_event","same_team_same_day","same_league_same_day"]</t>
        </is>
      </c>
      <c r="BJ1257" s="25" t="n"/>
      <c r="BK1257" s="26" t="n">
        <v>150</v>
      </c>
      <c r="BL1257" s="27" t="n">
        <v>2.5</v>
      </c>
      <c r="BM1257" s="28" t="n">
        <v>0.4</v>
      </c>
      <c r="BN1257" s="28" t="n"/>
      <c r="BO1257" s="28" t="n"/>
      <c r="BP1257" s="25" t="n"/>
      <c r="BQ1257" s="27" t="n">
        <v>2.5</v>
      </c>
      <c r="BR1257" s="28" t="n">
        <v>0.4</v>
      </c>
      <c r="BS1257" s="28" t="n"/>
      <c r="BT1257" s="28" t="n"/>
      <c r="BU1257" s="25" t="n"/>
      <c r="BV1257" s="29" t="n"/>
      <c r="BW1257" s="24" t="n"/>
      <c r="BX1257" s="30" t="n"/>
      <c r="BY1257" s="27" t="n"/>
      <c r="BZ1257" s="24" t="n"/>
      <c r="CA1257" s="31" t="n"/>
      <c r="CB1257" s="24" t="n"/>
      <c r="CC1257" s="24" t="n"/>
      <c r="CD1257" s="24" t="n"/>
      <c r="CE1257" s="24" t="n"/>
      <c r="CF1257" s="24" t="n"/>
      <c r="CG1257" s="24" t="n"/>
      <c r="CH1257" s="24" t="n"/>
      <c r="CI1257" s="24" t="n"/>
      <c r="CJ1257" s="24" t="n"/>
      <c r="CK1257" s="24" t="n"/>
      <c r="CL1257" s="24" t="n"/>
      <c r="CM1257" s="24" t="n"/>
      <c r="CN1257" s="24" t="n"/>
      <c r="CO1257" s="24" t="n"/>
      <c r="CP1257" s="24" t="n"/>
      <c r="CQ1257" s="24" t="n"/>
      <c r="CR1257" s="24" t="n"/>
      <c r="CS1257" s="24" t="inlineStr">
        <is>
          <t>True</t>
        </is>
      </c>
      <c r="CT1257" s="24" t="n"/>
      <c r="CU1257" s="24" t="n"/>
      <c r="CV1257" s="24" t="n"/>
      <c r="CW1257" s="24" t="n"/>
      <c r="CX1257" s="24" t="n"/>
      <c r="CY1257" s="24" t="n"/>
      <c r="CZ1257" s="24" t="n"/>
      <c r="DA1257" s="24" t="n"/>
      <c r="DB1257" s="24" t="n"/>
      <c r="DC1257" s="24" t="n"/>
      <c r="DD1257" s="24" t="inlineStr">
        <is>
          <t>52b1f3177cea11ee98ad3cc36fa81349d0530a3958084ac19a308c943fb8b953</t>
        </is>
      </c>
      <c r="DE1257" s="24" t="inlineStr">
        <is>
          <t>E:\model-prediction\data\odds\tennis\2026-10-10\polymarket_snapshots.jsonl</t>
        </is>
      </c>
      <c r="DF1257" s="24" t="inlineStr">
        <is>
          <t>1333159:2026-10-11T01:01:31.678902Z</t>
        </is>
      </c>
      <c r="DG1257" s="24" t="n"/>
      <c r="DH1257" s="24" t="n"/>
      <c r="DI1257" s="24" t="n"/>
      <c r="DJ1257" s="24" t="n"/>
      <c r="DK1257" s="24" t="n"/>
      <c r="DL1257" s="24" t="n"/>
      <c r="DM1257" s="24" t="n"/>
      <c r="DN1257" s="24" t="n"/>
      <c r="DO1257" s="24" t="n"/>
      <c r="DP1257" s="24" t="n"/>
      <c r="DQ1257" s="24" t="inlineStr">
        <is>
          <t>{"artifact_hash": "7443acc419841200d57e1edf36b77f1940cdd0c48dce3d43fcd05498a109440b", "away_team": "Sinja Kraus", "event_id": "381-2026:186385", "event_start_utc": "2026-10-11T03:00Z", "features": {"elo_p1_surface": 1633.7, "elo_p2_surface": 1589.8, "expected_games_p1": 12.82, "expected_games_p2": 11.9, "expected_total_games": 24.72, "history_matches": 16656, "min_player_matches": 125, "surface": "Hard"}, "historical_source_observation_times_verified": false, "home_team": "Zeynep Sonmez", "inference_inputs": {"best_of": 3, "code_sha256": {"features/elo_ratings.py": "8525faf022a6343c452286dbfeb17dbb043744c6bdabbe448b6b371216da439b", "models/tennis.py": "7443acc419841200d57e1edf36b77f1940cdd0c48dce3d43fcd05498a109440b"}, "counts": [125, 153], "market_probability": null, "model_version": "tennis-learned-v3", "overall_ratings": [1672.2524561003067, 1664.3152794186578], "p_serve_a": 0.5954092464226328, "p_serve_b": 0.5845907535773671, "players": ["Sinja Kraus", "Zeynep Sonmez"], "rest_days": [4.0, 10.0], "sport": "TENNIS", "surface": "Hard", "surface_counts": [104, 109], "surface_ratings": [1633.6907148324851, 1589.815526800396], "tour": "WTA"}, "market_type": "moneyline", "model_version": "tennis-learned-v3", "observed_at_utc": "2026-10-11T01:05:49.165248+00:00", "probabilities": {"away": 0.5187, "home": 0.4813}, "replay_scope": "Exact full-precision serving state and rounding; upstream historical observation times are not certified.", "schema": "coded-moneyline-replay-v1", "snapshot_hash": "d38f5be88e36ea51b698487ac0975aa8068f225fa4c737fd2d47bd427084f742", "sport": "TENNIS"}</t>
        </is>
      </c>
    </row>
    <row r="1258" ht="36" customHeight="1">
      <c r="A1258" s="24" t="inlineStr">
        <is>
          <t>150468c892cd4952</t>
        </is>
      </c>
      <c r="B1258" s="24" t="inlineStr">
        <is>
          <t>2026-10-11T07:23:35.770549Z</t>
        </is>
      </c>
      <c r="C1258" s="24" t="inlineStr">
        <is>
          <t>2026-10-11T11:30Z</t>
        </is>
      </c>
      <c r="D1258" s="24" t="inlineStr">
        <is>
          <t>959-2026:184356</t>
        </is>
      </c>
      <c r="E1258" s="24" t="inlineStr">
        <is>
          <t>TENNIS</t>
        </is>
      </c>
      <c r="F1258" s="24" t="inlineStr">
        <is>
          <t>Mirra Andreeva</t>
        </is>
      </c>
      <c r="G1258" s="24" t="inlineStr">
        <is>
          <t>Zheng Qinwen</t>
        </is>
      </c>
      <c r="H1258" s="24" t="inlineStr">
        <is>
          <t>total</t>
        </is>
      </c>
      <c r="I1258" s="24" t="inlineStr">
        <is>
          <t>under</t>
        </is>
      </c>
      <c r="J1258" s="25" t="n">
        <v>27.5</v>
      </c>
      <c r="K1258" s="24" t="inlineStr">
        <is>
          <t>polymarket_us</t>
        </is>
      </c>
      <c r="L1258" s="26" t="n">
        <v>-335</v>
      </c>
      <c r="M1258" s="27" t="n">
        <v>1.298507</v>
      </c>
      <c r="N1258" s="28" t="n">
        <v>0.770115</v>
      </c>
      <c r="O1258" s="28" t="n">
        <v>0.6841</v>
      </c>
      <c r="P1258" s="28" t="n">
        <v>0.05</v>
      </c>
      <c r="Q1258" s="28" t="n">
        <v>-0.08601499999999999</v>
      </c>
      <c r="R1258" s="26" t="n">
        <v>0</v>
      </c>
      <c r="S1258" s="29" t="n">
        <v>1</v>
      </c>
      <c r="T1258" s="24" t="inlineStr">
        <is>
          <t>tennis-learned-v3</t>
        </is>
      </c>
      <c r="U1258" s="24" t="inlineStr">
        <is>
          <t>settled</t>
        </is>
      </c>
      <c r="V1258" s="24" t="inlineStr">
        <is>
          <t>win</t>
        </is>
      </c>
      <c r="W1258" s="26" t="n">
        <v>9</v>
      </c>
      <c r="X1258" s="26" t="n">
        <v>13</v>
      </c>
      <c r="Y1258" s="25" t="n"/>
      <c r="Z1258" s="26" t="n"/>
      <c r="AA1258" s="28" t="n"/>
      <c r="AB1258" s="28" t="n"/>
      <c r="AC1258" s="30" t="n">
        <v>0.2985</v>
      </c>
      <c r="AD1258" s="24" t="inlineStr">
        <is>
          <t>2026-10-11T16:01:15.677927Z</t>
        </is>
      </c>
      <c r="AE1258" s="31" t="inlineStr">
        <is>
          <t>Tennis Markov total games line 27.5: under p=0.684. Executable ask 0.7700 (tsc-wta-qinzhe-mirand-2026-10-11-tg-27pt5).</t>
        </is>
      </c>
      <c r="AF1258" s="31" t="inlineStr">
        <is>
          <t>Surface-blended Elo model; singles only, WTA+ATP market coverage, not yet locked-holdout qualified -- promoted by explicit operator directive, not genuine walk-forward validation.</t>
        </is>
      </c>
      <c r="AG1258" s="24" t="inlineStr">
        <is>
          <t>not_applicable</t>
        </is>
      </c>
      <c r="AH1258" s="24" t="n"/>
      <c r="AI1258" s="31" t="n"/>
      <c r="AJ1258" s="31" t="n"/>
      <c r="AK1258" s="24" t="inlineStr">
        <is>
          <t>paper_call</t>
        </is>
      </c>
      <c r="AL1258" s="26" t="n">
        <v>4</v>
      </c>
      <c r="AM1258" s="24" t="inlineStr">
        <is>
          <t>RESEARCH_OBSERVATION</t>
        </is>
      </c>
      <c r="AN1258" s="24" t="inlineStr">
        <is>
          <t>CALL</t>
        </is>
      </c>
      <c r="AO1258" s="24" t="inlineStr">
        <is>
          <t>PAPER_CALL_LOW_EDGE</t>
        </is>
      </c>
      <c r="AP1258" s="24" t="inlineStr">
        <is>
          <t>Mirra Andreeva</t>
        </is>
      </c>
      <c r="AQ1258" s="24" t="inlineStr">
        <is>
          <t>Mirra Andreeva</t>
        </is>
      </c>
      <c r="AR1258" s="24" t="inlineStr">
        <is>
          <t>Mirra Andreeva</t>
        </is>
      </c>
      <c r="AS1258" s="24" t="inlineStr">
        <is>
          <t>Zheng Qinwen</t>
        </is>
      </c>
      <c r="AT1258" s="24" t="inlineStr">
        <is>
          <t>Zheng Qinwen</t>
        </is>
      </c>
      <c r="AU1258" s="24" t="inlineStr">
        <is>
          <t>Zheng Qinwen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shadow_qualified</t>
        </is>
      </c>
      <c r="BA1258" s="24" t="inlineStr">
        <is>
          <t>7443acc419841200d57e1edf36b77f1940cdd0c48dce3d43fcd05498a109440b</t>
        </is>
      </c>
      <c r="BB1258" s="24" t="inlineStr">
        <is>
          <t>learned_v3</t>
        </is>
      </c>
      <c r="BC1258" s="24" t="inlineStr">
        <is>
          <t>tennis-learned-v3</t>
        </is>
      </c>
      <c r="BD1258" s="24" t="inlineStr">
        <is>
          <t>7443acc419841200d57e1edf36b77f1940cdd0c48dce3d43fcd05498a109440b</t>
        </is>
      </c>
      <c r="BE1258" s="24" t="inlineStr">
        <is>
          <t>tennis-learned-v3</t>
        </is>
      </c>
      <c r="BF1258" s="24" t="inlineStr">
        <is>
          <t>1</t>
        </is>
      </c>
      <c r="BG1258" s="24" t="inlineStr">
        <is>
          <t>7443acc419841200d57e1edf36b77f1940cdd0c48dce3d43fcd05498a109440b</t>
        </is>
      </c>
      <c r="BH1258" s="24" t="inlineStr">
        <is>
          <t>2026-10-11T06:44:30.387399Z</t>
        </is>
      </c>
      <c r="BI1258" s="24" t="inlineStr">
        <is>
          <t>["same_event","same_team_same_day","same_league_same_day"]</t>
        </is>
      </c>
      <c r="BJ1258" s="25" t="n">
        <v>27.5</v>
      </c>
      <c r="BK1258" s="26" t="n">
        <v>-335</v>
      </c>
      <c r="BL1258" s="27" t="n">
        <v>1.298507</v>
      </c>
      <c r="BM1258" s="28" t="n">
        <v>0.770115</v>
      </c>
      <c r="BN1258" s="28" t="n"/>
      <c r="BO1258" s="28" t="n"/>
      <c r="BP1258" s="25" t="n"/>
      <c r="BQ1258" s="27" t="n"/>
      <c r="BR1258" s="28" t="n"/>
      <c r="BS1258" s="28" t="n"/>
      <c r="BT1258" s="28" t="n"/>
      <c r="BU1258" s="25" t="n"/>
      <c r="BV1258" s="29" t="n"/>
      <c r="BW1258" s="24" t="n"/>
      <c r="BX1258" s="30" t="n"/>
      <c r="BY1258" s="27" t="n"/>
      <c r="BZ1258" s="24" t="n"/>
      <c r="CA1258" s="31" t="n"/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False</t>
        </is>
      </c>
      <c r="CT1258" s="24" t="n"/>
      <c r="CU1258" s="24" t="n"/>
      <c r="CV1258" s="24" t="n"/>
      <c r="CW1258" s="24" t="n"/>
      <c r="CX1258" s="24" t="n"/>
      <c r="CY1258" s="24" t="n"/>
      <c r="CZ1258" s="24" t="n"/>
      <c r="DA1258" s="24" t="n"/>
      <c r="DB1258" s="24" t="n"/>
      <c r="DC1258" s="24" t="n"/>
      <c r="DD1258" s="24" t="inlineStr">
        <is>
          <t>f0990026d535bfd3b3e77dd0b7b2dee6b9f10fb9e12894efd55f07068cb44b83</t>
        </is>
      </c>
      <c r="DE1258" s="24" t="inlineStr">
        <is>
          <t>E:\model-prediction\data\odds\tennis\2026-10-11\polymarket_snapshots.jsonl</t>
        </is>
      </c>
      <c r="DF1258" s="24" t="inlineStr">
        <is>
          <t>1338262:2026-10-11T06:44:30.387399Z</t>
        </is>
      </c>
      <c r="DG1258" s="24" t="n"/>
      <c r="DH1258" s="24" t="n"/>
      <c r="DI1258" s="24" t="n"/>
      <c r="DJ1258" s="24" t="n"/>
      <c r="DK1258" s="24" t="n"/>
      <c r="DL1258" s="24" t="n"/>
      <c r="DM1258" s="24" t="n"/>
      <c r="DN1258" s="24" t="n"/>
      <c r="DO1258" s="24" t="n"/>
      <c r="DP1258" s="24" t="n"/>
      <c r="DQ1258" s="24" t="n"/>
    </row>
    <row r="1259" ht="36" customHeight="1">
      <c r="A1259" s="24" t="inlineStr">
        <is>
          <t>1cedc46963a749a5</t>
        </is>
      </c>
      <c r="B1259" s="24" t="inlineStr">
        <is>
          <t>2026-10-11T07:23:35.770549Z</t>
        </is>
      </c>
      <c r="C1259" s="24" t="inlineStr">
        <is>
          <t>2026-10-11T07:30Z</t>
        </is>
      </c>
      <c r="D1259" s="24" t="inlineStr">
        <is>
          <t>1029-2026:185297</t>
        </is>
      </c>
      <c r="E1259" s="24" t="inlineStr">
        <is>
          <t>TENNIS</t>
        </is>
      </c>
      <c r="F1259" s="24" t="inlineStr">
        <is>
          <t>Kyoka Okamura</t>
        </is>
      </c>
      <c r="G1259" s="24" t="inlineStr">
        <is>
          <t>Rebecca Sramkova</t>
        </is>
      </c>
      <c r="H1259" s="24" t="inlineStr">
        <is>
          <t>moneyline</t>
        </is>
      </c>
      <c r="I1259" s="24" t="inlineStr">
        <is>
          <t>home</t>
        </is>
      </c>
      <c r="J1259" s="25" t="n"/>
      <c r="K1259" s="24" t="inlineStr">
        <is>
          <t>polymarket_us</t>
        </is>
      </c>
      <c r="L1259" s="26" t="n">
        <v>-285</v>
      </c>
      <c r="M1259" s="27" t="n">
        <v>1.350877</v>
      </c>
      <c r="N1259" s="28" t="n">
        <v>0.74026</v>
      </c>
      <c r="O1259" s="28" t="n">
        <v>0.5764</v>
      </c>
      <c r="P1259" s="28" t="n">
        <v>0.05</v>
      </c>
      <c r="Q1259" s="28" t="n">
        <v>-0.16386</v>
      </c>
      <c r="R1259" s="26" t="n">
        <v>0</v>
      </c>
      <c r="S1259" s="29" t="n">
        <v>1</v>
      </c>
      <c r="T1259" s="24" t="inlineStr">
        <is>
          <t>tennis-learned-v3</t>
        </is>
      </c>
      <c r="U1259" s="24" t="inlineStr">
        <is>
          <t>settled</t>
        </is>
      </c>
      <c r="V1259" s="24" t="inlineStr">
        <is>
          <t>win</t>
        </is>
      </c>
      <c r="W1259" s="26" t="n">
        <v>0</v>
      </c>
      <c r="X1259" s="26" t="n">
        <v>1</v>
      </c>
      <c r="Y1259" s="25" t="n"/>
      <c r="Z1259" s="26" t="n">
        <v>-285</v>
      </c>
      <c r="AA1259" s="28" t="n">
        <v>0.74</v>
      </c>
      <c r="AB1259" s="28" t="n">
        <v>-0.00026</v>
      </c>
      <c r="AC1259" s="30" t="n">
        <v>0.3509</v>
      </c>
      <c r="AD1259" s="24" t="inlineStr">
        <is>
          <t>2026-10-11T10:02:08.162024Z</t>
        </is>
      </c>
      <c r="AE1259" s="31" t="inlineStr">
        <is>
          <t>Tennis v3 Learned Fundamental on Hard (Bo3): Kyoka Okamura p=0.424 vs Rebecca Sramkova. Executable ask 0.7400 (aec-wta-rebsra-kyooka-2026-10-11).</t>
        </is>
      </c>
      <c r="AF1259" s="31" t="inlineStr">
        <is>
          <t>Surface-blended Elo model; singles only, WTA+ATP market coverage, not yet locked-holdout qualified -- promoted by explicit operator directive, not genuine walk-forward validation.</t>
        </is>
      </c>
      <c r="AG1259" s="24" t="inlineStr">
        <is>
          <t>not_applicable</t>
        </is>
      </c>
      <c r="AH1259" s="24" t="n"/>
      <c r="AI1259" s="31" t="n"/>
      <c r="AJ1259" s="31" t="n"/>
      <c r="AK1259" s="24" t="inlineStr">
        <is>
          <t>paper_call</t>
        </is>
      </c>
      <c r="AL1259" s="26" t="n">
        <v>4</v>
      </c>
      <c r="AM1259" s="24" t="inlineStr">
        <is>
          <t>RESEARCH_OBSERVATION</t>
        </is>
      </c>
      <c r="AN1259" s="24" t="inlineStr">
        <is>
          <t>CALL</t>
        </is>
      </c>
      <c r="AO1259" s="24" t="inlineStr">
        <is>
          <t>PAPER_CALL_LOW_EDGE</t>
        </is>
      </c>
      <c r="AP1259" s="24" t="inlineStr">
        <is>
          <t>Kyoka Okamura</t>
        </is>
      </c>
      <c r="AQ1259" s="24" t="inlineStr">
        <is>
          <t>Kyoka Okamura</t>
        </is>
      </c>
      <c r="AR1259" s="24" t="inlineStr">
        <is>
          <t>Kyoka Okamura</t>
        </is>
      </c>
      <c r="AS1259" s="24" t="inlineStr">
        <is>
          <t>Rebecca Sramkova</t>
        </is>
      </c>
      <c r="AT1259" s="24" t="inlineStr">
        <is>
          <t>Rebecca Sramkova</t>
        </is>
      </c>
      <c r="AU1259" s="24" t="inlineStr">
        <is>
          <t>Rebecca Sramkova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shadow_qualified</t>
        </is>
      </c>
      <c r="BA1259" s="24" t="inlineStr">
        <is>
          <t>7443acc419841200d57e1edf36b77f1940cdd0c48dce3d43fcd05498a109440b</t>
        </is>
      </c>
      <c r="BB1259" s="24" t="inlineStr">
        <is>
          <t>learned_v3</t>
        </is>
      </c>
      <c r="BC1259" s="24" t="inlineStr">
        <is>
          <t>tennis-learned-v3</t>
        </is>
      </c>
      <c r="BD1259" s="24" t="inlineStr">
        <is>
          <t>7443acc419841200d57e1edf36b77f1940cdd0c48dce3d43fcd05498a109440b</t>
        </is>
      </c>
      <c r="BE1259" s="24" t="inlineStr">
        <is>
          <t>tennis-learned-v3</t>
        </is>
      </c>
      <c r="BF1259" s="24" t="inlineStr">
        <is>
          <t>1</t>
        </is>
      </c>
      <c r="BG1259" s="24" t="inlineStr">
        <is>
          <t>7443acc419841200d57e1edf36b77f1940cdd0c48dce3d43fcd05498a109440b</t>
        </is>
      </c>
      <c r="BH1259" s="24" t="inlineStr">
        <is>
          <t>2026-10-11T06:43:28.285362Z</t>
        </is>
      </c>
      <c r="BI1259" s="24" t="inlineStr">
        <is>
          <t>["same_event","same_team_same_day","same_league_same_day"]</t>
        </is>
      </c>
      <c r="BJ1259" s="25" t="n"/>
      <c r="BK1259" s="26" t="n">
        <v>-285</v>
      </c>
      <c r="BL1259" s="27" t="n">
        <v>1.350877</v>
      </c>
      <c r="BM1259" s="28" t="n">
        <v>0.74026</v>
      </c>
      <c r="BN1259" s="28" t="n"/>
      <c r="BO1259" s="28" t="n"/>
      <c r="BP1259" s="25" t="n"/>
      <c r="BQ1259" s="27" t="n">
        <v>1.350877</v>
      </c>
      <c r="BR1259" s="28" t="n">
        <v>0.74</v>
      </c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False</t>
        </is>
      </c>
      <c r="CT1259" s="24" t="n"/>
      <c r="CU1259" s="24" t="n"/>
      <c r="CV1259" s="24" t="n"/>
      <c r="CW1259" s="24" t="n"/>
      <c r="CX1259" s="24" t="n"/>
      <c r="CY1259" s="24" t="n"/>
      <c r="CZ1259" s="24" t="n"/>
      <c r="DA1259" s="24" t="n"/>
      <c r="DB1259" s="24" t="n"/>
      <c r="DC1259" s="24" t="n"/>
      <c r="DD1259" s="24" t="inlineStr">
        <is>
          <t>920820b6e9154d2fc55ab5abd1a6071fc028556e0e8bf305b64e70ad762d41f6</t>
        </is>
      </c>
      <c r="DE1259" s="24" t="inlineStr">
        <is>
          <t>E:\model-prediction\data\odds\tennis\2026-10-11\polymarket_snapshots.jsonl</t>
        </is>
      </c>
      <c r="DF1259" s="24" t="inlineStr">
        <is>
          <t>1332332:2026-10-11T06:43:28.285362Z</t>
        </is>
      </c>
      <c r="DG1259" s="24" t="n"/>
      <c r="DH1259" s="24" t="n"/>
      <c r="DI1259" s="24" t="n"/>
      <c r="DJ1259" s="24" t="n"/>
      <c r="DK1259" s="24" t="n"/>
      <c r="DL1259" s="24" t="n"/>
      <c r="DM1259" s="24" t="n"/>
      <c r="DN1259" s="24" t="n"/>
      <c r="DO1259" s="24" t="n"/>
      <c r="DP1259" s="24" t="n"/>
      <c r="DQ1259" s="24" t="inlineStr">
        <is>
          <t>{"artifact_hash": "7443acc419841200d57e1edf36b77f1940cdd0c48dce3d43fcd05498a109440b", "away_team": "Kyoka Okamura", "event_id": "1029-2026:185297", "event_start_utc": "2026-10-11T07:30Z", "features": {"elo_p1_surface": 1571.2, "elo_p2_surface": 1568.6, "expected_games_p1": 11.06, "expected_games_p2": 13.11, "expected_total_games": 24.18, "history_matches": 16675, "min_player_matches": 56, "surface": "Hard"}, "historical_source_observation_times_verified": false, "home_team": "Rebecca Sramkova", "inference_inputs": {"best_of": 3, "code_sha256": {"features/elo_ratings.py": "8525faf022a6343c452286dbfeb17dbb043744c6bdabbe448b6b371216da439b", "models/tennis.py": "7443acc419841200d57e1edf36b77f1940cdd0c48dce3d43fcd05498a109440b"}, "counts": [56, 150], "market_probability": null, "model_version": "tennis-learned-v3", "overall_ratings": [1590.7260414449584, 1594.2061378992462], "p_serve_a": 0.5676955365139955, "p_serve_b": 0.6123044634860044, "players": ["Kyoka Okamura", "Rebecca Sramkova"], "rest_days": [1.0, 1.0], "sport": "TENNIS", "surface": "Hard", "surface_counts": [53, 117], "surface_ratings": [1571.1783295379032, 1568.5920996508569], "tour": "WTA"}, "market_type": "moneyline", "model_version": "tennis-learned-v3", "observed_at_utc": "2026-10-11T07:23:34.104754+00:00", "probabilities": {"away": 0.4236, "home": 0.5764}, "replay_scope": "Exact full-precision serving state and rounding; upstream historical observation times are not certified.", "schema": "coded-moneyline-replay-v1", "snapshot_hash": "6e6cfef6ef8782cef508869a0faa1740c69ead71b65c36682b2811d45e02f1bd", "sport": "TENNIS"}</t>
        </is>
      </c>
    </row>
    <row r="1260" ht="36" customHeight="1">
      <c r="A1260" s="24" t="inlineStr">
        <is>
          <t>439882699626441f</t>
        </is>
      </c>
      <c r="B1260" s="24" t="inlineStr">
        <is>
          <t>2026-10-11T07:23:35.770549Z</t>
        </is>
      </c>
      <c r="C1260" s="24" t="inlineStr">
        <is>
          <t>2026-10-11T10:00Z</t>
        </is>
      </c>
      <c r="D1260" s="24" t="inlineStr">
        <is>
          <t>1036-2026:185251</t>
        </is>
      </c>
      <c r="E1260" s="24" t="inlineStr">
        <is>
          <t>TENNIS</t>
        </is>
      </c>
      <c r="F1260" s="24" t="inlineStr">
        <is>
          <t>Lucrezia Stefanini</t>
        </is>
      </c>
      <c r="G1260" s="24" t="inlineStr">
        <is>
          <t>Ayla Aksu</t>
        </is>
      </c>
      <c r="H1260" s="24" t="inlineStr">
        <is>
          <t>moneyline</t>
        </is>
      </c>
      <c r="I1260" s="24" t="inlineStr">
        <is>
          <t>away</t>
        </is>
      </c>
      <c r="J1260" s="25" t="n"/>
      <c r="K1260" s="24" t="inlineStr">
        <is>
          <t>polymarket_us</t>
        </is>
      </c>
      <c r="L1260" s="26" t="n">
        <v>-335</v>
      </c>
      <c r="M1260" s="27" t="n">
        <v>1.298507</v>
      </c>
      <c r="N1260" s="28" t="n">
        <v>0.770115</v>
      </c>
      <c r="O1260" s="28" t="n">
        <v>0.7095</v>
      </c>
      <c r="P1260" s="28" t="n">
        <v>0.05</v>
      </c>
      <c r="Q1260" s="28" t="n">
        <v>-0.060615</v>
      </c>
      <c r="R1260" s="26" t="n">
        <v>0</v>
      </c>
      <c r="S1260" s="29" t="n">
        <v>1</v>
      </c>
      <c r="T1260" s="24" t="inlineStr">
        <is>
          <t>tennis-learned-v3</t>
        </is>
      </c>
      <c r="U1260" s="24" t="inlineStr">
        <is>
          <t>settled</t>
        </is>
      </c>
      <c r="V1260" s="24" t="inlineStr">
        <is>
          <t>loss</t>
        </is>
      </c>
      <c r="W1260" s="26" t="n">
        <v>0</v>
      </c>
      <c r="X1260" s="26" t="n">
        <v>1</v>
      </c>
      <c r="Y1260" s="25" t="n"/>
      <c r="Z1260" s="26" t="n">
        <v>-335</v>
      </c>
      <c r="AA1260" s="28" t="n">
        <v>0.77</v>
      </c>
      <c r="AB1260" s="28" t="n">
        <v>-0.000115</v>
      </c>
      <c r="AC1260" s="30" t="n">
        <v>-1</v>
      </c>
      <c r="AD1260" s="24" t="inlineStr">
        <is>
          <t>2026-10-11T16:01:29.138511Z</t>
        </is>
      </c>
      <c r="AE1260" s="31" t="inlineStr">
        <is>
          <t>Tennis v3 Learned Fundamental on Hard (Bo3): Lucrezia Stefanini p=0.710 vs Ayla Aksu. Executable ask 0.7700 (aec-wta-aylaks-lucste-2026-10-11).</t>
        </is>
      </c>
      <c r="AF1260" s="31" t="inlineStr">
        <is>
          <t>Surface-blended Elo model; singles only, WTA+ATP market coverage, not yet locked-holdout qualified -- promoted by explicit operator directive, not genuine walk-forward validation.</t>
        </is>
      </c>
      <c r="AG1260" s="24" t="inlineStr">
        <is>
          <t>review_required</t>
        </is>
      </c>
      <c r="AH1260" s="24" t="n"/>
      <c r="AI1260" s="31" t="n"/>
      <c r="AJ1260" s="31" t="n"/>
      <c r="AK1260" s="24" t="inlineStr">
        <is>
          <t>paper_call</t>
        </is>
      </c>
      <c r="AL1260" s="26" t="n">
        <v>4</v>
      </c>
      <c r="AM1260" s="24" t="inlineStr">
        <is>
          <t>RESEARCH_OBSERVATION</t>
        </is>
      </c>
      <c r="AN1260" s="24" t="inlineStr">
        <is>
          <t>CALL</t>
        </is>
      </c>
      <c r="AO1260" s="24" t="inlineStr">
        <is>
          <t>PAPER_CALL_LOW_EDGE</t>
        </is>
      </c>
      <c r="AP1260" s="24" t="inlineStr">
        <is>
          <t>Lucrezia Stefanini</t>
        </is>
      </c>
      <c r="AQ1260" s="24" t="inlineStr">
        <is>
          <t>Lucrezia Stefanini</t>
        </is>
      </c>
      <c r="AR1260" s="24" t="inlineStr">
        <is>
          <t>Lucrezia Stefanini</t>
        </is>
      </c>
      <c r="AS1260" s="24" t="inlineStr">
        <is>
          <t>Ayla Aksu</t>
        </is>
      </c>
      <c r="AT1260" s="24" t="inlineStr">
        <is>
          <t>Ayla Aksu</t>
        </is>
      </c>
      <c r="AU1260" s="24" t="inlineStr">
        <is>
          <t>Ayla Aksu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shadow_qualified</t>
        </is>
      </c>
      <c r="BA1260" s="24" t="inlineStr">
        <is>
          <t>7443acc419841200d57e1edf36b77f1940cdd0c48dce3d43fcd05498a109440b</t>
        </is>
      </c>
      <c r="BB1260" s="24" t="inlineStr">
        <is>
          <t>learned_v3</t>
        </is>
      </c>
      <c r="BC1260" s="24" t="inlineStr">
        <is>
          <t>tennis-learned-v3</t>
        </is>
      </c>
      <c r="BD1260" s="24" t="inlineStr">
        <is>
          <t>7443acc419841200d57e1edf36b77f1940cdd0c48dce3d43fcd05498a109440b</t>
        </is>
      </c>
      <c r="BE1260" s="24" t="inlineStr">
        <is>
          <t>tennis-learned-v3</t>
        </is>
      </c>
      <c r="BF1260" s="24" t="inlineStr">
        <is>
          <t>1</t>
        </is>
      </c>
      <c r="BG1260" s="24" t="inlineStr">
        <is>
          <t>7443acc419841200d57e1edf36b77f1940cdd0c48dce3d43fcd05498a109440b</t>
        </is>
      </c>
      <c r="BH1260" s="24" t="inlineStr">
        <is>
          <t>2026-10-11T06:43:50.333466Z</t>
        </is>
      </c>
      <c r="BI1260" s="24" t="inlineStr">
        <is>
          <t>["same_event","same_team_same_day","same_league_same_day"]</t>
        </is>
      </c>
      <c r="BJ1260" s="25" t="n"/>
      <c r="BK1260" s="26" t="n">
        <v>-335</v>
      </c>
      <c r="BL1260" s="27" t="n">
        <v>1.298507</v>
      </c>
      <c r="BM1260" s="28" t="n">
        <v>0.770115</v>
      </c>
      <c r="BN1260" s="28" t="n"/>
      <c r="BO1260" s="28" t="n"/>
      <c r="BP1260" s="25" t="n"/>
      <c r="BQ1260" s="27" t="n">
        <v>1.298507</v>
      </c>
      <c r="BR1260" s="28" t="n">
        <v>0.77</v>
      </c>
      <c r="BS1260" s="28" t="n"/>
      <c r="BT1260" s="28" t="n"/>
      <c r="BU1260" s="25" t="n"/>
      <c r="BV1260" s="29" t="n"/>
      <c r="BW1260" s="24" t="n"/>
      <c r="BX1260" s="30" t="n"/>
      <c r="BY1260" s="27" t="n"/>
      <c r="BZ1260" s="24" t="n"/>
      <c r="CA1260" s="31" t="n"/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False</t>
        </is>
      </c>
      <c r="CT1260" s="24" t="n"/>
      <c r="CU1260" s="24" t="n"/>
      <c r="CV1260" s="24" t="n"/>
      <c r="CW1260" s="24" t="n"/>
      <c r="CX1260" s="24" t="n"/>
      <c r="CY1260" s="24" t="n"/>
      <c r="CZ1260" s="24" t="n"/>
      <c r="DA1260" s="24" t="n"/>
      <c r="DB1260" s="24" t="n"/>
      <c r="DC1260" s="24" t="n"/>
      <c r="DD1260" s="24" t="inlineStr">
        <is>
          <t>a51658442a295b502565ad3bc1a0db9897b79db9bd79fccf51ae9e2455e2810c</t>
        </is>
      </c>
      <c r="DE1260" s="24" t="inlineStr">
        <is>
          <t>E:\model-prediction\data\odds\tennis\2026-10-11\polymarket_snapshots.jsonl</t>
        </is>
      </c>
      <c r="DF1260" s="24" t="inlineStr">
        <is>
          <t>1338371:2026-10-11T06:43:50.333466Z</t>
        </is>
      </c>
      <c r="DG1260" s="24" t="n"/>
      <c r="DH1260" s="24" t="n"/>
      <c r="DI1260" s="24" t="n"/>
      <c r="DJ1260" s="24" t="n"/>
      <c r="DK1260" s="24" t="n"/>
      <c r="DL1260" s="24" t="n"/>
      <c r="DM1260" s="24" t="n"/>
      <c r="DN1260" s="24" t="n"/>
      <c r="DO1260" s="24" t="n"/>
      <c r="DP1260" s="24" t="n"/>
      <c r="DQ1260" s="24" t="inlineStr">
        <is>
          <t>{"artifact_hash": "7443acc419841200d57e1edf36b77f1940cdd0c48dce3d43fcd05498a109440b", "away_team": "Lucrezia Stefanini", "event_id": "1036-2026:185251", "event_start_utc": "2026-10-11T10:00Z", "features": {"elo_p1_surface": 1591.5, "elo_p2_surface": 1520.8, "expected_games_p1": 13.11, "expected_games_p2": 7.13, "expected_total_games": 20.24, "history_matches": 16675, "min_player_matches": 36, "surface": "Hard"}, "historical_source_observation_times_verified": false, "home_team": "Ayla Aksu", "inference_inputs": {"best_of": 3, "code_sha256": {"features/elo_ratings.py": "8525faf022a6343c452286dbfeb17dbb043744c6bdabbe448b6b371216da439b", "models/tennis.py": "7443acc419841200d57e1edf36b77f1940cdd0c48dce3d43fcd05498a109440b"}, "counts": [127, 36], "market_probability": null, "model_version": "tennis-learned-v3", "overall_ratings": [1635.8479517900528, 1535.0553996710505], "p_serve_a": 0.6546401236324954, "p_serve_b": 0.5253598763675046, "players": ["Lucrezia Stefanini", "Ayla Aksu"], "rest_days": [0.0, 0.0], "sport": "TENNIS", "surface": "Hard", "surface_counts": [100, 36], "surface_ratings": [1591.504491438792, 1520.8161979658987], "tour": "WTA"}, "market_type": "moneyline", "model_version": "tennis-learned-v3", "observed_at_utc": "2026-10-11T07:23:34.104754+00:00", "probabilities": {"away": 0.7095, "home": 0.2905}, "replay_scope": "Exact full-precision serving state and rounding; upstream historical observation times are not certified.", "schema": "coded-moneyline-replay-v1", "snapshot_hash": "3690d845eb38f27fda09736f6020e2a749b40a17636d294f52798e629dfc9259", "sport": "TENNIS"}</t>
        </is>
      </c>
    </row>
    <row r="1261" ht="36" customHeight="1">
      <c r="A1261" s="24" t="inlineStr">
        <is>
          <t>06681e215e7545f1</t>
        </is>
      </c>
      <c r="B1261" s="24" t="inlineStr">
        <is>
          <t>2026-10-11T07:23:35.770549Z</t>
        </is>
      </c>
      <c r="C1261" s="24" t="inlineStr">
        <is>
          <t>2026-10-11T08:00Z</t>
        </is>
      </c>
      <c r="D1261" s="24" t="inlineStr">
        <is>
          <t>1020-2026:186427</t>
        </is>
      </c>
      <c r="E1261" s="24" t="inlineStr">
        <is>
          <t>TENNIS</t>
        </is>
      </c>
      <c r="F1261" s="24" t="inlineStr">
        <is>
          <t>Amandine Hesse</t>
        </is>
      </c>
      <c r="G1261" s="24" t="inlineStr">
        <is>
          <t>Maria Garcia Cid</t>
        </is>
      </c>
      <c r="H1261" s="24" t="inlineStr">
        <is>
          <t>moneyline</t>
        </is>
      </c>
      <c r="I1261" s="24" t="inlineStr">
        <is>
          <t>away</t>
        </is>
      </c>
      <c r="J1261" s="25" t="n"/>
      <c r="K1261" s="24" t="inlineStr">
        <is>
          <t>polymarket_us</t>
        </is>
      </c>
      <c r="L1261" s="26" t="n">
        <v>170</v>
      </c>
      <c r="M1261" s="27" t="n">
        <v>2.7</v>
      </c>
      <c r="N1261" s="28" t="n">
        <v>0.37037</v>
      </c>
      <c r="O1261" s="28" t="n">
        <v>0.5145</v>
      </c>
      <c r="P1261" s="28" t="n">
        <v>0.05</v>
      </c>
      <c r="Q1261" s="28" t="n">
        <v>0.14413</v>
      </c>
      <c r="R1261" s="26" t="n">
        <v>92</v>
      </c>
      <c r="S1261" s="29" t="n">
        <v>1.75</v>
      </c>
      <c r="T1261" s="24" t="inlineStr">
        <is>
          <t>tennis-learned-v3</t>
        </is>
      </c>
      <c r="U1261" s="24" t="inlineStr">
        <is>
          <t>settled</t>
        </is>
      </c>
      <c r="V1261" s="24" t="inlineStr">
        <is>
          <t>loss</t>
        </is>
      </c>
      <c r="W1261" s="26" t="n">
        <v>0</v>
      </c>
      <c r="X1261" s="26" t="n">
        <v>1</v>
      </c>
      <c r="Y1261" s="25" t="n"/>
      <c r="Z1261" s="26" t="n">
        <v>170</v>
      </c>
      <c r="AA1261" s="28" t="n">
        <v>0.37</v>
      </c>
      <c r="AB1261" s="28" t="n">
        <v>-0.00037</v>
      </c>
      <c r="AC1261" s="30" t="n">
        <v>-1.75</v>
      </c>
      <c r="AD1261" s="24" t="inlineStr">
        <is>
          <t>2026-10-11T10:02:24.965062Z</t>
        </is>
      </c>
      <c r="AE1261" s="31" t="inlineStr">
        <is>
          <t>Tennis v3 Learned Fundamental on Grass (Bo3): Amandine Hesse p=0.515 vs Maria Garcia Cid. Executable ask 0.3700 (aec-wta-marcid-amahes-2026-10-11).</t>
        </is>
      </c>
      <c r="AF1261" s="31" t="inlineStr">
        <is>
          <t>Surface-blended Elo model; singles only, WTA+ATP market coverage, not yet locked-holdout qualified -- promoted by explicit operator directive, not genuine walk-forward validation.</t>
        </is>
      </c>
      <c r="AG1261" s="24" t="inlineStr">
        <is>
          <t>review_required</t>
        </is>
      </c>
      <c r="AH1261" s="24" t="n"/>
      <c r="AI1261" s="31" t="n"/>
      <c r="AJ1261" s="31" t="n"/>
      <c r="AK1261" s="24" t="inlineStr">
        <is>
          <t>paper_call</t>
        </is>
      </c>
      <c r="AL1261" s="26" t="n">
        <v>4</v>
      </c>
      <c r="AM1261" s="24" t="inlineStr">
        <is>
          <t>RESEARCH_OBSERVATION</t>
        </is>
      </c>
      <c r="AN1261" s="24" t="inlineStr">
        <is>
          <t>CALL</t>
        </is>
      </c>
      <c r="AO1261" s="24" t="inlineStr">
        <is>
          <t>PAPER_CALL_MODEL_UNVALIDATED</t>
        </is>
      </c>
      <c r="AP1261" s="24" t="inlineStr">
        <is>
          <t>Amandine Hesse</t>
        </is>
      </c>
      <c r="AQ1261" s="24" t="inlineStr">
        <is>
          <t>Amandine Hesse</t>
        </is>
      </c>
      <c r="AR1261" s="24" t="inlineStr">
        <is>
          <t>Amandine Hesse</t>
        </is>
      </c>
      <c r="AS1261" s="24" t="inlineStr">
        <is>
          <t>Maria Garcia Cid</t>
        </is>
      </c>
      <c r="AT1261" s="24" t="inlineStr">
        <is>
          <t>Maria Garcia Cid</t>
        </is>
      </c>
      <c r="AU1261" s="24" t="inlineStr">
        <is>
          <t>Maria Garcia Cid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shadow_qualified</t>
        </is>
      </c>
      <c r="BA1261" s="24" t="inlineStr">
        <is>
          <t>7443acc419841200d57e1edf36b77f1940cdd0c48dce3d43fcd05498a109440b</t>
        </is>
      </c>
      <c r="BB1261" s="24" t="inlineStr">
        <is>
          <t>learned_v3</t>
        </is>
      </c>
      <c r="BC1261" s="24" t="inlineStr">
        <is>
          <t>tennis-learned-v3</t>
        </is>
      </c>
      <c r="BD1261" s="24" t="inlineStr">
        <is>
          <t>7443acc419841200d57e1edf36b77f1940cdd0c48dce3d43fcd05498a109440b</t>
        </is>
      </c>
      <c r="BE1261" s="24" t="inlineStr">
        <is>
          <t>tennis-learned-v3</t>
        </is>
      </c>
      <c r="BF1261" s="24" t="inlineStr">
        <is>
          <t>1</t>
        </is>
      </c>
      <c r="BG1261" s="24" t="inlineStr">
        <is>
          <t>7443acc419841200d57e1edf36b77f1940cdd0c48dce3d43fcd05498a109440b</t>
        </is>
      </c>
      <c r="BH1261" s="24" t="inlineStr">
        <is>
          <t>2026-10-11T06:43:50.315811Z</t>
        </is>
      </c>
      <c r="BI1261" s="24" t="inlineStr">
        <is>
          <t>["same_event","same_team_same_day","same_league_same_day"]</t>
        </is>
      </c>
      <c r="BJ1261" s="25" t="n"/>
      <c r="BK1261" s="26" t="n">
        <v>170</v>
      </c>
      <c r="BL1261" s="27" t="n">
        <v>2.7</v>
      </c>
      <c r="BM1261" s="28" t="n">
        <v>0.37037</v>
      </c>
      <c r="BN1261" s="28" t="n"/>
      <c r="BO1261" s="28" t="n"/>
      <c r="BP1261" s="25" t="n"/>
      <c r="BQ1261" s="27" t="n">
        <v>2.7</v>
      </c>
      <c r="BR1261" s="28" t="n">
        <v>0.37</v>
      </c>
      <c r="BS1261" s="28" t="n"/>
      <c r="BT1261" s="28" t="n"/>
      <c r="BU1261" s="25" t="n"/>
      <c r="BV1261" s="29" t="n"/>
      <c r="BW1261" s="24" t="n"/>
      <c r="BX1261" s="30" t="n"/>
      <c r="BY1261" s="27" t="n"/>
      <c r="BZ1261" s="24" t="n"/>
      <c r="CA1261" s="31" t="n"/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True</t>
        </is>
      </c>
      <c r="CT1261" s="24" t="n"/>
      <c r="CU1261" s="24" t="n"/>
      <c r="CV1261" s="24" t="n"/>
      <c r="CW1261" s="24" t="n"/>
      <c r="CX1261" s="24" t="n"/>
      <c r="CY1261" s="24" t="n"/>
      <c r="CZ1261" s="24" t="n"/>
      <c r="DA1261" s="24" t="n"/>
      <c r="DB1261" s="24" t="n"/>
      <c r="DC1261" s="24" t="n"/>
      <c r="DD1261" s="24" t="inlineStr">
        <is>
          <t>5151ed9cbc9bc9b02b206d9bb9b7361ff10a316f34c542ebcec59d7503c80cc8</t>
        </is>
      </c>
      <c r="DE1261" s="24" t="inlineStr">
        <is>
          <t>E:\model-prediction\data\odds\tennis\2026-10-11\polymarket_snapshots.jsonl</t>
        </is>
      </c>
      <c r="DF1261" s="24" t="inlineStr">
        <is>
          <t>1340243:2026-10-11T06:43:50.315811Z</t>
        </is>
      </c>
      <c r="DG1261" s="24" t="n"/>
      <c r="DH1261" s="24" t="n"/>
      <c r="DI1261" s="24" t="n"/>
      <c r="DJ1261" s="24" t="n"/>
      <c r="DK1261" s="24" t="n"/>
      <c r="DL1261" s="24" t="n"/>
      <c r="DM1261" s="24" t="n"/>
      <c r="DN1261" s="24" t="n"/>
      <c r="DO1261" s="24" t="n"/>
      <c r="DP1261" s="24" t="n"/>
      <c r="DQ1261" s="24" t="inlineStr">
        <is>
          <t>{"artifact_hash": "7443acc419841200d57e1edf36b77f1940cdd0c48dce3d43fcd05498a109440b", "away_team": "Amandine Hesse", "event_id": "1020-2026:186427", "event_start_utc": "2026-10-11T08:00Z", "features": {"elo_p1_surface": 1500.0, "elo_p2_surface": 1500.0, "expected_games_p1": 12.76, "expected_games_p2": 11.98, "expected_total_games": 24.74, "history_matches": 16675, "min_player_matches": 3, "surface": "Grass"}, "historical_source_observation_times_verified": false, "home_team": "Maria Garcia Cid", "inference_inputs": {"best_of": 3, "code_sha256": {"features/elo_ratings.py": "8525faf022a6343c452286dbfeb17dbb043744c6bdabbe448b6b371216da439b", "models/tennis.py": "7443acc419841200d57e1edf36b77f1940cdd0c48dce3d43fcd05498a109440b"}, "counts": [27, 3], "market_probability": null, "model_version": "tennis-learned-v3", "overall_ratings": [1409.8896308295643, 1487.8090956653255], "p_serve_a": 0.5942008714578508, "p_serve_b": 0.5857991285421491, "players": ["Amandine Hesse", "Maria Garcia Cid"], "rest_days": [60.0, 24.0], "sport": "TENNIS", "surface": "Grass", "surface_counts": [0, 0], "surface_ratings": [1409.8896308295643, 1487.8090956653255], "tour": "WTA"}, "market_type": "moneyline", "model_version": "tennis-learned-v3", "observed_at_utc": "2026-10-11T07:23:34.104754+00:00", "probabilities": {"away": 0.5145, "home": 0.4855}, "replay_scope": "Exact full-precision serving state and rounding; upstream historical observation times are not certified.", "schema": "coded-moneyline-replay-v1", "snapshot_hash": "2ba982faa7be0966af4b14fc890d7d35abcf804eb6cb68a273f04bf827186214", "sport": "TENNIS"}</t>
        </is>
      </c>
    </row>
    <row r="1262" ht="36" customHeight="1">
      <c r="A1262" s="24" t="inlineStr">
        <is>
          <t>d41b72716998496d</t>
        </is>
      </c>
      <c r="B1262" s="24" t="inlineStr">
        <is>
          <t>2026-10-11T07:23:35.770549Z</t>
        </is>
      </c>
      <c r="C1262" s="24" t="inlineStr">
        <is>
          <t>2026-10-11T08:00Z</t>
        </is>
      </c>
      <c r="D1262" s="24" t="inlineStr">
        <is>
          <t>1020-2026:186427</t>
        </is>
      </c>
      <c r="E1262" s="24" t="inlineStr">
        <is>
          <t>TENNIS</t>
        </is>
      </c>
      <c r="F1262" s="24" t="inlineStr">
        <is>
          <t>Amandine Hesse</t>
        </is>
      </c>
      <c r="G1262" s="24" t="inlineStr">
        <is>
          <t>Maria Garcia Cid</t>
        </is>
      </c>
      <c r="H1262" s="24" t="inlineStr">
        <is>
          <t>spread</t>
        </is>
      </c>
      <c r="I1262" s="24" t="inlineStr">
        <is>
          <t>away</t>
        </is>
      </c>
      <c r="J1262" s="25" t="n">
        <v>-4.5</v>
      </c>
      <c r="K1262" s="24" t="inlineStr">
        <is>
          <t>polymarket_us</t>
        </is>
      </c>
      <c r="L1262" s="26" t="n">
        <v>127</v>
      </c>
      <c r="M1262" s="27" t="n">
        <v>2.27</v>
      </c>
      <c r="N1262" s="28" t="n">
        <v>0.440529</v>
      </c>
      <c r="O1262" s="28" t="n">
        <v>0.85</v>
      </c>
      <c r="P1262" s="28" t="n">
        <v>0.05</v>
      </c>
      <c r="Q1262" s="28" t="n">
        <v>0.409471</v>
      </c>
      <c r="R1262" s="26" t="n">
        <v>100</v>
      </c>
      <c r="S1262" s="29" t="n">
        <v>2</v>
      </c>
      <c r="T1262" s="24" t="inlineStr">
        <is>
          <t>tennis-learned-v3</t>
        </is>
      </c>
      <c r="U1262" s="24" t="inlineStr">
        <is>
          <t>settled</t>
        </is>
      </c>
      <c r="V1262" s="24" t="inlineStr">
        <is>
          <t>loss</t>
        </is>
      </c>
      <c r="W1262" s="26" t="n">
        <v>2</v>
      </c>
      <c r="X1262" s="26" t="n">
        <v>12</v>
      </c>
      <c r="Y1262" s="25" t="n"/>
      <c r="Z1262" s="26" t="n"/>
      <c r="AA1262" s="28" t="n"/>
      <c r="AB1262" s="28" t="n"/>
      <c r="AC1262" s="30" t="n">
        <v>-2</v>
      </c>
      <c r="AD1262" s="24" t="inlineStr">
        <is>
          <t>2026-10-11T10:02:31.722199Z</t>
        </is>
      </c>
      <c r="AE1262" s="31" t="inlineStr">
        <is>
          <t>Tennis Markov game spread -4.5 games: away cover p=0.850. Executable ask 0.4400 (asc-wta-marcid-amahes-2026-10-11-gs-neg-4pt5).</t>
        </is>
      </c>
      <c r="AF1262" s="31" t="inlineStr">
        <is>
          <t>Surface-blended Elo model; singles only, WTA+ATP market coverage, not yet locked-holdout qualified -- promoted by explicit operator directive, not genuine walk-forward validation.</t>
        </is>
      </c>
      <c r="AG1262" s="24" t="inlineStr">
        <is>
          <t>review_required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PAPER_CALL_MODEL_UNVALIDATED</t>
        </is>
      </c>
      <c r="AP1262" s="24" t="inlineStr">
        <is>
          <t>Amandine Hesse</t>
        </is>
      </c>
      <c r="AQ1262" s="24" t="inlineStr">
        <is>
          <t>Amandine Hesse</t>
        </is>
      </c>
      <c r="AR1262" s="24" t="inlineStr">
        <is>
          <t>Amandine Hesse</t>
        </is>
      </c>
      <c r="AS1262" s="24" t="inlineStr">
        <is>
          <t>Maria Garcia Cid</t>
        </is>
      </c>
      <c r="AT1262" s="24" t="inlineStr">
        <is>
          <t>Maria Garcia Cid</t>
        </is>
      </c>
      <c r="AU1262" s="24" t="inlineStr">
        <is>
          <t>Maria Garcia Cid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inlineStr">
        <is>
          <t>7443acc419841200d57e1edf36b77f1940cdd0c48dce3d43fcd05498a109440b</t>
        </is>
      </c>
      <c r="BB1262" s="24" t="inlineStr">
        <is>
          <t>learned_v3</t>
        </is>
      </c>
      <c r="BC1262" s="24" t="inlineStr">
        <is>
          <t>tennis-learned-v3</t>
        </is>
      </c>
      <c r="BD1262" s="24" t="inlineStr">
        <is>
          <t>7443acc419841200d57e1edf36b77f1940cdd0c48dce3d43fcd05498a109440b</t>
        </is>
      </c>
      <c r="BE1262" s="24" t="inlineStr">
        <is>
          <t>tennis-learned-v3</t>
        </is>
      </c>
      <c r="BF1262" s="24" t="inlineStr">
        <is>
          <t>1</t>
        </is>
      </c>
      <c r="BG1262" s="24" t="inlineStr">
        <is>
          <t>7443acc419841200d57e1edf36b77f1940cdd0c48dce3d43fcd05498a109440b</t>
        </is>
      </c>
      <c r="BH1262" s="24" t="inlineStr">
        <is>
          <t>2026-10-11T06:43:50.278763Z</t>
        </is>
      </c>
      <c r="BI1262" s="24" t="inlineStr">
        <is>
          <t>["same_event","same_team_same_day","same_league_same_day"]</t>
        </is>
      </c>
      <c r="BJ1262" s="25" t="n">
        <v>-4.5</v>
      </c>
      <c r="BK1262" s="26" t="n">
        <v>127</v>
      </c>
      <c r="BL1262" s="27" t="n">
        <v>2.27</v>
      </c>
      <c r="BM1262" s="28" t="n">
        <v>0.440529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/>
      <c r="BY1262" s="27" t="n"/>
      <c r="BZ1262" s="24" t="n"/>
      <c r="CA1262" s="31" t="n"/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True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inlineStr">
        <is>
          <t>47b3ada01764078fca039b2e9a7b3e52e8a0eb9535484f4c0a35c29555302959</t>
        </is>
      </c>
      <c r="DE1262" s="24" t="inlineStr">
        <is>
          <t>E:\model-prediction\data\odds\tennis\2026-10-11\polymarket_snapshots.jsonl</t>
        </is>
      </c>
      <c r="DF1262" s="24" t="inlineStr">
        <is>
          <t>1341629:2026-10-11T06:43:50.278763Z</t>
        </is>
      </c>
      <c r="DG1262" s="24" t="n"/>
      <c r="DH1262" s="24" t="n"/>
      <c r="DI1262" s="24" t="n"/>
      <c r="DJ1262" s="24" t="n"/>
      <c r="DK1262" s="24" t="n"/>
      <c r="DL1262" s="24" t="n"/>
      <c r="DM1262" s="24" t="n"/>
      <c r="DN1262" s="24" t="n"/>
      <c r="DO1262" s="24" t="n"/>
      <c r="DP1262" s="24" t="n"/>
      <c r="DQ1262" s="24" t="n"/>
    </row>
    <row r="1263" ht="36" customHeight="1">
      <c r="A1263" s="24" t="inlineStr">
        <is>
          <t>4469610f2c7149b5</t>
        </is>
      </c>
      <c r="B1263" s="24" t="inlineStr">
        <is>
          <t>2026-10-11T07:23:35.770549Z</t>
        </is>
      </c>
      <c r="C1263" s="24" t="inlineStr">
        <is>
          <t>2026-10-11T08:00Z</t>
        </is>
      </c>
      <c r="D1263" s="24" t="inlineStr">
        <is>
          <t>1020-2026:186421</t>
        </is>
      </c>
      <c r="E1263" s="24" t="inlineStr">
        <is>
          <t>TENNIS</t>
        </is>
      </c>
      <c r="F1263" s="24" t="inlineStr">
        <is>
          <t>Aneta Kucmova</t>
        </is>
      </c>
      <c r="G1263" s="24" t="inlineStr">
        <is>
          <t>Isabella Shinikova</t>
        </is>
      </c>
      <c r="H1263" s="24" t="inlineStr">
        <is>
          <t>spread</t>
        </is>
      </c>
      <c r="I1263" s="24" t="inlineStr">
        <is>
          <t>home</t>
        </is>
      </c>
      <c r="J1263" s="25" t="n">
        <v>4.5</v>
      </c>
      <c r="K1263" s="24" t="inlineStr">
        <is>
          <t>polymarket_us</t>
        </is>
      </c>
      <c r="L1263" s="26" t="n">
        <v>-138</v>
      </c>
      <c r="M1263" s="27" t="n">
        <v>1.724638</v>
      </c>
      <c r="N1263" s="28" t="n">
        <v>0.579832</v>
      </c>
      <c r="O1263" s="28" t="n">
        <v>0.7877</v>
      </c>
      <c r="P1263" s="28" t="n">
        <v>0.05</v>
      </c>
      <c r="Q1263" s="28" t="n">
        <v>0.207868</v>
      </c>
      <c r="R1263" s="26" t="n">
        <v>100</v>
      </c>
      <c r="S1263" s="29" t="n">
        <v>2</v>
      </c>
      <c r="T1263" s="24" t="inlineStr">
        <is>
          <t>tennis-learned-v3</t>
        </is>
      </c>
      <c r="U1263" s="24" t="inlineStr">
        <is>
          <t>settled</t>
        </is>
      </c>
      <c r="V1263" s="24" t="inlineStr">
        <is>
          <t>loss</t>
        </is>
      </c>
      <c r="W1263" s="26" t="n">
        <v>18</v>
      </c>
      <c r="X1263" s="26" t="n">
        <v>11</v>
      </c>
      <c r="Y1263" s="25" t="n"/>
      <c r="Z1263" s="26" t="n"/>
      <c r="AA1263" s="28" t="n"/>
      <c r="AB1263" s="28" t="n"/>
      <c r="AC1263" s="30" t="n">
        <v>-2</v>
      </c>
      <c r="AD1263" s="24" t="inlineStr">
        <is>
          <t>2026-10-11T10:02:37.322080Z</t>
        </is>
      </c>
      <c r="AE1263" s="31" t="inlineStr">
        <is>
          <t>Tennis Markov game spread +4.5 games: home cover p=0.788. Executable ask 0.5800 (asc-wta-isashi-anekuc-2026-10-11-gs-pos-4pt5).</t>
        </is>
      </c>
      <c r="AF1263" s="31" t="inlineStr">
        <is>
          <t>Surface-blended Elo model; singles only, WTA+ATP market coverage, not yet locked-holdout qualified -- promoted by explicit operator directive, not genuine walk-forward validation.</t>
        </is>
      </c>
      <c r="AG1263" s="24" t="inlineStr">
        <is>
          <t>review_required</t>
        </is>
      </c>
      <c r="AH1263" s="24" t="n"/>
      <c r="AI1263" s="31" t="n"/>
      <c r="AJ1263" s="31" t="n"/>
      <c r="AK1263" s="24" t="inlineStr">
        <is>
          <t>paper_call</t>
        </is>
      </c>
      <c r="AL1263" s="26" t="n">
        <v>4</v>
      </c>
      <c r="AM1263" s="24" t="inlineStr">
        <is>
          <t>RESEARCH_OBSERVATION</t>
        </is>
      </c>
      <c r="AN1263" s="24" t="inlineStr">
        <is>
          <t>CALL</t>
        </is>
      </c>
      <c r="AO1263" s="24" t="inlineStr">
        <is>
          <t>PAPER_CALL_MODEL_UNVALIDATED</t>
        </is>
      </c>
      <c r="AP1263" s="24" t="inlineStr">
        <is>
          <t>Aneta Kucmova</t>
        </is>
      </c>
      <c r="AQ1263" s="24" t="inlineStr">
        <is>
          <t>Aneta Kucmova</t>
        </is>
      </c>
      <c r="AR1263" s="24" t="inlineStr">
        <is>
          <t>Aneta Kucmova</t>
        </is>
      </c>
      <c r="AS1263" s="24" t="inlineStr">
        <is>
          <t>Isabella Shinikova</t>
        </is>
      </c>
      <c r="AT1263" s="24" t="inlineStr">
        <is>
          <t>Isabella Shinikova</t>
        </is>
      </c>
      <c r="AU1263" s="24" t="inlineStr">
        <is>
          <t>Isabella Shinikova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inlineStr">
        <is>
          <t>7443acc419841200d57e1edf36b77f1940cdd0c48dce3d43fcd05498a109440b</t>
        </is>
      </c>
      <c r="BB1263" s="24" t="inlineStr">
        <is>
          <t>learned_v3</t>
        </is>
      </c>
      <c r="BC1263" s="24" t="inlineStr">
        <is>
          <t>tennis-learned-v3</t>
        </is>
      </c>
      <c r="BD1263" s="24" t="inlineStr">
        <is>
          <t>7443acc419841200d57e1edf36b77f1940cdd0c48dce3d43fcd05498a109440b</t>
        </is>
      </c>
      <c r="BE1263" s="24" t="inlineStr">
        <is>
          <t>tennis-learned-v3</t>
        </is>
      </c>
      <c r="BF1263" s="24" t="inlineStr">
        <is>
          <t>1</t>
        </is>
      </c>
      <c r="BG1263" s="24" t="inlineStr">
        <is>
          <t>7443acc419841200d57e1edf36b77f1940cdd0c48dce3d43fcd05498a109440b</t>
        </is>
      </c>
      <c r="BH1263" s="24" t="inlineStr">
        <is>
          <t>2026-10-11T06:43:49.317376Z</t>
        </is>
      </c>
      <c r="BI1263" s="24" t="inlineStr">
        <is>
          <t>["same_event","same_team_same_day","same_league_same_day"]</t>
        </is>
      </c>
      <c r="BJ1263" s="25" t="n">
        <v>4.5</v>
      </c>
      <c r="BK1263" s="26" t="n">
        <v>-138</v>
      </c>
      <c r="BL1263" s="27" t="n">
        <v>1.724638</v>
      </c>
      <c r="BM1263" s="28" t="n">
        <v>0.579832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/>
      <c r="BY1263" s="27" t="n"/>
      <c r="BZ1263" s="24" t="n"/>
      <c r="CA1263" s="31" t="n"/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inlineStr">
        <is>
          <t>e621c2e54c270ecf28a5e69db7b9e6456dedc977cfb81bf59977a02245f14a42</t>
        </is>
      </c>
      <c r="DE1263" s="24" t="inlineStr">
        <is>
          <t>E:\model-prediction\data\odds\tennis\2026-10-11\polymarket_snapshots.jsonl</t>
        </is>
      </c>
      <c r="DF1263" s="24" t="inlineStr">
        <is>
          <t>1341602:2026-10-11T06:43:49.317376Z</t>
        </is>
      </c>
      <c r="DG1263" s="24" t="n"/>
      <c r="DH1263" s="24" t="n"/>
      <c r="DI1263" s="24" t="n"/>
      <c r="DJ1263" s="24" t="n"/>
      <c r="DK1263" s="24" t="n"/>
      <c r="DL1263" s="24" t="n"/>
      <c r="DM1263" s="24" t="n"/>
      <c r="DN1263" s="24" t="n"/>
      <c r="DO1263" s="24" t="n"/>
      <c r="DP1263" s="24" t="n"/>
      <c r="DQ1263" s="24" t="n"/>
    </row>
    <row r="1264" ht="36" customHeight="1">
      <c r="A1264" s="24" t="inlineStr">
        <is>
          <t>93249f6d99a64e0e</t>
        </is>
      </c>
      <c r="B1264" s="24" t="inlineStr">
        <is>
          <t>2026-10-11T07:23:35.770549Z</t>
        </is>
      </c>
      <c r="C1264" s="24" t="inlineStr">
        <is>
          <t>2026-10-11T08:00Z</t>
        </is>
      </c>
      <c r="D1264" s="24" t="inlineStr">
        <is>
          <t>1020-2026:186421</t>
        </is>
      </c>
      <c r="E1264" s="24" t="inlineStr">
        <is>
          <t>TENNIS</t>
        </is>
      </c>
      <c r="F1264" s="24" t="inlineStr">
        <is>
          <t>Aneta Kucmova</t>
        </is>
      </c>
      <c r="G1264" s="24" t="inlineStr">
        <is>
          <t>Isabella Shinikova</t>
        </is>
      </c>
      <c r="H1264" s="24" t="inlineStr">
        <is>
          <t>moneyline</t>
        </is>
      </c>
      <c r="I1264" s="24" t="inlineStr">
        <is>
          <t>home</t>
        </is>
      </c>
      <c r="J1264" s="25" t="n"/>
      <c r="K1264" s="24" t="inlineStr">
        <is>
          <t>polymarket_us</t>
        </is>
      </c>
      <c r="L1264" s="26" t="n">
        <v>178</v>
      </c>
      <c r="M1264" s="27" t="n">
        <v>2.78</v>
      </c>
      <c r="N1264" s="28" t="n">
        <v>0.359712</v>
      </c>
      <c r="O1264" s="28" t="n">
        <v>0.5112</v>
      </c>
      <c r="P1264" s="28" t="n">
        <v>0.05</v>
      </c>
      <c r="Q1264" s="28" t="n">
        <v>0.151488</v>
      </c>
      <c r="R1264" s="26" t="n">
        <v>96</v>
      </c>
      <c r="S1264" s="29" t="n">
        <v>1.75</v>
      </c>
      <c r="T1264" s="24" t="inlineStr">
        <is>
          <t>tennis-learned-v3</t>
        </is>
      </c>
      <c r="U1264" s="24" t="inlineStr">
        <is>
          <t>settled</t>
        </is>
      </c>
      <c r="V1264" s="24" t="inlineStr">
        <is>
          <t>loss</t>
        </is>
      </c>
      <c r="W1264" s="26" t="n">
        <v>1</v>
      </c>
      <c r="X1264" s="26" t="n">
        <v>0</v>
      </c>
      <c r="Y1264" s="25" t="n"/>
      <c r="Z1264" s="26" t="n">
        <v>178</v>
      </c>
      <c r="AA1264" s="28" t="n">
        <v>0.36</v>
      </c>
      <c r="AB1264" s="28" t="n">
        <v>0.000288</v>
      </c>
      <c r="AC1264" s="30" t="n">
        <v>-1.75</v>
      </c>
      <c r="AD1264" s="24" t="inlineStr">
        <is>
          <t>2026-10-11T10:02:47.884718Z</t>
        </is>
      </c>
      <c r="AE1264" s="31" t="inlineStr">
        <is>
          <t>Tennis v3 Learned Fundamental on Grass (Bo3): Aneta Kucmova p=0.489 vs Isabella Shinikova. Executable ask 0.3600 (aec-wta-isashi-anekuc-2026-10-11).</t>
        </is>
      </c>
      <c r="AF1264" s="31" t="inlineStr">
        <is>
          <t>Surface-blended Elo model; singles only, WTA+ATP market coverage, not yet locked-holdout qualified -- promoted by explicit operator directive, not genuine walk-forward validation.</t>
        </is>
      </c>
      <c r="AG1264" s="24" t="inlineStr">
        <is>
          <t>review_required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PAPER_CALL_MODEL_UNVALIDATED</t>
        </is>
      </c>
      <c r="AP1264" s="24" t="inlineStr">
        <is>
          <t>Aneta Kucmova</t>
        </is>
      </c>
      <c r="AQ1264" s="24" t="inlineStr">
        <is>
          <t>Aneta Kucmova</t>
        </is>
      </c>
      <c r="AR1264" s="24" t="inlineStr">
        <is>
          <t>Aneta Kucmova</t>
        </is>
      </c>
      <c r="AS1264" s="24" t="inlineStr">
        <is>
          <t>Isabella Shinikova</t>
        </is>
      </c>
      <c r="AT1264" s="24" t="inlineStr">
        <is>
          <t>Isabella Shinikova</t>
        </is>
      </c>
      <c r="AU1264" s="24" t="inlineStr">
        <is>
          <t>Isabella Shinikova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inlineStr">
        <is>
          <t>7443acc419841200d57e1edf36b77f1940cdd0c48dce3d43fcd05498a109440b</t>
        </is>
      </c>
      <c r="BB1264" s="24" t="inlineStr">
        <is>
          <t>learned_v3</t>
        </is>
      </c>
      <c r="BC1264" s="24" t="inlineStr">
        <is>
          <t>tennis-learned-v3</t>
        </is>
      </c>
      <c r="BD1264" s="24" t="inlineStr">
        <is>
          <t>7443acc419841200d57e1edf36b77f1940cdd0c48dce3d43fcd05498a109440b</t>
        </is>
      </c>
      <c r="BE1264" s="24" t="inlineStr">
        <is>
          <t>tennis-learned-v3</t>
        </is>
      </c>
      <c r="BF1264" s="24" t="inlineStr">
        <is>
          <t>1</t>
        </is>
      </c>
      <c r="BG1264" s="24" t="inlineStr">
        <is>
          <t>7443acc419841200d57e1edf36b77f1940cdd0c48dce3d43fcd05498a109440b</t>
        </is>
      </c>
      <c r="BH1264" s="24" t="inlineStr">
        <is>
          <t>2026-10-11T06:43:50.328705Z</t>
        </is>
      </c>
      <c r="BI1264" s="24" t="inlineStr">
        <is>
          <t>["same_event","same_team_same_day","same_league_same_day"]</t>
        </is>
      </c>
      <c r="BJ1264" s="25" t="n"/>
      <c r="BK1264" s="26" t="n">
        <v>178</v>
      </c>
      <c r="BL1264" s="27" t="n">
        <v>2.78</v>
      </c>
      <c r="BM1264" s="28" t="n">
        <v>0.359712</v>
      </c>
      <c r="BN1264" s="28" t="n"/>
      <c r="BO1264" s="28" t="n"/>
      <c r="BP1264" s="25" t="n"/>
      <c r="BQ1264" s="27" t="n">
        <v>2.78</v>
      </c>
      <c r="BR1264" s="28" t="n">
        <v>0.36</v>
      </c>
      <c r="BS1264" s="28" t="n"/>
      <c r="BT1264" s="28" t="n"/>
      <c r="BU1264" s="25" t="n"/>
      <c r="BV1264" s="29" t="n"/>
      <c r="BW1264" s="24" t="n"/>
      <c r="BX1264" s="30" t="n"/>
      <c r="BY1264" s="27" t="n"/>
      <c r="BZ1264" s="24" t="n"/>
      <c r="CA1264" s="31" t="n"/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True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inlineStr">
        <is>
          <t>806ddbc46617521322826a0760f22fa03dde95d6220e543abda5ea571fd440c7</t>
        </is>
      </c>
      <c r="DE1264" s="24" t="inlineStr">
        <is>
          <t>E:\model-prediction\data\odds\tennis\2026-10-11\polymarket_snapshots.jsonl</t>
        </is>
      </c>
      <c r="DF1264" s="24" t="inlineStr">
        <is>
          <t>1340247:2026-10-11T06:43:50.328705Z</t>
        </is>
      </c>
      <c r="DG1264" s="24" t="n"/>
      <c r="DH1264" s="24" t="n"/>
      <c r="DI1264" s="24" t="n"/>
      <c r="DJ1264" s="24" t="n"/>
      <c r="DK1264" s="24" t="n"/>
      <c r="DL1264" s="24" t="n"/>
      <c r="DM1264" s="24" t="n"/>
      <c r="DN1264" s="24" t="n"/>
      <c r="DO1264" s="24" t="n"/>
      <c r="DP1264" s="24" t="n"/>
      <c r="DQ1264" s="24" t="inlineStr">
        <is>
          <t>{"artifact_hash": "7443acc419841200d57e1edf36b77f1940cdd0c48dce3d43fcd05498a109440b", "away_team": "Aneta Kucmova", "event_id": "1020-2026:186421", "event_start_utc": "2026-10-11T08:00Z", "features": {"elo_p1_surface": 1476.8, "elo_p2_surface": 1500.0, "expected_games_p1": 12.38, "expected_games_p2": 12.41, "expected_total_games": 24.78, "history_matches": 16675, "min_player_matches": 9, "surface": "Grass"}, "historical_source_observation_times_verified": false, "home_team": "Isabella Shinikova", "inference_inputs": {"best_of": 3, "code_sha256": {"features/elo_ratings.py": "8525faf022a6343c452286dbfeb17dbb043744c6bdabbe448b6b371216da439b", "models/tennis.py": "7443acc419841200d57e1edf36b77f1940cdd0c48dce3d43fcd05498a109440b"}, "counts": [9, 22], "market_probability": null, "model_version": "tennis-learned-v3", "overall_ratings": [1484.1439180213351, 1447.0037377708265], "p_serve_a": 0.5867501865087135, "p_serve_b": 0.5932498134912865, "players": ["Aneta Kucmova", "Isabella Shinikova"], "rest_days": [19.0, 14.0], "sport": "TENNIS", "surface": "Grass", "surface_counts": [4, 0], "surface_ratings": [1476.8109666046964, 1447.0037377708265], "tour": "WTA"}, "market_type": "moneyline", "model_version": "tennis-learned-v3", "observed_at_utc": "2026-10-11T07:23:34.104754+00:00", "probabilities": {"away": 0.4888, "home": 0.5112}, "replay_scope": "Exact full-precision serving state and rounding; upstream historical observation times are not certified.", "schema": "coded-moneyline-replay-v1", "snapshot_hash": "47a7818f987057708b8640e730a1d903fa52daf2e1993329f388159574b5f730", "sport": "TENNIS"}</t>
        </is>
      </c>
    </row>
    <row r="1265" ht="36" customHeight="1">
      <c r="A1265" s="24" t="inlineStr">
        <is>
          <t>787bef8223474ee6</t>
        </is>
      </c>
      <c r="B1265" s="24" t="inlineStr">
        <is>
          <t>2026-10-11T07:23:35.770549Z</t>
        </is>
      </c>
      <c r="C1265" s="24" t="inlineStr">
        <is>
          <t>2026-10-11T11:30Z</t>
        </is>
      </c>
      <c r="D1265" s="24" t="inlineStr">
        <is>
          <t>1079-2026:186440</t>
        </is>
      </c>
      <c r="E1265" s="24" t="inlineStr">
        <is>
          <t>TENNIS</t>
        </is>
      </c>
      <c r="F1265" s="24" t="inlineStr">
        <is>
          <t>Adrienn Nagy</t>
        </is>
      </c>
      <c r="G1265" s="24" t="inlineStr">
        <is>
          <t>Angelina Voloshchuk</t>
        </is>
      </c>
      <c r="H1265" s="24" t="inlineStr">
        <is>
          <t>spread</t>
        </is>
      </c>
      <c r="I1265" s="24" t="inlineStr">
        <is>
          <t>home</t>
        </is>
      </c>
      <c r="J1265" s="25" t="n">
        <v>-1.5</v>
      </c>
      <c r="K1265" s="24" t="inlineStr">
        <is>
          <t>polymarket_us</t>
        </is>
      </c>
      <c r="L1265" s="26" t="n">
        <v>100</v>
      </c>
      <c r="M1265" s="27" t="n">
        <v>2</v>
      </c>
      <c r="N1265" s="28" t="n">
        <v>0.5</v>
      </c>
      <c r="O1265" s="28" t="n">
        <v>0.9647</v>
      </c>
      <c r="P1265" s="28" t="n">
        <v>0.05</v>
      </c>
      <c r="Q1265" s="28" t="n">
        <v>0.4647</v>
      </c>
      <c r="R1265" s="26" t="n">
        <v>100</v>
      </c>
      <c r="S1265" s="29" t="n">
        <v>2</v>
      </c>
      <c r="T1265" s="24" t="inlineStr">
        <is>
          <t>tennis-learned-v3</t>
        </is>
      </c>
      <c r="U1265" s="24" t="inlineStr">
        <is>
          <t>settled</t>
        </is>
      </c>
      <c r="V1265" s="24" t="inlineStr">
        <is>
          <t>loss</t>
        </is>
      </c>
      <c r="W1265" s="26" t="n">
        <v>18</v>
      </c>
      <c r="X1265" s="26" t="n">
        <v>13</v>
      </c>
      <c r="Y1265" s="25" t="n"/>
      <c r="Z1265" s="26" t="n"/>
      <c r="AA1265" s="28" t="n"/>
      <c r="AB1265" s="28" t="n"/>
      <c r="AC1265" s="30" t="n">
        <v>-2</v>
      </c>
      <c r="AD1265" s="24" t="inlineStr">
        <is>
          <t>2026-10-11T16:01:35.480830Z</t>
        </is>
      </c>
      <c r="AE1265" s="31" t="inlineStr">
        <is>
          <t>Tennis Markov game spread -1.5 games: home cover p=0.965. Executable ask 0.5000 (asc-wta-angvol-adrnag-2026-10-11-gs-neg-1pt5).</t>
        </is>
      </c>
      <c r="AF1265" s="31" t="inlineStr">
        <is>
          <t>Surface-blended Elo model; singles only, WTA+ATP market coverage, not yet locked-holdout qualified -- promoted by explicit operator directive, not genuine walk-forward validation.</t>
        </is>
      </c>
      <c r="AG1265" s="24" t="inlineStr">
        <is>
          <t>review_required</t>
        </is>
      </c>
      <c r="AH1265" s="24" t="n"/>
      <c r="AI1265" s="31" t="n"/>
      <c r="AJ1265" s="31" t="n"/>
      <c r="AK1265" s="24" t="inlineStr">
        <is>
          <t>paper_call</t>
        </is>
      </c>
      <c r="AL1265" s="26" t="n">
        <v>4</v>
      </c>
      <c r="AM1265" s="24" t="inlineStr">
        <is>
          <t>RESEARCH_OBSERVATION</t>
        </is>
      </c>
      <c r="AN1265" s="24" t="inlineStr">
        <is>
          <t>CALL</t>
        </is>
      </c>
      <c r="AO1265" s="24" t="inlineStr">
        <is>
          <t>PAPER_CALL_MODEL_UNVALIDATED</t>
        </is>
      </c>
      <c r="AP1265" s="24" t="inlineStr">
        <is>
          <t>Adrienn Nagy</t>
        </is>
      </c>
      <c r="AQ1265" s="24" t="inlineStr">
        <is>
          <t>Adrienn Nagy</t>
        </is>
      </c>
      <c r="AR1265" s="24" t="inlineStr">
        <is>
          <t>Adrienn Nagy</t>
        </is>
      </c>
      <c r="AS1265" s="24" t="inlineStr">
        <is>
          <t>Angelina Voloshchuk</t>
        </is>
      </c>
      <c r="AT1265" s="24" t="inlineStr">
        <is>
          <t>Angelina Voloshchuk</t>
        </is>
      </c>
      <c r="AU1265" s="24" t="inlineStr">
        <is>
          <t>Angelina Voloshchuk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7443acc419841200d57e1edf36b77f1940cdd0c48dce3d43fcd05498a109440b</t>
        </is>
      </c>
      <c r="BB1265" s="24" t="inlineStr">
        <is>
          <t>learned_v3</t>
        </is>
      </c>
      <c r="BC1265" s="24" t="inlineStr">
        <is>
          <t>tennis-learned-v3</t>
        </is>
      </c>
      <c r="BD1265" s="24" t="inlineStr">
        <is>
          <t>7443acc419841200d57e1edf36b77f1940cdd0c48dce3d43fcd05498a109440b</t>
        </is>
      </c>
      <c r="BE1265" s="24" t="inlineStr">
        <is>
          <t>tennis-learned-v3</t>
        </is>
      </c>
      <c r="BF1265" s="24" t="inlineStr">
        <is>
          <t>1</t>
        </is>
      </c>
      <c r="BG1265" s="24" t="inlineStr">
        <is>
          <t>7443acc419841200d57e1edf36b77f1940cdd0c48dce3d43fcd05498a109440b</t>
        </is>
      </c>
      <c r="BH1265" s="24" t="inlineStr">
        <is>
          <t>2026-10-11T06:43:51.106762Z</t>
        </is>
      </c>
      <c r="BI1265" s="24" t="inlineStr">
        <is>
          <t>["same_event","same_team_same_day","same_league_same_day"]</t>
        </is>
      </c>
      <c r="BJ1265" s="25" t="n">
        <v>-1.5</v>
      </c>
      <c r="BK1265" s="26" t="n">
        <v>100</v>
      </c>
      <c r="BL1265" s="27" t="n">
        <v>2</v>
      </c>
      <c r="BM1265" s="28" t="n">
        <v>0.5</v>
      </c>
      <c r="BN1265" s="28" t="n"/>
      <c r="BO1265" s="28" t="n"/>
      <c r="BP1265" s="25" t="n"/>
      <c r="BQ1265" s="27" t="n"/>
      <c r="BR1265" s="28" t="n"/>
      <c r="BS1265" s="28" t="n"/>
      <c r="BT1265" s="28" t="n"/>
      <c r="BU1265" s="25" t="n"/>
      <c r="BV1265" s="29" t="n"/>
      <c r="BW1265" s="24" t="n"/>
      <c r="BX1265" s="30" t="n"/>
      <c r="BY1265" s="27" t="n"/>
      <c r="BZ1265" s="24" t="n"/>
      <c r="CA1265" s="31" t="n"/>
      <c r="CB1265" s="24" t="n"/>
      <c r="CC1265" s="24" t="n"/>
      <c r="CD1265" s="24" t="n"/>
      <c r="CE1265" s="24" t="n"/>
      <c r="CF1265" s="24" t="n"/>
      <c r="CG1265" s="24" t="n"/>
      <c r="CH1265" s="24" t="n"/>
      <c r="CI1265" s="24" t="n"/>
      <c r="CJ1265" s="24" t="n"/>
      <c r="CK1265" s="24" t="n"/>
      <c r="CL1265" s="24" t="n"/>
      <c r="CM1265" s="24" t="n"/>
      <c r="CN1265" s="24" t="n"/>
      <c r="CO1265" s="24" t="n"/>
      <c r="CP1265" s="24" t="n"/>
      <c r="CQ1265" s="24" t="n"/>
      <c r="CR1265" s="24" t="n"/>
      <c r="CS1265" s="24" t="inlineStr">
        <is>
          <t>True</t>
        </is>
      </c>
      <c r="CT1265" s="24" t="n"/>
      <c r="CU1265" s="24" t="n"/>
      <c r="CV1265" s="24" t="n"/>
      <c r="CW1265" s="24" t="n"/>
      <c r="CX1265" s="24" t="n"/>
      <c r="CY1265" s="24" t="n"/>
      <c r="CZ1265" s="24" t="n"/>
      <c r="DA1265" s="24" t="n"/>
      <c r="DB1265" s="24" t="n"/>
      <c r="DC1265" s="24" t="n"/>
      <c r="DD1265" s="24" t="inlineStr">
        <is>
          <t>fcf512e0bc8d1d714223cb8c5ad0529a22ff47d8c1c26f564761d086229ec583</t>
        </is>
      </c>
      <c r="DE1265" s="24" t="inlineStr">
        <is>
          <t>E:\model-prediction\data\odds\tennis\2026-10-11\polymarket_snapshots.jsonl</t>
        </is>
      </c>
      <c r="DF1265" s="24" t="inlineStr">
        <is>
          <t>1347720:2026-10-11T06:43:51.106762Z</t>
        </is>
      </c>
      <c r="DG1265" s="24" t="n"/>
      <c r="DH1265" s="24" t="n"/>
      <c r="DI1265" s="24" t="n"/>
      <c r="DJ1265" s="24" t="n"/>
      <c r="DK1265" s="24" t="n"/>
      <c r="DL1265" s="24" t="n"/>
      <c r="DM1265" s="24" t="n"/>
      <c r="DN1265" s="24" t="n"/>
      <c r="DO1265" s="24" t="n"/>
      <c r="DP1265" s="24" t="n"/>
      <c r="DQ1265" s="24" t="n"/>
    </row>
    <row r="1266" ht="36" customHeight="1">
      <c r="A1266" s="24" t="inlineStr">
        <is>
          <t>13adad7f89a74b07</t>
        </is>
      </c>
      <c r="B1266" s="24" t="inlineStr">
        <is>
          <t>2026-10-11T07:23:35.770549Z</t>
        </is>
      </c>
      <c r="C1266" s="24" t="inlineStr">
        <is>
          <t>2026-10-11T07:30Z</t>
        </is>
      </c>
      <c r="D1266" s="24" t="inlineStr">
        <is>
          <t>315-2026:184944</t>
        </is>
      </c>
      <c r="E1266" s="24" t="inlineStr">
        <is>
          <t>TENNIS</t>
        </is>
      </c>
      <c r="F1266" s="24" t="inlineStr">
        <is>
          <t>Jakub Mensik</t>
        </is>
      </c>
      <c r="G1266" s="24" t="inlineStr">
        <is>
          <t>Francisco Cerundolo</t>
        </is>
      </c>
      <c r="H1266" s="24" t="inlineStr">
        <is>
          <t>total</t>
        </is>
      </c>
      <c r="I1266" s="24" t="inlineStr">
        <is>
          <t>over</t>
        </is>
      </c>
      <c r="J1266" s="25" t="n">
        <v>22.5</v>
      </c>
      <c r="K1266" s="24" t="inlineStr">
        <is>
          <t>polymarket_us</t>
        </is>
      </c>
      <c r="L1266" s="26" t="n">
        <v>-113</v>
      </c>
      <c r="M1266" s="27" t="n">
        <v>1.884956</v>
      </c>
      <c r="N1266" s="28" t="n">
        <v>0.530516</v>
      </c>
      <c r="O1266" s="28" t="n">
        <v>0.6097</v>
      </c>
      <c r="P1266" s="28" t="n">
        <v>0.05</v>
      </c>
      <c r="Q1266" s="28" t="n">
        <v>0.079184</v>
      </c>
      <c r="R1266" s="26" t="n">
        <v>60</v>
      </c>
      <c r="S1266" s="29" t="n">
        <v>1.25</v>
      </c>
      <c r="T1266" s="24" t="inlineStr">
        <is>
          <t>tennis-learned-v3</t>
        </is>
      </c>
      <c r="U1266" s="24" t="inlineStr">
        <is>
          <t>settled</t>
        </is>
      </c>
      <c r="V1266" s="24" t="inlineStr">
        <is>
          <t>win</t>
        </is>
      </c>
      <c r="W1266" s="26" t="n">
        <v>15</v>
      </c>
      <c r="X1266" s="26" t="n">
        <v>11</v>
      </c>
      <c r="Y1266" s="25" t="n"/>
      <c r="Z1266" s="26" t="n"/>
      <c r="AA1266" s="28" t="n"/>
      <c r="AB1266" s="28" t="n"/>
      <c r="AC1266" s="30" t="n">
        <v>1.1062</v>
      </c>
      <c r="AD1266" s="24" t="inlineStr">
        <is>
          <t>2026-10-11T10:02:56.625875Z</t>
        </is>
      </c>
      <c r="AE1266" s="31" t="inlineStr">
        <is>
          <t>Tennis Markov total games line 22.5: over p=0.610. Executable ask 0.5300 (tsc-atp-fracer-jakmen-2026-10-09-tg-22pt5).</t>
        </is>
      </c>
      <c r="AF1266" s="31" t="inlineStr">
        <is>
          <t>Surface-blended Elo model; singles only, WTA+ATP market coverage, not yet locked-holdout qualified -- promoted by explicit operator directive, not genuine walk-forward validation.</t>
        </is>
      </c>
      <c r="AG1266" s="24" t="inlineStr">
        <is>
          <t>not_applicable</t>
        </is>
      </c>
      <c r="AH1266" s="24" t="n"/>
      <c r="AI1266" s="31" t="n"/>
      <c r="AJ1266" s="31" t="n"/>
      <c r="AK1266" s="24" t="inlineStr">
        <is>
          <t>model_qualified</t>
        </is>
      </c>
      <c r="AL1266" s="26" t="n">
        <v>4</v>
      </c>
      <c r="AM1266" s="24" t="inlineStr">
        <is>
          <t>QUALIFIED_SHADOW_CALL</t>
        </is>
      </c>
      <c r="AN1266" s="24" t="inlineStr">
        <is>
          <t>CALL</t>
        </is>
      </c>
      <c r="AO1266" s="24" t="inlineStr">
        <is>
          <t>QUALIFIED</t>
        </is>
      </c>
      <c r="AP1266" s="24" t="inlineStr">
        <is>
          <t>Jakub Mensik</t>
        </is>
      </c>
      <c r="AQ1266" s="24" t="inlineStr">
        <is>
          <t>Jakub Mensik</t>
        </is>
      </c>
      <c r="AR1266" s="24" t="inlineStr">
        <is>
          <t>Jakub Mensik</t>
        </is>
      </c>
      <c r="AS1266" s="24" t="inlineStr">
        <is>
          <t>Francisco Cerundolo</t>
        </is>
      </c>
      <c r="AT1266" s="24" t="inlineStr">
        <is>
          <t>Francisco Cerundolo</t>
        </is>
      </c>
      <c r="AU1266" s="24" t="inlineStr">
        <is>
          <t>Francisco Cerundolo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7443acc419841200d57e1edf36b77f1940cdd0c48dce3d43fcd05498a109440b</t>
        </is>
      </c>
      <c r="BB1266" s="24" t="inlineStr">
        <is>
          <t>learned_v3</t>
        </is>
      </c>
      <c r="BC1266" s="24" t="inlineStr">
        <is>
          <t>tennis-learned-v3</t>
        </is>
      </c>
      <c r="BD1266" s="24" t="inlineStr">
        <is>
          <t>7443acc419841200d57e1edf36b77f1940cdd0c48dce3d43fcd05498a109440b</t>
        </is>
      </c>
      <c r="BE1266" s="24" t="inlineStr">
        <is>
          <t>tennis-learned-v3</t>
        </is>
      </c>
      <c r="BF1266" s="24" t="inlineStr">
        <is>
          <t>1</t>
        </is>
      </c>
      <c r="BG1266" s="24" t="inlineStr">
        <is>
          <t>7443acc419841200d57e1edf36b77f1940cdd0c48dce3d43fcd05498a109440b</t>
        </is>
      </c>
      <c r="BH1266" s="24" t="inlineStr">
        <is>
          <t>2026-10-11T06:49:40.547368Z</t>
        </is>
      </c>
      <c r="BI1266" s="24" t="inlineStr">
        <is>
          <t>["same_event","same_team_same_day","same_league_same_day"]</t>
        </is>
      </c>
      <c r="BJ1266" s="25" t="n">
        <v>22.5</v>
      </c>
      <c r="BK1266" s="26" t="n">
        <v>-113</v>
      </c>
      <c r="BL1266" s="27" t="n">
        <v>1.884956</v>
      </c>
      <c r="BM1266" s="28" t="n">
        <v>0.530516</v>
      </c>
      <c r="BN1266" s="28" t="n"/>
      <c r="BO1266" s="28" t="n"/>
      <c r="BP1266" s="25" t="n"/>
      <c r="BQ1266" s="27" t="n"/>
      <c r="BR1266" s="28" t="n"/>
      <c r="BS1266" s="28" t="n"/>
      <c r="BT1266" s="28" t="n"/>
      <c r="BU1266" s="25" t="n"/>
      <c r="BV1266" s="29" t="n"/>
      <c r="BW1266" s="24" t="n"/>
      <c r="BX1266" s="30" t="n"/>
      <c r="BY1266" s="27" t="n"/>
      <c r="BZ1266" s="24" t="n"/>
      <c r="CA1266" s="31" t="n"/>
      <c r="CB1266" s="24" t="n"/>
      <c r="CC1266" s="24" t="n"/>
      <c r="CD1266" s="24" t="n"/>
      <c r="CE1266" s="24" t="n"/>
      <c r="CF1266" s="24" t="n"/>
      <c r="CG1266" s="24" t="n"/>
      <c r="CH1266" s="24" t="n"/>
      <c r="CI1266" s="24" t="n"/>
      <c r="CJ1266" s="24" t="n"/>
      <c r="CK1266" s="24" t="n"/>
      <c r="CL1266" s="24" t="n"/>
      <c r="CM1266" s="24" t="n"/>
      <c r="CN1266" s="24" t="n"/>
      <c r="CO1266" s="24" t="n"/>
      <c r="CP1266" s="24" t="n"/>
      <c r="CQ1266" s="24" t="n"/>
      <c r="CR1266" s="24" t="n"/>
      <c r="CS1266" s="24" t="inlineStr">
        <is>
          <t>True</t>
        </is>
      </c>
      <c r="CT1266" s="24" t="n"/>
      <c r="CU1266" s="24" t="n"/>
      <c r="CV1266" s="24" t="n"/>
      <c r="CW1266" s="24" t="n"/>
      <c r="CX1266" s="24" t="n"/>
      <c r="CY1266" s="24" t="n"/>
      <c r="CZ1266" s="24" t="n"/>
      <c r="DA1266" s="24" t="n"/>
      <c r="DB1266" s="24" t="n"/>
      <c r="DC1266" s="24" t="n"/>
      <c r="DD1266" s="24" t="inlineStr">
        <is>
          <t>9b8a12c77b7c2fa9b7db277dce2efec44d3ed2ab544aea6bc4393c4ca258591d</t>
        </is>
      </c>
      <c r="DE1266" s="24" t="inlineStr">
        <is>
          <t>E:\model-prediction\data\odds\tennis\2026-10-11\polymarket_snapshots.jsonl</t>
        </is>
      </c>
      <c r="DF1266" s="24" t="inlineStr">
        <is>
          <t>1326187:2026-10-11T06:49:40.547368Z</t>
        </is>
      </c>
      <c r="DG1266" s="24" t="n"/>
      <c r="DH1266" s="24" t="n"/>
      <c r="DI1266" s="24" t="n"/>
      <c r="DJ1266" s="24" t="n"/>
      <c r="DK1266" s="24" t="n"/>
      <c r="DL1266" s="24" t="n"/>
      <c r="DM1266" s="24" t="n"/>
      <c r="DN1266" s="24" t="n"/>
      <c r="DO1266" s="24" t="n"/>
      <c r="DP1266" s="24" t="n"/>
      <c r="DQ1266" s="24" t="n"/>
    </row>
    <row r="1267" ht="36" customHeight="1">
      <c r="A1267" s="24" t="inlineStr">
        <is>
          <t>0f20073e55ef4dfb</t>
        </is>
      </c>
      <c r="B1267" s="24" t="inlineStr">
        <is>
          <t>2026-10-11T07:23:35.770549Z</t>
        </is>
      </c>
      <c r="C1267" s="24" t="inlineStr">
        <is>
          <t>2026-10-11T07:30Z</t>
        </is>
      </c>
      <c r="D1267" s="24" t="inlineStr">
        <is>
          <t>315-2026:184944</t>
        </is>
      </c>
      <c r="E1267" s="24" t="inlineStr">
        <is>
          <t>TENNIS</t>
        </is>
      </c>
      <c r="F1267" s="24" t="inlineStr">
        <is>
          <t>Jakub Mensik</t>
        </is>
      </c>
      <c r="G1267" s="24" t="inlineStr">
        <is>
          <t>Francisco Cerundolo</t>
        </is>
      </c>
      <c r="H1267" s="24" t="inlineStr">
        <is>
          <t>spread</t>
        </is>
      </c>
      <c r="I1267" s="24" t="inlineStr">
        <is>
          <t>away</t>
        </is>
      </c>
      <c r="J1267" s="25" t="n">
        <v>-7.5</v>
      </c>
      <c r="K1267" s="24" t="inlineStr">
        <is>
          <t>polymarket_us</t>
        </is>
      </c>
      <c r="L1267" s="26" t="n">
        <v>138</v>
      </c>
      <c r="M1267" s="27" t="n">
        <v>2.38</v>
      </c>
      <c r="N1267" s="28" t="n">
        <v>0.420168</v>
      </c>
      <c r="O1267" s="28" t="n">
        <v>0.9837</v>
      </c>
      <c r="P1267" s="28" t="n">
        <v>0.05</v>
      </c>
      <c r="Q1267" s="28" t="n">
        <v>0.563532</v>
      </c>
      <c r="R1267" s="26" t="n">
        <v>100</v>
      </c>
      <c r="S1267" s="29" t="n">
        <v>2</v>
      </c>
      <c r="T1267" s="24" t="inlineStr">
        <is>
          <t>tennis-learned-v3</t>
        </is>
      </c>
      <c r="U1267" s="24" t="inlineStr">
        <is>
          <t>settled</t>
        </is>
      </c>
      <c r="V1267" s="24" t="inlineStr">
        <is>
          <t>loss</t>
        </is>
      </c>
      <c r="W1267" s="26" t="n">
        <v>15</v>
      </c>
      <c r="X1267" s="26" t="n">
        <v>11</v>
      </c>
      <c r="Y1267" s="25" t="n"/>
      <c r="Z1267" s="26" t="n"/>
      <c r="AA1267" s="28" t="n"/>
      <c r="AB1267" s="28" t="n"/>
      <c r="AC1267" s="30" t="n">
        <v>-2</v>
      </c>
      <c r="AD1267" s="24" t="inlineStr">
        <is>
          <t>2026-10-11T10:03:01.893689Z</t>
        </is>
      </c>
      <c r="AE1267" s="31" t="inlineStr">
        <is>
          <t>Tennis Markov game spread -7.5 games: away cover p=0.984. Executable ask 0.4200 (asc-atp-fracer-jakmen-2026-10-09-gs-neg-7pt5).</t>
        </is>
      </c>
      <c r="AF1267" s="31" t="inlineStr">
        <is>
          <t>Surface-blended Elo model; singles only, WTA+ATP market coverage, not yet locked-holdout qualified -- promoted by explicit operator directive, not genuine walk-forward validation.</t>
        </is>
      </c>
      <c r="AG1267" s="24" t="inlineStr">
        <is>
          <t>review_required</t>
        </is>
      </c>
      <c r="AH1267" s="24" t="n"/>
      <c r="AI1267" s="31" t="n"/>
      <c r="AJ1267" s="31" t="n"/>
      <c r="AK1267" s="24" t="inlineStr">
        <is>
          <t>model_qualified</t>
        </is>
      </c>
      <c r="AL1267" s="26" t="n">
        <v>4</v>
      </c>
      <c r="AM1267" s="24" t="inlineStr">
        <is>
          <t>QUALIFIED_SHADOW_CALL</t>
        </is>
      </c>
      <c r="AN1267" s="24" t="inlineStr">
        <is>
          <t>CALL</t>
        </is>
      </c>
      <c r="AO1267" s="24" t="inlineStr">
        <is>
          <t>QUALIFIED</t>
        </is>
      </c>
      <c r="AP1267" s="24" t="inlineStr">
        <is>
          <t>Jakub Mensik</t>
        </is>
      </c>
      <c r="AQ1267" s="24" t="inlineStr">
        <is>
          <t>Jakub Mensik</t>
        </is>
      </c>
      <c r="AR1267" s="24" t="inlineStr">
        <is>
          <t>Jakub Mensik</t>
        </is>
      </c>
      <c r="AS1267" s="24" t="inlineStr">
        <is>
          <t>Francisco Cerundolo</t>
        </is>
      </c>
      <c r="AT1267" s="24" t="inlineStr">
        <is>
          <t>Francisco Cerundolo</t>
        </is>
      </c>
      <c r="AU1267" s="24" t="inlineStr">
        <is>
          <t>Francisco Cerundolo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7443acc419841200d57e1edf36b77f1940cdd0c48dce3d43fcd05498a109440b</t>
        </is>
      </c>
      <c r="BB1267" s="24" t="inlineStr">
        <is>
          <t>learned_v3</t>
        </is>
      </c>
      <c r="BC1267" s="24" t="inlineStr">
        <is>
          <t>tennis-learned-v3</t>
        </is>
      </c>
      <c r="BD1267" s="24" t="inlineStr">
        <is>
          <t>7443acc419841200d57e1edf36b77f1940cdd0c48dce3d43fcd05498a109440b</t>
        </is>
      </c>
      <c r="BE1267" s="24" t="inlineStr">
        <is>
          <t>tennis-learned-v3</t>
        </is>
      </c>
      <c r="BF1267" s="24" t="inlineStr">
        <is>
          <t>1</t>
        </is>
      </c>
      <c r="BG1267" s="24" t="inlineStr">
        <is>
          <t>7443acc419841200d57e1edf36b77f1940cdd0c48dce3d43fcd05498a109440b</t>
        </is>
      </c>
      <c r="BH1267" s="24" t="inlineStr">
        <is>
          <t>2026-10-11T06:50:00.717094Z</t>
        </is>
      </c>
      <c r="BI1267" s="24" t="inlineStr">
        <is>
          <t>["same_event","same_team_same_day","same_league_same_day"]</t>
        </is>
      </c>
      <c r="BJ1267" s="25" t="n">
        <v>-7.5</v>
      </c>
      <c r="BK1267" s="26" t="n">
        <v>138</v>
      </c>
      <c r="BL1267" s="27" t="n">
        <v>2.38</v>
      </c>
      <c r="BM1267" s="28" t="n">
        <v>0.420168</v>
      </c>
      <c r="BN1267" s="28" t="n"/>
      <c r="BO1267" s="28" t="n"/>
      <c r="BP1267" s="25" t="n"/>
      <c r="BQ1267" s="27" t="n"/>
      <c r="BR1267" s="28" t="n"/>
      <c r="BS1267" s="28" t="n"/>
      <c r="BT1267" s="28" t="n"/>
      <c r="BU1267" s="25" t="n"/>
      <c r="BV1267" s="29" t="n"/>
      <c r="BW1267" s="24" t="n"/>
      <c r="BX1267" s="30" t="n"/>
      <c r="BY1267" s="27" t="n"/>
      <c r="BZ1267" s="24" t="n"/>
      <c r="CA1267" s="31" t="n"/>
      <c r="CB1267" s="24" t="n"/>
      <c r="CC1267" s="24" t="n"/>
      <c r="CD1267" s="24" t="n"/>
      <c r="CE1267" s="24" t="n"/>
      <c r="CF1267" s="24" t="n"/>
      <c r="CG1267" s="24" t="n"/>
      <c r="CH1267" s="24" t="n"/>
      <c r="CI1267" s="24" t="n"/>
      <c r="CJ1267" s="24" t="n"/>
      <c r="CK1267" s="24" t="n"/>
      <c r="CL1267" s="24" t="n"/>
      <c r="CM1267" s="24" t="n"/>
      <c r="CN1267" s="24" t="n"/>
      <c r="CO1267" s="24" t="n"/>
      <c r="CP1267" s="24" t="n"/>
      <c r="CQ1267" s="24" t="n"/>
      <c r="CR1267" s="24" t="n"/>
      <c r="CS1267" s="24" t="inlineStr">
        <is>
          <t>True</t>
        </is>
      </c>
      <c r="CT1267" s="24" t="n"/>
      <c r="CU1267" s="24" t="n"/>
      <c r="CV1267" s="24" t="n"/>
      <c r="CW1267" s="24" t="n"/>
      <c r="CX1267" s="24" t="n"/>
      <c r="CY1267" s="24" t="n"/>
      <c r="CZ1267" s="24" t="n"/>
      <c r="DA1267" s="24" t="n"/>
      <c r="DB1267" s="24" t="n"/>
      <c r="DC1267" s="24" t="n"/>
      <c r="DD1267" s="24" t="inlineStr">
        <is>
          <t>c3c1782aea6b446357152be816d4c38d437469e27f19c12259f27b2f40ec1ad9</t>
        </is>
      </c>
      <c r="DE1267" s="24" t="inlineStr">
        <is>
          <t>E:\model-prediction\data\odds\tennis\2026-10-11\polymarket_snapshots.jsonl</t>
        </is>
      </c>
      <c r="DF1267" s="24" t="inlineStr">
        <is>
          <t>1326200:2026-10-11T06:50:00.717094Z</t>
        </is>
      </c>
      <c r="DG1267" s="24" t="n"/>
      <c r="DH1267" s="24" t="n"/>
      <c r="DI1267" s="24" t="n"/>
      <c r="DJ1267" s="24" t="n"/>
      <c r="DK1267" s="24" t="n"/>
      <c r="DL1267" s="24" t="n"/>
      <c r="DM1267" s="24" t="n"/>
      <c r="DN1267" s="24" t="n"/>
      <c r="DO1267" s="24" t="n"/>
      <c r="DP1267" s="24" t="n"/>
      <c r="DQ1267" s="24" t="n"/>
    </row>
    <row r="1268" ht="36" customHeight="1">
      <c r="A1268" s="24" t="inlineStr">
        <is>
          <t>0d305eb8336d461f</t>
        </is>
      </c>
      <c r="B1268" s="24" t="inlineStr">
        <is>
          <t>2026-10-11T07:23:35.770549Z</t>
        </is>
      </c>
      <c r="C1268" s="24" t="inlineStr">
        <is>
          <t>2026-10-11T07:30Z</t>
        </is>
      </c>
      <c r="D1268" s="24" t="inlineStr">
        <is>
          <t>315-2026:184944</t>
        </is>
      </c>
      <c r="E1268" s="24" t="inlineStr">
        <is>
          <t>TENNIS</t>
        </is>
      </c>
      <c r="F1268" s="24" t="inlineStr">
        <is>
          <t>Jakub Mensik</t>
        </is>
      </c>
      <c r="G1268" s="24" t="inlineStr">
        <is>
          <t>Francisco Cerundolo</t>
        </is>
      </c>
      <c r="H1268" s="24" t="inlineStr">
        <is>
          <t>moneyline</t>
        </is>
      </c>
      <c r="I1268" s="24" t="inlineStr">
        <is>
          <t>home</t>
        </is>
      </c>
      <c r="J1268" s="25" t="n"/>
      <c r="K1268" s="24" t="inlineStr">
        <is>
          <t>polymarket_us</t>
        </is>
      </c>
      <c r="L1268" s="26" t="n">
        <v>138</v>
      </c>
      <c r="M1268" s="27" t="n">
        <v>2.38</v>
      </c>
      <c r="N1268" s="28" t="n">
        <v>0.420168</v>
      </c>
      <c r="O1268" s="28" t="n">
        <v>0.5279</v>
      </c>
      <c r="P1268" s="28" t="n">
        <v>0.05</v>
      </c>
      <c r="Q1268" s="28" t="n">
        <v>0.107732</v>
      </c>
      <c r="R1268" s="26" t="n">
        <v>74</v>
      </c>
      <c r="S1268" s="29" t="n">
        <v>1.5</v>
      </c>
      <c r="T1268" s="24" t="inlineStr">
        <is>
          <t>tennis-learned-v3</t>
        </is>
      </c>
      <c r="U1268" s="24" t="inlineStr">
        <is>
          <t>settled</t>
        </is>
      </c>
      <c r="V1268" s="24" t="inlineStr">
        <is>
          <t>loss</t>
        </is>
      </c>
      <c r="W1268" s="26" t="n">
        <v>1</v>
      </c>
      <c r="X1268" s="26" t="n">
        <v>0</v>
      </c>
      <c r="Y1268" s="25" t="n"/>
      <c r="Z1268" s="26" t="n">
        <v>138</v>
      </c>
      <c r="AA1268" s="28" t="n">
        <v>0.42</v>
      </c>
      <c r="AB1268" s="28" t="n">
        <v>-0.000168</v>
      </c>
      <c r="AC1268" s="30" t="n">
        <v>-1.5</v>
      </c>
      <c r="AD1268" s="24" t="inlineStr">
        <is>
          <t>2026-10-11T10:03:06.643946Z</t>
        </is>
      </c>
      <c r="AE1268" s="31" t="inlineStr">
        <is>
          <t>Tennis v3 Learned Fundamental on Hard (Bo3): Jakub Mensik p=0.472 vs Francisco Cerundolo. Executable ask 0.4200 (aec-atp-fracer-jakmen-2026-10-09).</t>
        </is>
      </c>
      <c r="AF1268" s="31" t="inlineStr">
        <is>
          <t>Surface-blended Elo model; singles only, WTA+ATP market coverage, not yet locked-holdout qualified -- promoted by explicit operator directive, not genuine walk-forward validation.</t>
        </is>
      </c>
      <c r="AG1268" s="24" t="inlineStr">
        <is>
          <t>review_required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PAPER_CALL_LOW_EDGE</t>
        </is>
      </c>
      <c r="AP1268" s="24" t="inlineStr">
        <is>
          <t>Jakub Mensik</t>
        </is>
      </c>
      <c r="AQ1268" s="24" t="inlineStr">
        <is>
          <t>Jakub Mensik</t>
        </is>
      </c>
      <c r="AR1268" s="24" t="inlineStr">
        <is>
          <t>Jakub Mensik</t>
        </is>
      </c>
      <c r="AS1268" s="24" t="inlineStr">
        <is>
          <t>Francisco Cerundolo</t>
        </is>
      </c>
      <c r="AT1268" s="24" t="inlineStr">
        <is>
          <t>Francisco Cerundolo</t>
        </is>
      </c>
      <c r="AU1268" s="24" t="inlineStr">
        <is>
          <t>Francisco Cerundolo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7443acc419841200d57e1edf36b77f1940cdd0c48dce3d43fcd05498a109440b</t>
        </is>
      </c>
      <c r="BB1268" s="24" t="inlineStr">
        <is>
          <t>learned_v3</t>
        </is>
      </c>
      <c r="BC1268" s="24" t="inlineStr">
        <is>
          <t>tennis-learned-v3</t>
        </is>
      </c>
      <c r="BD1268" s="24" t="inlineStr">
        <is>
          <t>7443acc419841200d57e1edf36b77f1940cdd0c48dce3d43fcd05498a109440b</t>
        </is>
      </c>
      <c r="BE1268" s="24" t="inlineStr">
        <is>
          <t>tennis-learned-v3</t>
        </is>
      </c>
      <c r="BF1268" s="24" t="inlineStr">
        <is>
          <t>1</t>
        </is>
      </c>
      <c r="BG1268" s="24" t="inlineStr">
        <is>
          <t>7443acc419841200d57e1edf36b77f1940cdd0c48dce3d43fcd05498a109440b</t>
        </is>
      </c>
      <c r="BH1268" s="24" t="inlineStr">
        <is>
          <t>2026-10-11T06:49:40.575172Z</t>
        </is>
      </c>
      <c r="BI1268" s="24" t="inlineStr">
        <is>
          <t>["same_event","same_team_same_day","same_league_same_day"]</t>
        </is>
      </c>
      <c r="BJ1268" s="25" t="n"/>
      <c r="BK1268" s="26" t="n">
        <v>138</v>
      </c>
      <c r="BL1268" s="27" t="n">
        <v>2.38</v>
      </c>
      <c r="BM1268" s="28" t="n">
        <v>0.420168</v>
      </c>
      <c r="BN1268" s="28" t="n"/>
      <c r="BO1268" s="28" t="n"/>
      <c r="BP1268" s="25" t="n"/>
      <c r="BQ1268" s="27" t="n">
        <v>2.38</v>
      </c>
      <c r="BR1268" s="28" t="n">
        <v>0.42</v>
      </c>
      <c r="BS1268" s="28" t="n"/>
      <c r="BT1268" s="28" t="n"/>
      <c r="BU1268" s="25" t="n"/>
      <c r="BV1268" s="29" t="n"/>
      <c r="BW1268" s="24" t="n"/>
      <c r="BX1268" s="30" t="n"/>
      <c r="BY1268" s="27" t="n"/>
      <c r="BZ1268" s="24" t="n"/>
      <c r="CA1268" s="31" t="n"/>
      <c r="CB1268" s="24" t="n"/>
      <c r="CC1268" s="24" t="n"/>
      <c r="CD1268" s="24" t="n"/>
      <c r="CE1268" s="24" t="n"/>
      <c r="CF1268" s="24" t="n"/>
      <c r="CG1268" s="24" t="n"/>
      <c r="CH1268" s="24" t="n"/>
      <c r="CI1268" s="24" t="n"/>
      <c r="CJ1268" s="24" t="n"/>
      <c r="CK1268" s="24" t="n"/>
      <c r="CL1268" s="24" t="n"/>
      <c r="CM1268" s="24" t="n"/>
      <c r="CN1268" s="24" t="n"/>
      <c r="CO1268" s="24" t="n"/>
      <c r="CP1268" s="24" t="n"/>
      <c r="CQ1268" s="24" t="n"/>
      <c r="CR1268" s="24" t="n"/>
      <c r="CS1268" s="24" t="inlineStr">
        <is>
          <t>True</t>
        </is>
      </c>
      <c r="CT1268" s="24" t="n"/>
      <c r="CU1268" s="24" t="n"/>
      <c r="CV1268" s="24" t="n"/>
      <c r="CW1268" s="24" t="n"/>
      <c r="CX1268" s="24" t="n"/>
      <c r="CY1268" s="24" t="n"/>
      <c r="CZ1268" s="24" t="n"/>
      <c r="DA1268" s="24" t="n"/>
      <c r="DB1268" s="24" t="n"/>
      <c r="DC1268" s="24" t="n"/>
      <c r="DD1268" s="24" t="inlineStr">
        <is>
          <t>01837730561596903541ed39b1335aba760ce4551edefd1cff93a45615a67d12</t>
        </is>
      </c>
      <c r="DE1268" s="24" t="inlineStr">
        <is>
          <t>E:\model-prediction\data\odds\tennis\2026-10-11\polymarket_snapshots.jsonl</t>
        </is>
      </c>
      <c r="DF1268" s="24" t="inlineStr">
        <is>
          <t>1310980:2026-10-11T06:49:40.575172Z</t>
        </is>
      </c>
      <c r="DG1268" s="24" t="n"/>
      <c r="DH1268" s="24" t="n"/>
      <c r="DI1268" s="24" t="n"/>
      <c r="DJ1268" s="24" t="n"/>
      <c r="DK1268" s="24" t="n"/>
      <c r="DL1268" s="24" t="n"/>
      <c r="DM1268" s="24" t="n"/>
      <c r="DN1268" s="24" t="n"/>
      <c r="DO1268" s="24" t="n"/>
      <c r="DP1268" s="24" t="n"/>
      <c r="DQ1268" s="24" t="inlineStr">
        <is>
          <t>{"artifact_hash": "7443acc419841200d57e1edf36b77f1940cdd0c48dce3d43fcd05498a109440b", "away_team": "Jakub Mensik", "event_id": "315-2026:184944", "event_start_utc": "2026-10-11T07:30Z", "features": {"elo_p1_surface": 1660.7, "elo_p2_surface": 1693.5, "expected_games_p1": 12.59, "expected_games_p2": 12.94, "expected_total_games": 25.53, "history_matches": 11470, "min_player_matches": 154, "surface": "Hard"}, "historical_source_observation_times_verified": false, "home_team": "Francisco Cerundolo", "inference_inputs": {"best_of": 3, "code_sha256": {"features/elo_ratings.py": "8525faf022a6343c452286dbfeb17dbb043744c6bdabbe448b6b371216da439b", "models/tennis.py": "7443acc419841200d57e1edf36b77f1940cdd0c48dce3d43fcd05498a109440b"}, "counts": [154, 168], "market_probability": null, "model_version": "tennis-learned-v3", "overall_ratings": [1737.3320654266834, 1740.5470957073862], "p_serve_a": 0.6269084777219437, "p_serve_b": 0.6430915222780563, "players": ["Jakub Mensik", "Francisco Cerundolo"], "rest_days": [1.0, 1.0], "sport": "TENNIS", "surface": "Hard", "surface_counts": [113, 118], "surface_ratings": [1660.6878713898232, 1693.5450527482367], "tour": "ATP"}, "market_type": "moneyline", "model_version": "tennis-learned-v3", "observed_at_utc": "2026-10-11T07:23:34.104754+00:00", "probabilities": {"away": 0.4721, "home": 0.5279}, "replay_scope": "Exact full-precision serving state and rounding; upstream historical observation times are not certified.", "schema": "coded-moneyline-replay-v1", "snapshot_hash": "f30780f7ee3b9022c982a55692966f445bf9ac14624d2184cba206abd96c8335", "sport": "TENNIS"}</t>
        </is>
      </c>
    </row>
    <row r="1269" ht="36" customHeight="1">
      <c r="A1269" s="24" t="inlineStr">
        <is>
          <t>bce0e086f79a43ba</t>
        </is>
      </c>
      <c r="B1269" s="24" t="inlineStr">
        <is>
          <t>2026-10-11T07:23:35.770549Z</t>
        </is>
      </c>
      <c r="C1269" s="24" t="inlineStr">
        <is>
          <t>2026-10-11T08:30Z</t>
        </is>
      </c>
      <c r="D1269" s="24" t="inlineStr">
        <is>
          <t>315-2026:184931</t>
        </is>
      </c>
      <c r="E1269" s="24" t="inlineStr">
        <is>
          <t>TENNIS</t>
        </is>
      </c>
      <c r="F1269" s="24" t="inlineStr">
        <is>
          <t>Brandon Nakashima</t>
        </is>
      </c>
      <c r="G1269" s="24" t="inlineStr">
        <is>
          <t>Alexander Bublik</t>
        </is>
      </c>
      <c r="H1269" s="24" t="inlineStr">
        <is>
          <t>total</t>
        </is>
      </c>
      <c r="I1269" s="24" t="inlineStr">
        <is>
          <t>over</t>
        </is>
      </c>
      <c r="J1269" s="25" t="n">
        <v>22.5</v>
      </c>
      <c r="K1269" s="24" t="inlineStr">
        <is>
          <t>polymarket_us</t>
        </is>
      </c>
      <c r="L1269" s="26" t="n">
        <v>-156</v>
      </c>
      <c r="M1269" s="27" t="n">
        <v>1.641026</v>
      </c>
      <c r="N1269" s="28" t="n">
        <v>0.609375</v>
      </c>
      <c r="O1269" s="28" t="n">
        <v>0.5963000000000001</v>
      </c>
      <c r="P1269" s="28" t="n">
        <v>0.05</v>
      </c>
      <c r="Q1269" s="28" t="n">
        <v>-0.013075</v>
      </c>
      <c r="R1269" s="26" t="n">
        <v>13</v>
      </c>
      <c r="S1269" s="29" t="n">
        <v>1</v>
      </c>
      <c r="T1269" s="24" t="inlineStr">
        <is>
          <t>tennis-learned-v3</t>
        </is>
      </c>
      <c r="U1269" s="24" t="inlineStr">
        <is>
          <t>settled</t>
        </is>
      </c>
      <c r="V1269" s="24" t="inlineStr">
        <is>
          <t>win</t>
        </is>
      </c>
      <c r="W1269" s="26" t="n">
        <v>16</v>
      </c>
      <c r="X1269" s="26" t="n">
        <v>19</v>
      </c>
      <c r="Y1269" s="25" t="n"/>
      <c r="Z1269" s="26" t="n"/>
      <c r="AA1269" s="28" t="n"/>
      <c r="AB1269" s="28" t="n"/>
      <c r="AC1269" s="30" t="n">
        <v>0.641</v>
      </c>
      <c r="AD1269" s="24" t="inlineStr">
        <is>
          <t>2026-10-11T16:01:40.416332Z</t>
        </is>
      </c>
      <c r="AE1269" s="31" t="inlineStr">
        <is>
          <t>Tennis Markov total games line 22.5: over p=0.596. Executable ask 0.6100 (tsc-atp-alebub-branak-2026-10-09-tg-22pt5).</t>
        </is>
      </c>
      <c r="AF1269" s="31" t="inlineStr">
        <is>
          <t>Surface-blended Elo model; singles only, WTA+ATP market coverage, not yet locked-holdout qualified -- promoted by explicit operator directive, not genuine walk-forward validation.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PAPER_CALL_LOW_EDGE</t>
        </is>
      </c>
      <c r="AP1269" s="24" t="inlineStr">
        <is>
          <t>Brandon Nakashima</t>
        </is>
      </c>
      <c r="AQ1269" s="24" t="inlineStr">
        <is>
          <t>Brandon Nakashima</t>
        </is>
      </c>
      <c r="AR1269" s="24" t="inlineStr">
        <is>
          <t>Brandon Nakashima</t>
        </is>
      </c>
      <c r="AS1269" s="24" t="inlineStr">
        <is>
          <t>Alexander Bublik</t>
        </is>
      </c>
      <c r="AT1269" s="24" t="inlineStr">
        <is>
          <t>Alexander Bublik</t>
        </is>
      </c>
      <c r="AU1269" s="24" t="inlineStr">
        <is>
          <t>Alexander Bublik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7443acc419841200d57e1edf36b77f1940cdd0c48dce3d43fcd05498a109440b</t>
        </is>
      </c>
      <c r="BB1269" s="24" t="inlineStr">
        <is>
          <t>learned_v3</t>
        </is>
      </c>
      <c r="BC1269" s="24" t="inlineStr">
        <is>
          <t>tennis-learned-v3</t>
        </is>
      </c>
      <c r="BD1269" s="24" t="inlineStr">
        <is>
          <t>7443acc419841200d57e1edf36b77f1940cdd0c48dce3d43fcd05498a109440b</t>
        </is>
      </c>
      <c r="BE1269" s="24" t="inlineStr">
        <is>
          <t>tennis-learned-v3</t>
        </is>
      </c>
      <c r="BF1269" s="24" t="inlineStr">
        <is>
          <t>1</t>
        </is>
      </c>
      <c r="BG1269" s="24" t="inlineStr">
        <is>
          <t>7443acc419841200d57e1edf36b77f1940cdd0c48dce3d43fcd05498a109440b</t>
        </is>
      </c>
      <c r="BH1269" s="24" t="inlineStr">
        <is>
          <t>2026-10-11T06:51:00.154876Z</t>
        </is>
      </c>
      <c r="BI1269" s="24" t="inlineStr">
        <is>
          <t>["same_event","same_team_same_day","same_league_same_day"]</t>
        </is>
      </c>
      <c r="BJ1269" s="25" t="n">
        <v>22.5</v>
      </c>
      <c r="BK1269" s="26" t="n">
        <v>-156</v>
      </c>
      <c r="BL1269" s="27" t="n">
        <v>1.641026</v>
      </c>
      <c r="BM1269" s="28" t="n">
        <v>0.609375</v>
      </c>
      <c r="BN1269" s="28" t="n"/>
      <c r="BO1269" s="28" t="n"/>
      <c r="BP1269" s="25" t="n"/>
      <c r="BQ1269" s="27" t="n"/>
      <c r="BR1269" s="28" t="n"/>
      <c r="BS1269" s="28" t="n"/>
      <c r="BT1269" s="28" t="n"/>
      <c r="BU1269" s="25" t="n"/>
      <c r="BV1269" s="29" t="n"/>
      <c r="BW1269" s="24" t="n"/>
      <c r="BX1269" s="30" t="n"/>
      <c r="BY1269" s="27" t="n"/>
      <c r="BZ1269" s="24" t="n"/>
      <c r="CA1269" s="31" t="n"/>
      <c r="CB1269" s="24" t="n"/>
      <c r="CC1269" s="24" t="n"/>
      <c r="CD1269" s="24" t="n"/>
      <c r="CE1269" s="24" t="n"/>
      <c r="CF1269" s="24" t="n"/>
      <c r="CG1269" s="24" t="n"/>
      <c r="CH1269" s="24" t="n"/>
      <c r="CI1269" s="24" t="n"/>
      <c r="CJ1269" s="24" t="n"/>
      <c r="CK1269" s="24" t="n"/>
      <c r="CL1269" s="24" t="n"/>
      <c r="CM1269" s="24" t="n"/>
      <c r="CN1269" s="24" t="n"/>
      <c r="CO1269" s="24" t="n"/>
      <c r="CP1269" s="24" t="n"/>
      <c r="CQ1269" s="24" t="n"/>
      <c r="CR1269" s="24" t="n"/>
      <c r="CS1269" s="24" t="inlineStr">
        <is>
          <t>False</t>
        </is>
      </c>
      <c r="CT1269" s="24" t="n"/>
      <c r="CU1269" s="24" t="n"/>
      <c r="CV1269" s="24" t="n"/>
      <c r="CW1269" s="24" t="n"/>
      <c r="CX1269" s="24" t="n"/>
      <c r="CY1269" s="24" t="n"/>
      <c r="CZ1269" s="24" t="n"/>
      <c r="DA1269" s="24" t="n"/>
      <c r="DB1269" s="24" t="n"/>
      <c r="DC1269" s="24" t="n"/>
      <c r="DD1269" s="24" t="inlineStr">
        <is>
          <t>22c5d69aceedceae5f0150d80ffa0c4c868c6619af371e015325764e85e56daa</t>
        </is>
      </c>
      <c r="DE1269" s="24" t="inlineStr">
        <is>
          <t>E:\model-prediction\data\odds\tennis\2026-10-11\polymarket_snapshots.jsonl</t>
        </is>
      </c>
      <c r="DF1269" s="24" t="inlineStr">
        <is>
          <t>1326186:2026-10-11T06:51:00.154876Z</t>
        </is>
      </c>
      <c r="DG1269" s="24" t="n"/>
      <c r="DH1269" s="24" t="n"/>
      <c r="DI1269" s="24" t="n"/>
      <c r="DJ1269" s="24" t="n"/>
      <c r="DK1269" s="24" t="n"/>
      <c r="DL1269" s="24" t="n"/>
      <c r="DM1269" s="24" t="n"/>
      <c r="DN1269" s="24" t="n"/>
      <c r="DO1269" s="24" t="n"/>
      <c r="DP1269" s="24" t="n"/>
      <c r="DQ1269" s="24" t="n"/>
    </row>
    <row r="1270" ht="36" customHeight="1">
      <c r="A1270" s="24" t="inlineStr">
        <is>
          <t>46ec0be238c847fa</t>
        </is>
      </c>
      <c r="B1270" s="24" t="inlineStr">
        <is>
          <t>2026-10-11T07:23:35.770549Z</t>
        </is>
      </c>
      <c r="C1270" s="24" t="inlineStr">
        <is>
          <t>2026-10-11T08:30Z</t>
        </is>
      </c>
      <c r="D1270" s="24" t="inlineStr">
        <is>
          <t>315-2026:184931</t>
        </is>
      </c>
      <c r="E1270" s="24" t="inlineStr">
        <is>
          <t>TENNIS</t>
        </is>
      </c>
      <c r="F1270" s="24" t="inlineStr">
        <is>
          <t>Brandon Nakashima</t>
        </is>
      </c>
      <c r="G1270" s="24" t="inlineStr">
        <is>
          <t>Alexander Bublik</t>
        </is>
      </c>
      <c r="H1270" s="24" t="inlineStr">
        <is>
          <t>spread</t>
        </is>
      </c>
      <c r="I1270" s="24" t="inlineStr">
        <is>
          <t>away</t>
        </is>
      </c>
      <c r="J1270" s="25" t="n">
        <v>-1.5</v>
      </c>
      <c r="K1270" s="24" t="inlineStr">
        <is>
          <t>polymarket_us</t>
        </is>
      </c>
      <c r="L1270" s="26" t="n">
        <v>144</v>
      </c>
      <c r="M1270" s="27" t="n">
        <v>2.44</v>
      </c>
      <c r="N1270" s="28" t="n">
        <v>0.409836</v>
      </c>
      <c r="O1270" s="28" t="n">
        <v>0.6976</v>
      </c>
      <c r="P1270" s="28" t="n">
        <v>0.05</v>
      </c>
      <c r="Q1270" s="28" t="n">
        <v>0.287764</v>
      </c>
      <c r="R1270" s="26" t="n">
        <v>100</v>
      </c>
      <c r="S1270" s="29" t="n">
        <v>2</v>
      </c>
      <c r="T1270" s="24" t="inlineStr">
        <is>
          <t>tennis-learned-v3</t>
        </is>
      </c>
      <c r="U1270" s="24" t="inlineStr">
        <is>
          <t>settled</t>
        </is>
      </c>
      <c r="V1270" s="24" t="inlineStr">
        <is>
          <t>loss</t>
        </is>
      </c>
      <c r="W1270" s="26" t="n">
        <v>16</v>
      </c>
      <c r="X1270" s="26" t="n">
        <v>19</v>
      </c>
      <c r="Y1270" s="25" t="n"/>
      <c r="Z1270" s="26" t="n"/>
      <c r="AA1270" s="28" t="n"/>
      <c r="AB1270" s="28" t="n"/>
      <c r="AC1270" s="30" t="n">
        <v>-2</v>
      </c>
      <c r="AD1270" s="24" t="inlineStr">
        <is>
          <t>2026-10-11T16:01:45.960504Z</t>
        </is>
      </c>
      <c r="AE1270" s="31" t="inlineStr">
        <is>
          <t>Tennis Markov game spread -1.5 games: away cover p=0.698. Executable ask 0.4100 (asc-atp-alebub-branak-2026-10-09-gs-neg-1pt5).</t>
        </is>
      </c>
      <c r="AF1270" s="31" t="inlineStr">
        <is>
          <t>Surface-blended Elo model; singles only, WTA+ATP market coverage, not yet locked-holdout qualified -- promoted by explicit operator directive, not genuine walk-forward validation.</t>
        </is>
      </c>
      <c r="AG1270" s="24" t="inlineStr">
        <is>
          <t>review_required</t>
        </is>
      </c>
      <c r="AH1270" s="24" t="n"/>
      <c r="AI1270" s="31" t="n"/>
      <c r="AJ1270" s="31" t="n"/>
      <c r="AK1270" s="24" t="inlineStr">
        <is>
          <t>model_qualified</t>
        </is>
      </c>
      <c r="AL1270" s="26" t="n">
        <v>4</v>
      </c>
      <c r="AM1270" s="24" t="inlineStr">
        <is>
          <t>QUALIFIED_SHADOW_CALL</t>
        </is>
      </c>
      <c r="AN1270" s="24" t="inlineStr">
        <is>
          <t>CALL</t>
        </is>
      </c>
      <c r="AO1270" s="24" t="inlineStr">
        <is>
          <t>QUALIFIED</t>
        </is>
      </c>
      <c r="AP1270" s="24" t="inlineStr">
        <is>
          <t>Brandon Nakashima</t>
        </is>
      </c>
      <c r="AQ1270" s="24" t="inlineStr">
        <is>
          <t>Brandon Nakashima</t>
        </is>
      </c>
      <c r="AR1270" s="24" t="inlineStr">
        <is>
          <t>Brandon Nakashima</t>
        </is>
      </c>
      <c r="AS1270" s="24" t="inlineStr">
        <is>
          <t>Alexander Bublik</t>
        </is>
      </c>
      <c r="AT1270" s="24" t="inlineStr">
        <is>
          <t>Alexander Bublik</t>
        </is>
      </c>
      <c r="AU1270" s="24" t="inlineStr">
        <is>
          <t>Alexander Bublik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7443acc419841200d57e1edf36b77f1940cdd0c48dce3d43fcd05498a109440b</t>
        </is>
      </c>
      <c r="BB1270" s="24" t="inlineStr">
        <is>
          <t>learned_v3</t>
        </is>
      </c>
      <c r="BC1270" s="24" t="inlineStr">
        <is>
          <t>tennis-learned-v3</t>
        </is>
      </c>
      <c r="BD1270" s="24" t="inlineStr">
        <is>
          <t>7443acc419841200d57e1edf36b77f1940cdd0c48dce3d43fcd05498a109440b</t>
        </is>
      </c>
      <c r="BE1270" s="24" t="inlineStr">
        <is>
          <t>tennis-learned-v3</t>
        </is>
      </c>
      <c r="BF1270" s="24" t="inlineStr">
        <is>
          <t>1</t>
        </is>
      </c>
      <c r="BG1270" s="24" t="inlineStr">
        <is>
          <t>7443acc419841200d57e1edf36b77f1940cdd0c48dce3d43fcd05498a109440b</t>
        </is>
      </c>
      <c r="BH1270" s="24" t="inlineStr">
        <is>
          <t>2026-10-11T06:51:00.153872Z</t>
        </is>
      </c>
      <c r="BI1270" s="24" t="inlineStr">
        <is>
          <t>["same_event","same_team_same_day","same_league_same_day"]</t>
        </is>
      </c>
      <c r="BJ1270" s="25" t="n">
        <v>-1.5</v>
      </c>
      <c r="BK1270" s="26" t="n">
        <v>144</v>
      </c>
      <c r="BL1270" s="27" t="n">
        <v>2.44</v>
      </c>
      <c r="BM1270" s="28" t="n">
        <v>0.409836</v>
      </c>
      <c r="BN1270" s="28" t="n"/>
      <c r="BO1270" s="28" t="n"/>
      <c r="BP1270" s="25" t="n"/>
      <c r="BQ1270" s="27" t="n"/>
      <c r="BR1270" s="28" t="n"/>
      <c r="BS1270" s="28" t="n"/>
      <c r="BT1270" s="28" t="n"/>
      <c r="BU1270" s="25" t="n"/>
      <c r="BV1270" s="29" t="n"/>
      <c r="BW1270" s="24" t="n"/>
      <c r="BX1270" s="30" t="n"/>
      <c r="BY1270" s="27" t="n"/>
      <c r="BZ1270" s="24" t="n"/>
      <c r="CA1270" s="31" t="n"/>
      <c r="CB1270" s="24" t="n"/>
      <c r="CC1270" s="24" t="n"/>
      <c r="CD1270" s="24" t="n"/>
      <c r="CE1270" s="24" t="n"/>
      <c r="CF1270" s="24" t="n"/>
      <c r="CG1270" s="24" t="n"/>
      <c r="CH1270" s="24" t="n"/>
      <c r="CI1270" s="24" t="n"/>
      <c r="CJ1270" s="24" t="n"/>
      <c r="CK1270" s="24" t="n"/>
      <c r="CL1270" s="24" t="n"/>
      <c r="CM1270" s="24" t="n"/>
      <c r="CN1270" s="24" t="n"/>
      <c r="CO1270" s="24" t="n"/>
      <c r="CP1270" s="24" t="n"/>
      <c r="CQ1270" s="24" t="n"/>
      <c r="CR1270" s="24" t="n"/>
      <c r="CS1270" s="24" t="inlineStr">
        <is>
          <t>True</t>
        </is>
      </c>
      <c r="CT1270" s="24" t="n"/>
      <c r="CU1270" s="24" t="n"/>
      <c r="CV1270" s="24" t="n"/>
      <c r="CW1270" s="24" t="n"/>
      <c r="CX1270" s="24" t="n"/>
      <c r="CY1270" s="24" t="n"/>
      <c r="CZ1270" s="24" t="n"/>
      <c r="DA1270" s="24" t="n"/>
      <c r="DB1270" s="24" t="n"/>
      <c r="DC1270" s="24" t="n"/>
      <c r="DD1270" s="24" t="inlineStr">
        <is>
          <t>05f095267a270f5ce156800258cd0ac8c7e9df6e646499c3cd75f2e4d3b23d3a</t>
        </is>
      </c>
      <c r="DE1270" s="24" t="inlineStr">
        <is>
          <t>E:\model-prediction\data\odds\tennis\2026-10-11\polymarket_snapshots.jsonl</t>
        </is>
      </c>
      <c r="DF1270" s="24" t="inlineStr">
        <is>
          <t>1326207:2026-10-11T06:51:00.153872Z</t>
        </is>
      </c>
      <c r="DG1270" s="24" t="n"/>
      <c r="DH1270" s="24" t="n"/>
      <c r="DI1270" s="24" t="n"/>
      <c r="DJ1270" s="24" t="n"/>
      <c r="DK1270" s="24" t="n"/>
      <c r="DL1270" s="24" t="n"/>
      <c r="DM1270" s="24" t="n"/>
      <c r="DN1270" s="24" t="n"/>
      <c r="DO1270" s="24" t="n"/>
      <c r="DP1270" s="24" t="n"/>
      <c r="DQ1270" s="24" t="n"/>
    </row>
    <row r="1271" ht="36" customHeight="1">
      <c r="A1271" s="24" t="inlineStr">
        <is>
          <t>c091bac8eb144853</t>
        </is>
      </c>
      <c r="B1271" s="24" t="inlineStr">
        <is>
          <t>2026-10-11T07:23:35.770549Z</t>
        </is>
      </c>
      <c r="C1271" s="24" t="inlineStr">
        <is>
          <t>2026-10-11T11:30Z</t>
        </is>
      </c>
      <c r="D1271" s="24" t="inlineStr">
        <is>
          <t>315-2026:184936</t>
        </is>
      </c>
      <c r="E1271" s="24" t="inlineStr">
        <is>
          <t>TENNIS</t>
        </is>
      </c>
      <c r="F1271" s="24" t="inlineStr">
        <is>
          <t>Frances Tiafoe</t>
        </is>
      </c>
      <c r="G1271" s="24" t="inlineStr">
        <is>
          <t>Alejandro Davidovich Fokina</t>
        </is>
      </c>
      <c r="H1271" s="24" t="inlineStr">
        <is>
          <t>total</t>
        </is>
      </c>
      <c r="I1271" s="24" t="inlineStr">
        <is>
          <t>under</t>
        </is>
      </c>
      <c r="J1271" s="25" t="n">
        <v>27.5</v>
      </c>
      <c r="K1271" s="24" t="inlineStr">
        <is>
          <t>polymarket_us</t>
        </is>
      </c>
      <c r="L1271" s="26" t="n">
        <v>-9900</v>
      </c>
      <c r="M1271" s="27" t="n">
        <v>1.010101</v>
      </c>
      <c r="N1271" s="28" t="n">
        <v>0.99</v>
      </c>
      <c r="O1271" s="28" t="n">
        <v>0.7329</v>
      </c>
      <c r="P1271" s="28" t="n">
        <v>0.05</v>
      </c>
      <c r="Q1271" s="28" t="n">
        <v>-0.2571</v>
      </c>
      <c r="R1271" s="26" t="n">
        <v>0</v>
      </c>
      <c r="S1271" s="29" t="n">
        <v>1</v>
      </c>
      <c r="T1271" s="24" t="inlineStr">
        <is>
          <t>tennis-learned-v3</t>
        </is>
      </c>
      <c r="U1271" s="24" t="inlineStr">
        <is>
          <t>settled</t>
        </is>
      </c>
      <c r="V1271" s="24" t="inlineStr">
        <is>
          <t>loss</t>
        </is>
      </c>
      <c r="W1271" s="26" t="n">
        <v>18</v>
      </c>
      <c r="X1271" s="26" t="n">
        <v>18</v>
      </c>
      <c r="Y1271" s="25" t="n"/>
      <c r="Z1271" s="26" t="n"/>
      <c r="AA1271" s="28" t="n"/>
      <c r="AB1271" s="28" t="n"/>
      <c r="AC1271" s="30" t="n">
        <v>-1</v>
      </c>
      <c r="AD1271" s="24" t="inlineStr">
        <is>
          <t>2026-10-11T16:01:50.951190Z</t>
        </is>
      </c>
      <c r="AE1271" s="31" t="inlineStr">
        <is>
          <t>Tennis Markov total games line 27.5: under p=0.733. Executable ask 0.9900 (tsc-atp-alefok-fratia-2026-10-11-tg-27pt5).</t>
        </is>
      </c>
      <c r="AF1271" s="31" t="inlineStr">
        <is>
          <t>Surface-blended Elo model; singles only, WTA+ATP market coverage, not yet locked-holdout qualified -- promoted by explicit operator directive, not genuine walk-forward validation.</t>
        </is>
      </c>
      <c r="AG1271" s="24" t="inlineStr">
        <is>
          <t>review_required</t>
        </is>
      </c>
      <c r="AH1271" s="24" t="n"/>
      <c r="AI1271" s="31" t="n"/>
      <c r="AJ1271" s="31" t="n"/>
      <c r="AK1271" s="24" t="inlineStr">
        <is>
          <t>paper_call</t>
        </is>
      </c>
      <c r="AL1271" s="26" t="n">
        <v>4</v>
      </c>
      <c r="AM1271" s="24" t="inlineStr">
        <is>
          <t>RESEARCH_OBSERVATION</t>
        </is>
      </c>
      <c r="AN1271" s="24" t="inlineStr">
        <is>
          <t>CALL</t>
        </is>
      </c>
      <c r="AO1271" s="24" t="inlineStr">
        <is>
          <t>PAPER_CALL_LOW_EDGE</t>
        </is>
      </c>
      <c r="AP1271" s="24" t="inlineStr">
        <is>
          <t>Frances Tiafoe</t>
        </is>
      </c>
      <c r="AQ1271" s="24" t="inlineStr">
        <is>
          <t>Frances Tiafoe</t>
        </is>
      </c>
      <c r="AR1271" s="24" t="inlineStr">
        <is>
          <t>Frances Tiafoe</t>
        </is>
      </c>
      <c r="AS1271" s="24" t="inlineStr">
        <is>
          <t>Alejandro Davidovich Fokina</t>
        </is>
      </c>
      <c r="AT1271" s="24" t="inlineStr">
        <is>
          <t>Alejandro Davidovich Fokina</t>
        </is>
      </c>
      <c r="AU1271" s="24" t="inlineStr">
        <is>
          <t>Alejandro Davidovich Fokina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7443acc419841200d57e1edf36b77f1940cdd0c48dce3d43fcd05498a109440b</t>
        </is>
      </c>
      <c r="BB1271" s="24" t="inlineStr">
        <is>
          <t>learned_v3</t>
        </is>
      </c>
      <c r="BC1271" s="24" t="inlineStr">
        <is>
          <t>tennis-learned-v3</t>
        </is>
      </c>
      <c r="BD1271" s="24" t="inlineStr">
        <is>
          <t>7443acc419841200d57e1edf36b77f1940cdd0c48dce3d43fcd05498a109440b</t>
        </is>
      </c>
      <c r="BE1271" s="24" t="inlineStr">
        <is>
          <t>tennis-learned-v3</t>
        </is>
      </c>
      <c r="BF1271" s="24" t="inlineStr">
        <is>
          <t>1</t>
        </is>
      </c>
      <c r="BG1271" s="24" t="inlineStr">
        <is>
          <t>7443acc419841200d57e1edf36b77f1940cdd0c48dce3d43fcd05498a109440b</t>
        </is>
      </c>
      <c r="BH1271" s="24" t="inlineStr">
        <is>
          <t>2026-10-11T06:59:21.483043Z</t>
        </is>
      </c>
      <c r="BI1271" s="24" t="inlineStr">
        <is>
          <t>["same_event","same_team_same_day","same_league_same_day"]</t>
        </is>
      </c>
      <c r="BJ1271" s="25" t="n">
        <v>27.5</v>
      </c>
      <c r="BK1271" s="26" t="n">
        <v>-9900</v>
      </c>
      <c r="BL1271" s="27" t="n">
        <v>1.010101</v>
      </c>
      <c r="BM1271" s="28" t="n">
        <v>0.99</v>
      </c>
      <c r="BN1271" s="28" t="n"/>
      <c r="BO1271" s="28" t="n"/>
      <c r="BP1271" s="25" t="n"/>
      <c r="BQ1271" s="27" t="n"/>
      <c r="BR1271" s="28" t="n"/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n"/>
      <c r="CD1271" s="24" t="n"/>
      <c r="CE1271" s="24" t="n"/>
      <c r="CF1271" s="24" t="n"/>
      <c r="CG1271" s="24" t="n"/>
      <c r="CH1271" s="24" t="n"/>
      <c r="CI1271" s="24" t="n"/>
      <c r="CJ1271" s="24" t="n"/>
      <c r="CK1271" s="24" t="n"/>
      <c r="CL1271" s="24" t="n"/>
      <c r="CM1271" s="24" t="n"/>
      <c r="CN1271" s="24" t="n"/>
      <c r="CO1271" s="24" t="n"/>
      <c r="CP1271" s="24" t="n"/>
      <c r="CQ1271" s="24" t="n"/>
      <c r="CR1271" s="24" t="n"/>
      <c r="CS1271" s="24" t="inlineStr">
        <is>
          <t>False</t>
        </is>
      </c>
      <c r="CT1271" s="24" t="n"/>
      <c r="CU1271" s="24" t="n"/>
      <c r="CV1271" s="24" t="n"/>
      <c r="CW1271" s="24" t="n"/>
      <c r="CX1271" s="24" t="n"/>
      <c r="CY1271" s="24" t="n"/>
      <c r="CZ1271" s="24" t="n"/>
      <c r="DA1271" s="24" t="n"/>
      <c r="DB1271" s="24" t="n"/>
      <c r="DC1271" s="24" t="n"/>
      <c r="DD1271" s="24" t="inlineStr">
        <is>
          <t>f6a888fcdf69f27e24a35fa5eb85de3c295ec3cdeab799f9054a93d23a2bc432</t>
        </is>
      </c>
      <c r="DE1271" s="24" t="inlineStr">
        <is>
          <t>E:\model-prediction\data\odds\tennis\2026-10-11\polymarket_snapshots.jsonl</t>
        </is>
      </c>
      <c r="DF1271" s="24" t="inlineStr">
        <is>
          <t>1326130:2026-10-11T06:59:21.483043Z</t>
        </is>
      </c>
      <c r="DG1271" s="24" t="n"/>
      <c r="DH1271" s="24" t="n"/>
      <c r="DI1271" s="24" t="n"/>
      <c r="DJ1271" s="24" t="n"/>
      <c r="DK1271" s="24" t="n"/>
      <c r="DL1271" s="24" t="n"/>
      <c r="DM1271" s="24" t="n"/>
      <c r="DN1271" s="24" t="n"/>
      <c r="DO1271" s="24" t="n"/>
      <c r="DP1271" s="24" t="n"/>
      <c r="DQ1271" s="24" t="n"/>
    </row>
    <row r="1272" ht="36" customHeight="1">
      <c r="A1272" s="24" t="inlineStr">
        <is>
          <t>8070b3ecefab4cfa</t>
        </is>
      </c>
      <c r="B1272" s="24" t="inlineStr">
        <is>
          <t>2026-10-11T07:23:35.770549Z</t>
        </is>
      </c>
      <c r="C1272" s="24" t="inlineStr">
        <is>
          <t>2026-10-11T11:30Z</t>
        </is>
      </c>
      <c r="D1272" s="24" t="inlineStr">
        <is>
          <t>315-2026:184936</t>
        </is>
      </c>
      <c r="E1272" s="24" t="inlineStr">
        <is>
          <t>TENNIS</t>
        </is>
      </c>
      <c r="F1272" s="24" t="inlineStr">
        <is>
          <t>Frances Tiafoe</t>
        </is>
      </c>
      <c r="G1272" s="24" t="inlineStr">
        <is>
          <t>Alejandro Davidovich Fokina</t>
        </is>
      </c>
      <c r="H1272" s="24" t="inlineStr">
        <is>
          <t>moneyline</t>
        </is>
      </c>
      <c r="I1272" s="24" t="inlineStr">
        <is>
          <t>away</t>
        </is>
      </c>
      <c r="J1272" s="25" t="n"/>
      <c r="K1272" s="24" t="inlineStr">
        <is>
          <t>polymarket_us</t>
        </is>
      </c>
      <c r="L1272" s="26" t="n">
        <v>100</v>
      </c>
      <c r="M1272" s="27" t="n">
        <v>2</v>
      </c>
      <c r="N1272" s="28" t="n">
        <v>0.5</v>
      </c>
      <c r="O1272" s="28" t="n">
        <v>0.6516999999999999</v>
      </c>
      <c r="P1272" s="28" t="n">
        <v>0.05</v>
      </c>
      <c r="Q1272" s="28" t="n">
        <v>0.1517</v>
      </c>
      <c r="R1272" s="26" t="n">
        <v>96</v>
      </c>
      <c r="S1272" s="29" t="n">
        <v>1.75</v>
      </c>
      <c r="T1272" s="24" t="inlineStr">
        <is>
          <t>tennis-learned-v3</t>
        </is>
      </c>
      <c r="U1272" s="24" t="inlineStr">
        <is>
          <t>settled</t>
        </is>
      </c>
      <c r="V1272" s="24" t="inlineStr">
        <is>
          <t>loss</t>
        </is>
      </c>
      <c r="W1272" s="26" t="n">
        <v>0</v>
      </c>
      <c r="X1272" s="26" t="n">
        <v>1</v>
      </c>
      <c r="Y1272" s="25" t="n"/>
      <c r="Z1272" s="26" t="n">
        <v>100</v>
      </c>
      <c r="AA1272" s="28" t="n">
        <v>0.5</v>
      </c>
      <c r="AB1272" s="28" t="n">
        <v>0</v>
      </c>
      <c r="AC1272" s="30" t="n">
        <v>-1.75</v>
      </c>
      <c r="AD1272" s="24" t="inlineStr">
        <is>
          <t>2026-10-11T16:01:56.051111Z</t>
        </is>
      </c>
      <c r="AE1272" s="31" t="inlineStr">
        <is>
          <t>Tennis v3 Learned Fundamental on Hard (Bo3): Frances Tiafoe p=0.652 vs Alejandro Davidovich Fokina. Executable ask 0.5000 (aec-atp-alefok-fratia-2026-10-11).</t>
        </is>
      </c>
      <c r="AF1272" s="31" t="inlineStr">
        <is>
          <t>Surface-blended Elo model; singles only, WTA+ATP market coverage, not yet locked-holdout qualified -- promoted by explicit operator directive, not genuine walk-forward validation.</t>
        </is>
      </c>
      <c r="AG1272" s="24" t="inlineStr">
        <is>
          <t>review_required</t>
        </is>
      </c>
      <c r="AH1272" s="24" t="n"/>
      <c r="AI1272" s="31" t="n"/>
      <c r="AJ1272" s="31" t="n"/>
      <c r="AK1272" s="24" t="inlineStr">
        <is>
          <t>model_qualified</t>
        </is>
      </c>
      <c r="AL1272" s="26" t="n">
        <v>4</v>
      </c>
      <c r="AM1272" s="24" t="inlineStr">
        <is>
          <t>QUALIFIED_SHADOW_CALL</t>
        </is>
      </c>
      <c r="AN1272" s="24" t="inlineStr">
        <is>
          <t>CALL</t>
        </is>
      </c>
      <c r="AO1272" s="24" t="inlineStr">
        <is>
          <t>QUALIFIED</t>
        </is>
      </c>
      <c r="AP1272" s="24" t="inlineStr">
        <is>
          <t>Frances Tiafoe</t>
        </is>
      </c>
      <c r="AQ1272" s="24" t="inlineStr">
        <is>
          <t>Frances Tiafoe</t>
        </is>
      </c>
      <c r="AR1272" s="24" t="inlineStr">
        <is>
          <t>Frances Tiafoe</t>
        </is>
      </c>
      <c r="AS1272" s="24" t="inlineStr">
        <is>
          <t>Alejandro Davidovich Fokina</t>
        </is>
      </c>
      <c r="AT1272" s="24" t="inlineStr">
        <is>
          <t>Alejandro Davidovich Fokina</t>
        </is>
      </c>
      <c r="AU1272" s="24" t="inlineStr">
        <is>
          <t>Alejandro Davidovich Fokina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7443acc419841200d57e1edf36b77f1940cdd0c48dce3d43fcd05498a109440b</t>
        </is>
      </c>
      <c r="BB1272" s="24" t="inlineStr">
        <is>
          <t>learned_v3</t>
        </is>
      </c>
      <c r="BC1272" s="24" t="inlineStr">
        <is>
          <t>tennis-learned-v3</t>
        </is>
      </c>
      <c r="BD1272" s="24" t="inlineStr">
        <is>
          <t>7443acc419841200d57e1edf36b77f1940cdd0c48dce3d43fcd05498a109440b</t>
        </is>
      </c>
      <c r="BE1272" s="24" t="inlineStr">
        <is>
          <t>tennis-learned-v3</t>
        </is>
      </c>
      <c r="BF1272" s="24" t="inlineStr">
        <is>
          <t>1</t>
        </is>
      </c>
      <c r="BG1272" s="24" t="inlineStr">
        <is>
          <t>7443acc419841200d57e1edf36b77f1940cdd0c48dce3d43fcd05498a109440b</t>
        </is>
      </c>
      <c r="BH1272" s="24" t="inlineStr">
        <is>
          <t>2026-10-11T06:59:31.878938Z</t>
        </is>
      </c>
      <c r="BI1272" s="24" t="inlineStr">
        <is>
          <t>["same_event","same_team_same_day","same_league_same_day"]</t>
        </is>
      </c>
      <c r="BJ1272" s="25" t="n"/>
      <c r="BK1272" s="26" t="n">
        <v>100</v>
      </c>
      <c r="BL1272" s="27" t="n">
        <v>2</v>
      </c>
      <c r="BM1272" s="28" t="n">
        <v>0.5</v>
      </c>
      <c r="BN1272" s="28" t="n"/>
      <c r="BO1272" s="28" t="n"/>
      <c r="BP1272" s="25" t="n"/>
      <c r="BQ1272" s="27" t="n">
        <v>2</v>
      </c>
      <c r="BR1272" s="28" t="n">
        <v>0.5</v>
      </c>
      <c r="BS1272" s="28" t="n"/>
      <c r="BT1272" s="28" t="n"/>
      <c r="BU1272" s="25" t="n"/>
      <c r="BV1272" s="29" t="n"/>
      <c r="BW1272" s="24" t="n"/>
      <c r="BX1272" s="30" t="n"/>
      <c r="BY1272" s="27" t="n"/>
      <c r="BZ1272" s="24" t="n"/>
      <c r="CA1272" s="31" t="n"/>
      <c r="CB1272" s="24" t="n"/>
      <c r="CC1272" s="24" t="n"/>
      <c r="CD1272" s="24" t="n"/>
      <c r="CE1272" s="24" t="n"/>
      <c r="CF1272" s="24" t="n"/>
      <c r="CG1272" s="24" t="n"/>
      <c r="CH1272" s="24" t="n"/>
      <c r="CI1272" s="24" t="n"/>
      <c r="CJ1272" s="24" t="n"/>
      <c r="CK1272" s="24" t="n"/>
      <c r="CL1272" s="24" t="n"/>
      <c r="CM1272" s="24" t="n"/>
      <c r="CN1272" s="24" t="n"/>
      <c r="CO1272" s="24" t="n"/>
      <c r="CP1272" s="24" t="n"/>
      <c r="CQ1272" s="24" t="n"/>
      <c r="CR1272" s="24" t="n"/>
      <c r="CS1272" s="24" t="inlineStr">
        <is>
          <t>True</t>
        </is>
      </c>
      <c r="CT1272" s="24" t="n"/>
      <c r="CU1272" s="24" t="n"/>
      <c r="CV1272" s="24" t="n"/>
      <c r="CW1272" s="24" t="n"/>
      <c r="CX1272" s="24" t="n"/>
      <c r="CY1272" s="24" t="n"/>
      <c r="CZ1272" s="24" t="n"/>
      <c r="DA1272" s="24" t="n"/>
      <c r="DB1272" s="24" t="n"/>
      <c r="DC1272" s="24" t="n"/>
      <c r="DD1272" s="24" t="inlineStr">
        <is>
          <t>bbca9c5b8701cb44d435b958cee3c6807990928442f8860a1706d25d00171495</t>
        </is>
      </c>
      <c r="DE1272" s="24" t="inlineStr">
        <is>
          <t>E:\model-prediction\data\odds\tennis\2026-10-11\polymarket_snapshots.jsonl</t>
        </is>
      </c>
      <c r="DF1272" s="24" t="inlineStr">
        <is>
          <t>1310230:2026-10-11T06:59:31.878938Z</t>
        </is>
      </c>
      <c r="DG1272" s="24" t="n"/>
      <c r="DH1272" s="24" t="n"/>
      <c r="DI1272" s="24" t="n"/>
      <c r="DJ1272" s="24" t="n"/>
      <c r="DK1272" s="24" t="n"/>
      <c r="DL1272" s="24" t="n"/>
      <c r="DM1272" s="24" t="n"/>
      <c r="DN1272" s="24" t="n"/>
      <c r="DO1272" s="24" t="n"/>
      <c r="DP1272" s="24" t="n"/>
      <c r="DQ1272" s="24" t="inlineStr">
        <is>
          <t>{"artifact_hash": "7443acc419841200d57e1edf36b77f1940cdd0c48dce3d43fcd05498a109440b", "away_team": "Frances Tiafoe", "event_id": "315-2026:184936", "event_start_utc": "2026-10-11T11:30Z", "features": {"elo_p1_surface": 1729.1, "elo_p2_surface": 1632.5, "expected_games_p1": 13.65, "expected_games_p2": 9.3, "expected_total_games": 22.95, "history_matches": 11470, "min_player_matches": 154, "surface": "Hard"}, "historical_source_observation_times_verified": false, "home_team": "Alejandro Davidovich Fokina", "inference_inputs": {"best_of": 3, "code_sha256": {"features/elo_ratings.py": "8525faf022a6343c452286dbfeb17dbb043744c6bdabbe448b6b371216da439b", "models/tennis.py": "7443acc419841200d57e1edf36b77f1940cdd0c48dce3d43fcd05498a109440b"}, "counts": [164, 154], "market_probability": null, "model_version": "tennis-learned-v3", "overall_ratings": [1837.6609394566092, 1723.5639177416385], "p_serve_a": 0.6803509158106662, "p_serve_b": 0.5896490841893338, "players": ["Frances Tiafoe", "Alejandro Davidovich Fokina"], "rest_days": [2.0, 2.0], "sport": "TENNIS", "surface": "Hard", "surface_counts": [125, 106], "surface_ratings": [1729.124377036331, 1632.506270642029], "tour": "ATP"}, "market_type": "moneyline", "model_version": "tennis-learned-v3", "observed_at_utc": "2026-10-11T07:23:34.104754+00:00", "probabilities": {"away": 0.6517, "home": 0.3483}, "replay_scope": "Exact full-precision serving state and rounding; upstream historical observation times are not certified.", "schema": "coded-moneyline-replay-v1", "snapshot_hash": "8a32098ba863c7a52e8a69e2eeb4f0877a1c65c9bdeabbf0ae308c206ab08fba", "sport": "TENNIS"}</t>
        </is>
      </c>
    </row>
    <row r="1273" ht="36" customHeight="1">
      <c r="A1273" s="24" t="inlineStr">
        <is>
          <t>538da6aabb6e4ea1</t>
        </is>
      </c>
      <c r="B1273" s="24" t="inlineStr">
        <is>
          <t>2026-10-11T07:23:35.770549Z</t>
        </is>
      </c>
      <c r="C1273" s="24" t="inlineStr">
        <is>
          <t>2026-10-11T11:30Z</t>
        </is>
      </c>
      <c r="D1273" s="24" t="inlineStr">
        <is>
          <t>315-2026:184936</t>
        </is>
      </c>
      <c r="E1273" s="24" t="inlineStr">
        <is>
          <t>TENNIS</t>
        </is>
      </c>
      <c r="F1273" s="24" t="inlineStr">
        <is>
          <t>Frances Tiafoe</t>
        </is>
      </c>
      <c r="G1273" s="24" t="inlineStr">
        <is>
          <t>Alejandro Davidovich Fokina</t>
        </is>
      </c>
      <c r="H1273" s="24" t="inlineStr">
        <is>
          <t>spread</t>
        </is>
      </c>
      <c r="I1273" s="24" t="inlineStr">
        <is>
          <t>away</t>
        </is>
      </c>
      <c r="J1273" s="25" t="n">
        <v>-7.5</v>
      </c>
      <c r="K1273" s="24" t="inlineStr">
        <is>
          <t>polymarket_us</t>
        </is>
      </c>
      <c r="L1273" s="26" t="n">
        <v>104</v>
      </c>
      <c r="M1273" s="27" t="n">
        <v>2.04</v>
      </c>
      <c r="N1273" s="28" t="n">
        <v>0.490196</v>
      </c>
      <c r="O1273" s="28" t="n">
        <v>0.9992</v>
      </c>
      <c r="P1273" s="28" t="n">
        <v>0.05</v>
      </c>
      <c r="Q1273" s="28" t="n">
        <v>0.509004</v>
      </c>
      <c r="R1273" s="26" t="n">
        <v>100</v>
      </c>
      <c r="S1273" s="29" t="n">
        <v>2</v>
      </c>
      <c r="T1273" s="24" t="inlineStr">
        <is>
          <t>tennis-learned-v3</t>
        </is>
      </c>
      <c r="U1273" s="24" t="inlineStr">
        <is>
          <t>settled</t>
        </is>
      </c>
      <c r="V1273" s="24" t="inlineStr">
        <is>
          <t>loss</t>
        </is>
      </c>
      <c r="W1273" s="26" t="n">
        <v>18</v>
      </c>
      <c r="X1273" s="26" t="n">
        <v>18</v>
      </c>
      <c r="Y1273" s="25" t="n"/>
      <c r="Z1273" s="26" t="n"/>
      <c r="AA1273" s="28" t="n"/>
      <c r="AB1273" s="28" t="n"/>
      <c r="AC1273" s="30" t="n">
        <v>-2</v>
      </c>
      <c r="AD1273" s="24" t="inlineStr">
        <is>
          <t>2026-10-11T16:02:01.606549Z</t>
        </is>
      </c>
      <c r="AE1273" s="31" t="inlineStr">
        <is>
          <t>Tennis Markov game spread -7.5 games: away cover p=0.999. Executable ask 0.4900 (asc-atp-alefok-fratia-2026-10-11-gs-neg-7pt5).</t>
        </is>
      </c>
      <c r="AF1273" s="31" t="inlineStr">
        <is>
          <t>Surface-blended Elo model; singles only, WTA+ATP market coverage, not yet locked-holdout qualified -- promoted by explicit operator directive, not genuine walk-forward validation.</t>
        </is>
      </c>
      <c r="AG1273" s="24" t="inlineStr">
        <is>
          <t>review_required</t>
        </is>
      </c>
      <c r="AH1273" s="24" t="n"/>
      <c r="AI1273" s="31" t="n"/>
      <c r="AJ1273" s="31" t="n"/>
      <c r="AK1273" s="24" t="inlineStr">
        <is>
          <t>model_qualified</t>
        </is>
      </c>
      <c r="AL1273" s="26" t="n">
        <v>4</v>
      </c>
      <c r="AM1273" s="24" t="inlineStr">
        <is>
          <t>QUALIFIED_SHADOW_CALL</t>
        </is>
      </c>
      <c r="AN1273" s="24" t="inlineStr">
        <is>
          <t>CALL</t>
        </is>
      </c>
      <c r="AO1273" s="24" t="inlineStr">
        <is>
          <t>QUALIFIED</t>
        </is>
      </c>
      <c r="AP1273" s="24" t="inlineStr">
        <is>
          <t>Frances Tiafoe</t>
        </is>
      </c>
      <c r="AQ1273" s="24" t="inlineStr">
        <is>
          <t>Frances Tiafoe</t>
        </is>
      </c>
      <c r="AR1273" s="24" t="inlineStr">
        <is>
          <t>Frances Tiafoe</t>
        </is>
      </c>
      <c r="AS1273" s="24" t="inlineStr">
        <is>
          <t>Alejandro Davidovich Fokina</t>
        </is>
      </c>
      <c r="AT1273" s="24" t="inlineStr">
        <is>
          <t>Alejandro Davidovich Fokina</t>
        </is>
      </c>
      <c r="AU1273" s="24" t="inlineStr">
        <is>
          <t>Alejandro Davidovich Fokina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7443acc419841200d57e1edf36b77f1940cdd0c48dce3d43fcd05498a109440b</t>
        </is>
      </c>
      <c r="BB1273" s="24" t="inlineStr">
        <is>
          <t>learned_v3</t>
        </is>
      </c>
      <c r="BC1273" s="24" t="inlineStr">
        <is>
          <t>tennis-learned-v3</t>
        </is>
      </c>
      <c r="BD1273" s="24" t="inlineStr">
        <is>
          <t>7443acc419841200d57e1edf36b77f1940cdd0c48dce3d43fcd05498a109440b</t>
        </is>
      </c>
      <c r="BE1273" s="24" t="inlineStr">
        <is>
          <t>tennis-learned-v3</t>
        </is>
      </c>
      <c r="BF1273" s="24" t="inlineStr">
        <is>
          <t>1</t>
        </is>
      </c>
      <c r="BG1273" s="24" t="inlineStr">
        <is>
          <t>7443acc419841200d57e1edf36b77f1940cdd0c48dce3d43fcd05498a109440b</t>
        </is>
      </c>
      <c r="BH1273" s="24" t="inlineStr">
        <is>
          <t>2026-10-11T06:59:21.472107Z</t>
        </is>
      </c>
      <c r="BI1273" s="24" t="inlineStr">
        <is>
          <t>["same_event","same_team_same_day","same_league_same_day"]</t>
        </is>
      </c>
      <c r="BJ1273" s="25" t="n">
        <v>-7.5</v>
      </c>
      <c r="BK1273" s="26" t="n">
        <v>104</v>
      </c>
      <c r="BL1273" s="27" t="n">
        <v>2.04</v>
      </c>
      <c r="BM1273" s="28" t="n">
        <v>0.490196</v>
      </c>
      <c r="BN1273" s="28" t="n"/>
      <c r="BO1273" s="28" t="n"/>
      <c r="BP1273" s="25" t="n"/>
      <c r="BQ1273" s="27" t="n"/>
      <c r="BR1273" s="28" t="n"/>
      <c r="BS1273" s="28" t="n"/>
      <c r="BT1273" s="28" t="n"/>
      <c r="BU1273" s="25" t="n"/>
      <c r="BV1273" s="29" t="n"/>
      <c r="BW1273" s="24" t="n"/>
      <c r="BX1273" s="30" t="n"/>
      <c r="BY1273" s="27" t="n"/>
      <c r="BZ1273" s="24" t="n"/>
      <c r="CA1273" s="31" t="n"/>
      <c r="CB1273" s="24" t="n"/>
      <c r="CC1273" s="24" t="n"/>
      <c r="CD1273" s="24" t="n"/>
      <c r="CE1273" s="24" t="n"/>
      <c r="CF1273" s="24" t="n"/>
      <c r="CG1273" s="24" t="n"/>
      <c r="CH1273" s="24" t="n"/>
      <c r="CI1273" s="24" t="n"/>
      <c r="CJ1273" s="24" t="n"/>
      <c r="CK1273" s="24" t="n"/>
      <c r="CL1273" s="24" t="n"/>
      <c r="CM1273" s="24" t="n"/>
      <c r="CN1273" s="24" t="n"/>
      <c r="CO1273" s="24" t="n"/>
      <c r="CP1273" s="24" t="n"/>
      <c r="CQ1273" s="24" t="n"/>
      <c r="CR1273" s="24" t="n"/>
      <c r="CS1273" s="24" t="inlineStr">
        <is>
          <t>True</t>
        </is>
      </c>
      <c r="CT1273" s="24" t="n"/>
      <c r="CU1273" s="24" t="n"/>
      <c r="CV1273" s="24" t="n"/>
      <c r="CW1273" s="24" t="n"/>
      <c r="CX1273" s="24" t="n"/>
      <c r="CY1273" s="24" t="n"/>
      <c r="CZ1273" s="24" t="n"/>
      <c r="DA1273" s="24" t="n"/>
      <c r="DB1273" s="24" t="n"/>
      <c r="DC1273" s="24" t="n"/>
      <c r="DD1273" s="24" t="inlineStr">
        <is>
          <t>7fce8f068546781f9969e1e036365090dc04d3ae9ad94cb6fe97393cd758b3b0</t>
        </is>
      </c>
      <c r="DE1273" s="24" t="inlineStr">
        <is>
          <t>E:\model-prediction\data\odds\tennis\2026-10-11\polymarket_snapshots.jsonl</t>
        </is>
      </c>
      <c r="DF1273" s="24" t="inlineStr">
        <is>
          <t>1326149:2026-10-11T06:59:21.472107Z</t>
        </is>
      </c>
      <c r="DG1273" s="24" t="n"/>
      <c r="DH1273" s="24" t="n"/>
      <c r="DI1273" s="24" t="n"/>
      <c r="DJ1273" s="24" t="n"/>
      <c r="DK1273" s="24" t="n"/>
      <c r="DL1273" s="24" t="n"/>
      <c r="DM1273" s="24" t="n"/>
      <c r="DN1273" s="24" t="n"/>
      <c r="DO1273" s="24" t="n"/>
      <c r="DP1273" s="24" t="n"/>
      <c r="DQ1273" s="24" t="n"/>
    </row>
    <row r="1274" ht="36" customHeight="1">
      <c r="A1274" s="24" t="inlineStr">
        <is>
          <t>b3c79b0897f84521</t>
        </is>
      </c>
      <c r="B1274" s="24" t="inlineStr">
        <is>
          <t>2026-10-11T12:32:20.210805Z</t>
        </is>
      </c>
      <c r="C1274" s="24" t="inlineStr">
        <is>
          <t>2026-10-11T13:00Z</t>
        </is>
      </c>
      <c r="D1274" s="24" t="inlineStr">
        <is>
          <t>1025-2026:186404</t>
        </is>
      </c>
      <c r="E1274" s="24" t="inlineStr">
        <is>
          <t>TENNIS</t>
        </is>
      </c>
      <c r="F1274" s="24" t="inlineStr">
        <is>
          <t>Caroline Werner</t>
        </is>
      </c>
      <c r="G1274" s="24" t="inlineStr">
        <is>
          <t>Kristina Novak</t>
        </is>
      </c>
      <c r="H1274" s="24" t="inlineStr">
        <is>
          <t>moneyline</t>
        </is>
      </c>
      <c r="I1274" s="24" t="inlineStr">
        <is>
          <t>away</t>
        </is>
      </c>
      <c r="J1274" s="25" t="n"/>
      <c r="K1274" s="24" t="inlineStr">
        <is>
          <t>polymarket_us</t>
        </is>
      </c>
      <c r="L1274" s="26" t="n">
        <v>-1011</v>
      </c>
      <c r="M1274" s="27" t="n">
        <v>1.098912</v>
      </c>
      <c r="N1274" s="28" t="n">
        <v>0.909991</v>
      </c>
      <c r="O1274" s="28" t="n">
        <v>0.6441</v>
      </c>
      <c r="P1274" s="28" t="n">
        <v>0.05</v>
      </c>
      <c r="Q1274" s="28" t="n">
        <v>-0.265891</v>
      </c>
      <c r="R1274" s="26" t="n">
        <v>0</v>
      </c>
      <c r="S1274" s="29" t="n">
        <v>1</v>
      </c>
      <c r="T1274" s="24" t="inlineStr">
        <is>
          <t>tennis-learned-v3</t>
        </is>
      </c>
      <c r="U1274" s="24" t="inlineStr">
        <is>
          <t>settled</t>
        </is>
      </c>
      <c r="V1274" s="24" t="inlineStr">
        <is>
          <t>win</t>
        </is>
      </c>
      <c r="W1274" s="26" t="n">
        <v>1</v>
      </c>
      <c r="X1274" s="26" t="n">
        <v>0</v>
      </c>
      <c r="Y1274" s="25" t="n"/>
      <c r="Z1274" s="26" t="n">
        <v>-1011</v>
      </c>
      <c r="AA1274" s="28" t="n">
        <v>0.91</v>
      </c>
      <c r="AB1274" s="28" t="n">
        <v>9e-06</v>
      </c>
      <c r="AC1274" s="30" t="n">
        <v>0.0989</v>
      </c>
      <c r="AD1274" s="24" t="inlineStr">
        <is>
          <t>2026-10-11T16:02:06.586221Z</t>
        </is>
      </c>
      <c r="AE1274" s="31" t="inlineStr">
        <is>
          <t>Tennis v3 Learned Fundamental on Hard (Bo3): Caroline Werner p=0.644 vs Kristina Novak. Executable ask 0.9100 (aec-wta-krinov-carwer-2026-10-11).</t>
        </is>
      </c>
      <c r="AF1274" s="31" t="inlineStr">
        <is>
          <t>Surface-blended Elo model; singles only, WTA+ATP market coverage, not yet locked-holdout qualified -- promoted by explicit operator directive, not genuine walk-forward validation.</t>
        </is>
      </c>
      <c r="AG1274" s="24" t="inlineStr">
        <is>
          <t>not_applicable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PAPER_CALL_MODEL_UNVALIDATED</t>
        </is>
      </c>
      <c r="AP1274" s="24" t="inlineStr">
        <is>
          <t>Caroline Werner</t>
        </is>
      </c>
      <c r="AQ1274" s="24" t="inlineStr">
        <is>
          <t>Caroline Werner</t>
        </is>
      </c>
      <c r="AR1274" s="24" t="inlineStr">
        <is>
          <t>Caroline Werner</t>
        </is>
      </c>
      <c r="AS1274" s="24" t="inlineStr">
        <is>
          <t>Kristina Novak</t>
        </is>
      </c>
      <c r="AT1274" s="24" t="inlineStr">
        <is>
          <t>Kristina Novak</t>
        </is>
      </c>
      <c r="AU1274" s="24" t="inlineStr">
        <is>
          <t>Kristina Novak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7443acc419841200d57e1edf36b77f1940cdd0c48dce3d43fcd05498a109440b</t>
        </is>
      </c>
      <c r="BB1274" s="24" t="inlineStr">
        <is>
          <t>learned_v3</t>
        </is>
      </c>
      <c r="BC1274" s="24" t="inlineStr">
        <is>
          <t>tennis-learned-v3</t>
        </is>
      </c>
      <c r="BD1274" s="24" t="inlineStr">
        <is>
          <t>7443acc419841200d57e1edf36b77f1940cdd0c48dce3d43fcd05498a109440b</t>
        </is>
      </c>
      <c r="BE1274" s="24" t="inlineStr">
        <is>
          <t>tennis-learned-v3</t>
        </is>
      </c>
      <c r="BF1274" s="24" t="inlineStr">
        <is>
          <t>1</t>
        </is>
      </c>
      <c r="BG1274" s="24" t="inlineStr">
        <is>
          <t>7443acc419841200d57e1edf36b77f1940cdd0c48dce3d43fcd05498a109440b</t>
        </is>
      </c>
      <c r="BH1274" s="24" t="inlineStr">
        <is>
          <t>2026-10-11T12:00:38.834337Z</t>
        </is>
      </c>
      <c r="BI1274" s="24" t="inlineStr">
        <is>
          <t>["same_event","same_team_same_day","same_league_same_day"]</t>
        </is>
      </c>
      <c r="BJ1274" s="25" t="n"/>
      <c r="BK1274" s="26" t="n">
        <v>-1011</v>
      </c>
      <c r="BL1274" s="27" t="n">
        <v>1.098912</v>
      </c>
      <c r="BM1274" s="28" t="n">
        <v>0.909991</v>
      </c>
      <c r="BN1274" s="28" t="n"/>
      <c r="BO1274" s="28" t="n"/>
      <c r="BP1274" s="25" t="n"/>
      <c r="BQ1274" s="27" t="n">
        <v>1.098912</v>
      </c>
      <c r="BR1274" s="28" t="n">
        <v>0.91</v>
      </c>
      <c r="BS1274" s="28" t="n"/>
      <c r="BT1274" s="28" t="n"/>
      <c r="BU1274" s="25" t="n"/>
      <c r="BV1274" s="29" t="n"/>
      <c r="BW1274" s="24" t="n"/>
      <c r="BX1274" s="30" t="n"/>
      <c r="BY1274" s="27" t="n"/>
      <c r="BZ1274" s="24" t="n"/>
      <c r="CA1274" s="31" t="n"/>
      <c r="CB1274" s="24" t="n"/>
      <c r="CC1274" s="24" t="n"/>
      <c r="CD1274" s="24" t="n"/>
      <c r="CE1274" s="24" t="n"/>
      <c r="CF1274" s="24" t="n"/>
      <c r="CG1274" s="24" t="n"/>
      <c r="CH1274" s="24" t="n"/>
      <c r="CI1274" s="24" t="n"/>
      <c r="CJ1274" s="24" t="n"/>
      <c r="CK1274" s="24" t="n"/>
      <c r="CL1274" s="24" t="n"/>
      <c r="CM1274" s="24" t="n"/>
      <c r="CN1274" s="24" t="n"/>
      <c r="CO1274" s="24" t="n"/>
      <c r="CP1274" s="24" t="n"/>
      <c r="CQ1274" s="24" t="n"/>
      <c r="CR1274" s="24" t="n"/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n"/>
      <c r="CZ1274" s="24" t="n"/>
      <c r="DA1274" s="24" t="n"/>
      <c r="DB1274" s="24" t="n"/>
      <c r="DC1274" s="24" t="n"/>
      <c r="DD1274" s="24" t="inlineStr">
        <is>
          <t>2e83d82b6e03b9c9acc68fe38915b0f9949e750a104631af949c676150e59126</t>
        </is>
      </c>
      <c r="DE1274" s="24" t="inlineStr">
        <is>
          <t>E:\model-prediction\data\odds\tennis\2026-10-11\polymarket_snapshots.jsonl</t>
        </is>
      </c>
      <c r="DF1274" s="24" t="inlineStr">
        <is>
          <t>1340832:2026-10-11T12:00:38.834337Z</t>
        </is>
      </c>
      <c r="DG1274" s="24" t="n"/>
      <c r="DH1274" s="24" t="n"/>
      <c r="DI1274" s="24" t="n"/>
      <c r="DJ1274" s="24" t="n"/>
      <c r="DK1274" s="24" t="n"/>
      <c r="DL1274" s="24" t="n"/>
      <c r="DM1274" s="24" t="n"/>
      <c r="DN1274" s="24" t="n"/>
      <c r="DO1274" s="24" t="n"/>
      <c r="DP1274" s="24" t="n"/>
      <c r="DQ1274" s="24" t="inlineStr">
        <is>
          <t>{"artifact_hash": "7443acc419841200d57e1edf36b77f1940cdd0c48dce3d43fcd05498a109440b", "away_team": "Caroline Werner", "event_id": "1025-2026:186404", "event_start_utc": "2026-10-11T13:00Z", "features": {"elo_p1_surface": 1443.8, "elo_p2_surface": 1485.0, "expected_games_p1": 13.43, "expected_games_p2": 8.9, "expected_total_games": 22.33, "history_matches": 16675, "min_player_matches": 7, "surface": "Hard"}, "historical_source_observation_times_verified": false, "home_team": "Kristina Novak", "inference_inputs": {"best_of": 3, "code_sha256": {"features/elo_ratings.py": "d6513e79d65448c06cc0f9b9eed0eaa091567835128e1f6647a310da8d78a872", "models/tennis.py": "7443acc419841200d57e1edf36b77f1940cdd0c48dce3d43fcd05498a109440b"}, "counts": [54, 7], "market_probability": null, "model_version": "tennis-learned-v3", "overall_ratings": [1457.3675008278012, 1463.8399510198383], "p_serve_a": 0.6329246195211637, "p_serve_b": 0.5470753804788362, "players": ["Caroline Werner", "Kristina Novak"], "rest_days": [2.0, 25.0], "sport": "TENNIS", "surface": "Hard", "surface_counts": [44, 7], "surface_ratings": [1443.7857134133224, 1485.0303302943514], "tour": "WTA"}, "market_type": "moneyline", "model_version": "tennis-learned-v3", "observed_at_utc": "2026-10-11T12:32:17.916925+00:00", "probabilities": {"away": 0.6441, "home": 0.3559}, "replay_scope": "Exact full-precision serving state and rounding; upstream historical observation times are not certified.", "schema": "coded-moneyline-replay-v1", "snapshot_hash": "5b6344168efedd69e8f2f7545aa4548c04b9ce715d7444a40e5103f48420a06c", "sport": "TENNIS"}</t>
        </is>
      </c>
    </row>
    <row r="1275" ht="36" customHeight="1">
      <c r="A1275" s="24" t="inlineStr">
        <is>
          <t>2222d880715f4005</t>
        </is>
      </c>
      <c r="B1275" s="24" t="inlineStr">
        <is>
          <t>2026-10-11T12:32:20.210805Z</t>
        </is>
      </c>
      <c r="C1275" s="24" t="inlineStr">
        <is>
          <t>2026-10-11T12:35Z</t>
        </is>
      </c>
      <c r="D1275" s="24" t="inlineStr">
        <is>
          <t>1079-2026:186442</t>
        </is>
      </c>
      <c r="E1275" s="24" t="inlineStr">
        <is>
          <t>TENNIS</t>
        </is>
      </c>
      <c r="F1275" s="24" t="inlineStr">
        <is>
          <t>Elina Nepliy</t>
        </is>
      </c>
      <c r="G1275" s="24" t="inlineStr">
        <is>
          <t>Gina Feistel</t>
        </is>
      </c>
      <c r="H1275" s="24" t="inlineStr">
        <is>
          <t>moneyline</t>
        </is>
      </c>
      <c r="I1275" s="24" t="inlineStr">
        <is>
          <t>away</t>
        </is>
      </c>
      <c r="J1275" s="25" t="n"/>
      <c r="K1275" s="24" t="inlineStr">
        <is>
          <t>polymarket_us</t>
        </is>
      </c>
      <c r="L1275" s="26" t="n">
        <v>614</v>
      </c>
      <c r="M1275" s="27" t="n">
        <v>7.14</v>
      </c>
      <c r="N1275" s="28" t="n">
        <v>0.140056</v>
      </c>
      <c r="O1275" s="28" t="n">
        <v>0.5105</v>
      </c>
      <c r="P1275" s="28" t="n">
        <v>0.05</v>
      </c>
      <c r="Q1275" s="28" t="n">
        <v>0.370444</v>
      </c>
      <c r="R1275" s="26" t="n">
        <v>100</v>
      </c>
      <c r="S1275" s="29" t="n">
        <v>2</v>
      </c>
      <c r="T1275" s="24" t="inlineStr">
        <is>
          <t>tennis-learned-v3</t>
        </is>
      </c>
      <c r="U1275" s="24" t="inlineStr">
        <is>
          <t>settled</t>
        </is>
      </c>
      <c r="V1275" s="24" t="inlineStr">
        <is>
          <t>loss</t>
        </is>
      </c>
      <c r="W1275" s="26" t="n">
        <v>0</v>
      </c>
      <c r="X1275" s="26" t="n">
        <v>1</v>
      </c>
      <c r="Y1275" s="25" t="n"/>
      <c r="Z1275" s="26" t="n">
        <v>614</v>
      </c>
      <c r="AA1275" s="28" t="n">
        <v>0.14</v>
      </c>
      <c r="AB1275" s="28" t="n">
        <v>-5.6e-05</v>
      </c>
      <c r="AC1275" s="30" t="n">
        <v>-2</v>
      </c>
      <c r="AD1275" s="24" t="inlineStr">
        <is>
          <t>2026-10-11T16:02:12.296095Z</t>
        </is>
      </c>
      <c r="AE1275" s="31" t="inlineStr">
        <is>
          <t>Tennis v3 Learned Fundamental on Hard (Bo3): Elina Nepliy p=0.510 vs Gina Feistel. Executable ask 0.1400 (aec-wta-ginfei-elinep-2026-10-11).</t>
        </is>
      </c>
      <c r="AF1275" s="31" t="inlineStr">
        <is>
          <t>Surface-blended Elo model; singles only, WTA+ATP market coverage, not yet locked-holdout qualified -- promoted by explicit operator directive, not genuine walk-forward validation.</t>
        </is>
      </c>
      <c r="AG1275" s="24" t="inlineStr">
        <is>
          <t>review_required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PAPER_CALL_MODEL_UNVALIDATED</t>
        </is>
      </c>
      <c r="AP1275" s="24" t="inlineStr">
        <is>
          <t>Elina Nepliy</t>
        </is>
      </c>
      <c r="AQ1275" s="24" t="inlineStr">
        <is>
          <t>Elina Nepliy</t>
        </is>
      </c>
      <c r="AR1275" s="24" t="inlineStr">
        <is>
          <t>Elina Nepliy</t>
        </is>
      </c>
      <c r="AS1275" s="24" t="inlineStr">
        <is>
          <t>Gina Feistel</t>
        </is>
      </c>
      <c r="AT1275" s="24" t="inlineStr">
        <is>
          <t>Gina Feistel</t>
        </is>
      </c>
      <c r="AU1275" s="24" t="inlineStr">
        <is>
          <t>Gina Feistel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7443acc419841200d57e1edf36b77f1940cdd0c48dce3d43fcd05498a109440b</t>
        </is>
      </c>
      <c r="BB1275" s="24" t="inlineStr">
        <is>
          <t>learned_v3</t>
        </is>
      </c>
      <c r="BC1275" s="24" t="inlineStr">
        <is>
          <t>tennis-learned-v3</t>
        </is>
      </c>
      <c r="BD1275" s="24" t="inlineStr">
        <is>
          <t>7443acc419841200d57e1edf36b77f1940cdd0c48dce3d43fcd05498a109440b</t>
        </is>
      </c>
      <c r="BE1275" s="24" t="inlineStr">
        <is>
          <t>tennis-learned-v3</t>
        </is>
      </c>
      <c r="BF1275" s="24" t="inlineStr">
        <is>
          <t>1</t>
        </is>
      </c>
      <c r="BG1275" s="24" t="inlineStr">
        <is>
          <t>7443acc419841200d57e1edf36b77f1940cdd0c48dce3d43fcd05498a109440b</t>
        </is>
      </c>
      <c r="BH1275" s="24" t="inlineStr">
        <is>
          <t>2026-10-11T11:59:58.534760Z</t>
        </is>
      </c>
      <c r="BI1275" s="24" t="inlineStr">
        <is>
          <t>["same_event","same_team_same_day","same_league_same_day"]</t>
        </is>
      </c>
      <c r="BJ1275" s="25" t="n"/>
      <c r="BK1275" s="26" t="n">
        <v>614</v>
      </c>
      <c r="BL1275" s="27" t="n">
        <v>7.14</v>
      </c>
      <c r="BM1275" s="28" t="n">
        <v>0.140056</v>
      </c>
      <c r="BN1275" s="28" t="n"/>
      <c r="BO1275" s="28" t="n"/>
      <c r="BP1275" s="25" t="n"/>
      <c r="BQ1275" s="27" t="n">
        <v>7.14</v>
      </c>
      <c r="BR1275" s="28" t="n">
        <v>0.14</v>
      </c>
      <c r="BS1275" s="28" t="n"/>
      <c r="BT1275" s="28" t="n"/>
      <c r="BU1275" s="25" t="n"/>
      <c r="BV1275" s="29" t="n"/>
      <c r="BW1275" s="24" t="n"/>
      <c r="BX1275" s="30" t="n"/>
      <c r="BY1275" s="27" t="n"/>
      <c r="BZ1275" s="24" t="n"/>
      <c r="CA1275" s="31" t="n"/>
      <c r="CB1275" s="24" t="n"/>
      <c r="CC1275" s="24" t="n"/>
      <c r="CD1275" s="24" t="n"/>
      <c r="CE1275" s="24" t="n"/>
      <c r="CF1275" s="24" t="n"/>
      <c r="CG1275" s="24" t="n"/>
      <c r="CH1275" s="24" t="n"/>
      <c r="CI1275" s="24" t="n"/>
      <c r="CJ1275" s="24" t="n"/>
      <c r="CK1275" s="24" t="n"/>
      <c r="CL1275" s="24" t="n"/>
      <c r="CM1275" s="24" t="n"/>
      <c r="CN1275" s="24" t="n"/>
      <c r="CO1275" s="24" t="n"/>
      <c r="CP1275" s="24" t="n"/>
      <c r="CQ1275" s="24" t="n"/>
      <c r="CR1275" s="24" t="n"/>
      <c r="CS1275" s="24" t="inlineStr">
        <is>
          <t>True</t>
        </is>
      </c>
      <c r="CT1275" s="24" t="n"/>
      <c r="CU1275" s="24" t="n"/>
      <c r="CV1275" s="24" t="n"/>
      <c r="CW1275" s="24" t="n"/>
      <c r="CX1275" s="24" t="n"/>
      <c r="CY1275" s="24" t="n"/>
      <c r="CZ1275" s="24" t="n"/>
      <c r="DA1275" s="24" t="n"/>
      <c r="DB1275" s="24" t="n"/>
      <c r="DC1275" s="24" t="n"/>
      <c r="DD1275" s="24" t="inlineStr">
        <is>
          <t>698f35521cfc0c671f0e713a5055cf533ba01ec8c2b3e855a7efa574ae3c8146</t>
        </is>
      </c>
      <c r="DE1275" s="24" t="inlineStr">
        <is>
          <t>E:\model-prediction\data\odds\tennis\2026-10-11\polymarket_snapshots.jsonl</t>
        </is>
      </c>
      <c r="DF1275" s="24" t="inlineStr">
        <is>
          <t>1340828:2026-10-11T11:59:58.534760Z</t>
        </is>
      </c>
      <c r="DG1275" s="24" t="n"/>
      <c r="DH1275" s="24" t="n"/>
      <c r="DI1275" s="24" t="n"/>
      <c r="DJ1275" s="24" t="n"/>
      <c r="DK1275" s="24" t="n"/>
      <c r="DL1275" s="24" t="n"/>
      <c r="DM1275" s="24" t="n"/>
      <c r="DN1275" s="24" t="n"/>
      <c r="DO1275" s="24" t="n"/>
      <c r="DP1275" s="24" t="n"/>
      <c r="DQ1275" s="24" t="inlineStr">
        <is>
          <t>{"artifact_hash": "7443acc419841200d57e1edf36b77f1940cdd0c48dce3d43fcd05498a109440b", "away_team": "Elina Nepliy", "event_id": "1079-2026:186442", "event_start_utc": "2026-10-11T12:35Z", "features": {"elo_p1_surface": 1504.0, "elo_p2_surface": 1460.1, "expected_games_p1": 12.71, "expected_games_p2": 12.05, "expected_total_games": 24.76, "history_matches": 16675, "min_player_matches": 7, "surface": "Hard"}, "historical_source_observation_times_verified": false, "home_team": "Gina Feistel", "inference_inputs": {"best_of": 3, "code_sha256": {"features/elo_ratings.py": "d6513e79d65448c06cc0f9b9eed0eaa091567835128e1f6647a310da8d78a872", "models/tennis.py": "7443acc419841200d57e1edf36b77f1940cdd0c48dce3d43fcd05498a109440b"}, "counts": [7, 14], "market_probability": null, "model_version": "tennis-learned-v3", "overall_ratings": [1499.2224543703041, 1423.4229332894777], "p_serve_a": 0.5930311172725672, "p_serve_b": 0.5869688827274328, "players": ["Elina Nepliy", "Gina Feistel"], "rest_days": [60.0, 14.0], "sport": "TENNIS", "surface": "Hard", "surface_counts": [7, 14], "surface_ratings": [1504.0142088446603, 1460.1422062400263], "tour": "WTA"}, "market_type": "moneyline", "model_version": "tennis-learned-v3", "observed_at_utc": "2026-10-11T12:32:17.916925+00:00", "probabilities": {"away": 0.5105, "home": 0.4895}, "replay_scope": "Exact full-precision serving state and rounding; upstream historical observation times are not certified.", "schema": "coded-moneyline-replay-v1", "snapshot_hash": "63a127d68d41e9d938c193167f61507c201251202048bf2d3298aaf358cc9f43", "sport": "TENNIS"}</t>
        </is>
      </c>
    </row>
    <row r="1276" ht="36" customHeight="1">
      <c r="A1276" s="24" t="inlineStr">
        <is>
          <t>ea7168142b4e47ca</t>
        </is>
      </c>
      <c r="B1276" s="24" t="inlineStr">
        <is>
          <t>2026-10-11T12:32:20.210805Z</t>
        </is>
      </c>
      <c r="C1276" s="24" t="inlineStr">
        <is>
          <t>2026-10-11T13:00Z</t>
        </is>
      </c>
      <c r="D1276" s="24" t="inlineStr">
        <is>
          <t>1079-2026:186439</t>
        </is>
      </c>
      <c r="E1276" s="24" t="inlineStr">
        <is>
          <t>TENNIS</t>
        </is>
      </c>
      <c r="F1276" s="24" t="inlineStr">
        <is>
          <t>Iva Primorac Pavicic</t>
        </is>
      </c>
      <c r="G1276" s="24" t="inlineStr">
        <is>
          <t>Teresa Franco Dias</t>
        </is>
      </c>
      <c r="H1276" s="24" t="inlineStr">
        <is>
          <t>moneyline</t>
        </is>
      </c>
      <c r="I1276" s="24" t="inlineStr">
        <is>
          <t>away</t>
        </is>
      </c>
      <c r="J1276" s="25" t="n"/>
      <c r="K1276" s="24" t="inlineStr">
        <is>
          <t>polymarket_us</t>
        </is>
      </c>
      <c r="L1276" s="26" t="n">
        <v>-3233</v>
      </c>
      <c r="M1276" s="27" t="n">
        <v>1.030931</v>
      </c>
      <c r="N1276" s="28" t="n">
        <v>0.969997</v>
      </c>
      <c r="O1276" s="28" t="n">
        <v>0.556</v>
      </c>
      <c r="P1276" s="28" t="n">
        <v>0.05</v>
      </c>
      <c r="Q1276" s="28" t="n">
        <v>-0.413997</v>
      </c>
      <c r="R1276" s="26" t="n">
        <v>0</v>
      </c>
      <c r="S1276" s="29" t="n">
        <v>1</v>
      </c>
      <c r="T1276" s="24" t="inlineStr">
        <is>
          <t>tennis-learned-v3</t>
        </is>
      </c>
      <c r="U1276" s="24" t="inlineStr">
        <is>
          <t>settled</t>
        </is>
      </c>
      <c r="V1276" s="24" t="inlineStr">
        <is>
          <t>win</t>
        </is>
      </c>
      <c r="W1276" s="26" t="n">
        <v>1</v>
      </c>
      <c r="X1276" s="26" t="n">
        <v>0</v>
      </c>
      <c r="Y1276" s="25" t="n"/>
      <c r="Z1276" s="26" t="n">
        <v>-3233</v>
      </c>
      <c r="AA1276" s="28" t="n">
        <v>0.97</v>
      </c>
      <c r="AB1276" s="28" t="n">
        <v>3e-06</v>
      </c>
      <c r="AC1276" s="30" t="n">
        <v>0.0309</v>
      </c>
      <c r="AD1276" s="24" t="inlineStr">
        <is>
          <t>2026-10-11T16:02:18.043632Z</t>
        </is>
      </c>
      <c r="AE1276" s="31" t="inlineStr">
        <is>
          <t>Tennis v3 Learned Fundamental on Hard (Bo3): Iva Primorac Pavicic p=0.556 vs Teresa Franco Dias. Executable ask 0.9700 (aec-wta-terdia-ivapav-2026-10-11).</t>
        </is>
      </c>
      <c r="AF1276" s="31" t="inlineStr">
        <is>
          <t>Surface-blended Elo model; singles only, WTA+ATP market coverage, not yet locked-holdout qualified -- promoted by explicit operator directive, not genuine walk-forward validation.</t>
        </is>
      </c>
      <c r="AG1276" s="24" t="inlineStr">
        <is>
          <t>not_applicable</t>
        </is>
      </c>
      <c r="AH1276" s="24" t="n"/>
      <c r="AI1276" s="31" t="n"/>
      <c r="AJ1276" s="31" t="n"/>
      <c r="AK1276" s="24" t="inlineStr">
        <is>
          <t>paper_call</t>
        </is>
      </c>
      <c r="AL1276" s="26" t="n">
        <v>4</v>
      </c>
      <c r="AM1276" s="24" t="inlineStr">
        <is>
          <t>RESEARCH_OBSERVATION</t>
        </is>
      </c>
      <c r="AN1276" s="24" t="inlineStr">
        <is>
          <t>CALL</t>
        </is>
      </c>
      <c r="AO1276" s="24" t="inlineStr">
        <is>
          <t>PAPER_CALL_MODEL_UNVALIDATED</t>
        </is>
      </c>
      <c r="AP1276" s="24" t="inlineStr">
        <is>
          <t>Iva Primorac Pavicic</t>
        </is>
      </c>
      <c r="AQ1276" s="24" t="inlineStr">
        <is>
          <t>Iva Primorac Pavicic</t>
        </is>
      </c>
      <c r="AR1276" s="24" t="inlineStr">
        <is>
          <t>Iva Primorac Pavicic</t>
        </is>
      </c>
      <c r="AS1276" s="24" t="inlineStr">
        <is>
          <t>Teresa Franco Dias</t>
        </is>
      </c>
      <c r="AT1276" s="24" t="inlineStr">
        <is>
          <t>Teresa Franco Dias</t>
        </is>
      </c>
      <c r="AU1276" s="24" t="inlineStr">
        <is>
          <t>Teresa Franco Dias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shadow_qualified</t>
        </is>
      </c>
      <c r="BA1276" s="24" t="inlineStr">
        <is>
          <t>7443acc419841200d57e1edf36b77f1940cdd0c48dce3d43fcd05498a109440b</t>
        </is>
      </c>
      <c r="BB1276" s="24" t="inlineStr">
        <is>
          <t>learned_v3</t>
        </is>
      </c>
      <c r="BC1276" s="24" t="inlineStr">
        <is>
          <t>tennis-learned-v3</t>
        </is>
      </c>
      <c r="BD1276" s="24" t="inlineStr">
        <is>
          <t>7443acc419841200d57e1edf36b77f1940cdd0c48dce3d43fcd05498a109440b</t>
        </is>
      </c>
      <c r="BE1276" s="24" t="inlineStr">
        <is>
          <t>tennis-learned-v3</t>
        </is>
      </c>
      <c r="BF1276" s="24" t="inlineStr">
        <is>
          <t>1</t>
        </is>
      </c>
      <c r="BG1276" s="24" t="inlineStr">
        <is>
          <t>7443acc419841200d57e1edf36b77f1940cdd0c48dce3d43fcd05498a109440b</t>
        </is>
      </c>
      <c r="BH1276" s="24" t="inlineStr">
        <is>
          <t>2026-10-11T12:00:48.908941Z</t>
        </is>
      </c>
      <c r="BI1276" s="24" t="inlineStr">
        <is>
          <t>["same_event","same_team_same_day","same_league_same_day"]</t>
        </is>
      </c>
      <c r="BJ1276" s="25" t="n"/>
      <c r="BK1276" s="26" t="n">
        <v>-3233</v>
      </c>
      <c r="BL1276" s="27" t="n">
        <v>1.030931</v>
      </c>
      <c r="BM1276" s="28" t="n">
        <v>0.969997</v>
      </c>
      <c r="BN1276" s="28" t="n"/>
      <c r="BO1276" s="28" t="n"/>
      <c r="BP1276" s="25" t="n"/>
      <c r="BQ1276" s="27" t="n">
        <v>1.030931</v>
      </c>
      <c r="BR1276" s="28" t="n">
        <v>0.97</v>
      </c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n"/>
      <c r="CD1276" s="24" t="n"/>
      <c r="CE1276" s="24" t="n"/>
      <c r="CF1276" s="24" t="n"/>
      <c r="CG1276" s="24" t="n"/>
      <c r="CH1276" s="24" t="n"/>
      <c r="CI1276" s="24" t="n"/>
      <c r="CJ1276" s="24" t="n"/>
      <c r="CK1276" s="24" t="n"/>
      <c r="CL1276" s="24" t="n"/>
      <c r="CM1276" s="24" t="n"/>
      <c r="CN1276" s="24" t="n"/>
      <c r="CO1276" s="24" t="n"/>
      <c r="CP1276" s="24" t="n"/>
      <c r="CQ1276" s="24" t="n"/>
      <c r="CR1276" s="24" t="n"/>
      <c r="CS1276" s="24" t="inlineStr">
        <is>
          <t>False</t>
        </is>
      </c>
      <c r="CT1276" s="24" t="n"/>
      <c r="CU1276" s="24" t="n"/>
      <c r="CV1276" s="24" t="n"/>
      <c r="CW1276" s="24" t="n"/>
      <c r="CX1276" s="24" t="n"/>
      <c r="CY1276" s="24" t="n"/>
      <c r="CZ1276" s="24" t="n"/>
      <c r="DA1276" s="24" t="n"/>
      <c r="DB1276" s="24" t="n"/>
      <c r="DC1276" s="24" t="n"/>
      <c r="DD1276" s="24" t="inlineStr">
        <is>
          <t>e1d6531bf463f3d7dd7f46bcfbe865ae97c882d8a299a27236bafce82487ad74</t>
        </is>
      </c>
      <c r="DE1276" s="24" t="inlineStr">
        <is>
          <t>E:\model-prediction\data\odds\tennis\2026-10-11\polymarket_snapshots.jsonl</t>
        </is>
      </c>
      <c r="DF1276" s="24" t="inlineStr">
        <is>
          <t>1340827:2026-10-11T12:00:48.908941Z</t>
        </is>
      </c>
      <c r="DG1276" s="24" t="n"/>
      <c r="DH1276" s="24" t="n"/>
      <c r="DI1276" s="24" t="n"/>
      <c r="DJ1276" s="24" t="n"/>
      <c r="DK1276" s="24" t="n"/>
      <c r="DL1276" s="24" t="n"/>
      <c r="DM1276" s="24" t="n"/>
      <c r="DN1276" s="24" t="n"/>
      <c r="DO1276" s="24" t="n"/>
      <c r="DP1276" s="24" t="n"/>
      <c r="DQ1276" s="24" t="inlineStr">
        <is>
          <t>{"artifact_hash": "7443acc419841200d57e1edf36b77f1940cdd0c48dce3d43fcd05498a109440b", "away_team": "Iva Primorac Pavicic", "event_id": "1079-2026:186439", "event_start_utc": "2026-10-11T13:00Z", "features": {"elo_p1_surface": 1498.8, "elo_p2_surface": 1461.8, "expected_games_p1": 13.21, "expected_games_p2": 11.13, "expected_total_games": 24.34, "history_matches": 16675, "min_player_matches": 2, "surface": "Hard"}, "historical_source_observation_times_verified": false, "home_team": "Teresa Franco Dias", "inference_inputs": {"best_of": 3, "code_sha256": {"features/elo_ratings.py": "d6513e79d65448c06cc0f9b9eed0eaa091567835128e1f6647a310da8d78a872", "models/tennis.py": "7443acc419841200d57e1edf36b77f1940cdd0c48dce3d43fcd05498a109440b"}, "counts": [2, 4], "market_probability": null, "model_version": "tennis-learned-v3", "overall_ratings": [1496.5522252496105, 1425.430176446707], "p_serve_a": 0.6062672768879624, "p_serve_b": 0.5737327231120375, "players": ["Iva Primorac Pavicic", "Teresa Franco Dias"], "rest_days": [20.0, 19.0], "sport": "TENNIS", "surface": "Hard", "surface_counts": [2, 4], "surface_ratings": [1498.7778440457985, 1461.8024277865006], "tour": "WTA"}, "market_type": "moneyline", "model_version": "tennis-learned-v3", "observed_at_utc": "2026-10-11T12:32:17.916925+00:00", "probabilities": {"away": 0.556, "home": 0.4441}, "replay_scope": "Exact full-precision serving state and rounding; upstream historical observation times are not certified.", "schema": "coded-moneyline-replay-v1", "snapshot_hash": "aacaef77536385fd84c266a720a3f3d4601812074b148d0c055d9c300bede4f1", "sport": "TENNIS"}</t>
        </is>
      </c>
    </row>
    <row r="1277" ht="36" customHeight="1">
      <c r="A1277" s="24" t="inlineStr">
        <is>
          <t>8ca4aa1af08a43c8</t>
        </is>
      </c>
      <c r="B1277" s="24" t="inlineStr">
        <is>
          <t>2026-10-11T12:32:20.210805Z</t>
        </is>
      </c>
      <c r="C1277" s="24" t="inlineStr">
        <is>
          <t>2026-10-11T13:45Z</t>
        </is>
      </c>
      <c r="D1277" s="24" t="inlineStr">
        <is>
          <t>1079-2026:186436</t>
        </is>
      </c>
      <c r="E1277" s="24" t="inlineStr">
        <is>
          <t>TENNIS</t>
        </is>
      </c>
      <c r="F1277" s="24" t="inlineStr">
        <is>
          <t>Sarah Van Emst</t>
        </is>
      </c>
      <c r="G1277" s="24" t="inlineStr">
        <is>
          <t>Raluka Serban</t>
        </is>
      </c>
      <c r="H1277" s="24" t="inlineStr">
        <is>
          <t>moneyline</t>
        </is>
      </c>
      <c r="I1277" s="24" t="inlineStr">
        <is>
          <t>home</t>
        </is>
      </c>
      <c r="J1277" s="25" t="n"/>
      <c r="K1277" s="24" t="inlineStr">
        <is>
          <t>polymarket_us</t>
        </is>
      </c>
      <c r="L1277" s="26" t="n">
        <v>-104</v>
      </c>
      <c r="M1277" s="27" t="n">
        <v>1.961538</v>
      </c>
      <c r="N1277" s="28" t="n">
        <v>0.509804</v>
      </c>
      <c r="O1277" s="28" t="n">
        <v>0.6121</v>
      </c>
      <c r="P1277" s="28" t="n">
        <v>0.05</v>
      </c>
      <c r="Q1277" s="28" t="n">
        <v>0.102296</v>
      </c>
      <c r="R1277" s="26" t="n">
        <v>71</v>
      </c>
      <c r="S1277" s="29" t="n">
        <v>1.25</v>
      </c>
      <c r="T1277" s="24" t="inlineStr">
        <is>
          <t>tennis-learned-v3</t>
        </is>
      </c>
      <c r="U1277" s="24" t="inlineStr">
        <is>
          <t>settled</t>
        </is>
      </c>
      <c r="V1277" s="24" t="inlineStr">
        <is>
          <t>win</t>
        </is>
      </c>
      <c r="W1277" s="26" t="n">
        <v>0</v>
      </c>
      <c r="X1277" s="26" t="n">
        <v>1</v>
      </c>
      <c r="Y1277" s="25" t="n"/>
      <c r="Z1277" s="26" t="n"/>
      <c r="AA1277" s="28" t="n"/>
      <c r="AB1277" s="28" t="n"/>
      <c r="AC1277" s="30" t="n">
        <v>1.2019</v>
      </c>
      <c r="AD1277" s="24" t="inlineStr">
        <is>
          <t>2026-10-11T22:01:02.562346Z</t>
        </is>
      </c>
      <c r="AE1277" s="31" t="inlineStr">
        <is>
          <t>Tennis v3 Learned Fundamental on Hard (Bo3): Sarah Van Emst p=0.388 vs Raluka Serban. Executable ask 0.5100 (aec-wta-ralser-sarems-2026-10-11).</t>
        </is>
      </c>
      <c r="AF1277" s="31" t="inlineStr">
        <is>
          <t>Surface-blended Elo model; singles only, WTA+ATP market coverage, not yet locked-holdout qualified -- promoted by explicit operator directive, not genuine walk-forward validation.</t>
        </is>
      </c>
      <c r="AG1277" s="24" t="inlineStr">
        <is>
          <t>not_applicable</t>
        </is>
      </c>
      <c r="AH1277" s="24" t="n"/>
      <c r="AI1277" s="31" t="n"/>
      <c r="AJ1277" s="31" t="n"/>
      <c r="AK1277" s="24" t="inlineStr">
        <is>
          <t>paper_call</t>
        </is>
      </c>
      <c r="AL1277" s="26" t="n">
        <v>4</v>
      </c>
      <c r="AM1277" s="24" t="inlineStr">
        <is>
          <t>RESEARCH_OBSERVATION</t>
        </is>
      </c>
      <c r="AN1277" s="24" t="inlineStr">
        <is>
          <t>CALL</t>
        </is>
      </c>
      <c r="AO1277" s="24" t="inlineStr">
        <is>
          <t>PAPER_CALL_MODEL_UNVALIDATED</t>
        </is>
      </c>
      <c r="AP1277" s="24" t="inlineStr">
        <is>
          <t>Sarah Van Emst</t>
        </is>
      </c>
      <c r="AQ1277" s="24" t="inlineStr">
        <is>
          <t>Sarah Van Emst</t>
        </is>
      </c>
      <c r="AR1277" s="24" t="inlineStr">
        <is>
          <t>Sarah Van Emst</t>
        </is>
      </c>
      <c r="AS1277" s="24" t="inlineStr">
        <is>
          <t>Raluka Serban</t>
        </is>
      </c>
      <c r="AT1277" s="24" t="inlineStr">
        <is>
          <t>Raluka Serban</t>
        </is>
      </c>
      <c r="AU1277" s="24" t="inlineStr">
        <is>
          <t>Raluka Serban</t>
        </is>
      </c>
      <c r="AV1277" s="24" t="n"/>
      <c r="AW1277" s="24" t="n"/>
      <c r="AX1277" s="24" t="inlineStr">
        <is>
          <t>statistical_model</t>
        </is>
      </c>
      <c r="AY1277" s="24" t="n"/>
      <c r="AZ1277" s="24" t="inlineStr">
        <is>
          <t>shadow_qualified</t>
        </is>
      </c>
      <c r="BA1277" s="24" t="inlineStr">
        <is>
          <t>7443acc419841200d57e1edf36b77f1940cdd0c48dce3d43fcd05498a109440b</t>
        </is>
      </c>
      <c r="BB1277" s="24" t="inlineStr">
        <is>
          <t>learned_v3</t>
        </is>
      </c>
      <c r="BC1277" s="24" t="inlineStr">
        <is>
          <t>tennis-learned-v3</t>
        </is>
      </c>
      <c r="BD1277" s="24" t="inlineStr">
        <is>
          <t>7443acc419841200d57e1edf36b77f1940cdd0c48dce3d43fcd05498a109440b</t>
        </is>
      </c>
      <c r="BE1277" s="24" t="inlineStr">
        <is>
          <t>tennis-learned-v3</t>
        </is>
      </c>
      <c r="BF1277" s="24" t="inlineStr">
        <is>
          <t>1</t>
        </is>
      </c>
      <c r="BG1277" s="24" t="inlineStr">
        <is>
          <t>7443acc419841200d57e1edf36b77f1940cdd0c48dce3d43fcd05498a109440b</t>
        </is>
      </c>
      <c r="BH1277" s="24" t="inlineStr">
        <is>
          <t>2026-10-11T12:00:59.018356Z</t>
        </is>
      </c>
      <c r="BI1277" s="24" t="inlineStr">
        <is>
          <t>["same_event","same_team_same_day","same_league_same_day"]</t>
        </is>
      </c>
      <c r="BJ1277" s="25" t="n"/>
      <c r="BK1277" s="26" t="n">
        <v>-104</v>
      </c>
      <c r="BL1277" s="27" t="n">
        <v>1.961538</v>
      </c>
      <c r="BM1277" s="28" t="n">
        <v>0.509804</v>
      </c>
      <c r="BN1277" s="28" t="n"/>
      <c r="BO1277" s="28" t="n"/>
      <c r="BP1277" s="25" t="n"/>
      <c r="BQ1277" s="27" t="n"/>
      <c r="BR1277" s="28" t="n"/>
      <c r="BS1277" s="28" t="n"/>
      <c r="BT1277" s="28" t="n"/>
      <c r="BU1277" s="25" t="n"/>
      <c r="BV1277" s="29" t="n"/>
      <c r="BW1277" s="24" t="n"/>
      <c r="BX1277" s="30" t="n"/>
      <c r="BY1277" s="27" t="n"/>
      <c r="BZ1277" s="24" t="n"/>
      <c r="CA1277" s="31" t="n"/>
      <c r="CB1277" s="24" t="n"/>
      <c r="CC1277" s="24" t="n"/>
      <c r="CD1277" s="24" t="n"/>
      <c r="CE1277" s="24" t="n"/>
      <c r="CF1277" s="24" t="n"/>
      <c r="CG1277" s="24" t="n"/>
      <c r="CH1277" s="24" t="n"/>
      <c r="CI1277" s="24" t="n"/>
      <c r="CJ1277" s="24" t="n"/>
      <c r="CK1277" s="24" t="n"/>
      <c r="CL1277" s="24" t="n"/>
      <c r="CM1277" s="24" t="n"/>
      <c r="CN1277" s="24" t="n"/>
      <c r="CO1277" s="24" t="n"/>
      <c r="CP1277" s="24" t="n"/>
      <c r="CQ1277" s="24" t="n"/>
      <c r="CR1277" s="24" t="n"/>
      <c r="CS1277" s="24" t="inlineStr">
        <is>
          <t>True</t>
        </is>
      </c>
      <c r="CT1277" s="24" t="n"/>
      <c r="CU1277" s="24" t="n"/>
      <c r="CV1277" s="24" t="n"/>
      <c r="CW1277" s="24" t="n"/>
      <c r="CX1277" s="24" t="n"/>
      <c r="CY1277" s="24" t="n"/>
      <c r="CZ1277" s="24" t="n"/>
      <c r="DA1277" s="24" t="n"/>
      <c r="DB1277" s="24" t="n"/>
      <c r="DC1277" s="24" t="n"/>
      <c r="DD1277" s="24" t="inlineStr">
        <is>
          <t>f8a83d3dbd35b40ea3aeaf4b51fdb7f9caf0996423b3ccec6dd0e2e1746c777e</t>
        </is>
      </c>
      <c r="DE1277" s="24" t="inlineStr">
        <is>
          <t>E:\model-prediction\data\odds\tennis\2026-10-11\polymarket_snapshots.jsonl</t>
        </is>
      </c>
      <c r="DF1277" s="24" t="inlineStr">
        <is>
          <t>1347139:2026-10-11T12:00:59.018356Z</t>
        </is>
      </c>
      <c r="DG1277" s="24" t="n"/>
      <c r="DH1277" s="24" t="n"/>
      <c r="DI1277" s="24" t="n"/>
      <c r="DJ1277" s="24" t="n"/>
      <c r="DK1277" s="24" t="n"/>
      <c r="DL1277" s="24" t="n"/>
      <c r="DM1277" s="24" t="n"/>
      <c r="DN1277" s="24" t="n"/>
      <c r="DO1277" s="24" t="n"/>
      <c r="DP1277" s="24" t="n"/>
      <c r="DQ1277" s="24" t="inlineStr">
        <is>
          <t>{"artifact_hash": "7443acc419841200d57e1edf36b77f1940cdd0c48dce3d43fcd05498a109440b", "away_team": "Sarah Van Emst", "event_id": "1079-2026:186436", "event_start_utc": "2026-10-11T13:45Z", "features": {"elo_p1_surface": 1489.7, "elo_p2_surface": 1406.9, "expected_games_p1": 10.19, "expected_games_p2": 13.27, "expected_total_games": 23.46, "history_matches": 16675, "min_player_matches": 1, "surface": "Hard"}, "historical_source_observation_times_verified": false, "home_team": "Raluka Serban", "inference_inputs": {"best_of": 3, "code_sha256": {"features/elo_ratings.py": "d6513e79d65448c06cc0f9b9eed0eaa091567835128e1f6647a310da8d78a872", "models/tennis.py": "7443acc419841200d57e1edf36b77f1940cdd0c48dce3d43fcd05498a109440b"}, "counts": [1, 39], "market_probability": null, "model_version": "tennis-learned-v3", "overall_ratings": [1479.5239624110054, 1365.9690676179534], "p_serve_a": 0.5569962775565118, "p_serve_b": 0.6230037224434881, "players": ["Sarah Van Emst", "Raluka Serban"], "rest_days": [60.0, 27.0], "sport": "TENNIS", "surface": "Hard", "surface_counts": [1, 29], "surface_ratings": [1489.6551141669004, 1406.8703590788218], "tour": "WTA"}, "market_type": "moneyline", "model_version": "tennis-learned-v3", "observed_at_utc": "2026-10-11T12:32:17.916925+00:00", "probabilities": {"away": 0.3879, "home": 0.6121}, "replay_scope": "Exact full-precision serving state and rounding; upstream historical observation times are not certified.", "schema": "coded-moneyline-replay-v1", "snapshot_hash": "0b7e81796a866880719a3f1314f684cc7681952cc319b1e823bc7150e57be108", "sport": "TENNIS"}</t>
        </is>
      </c>
    </row>
    <row r="1278" ht="36" customHeight="1">
      <c r="A1278" s="24" t="inlineStr">
        <is>
          <t>349a152025764c05</t>
        </is>
      </c>
      <c r="B1278" s="24" t="inlineStr">
        <is>
          <t>2026-10-11T12:32:20.210805Z</t>
        </is>
      </c>
      <c r="C1278" s="24" t="inlineStr">
        <is>
          <t>2026-10-11T13:45Z</t>
        </is>
      </c>
      <c r="D1278" s="24" t="inlineStr">
        <is>
          <t>1079-2026:186436</t>
        </is>
      </c>
      <c r="E1278" s="24" t="inlineStr">
        <is>
          <t>TENNIS</t>
        </is>
      </c>
      <c r="F1278" s="24" t="inlineStr">
        <is>
          <t>Sarah Van Emst</t>
        </is>
      </c>
      <c r="G1278" s="24" t="inlineStr">
        <is>
          <t>Raluka Serban</t>
        </is>
      </c>
      <c r="H1278" s="24" t="inlineStr">
        <is>
          <t>spread</t>
        </is>
      </c>
      <c r="I1278" s="24" t="inlineStr">
        <is>
          <t>home</t>
        </is>
      </c>
      <c r="J1278" s="25" t="n">
        <v>-1.5</v>
      </c>
      <c r="K1278" s="24" t="inlineStr">
        <is>
          <t>polymarket_us</t>
        </is>
      </c>
      <c r="L1278" s="26" t="n">
        <v>108</v>
      </c>
      <c r="M1278" s="27" t="n">
        <v>2.08</v>
      </c>
      <c r="N1278" s="28" t="n">
        <v>0.480769</v>
      </c>
      <c r="O1278" s="28" t="n">
        <v>0.7365</v>
      </c>
      <c r="P1278" s="28" t="n">
        <v>0.05</v>
      </c>
      <c r="Q1278" s="28" t="n">
        <v>0.255731</v>
      </c>
      <c r="R1278" s="26" t="n">
        <v>100</v>
      </c>
      <c r="S1278" s="29" t="n">
        <v>2</v>
      </c>
      <c r="T1278" s="24" t="inlineStr">
        <is>
          <t>tennis-learned-v3</t>
        </is>
      </c>
      <c r="U1278" s="24" t="inlineStr">
        <is>
          <t>settled</t>
        </is>
      </c>
      <c r="V1278" s="24" t="inlineStr">
        <is>
          <t>win</t>
        </is>
      </c>
      <c r="W1278" s="26" t="n">
        <v>12</v>
      </c>
      <c r="X1278" s="26" t="n">
        <v>16</v>
      </c>
      <c r="Y1278" s="25" t="n"/>
      <c r="Z1278" s="26" t="n"/>
      <c r="AA1278" s="28" t="n"/>
      <c r="AB1278" s="28" t="n"/>
      <c r="AC1278" s="30" t="n">
        <v>2.16</v>
      </c>
      <c r="AD1278" s="24" t="inlineStr">
        <is>
          <t>2026-10-11T22:01:08.530546Z</t>
        </is>
      </c>
      <c r="AE1278" s="31" t="inlineStr">
        <is>
          <t>Tennis Markov game spread -1.5 games: home cover p=0.736. Executable ask 0.4800 (asc-wta-ralser-sarems-2026-10-11-gs-neg-1pt5).</t>
        </is>
      </c>
      <c r="AF1278" s="31" t="inlineStr">
        <is>
          <t>Surface-blended Elo model; singles only, WTA+ATP market coverage, not yet locked-holdout qualified -- promoted by explicit operator directive, not genuine walk-forward validation.</t>
        </is>
      </c>
      <c r="AG1278" s="24" t="inlineStr">
        <is>
          <t>not_applicable</t>
        </is>
      </c>
      <c r="AH1278" s="24" t="n"/>
      <c r="AI1278" s="31" t="n"/>
      <c r="AJ1278" s="31" t="n"/>
      <c r="AK1278" s="24" t="inlineStr">
        <is>
          <t>paper_call</t>
        </is>
      </c>
      <c r="AL1278" s="26" t="n">
        <v>4</v>
      </c>
      <c r="AM1278" s="24" t="inlineStr">
        <is>
          <t>RESEARCH_OBSERVATION</t>
        </is>
      </c>
      <c r="AN1278" s="24" t="inlineStr">
        <is>
          <t>CALL</t>
        </is>
      </c>
      <c r="AO1278" s="24" t="inlineStr">
        <is>
          <t>PAPER_CALL_MODEL_UNVALIDATED</t>
        </is>
      </c>
      <c r="AP1278" s="24" t="inlineStr">
        <is>
          <t>Sarah Van Emst</t>
        </is>
      </c>
      <c r="AQ1278" s="24" t="inlineStr">
        <is>
          <t>Sarah Van Emst</t>
        </is>
      </c>
      <c r="AR1278" s="24" t="inlineStr">
        <is>
          <t>Sarah Van Emst</t>
        </is>
      </c>
      <c r="AS1278" s="24" t="inlineStr">
        <is>
          <t>Raluka Serban</t>
        </is>
      </c>
      <c r="AT1278" s="24" t="inlineStr">
        <is>
          <t>Raluka Serban</t>
        </is>
      </c>
      <c r="AU1278" s="24" t="inlineStr">
        <is>
          <t>Raluka Serban</t>
        </is>
      </c>
      <c r="AV1278" s="24" t="n"/>
      <c r="AW1278" s="24" t="n"/>
      <c r="AX1278" s="24" t="inlineStr">
        <is>
          <t>statistical_model</t>
        </is>
      </c>
      <c r="AY1278" s="24" t="n"/>
      <c r="AZ1278" s="24" t="inlineStr">
        <is>
          <t>shadow_qualified</t>
        </is>
      </c>
      <c r="BA1278" s="24" t="inlineStr">
        <is>
          <t>7443acc419841200d57e1edf36b77f1940cdd0c48dce3d43fcd05498a109440b</t>
        </is>
      </c>
      <c r="BB1278" s="24" t="inlineStr">
        <is>
          <t>learned_v3</t>
        </is>
      </c>
      <c r="BC1278" s="24" t="inlineStr">
        <is>
          <t>tennis-learned-v3</t>
        </is>
      </c>
      <c r="BD1278" s="24" t="inlineStr">
        <is>
          <t>7443acc419841200d57e1edf36b77f1940cdd0c48dce3d43fcd05498a109440b</t>
        </is>
      </c>
      <c r="BE1278" s="24" t="inlineStr">
        <is>
          <t>tennis-learned-v3</t>
        </is>
      </c>
      <c r="BF1278" s="24" t="inlineStr">
        <is>
          <t>1</t>
        </is>
      </c>
      <c r="BG1278" s="24" t="inlineStr">
        <is>
          <t>7443acc419841200d57e1edf36b77f1940cdd0c48dce3d43fcd05498a109440b</t>
        </is>
      </c>
      <c r="BH1278" s="24" t="inlineStr">
        <is>
          <t>2026-10-11T12:00:58.986545Z</t>
        </is>
      </c>
      <c r="BI1278" s="24" t="inlineStr">
        <is>
          <t>["same_event","same_team_same_day","same_league_same_day"]</t>
        </is>
      </c>
      <c r="BJ1278" s="25" t="n">
        <v>-1.5</v>
      </c>
      <c r="BK1278" s="26" t="n">
        <v>108</v>
      </c>
      <c r="BL1278" s="27" t="n">
        <v>2.08</v>
      </c>
      <c r="BM1278" s="28" t="n">
        <v>0.480769</v>
      </c>
      <c r="BN1278" s="28" t="n"/>
      <c r="BO1278" s="28" t="n"/>
      <c r="BP1278" s="25" t="n"/>
      <c r="BQ1278" s="27" t="n"/>
      <c r="BR1278" s="28" t="n"/>
      <c r="BS1278" s="28" t="n"/>
      <c r="BT1278" s="28" t="n"/>
      <c r="BU1278" s="25" t="n"/>
      <c r="BV1278" s="29" t="n"/>
      <c r="BW1278" s="24" t="n"/>
      <c r="BX1278" s="30" t="n"/>
      <c r="BY1278" s="27" t="n"/>
      <c r="BZ1278" s="24" t="n"/>
      <c r="CA1278" s="31" t="n"/>
      <c r="CB1278" s="24" t="n"/>
      <c r="CC1278" s="24" t="n"/>
      <c r="CD1278" s="24" t="n"/>
      <c r="CE1278" s="24" t="n"/>
      <c r="CF1278" s="24" t="n"/>
      <c r="CG1278" s="24" t="n"/>
      <c r="CH1278" s="24" t="n"/>
      <c r="CI1278" s="24" t="n"/>
      <c r="CJ1278" s="24" t="n"/>
      <c r="CK1278" s="24" t="n"/>
      <c r="CL1278" s="24" t="n"/>
      <c r="CM1278" s="24" t="n"/>
      <c r="CN1278" s="24" t="n"/>
      <c r="CO1278" s="24" t="n"/>
      <c r="CP1278" s="24" t="n"/>
      <c r="CQ1278" s="24" t="n"/>
      <c r="CR1278" s="24" t="n"/>
      <c r="CS1278" s="24" t="inlineStr">
        <is>
          <t>True</t>
        </is>
      </c>
      <c r="CT1278" s="24" t="n"/>
      <c r="CU1278" s="24" t="n"/>
      <c r="CV1278" s="24" t="n"/>
      <c r="CW1278" s="24" t="n"/>
      <c r="CX1278" s="24" t="n"/>
      <c r="CY1278" s="24" t="n"/>
      <c r="CZ1278" s="24" t="n"/>
      <c r="DA1278" s="24" t="n"/>
      <c r="DB1278" s="24" t="n"/>
      <c r="DC1278" s="24" t="n"/>
      <c r="DD1278" s="24" t="inlineStr">
        <is>
          <t>addbfa103c1bec762371bc795a8e3e1ac37a05da9bfee6cc02fbcb85c77d047b</t>
        </is>
      </c>
      <c r="DE1278" s="24" t="inlineStr">
        <is>
          <t>E:\model-prediction\data\odds\tennis\2026-10-11\polymarket_snapshots.jsonl</t>
        </is>
      </c>
      <c r="DF1278" s="24" t="inlineStr">
        <is>
          <t>1347687:2026-10-11T12:00:58.986545Z</t>
        </is>
      </c>
      <c r="DG1278" s="24" t="n"/>
      <c r="DH1278" s="24" t="n"/>
      <c r="DI1278" s="24" t="n"/>
      <c r="DJ1278" s="24" t="n"/>
      <c r="DK1278" s="24" t="n"/>
      <c r="DL1278" s="24" t="n"/>
      <c r="DM1278" s="24" t="n"/>
      <c r="DN1278" s="24" t="n"/>
      <c r="DO1278" s="24" t="n"/>
      <c r="DP1278" s="24" t="n"/>
      <c r="DQ1278" s="24" t="n"/>
    </row>
    <row r="1279" ht="36" customHeight="1">
      <c r="A1279" s="24" t="inlineStr">
        <is>
          <t>93fa31b1aa824ee1</t>
        </is>
      </c>
      <c r="B1279" s="24" t="inlineStr">
        <is>
          <t>2026-10-11T12:32:20.210805Z</t>
        </is>
      </c>
      <c r="C1279" s="24" t="inlineStr">
        <is>
          <t>2026-10-11T13:45Z</t>
        </is>
      </c>
      <c r="D1279" s="24" t="inlineStr">
        <is>
          <t>1079-2026:186436</t>
        </is>
      </c>
      <c r="E1279" s="24" t="inlineStr">
        <is>
          <t>TENNIS</t>
        </is>
      </c>
      <c r="F1279" s="24" t="inlineStr">
        <is>
          <t>Sarah Van Emst</t>
        </is>
      </c>
      <c r="G1279" s="24" t="inlineStr">
        <is>
          <t>Raluka Serban</t>
        </is>
      </c>
      <c r="H1279" s="24" t="inlineStr">
        <is>
          <t>total</t>
        </is>
      </c>
      <c r="I1279" s="24" t="inlineStr">
        <is>
          <t>under</t>
        </is>
      </c>
      <c r="J1279" s="25" t="n">
        <v>22.5</v>
      </c>
      <c r="K1279" s="24" t="inlineStr">
        <is>
          <t>polymarket_us</t>
        </is>
      </c>
      <c r="L1279" s="26" t="n">
        <v>-138</v>
      </c>
      <c r="M1279" s="27" t="n">
        <v>1.724638</v>
      </c>
      <c r="N1279" s="28" t="n">
        <v>0.579832</v>
      </c>
      <c r="O1279" s="28" t="n">
        <v>0.5215</v>
      </c>
      <c r="P1279" s="28" t="n">
        <v>0.05</v>
      </c>
      <c r="Q1279" s="28" t="n">
        <v>-0.058332</v>
      </c>
      <c r="R1279" s="26" t="n">
        <v>0</v>
      </c>
      <c r="S1279" s="29" t="n">
        <v>1</v>
      </c>
      <c r="T1279" s="24" t="inlineStr">
        <is>
          <t>tennis-learned-v3</t>
        </is>
      </c>
      <c r="U1279" s="24" t="inlineStr">
        <is>
          <t>settled</t>
        </is>
      </c>
      <c r="V1279" s="24" t="inlineStr">
        <is>
          <t>loss</t>
        </is>
      </c>
      <c r="W1279" s="26" t="n">
        <v>12</v>
      </c>
      <c r="X1279" s="26" t="n">
        <v>16</v>
      </c>
      <c r="Y1279" s="25" t="n"/>
      <c r="Z1279" s="26" t="n"/>
      <c r="AA1279" s="28" t="n"/>
      <c r="AB1279" s="28" t="n"/>
      <c r="AC1279" s="30" t="n">
        <v>-1</v>
      </c>
      <c r="AD1279" s="24" t="inlineStr">
        <is>
          <t>2026-10-11T22:01:13.910763Z</t>
        </is>
      </c>
      <c r="AE1279" s="31" t="inlineStr">
        <is>
          <t>Tennis Markov total games line 22.5: under p=0.521. Executable ask 0.5800 (tsc-wta-ralser-sarems-2026-10-11-tg-22pt5).</t>
        </is>
      </c>
      <c r="AF1279" s="31" t="inlineStr">
        <is>
          <t>Surface-blended Elo model; singles only, WTA+ATP market coverage, not yet locked-holdout qualified -- promoted by explicit operator directive, not genuine walk-forward validation.</t>
        </is>
      </c>
      <c r="AG1279" s="24" t="inlineStr">
        <is>
          <t>review_required</t>
        </is>
      </c>
      <c r="AH1279" s="24" t="n"/>
      <c r="AI1279" s="31" t="n"/>
      <c r="AJ1279" s="31" t="n"/>
      <c r="AK1279" s="24" t="inlineStr">
        <is>
          <t>paper_call</t>
        </is>
      </c>
      <c r="AL1279" s="26" t="n">
        <v>4</v>
      </c>
      <c r="AM1279" s="24" t="inlineStr">
        <is>
          <t>RESEARCH_OBSERVATION</t>
        </is>
      </c>
      <c r="AN1279" s="24" t="inlineStr">
        <is>
          <t>CALL</t>
        </is>
      </c>
      <c r="AO1279" s="24" t="inlineStr">
        <is>
          <t>PAPER_CALL_MODEL_UNVALIDATED</t>
        </is>
      </c>
      <c r="AP1279" s="24" t="inlineStr">
        <is>
          <t>Sarah Van Emst</t>
        </is>
      </c>
      <c r="AQ1279" s="24" t="inlineStr">
        <is>
          <t>Sarah Van Emst</t>
        </is>
      </c>
      <c r="AR1279" s="24" t="inlineStr">
        <is>
          <t>Sarah Van Emst</t>
        </is>
      </c>
      <c r="AS1279" s="24" t="inlineStr">
        <is>
          <t>Raluka Serban</t>
        </is>
      </c>
      <c r="AT1279" s="24" t="inlineStr">
        <is>
          <t>Raluka Serban</t>
        </is>
      </c>
      <c r="AU1279" s="24" t="inlineStr">
        <is>
          <t>Raluka Serban</t>
        </is>
      </c>
      <c r="AV1279" s="24" t="n"/>
      <c r="AW1279" s="24" t="n"/>
      <c r="AX1279" s="24" t="inlineStr">
        <is>
          <t>statistical_model</t>
        </is>
      </c>
      <c r="AY1279" s="24" t="n"/>
      <c r="AZ1279" s="24" t="inlineStr">
        <is>
          <t>shadow_qualified</t>
        </is>
      </c>
      <c r="BA1279" s="24" t="inlineStr">
        <is>
          <t>7443acc419841200d57e1edf36b77f1940cdd0c48dce3d43fcd05498a109440b</t>
        </is>
      </c>
      <c r="BB1279" s="24" t="inlineStr">
        <is>
          <t>learned_v3</t>
        </is>
      </c>
      <c r="BC1279" s="24" t="inlineStr">
        <is>
          <t>tennis-learned-v3</t>
        </is>
      </c>
      <c r="BD1279" s="24" t="inlineStr">
        <is>
          <t>7443acc419841200d57e1edf36b77f1940cdd0c48dce3d43fcd05498a109440b</t>
        </is>
      </c>
      <c r="BE1279" s="24" t="inlineStr">
        <is>
          <t>tennis-learned-v3</t>
        </is>
      </c>
      <c r="BF1279" s="24" t="inlineStr">
        <is>
          <t>1</t>
        </is>
      </c>
      <c r="BG1279" s="24" t="inlineStr">
        <is>
          <t>7443acc419841200d57e1edf36b77f1940cdd0c48dce3d43fcd05498a109440b</t>
        </is>
      </c>
      <c r="BH1279" s="24" t="inlineStr">
        <is>
          <t>2026-10-11T12:00:59.049916Z</t>
        </is>
      </c>
      <c r="BI1279" s="24" t="inlineStr">
        <is>
          <t>["same_event","same_team_same_day","same_league_same_day"]</t>
        </is>
      </c>
      <c r="BJ1279" s="25" t="n">
        <v>22.5</v>
      </c>
      <c r="BK1279" s="26" t="n">
        <v>-138</v>
      </c>
      <c r="BL1279" s="27" t="n">
        <v>1.724638</v>
      </c>
      <c r="BM1279" s="28" t="n">
        <v>0.579832</v>
      </c>
      <c r="BN1279" s="28" t="n"/>
      <c r="BO1279" s="28" t="n"/>
      <c r="BP1279" s="25" t="n"/>
      <c r="BQ1279" s="27" t="n"/>
      <c r="BR1279" s="28" t="n"/>
      <c r="BS1279" s="28" t="n"/>
      <c r="BT1279" s="28" t="n"/>
      <c r="BU1279" s="25" t="n"/>
      <c r="BV1279" s="29" t="n"/>
      <c r="BW1279" s="24" t="n"/>
      <c r="BX1279" s="30" t="n"/>
      <c r="BY1279" s="27" t="n"/>
      <c r="BZ1279" s="24" t="n"/>
      <c r="CA1279" s="31" t="n"/>
      <c r="CB1279" s="24" t="n"/>
      <c r="CC1279" s="24" t="n"/>
      <c r="CD1279" s="24" t="n"/>
      <c r="CE1279" s="24" t="n"/>
      <c r="CF1279" s="24" t="n"/>
      <c r="CG1279" s="24" t="n"/>
      <c r="CH1279" s="24" t="n"/>
      <c r="CI1279" s="24" t="n"/>
      <c r="CJ1279" s="24" t="n"/>
      <c r="CK1279" s="24" t="n"/>
      <c r="CL1279" s="24" t="n"/>
      <c r="CM1279" s="24" t="n"/>
      <c r="CN1279" s="24" t="n"/>
      <c r="CO1279" s="24" t="n"/>
      <c r="CP1279" s="24" t="n"/>
      <c r="CQ1279" s="24" t="n"/>
      <c r="CR1279" s="24" t="n"/>
      <c r="CS1279" s="24" t="inlineStr">
        <is>
          <t>False</t>
        </is>
      </c>
      <c r="CT1279" s="24" t="n"/>
      <c r="CU1279" s="24" t="n"/>
      <c r="CV1279" s="24" t="n"/>
      <c r="CW1279" s="24" t="n"/>
      <c r="CX1279" s="24" t="n"/>
      <c r="CY1279" s="24" t="n"/>
      <c r="CZ1279" s="24" t="n"/>
      <c r="DA1279" s="24" t="n"/>
      <c r="DB1279" s="24" t="n"/>
      <c r="DC1279" s="24" t="n"/>
      <c r="DD1279" s="24" t="inlineStr">
        <is>
          <t>ebcb672d45c1995c1241b4da0e118e6d15026af95b128c9130b78ecdecf79efb</t>
        </is>
      </c>
      <c r="DE1279" s="24" t="inlineStr">
        <is>
          <t>E:\model-prediction\data\odds\tennis\2026-10-11\polymarket_snapshots.jsonl</t>
        </is>
      </c>
      <c r="DF1279" s="24" t="inlineStr">
        <is>
          <t>1347675:2026-10-11T12:00:59.049916Z</t>
        </is>
      </c>
      <c r="DG1279" s="24" t="n"/>
      <c r="DH1279" s="24" t="n"/>
      <c r="DI1279" s="24" t="n"/>
      <c r="DJ1279" s="24" t="n"/>
      <c r="DK1279" s="24" t="n"/>
      <c r="DL1279" s="24" t="n"/>
      <c r="DM1279" s="24" t="n"/>
      <c r="DN1279" s="24" t="n"/>
      <c r="DO1279" s="24" t="n"/>
      <c r="DP1279" s="24" t="n"/>
      <c r="DQ1279" s="24" t="n"/>
    </row>
    <row r="1280" ht="36" customHeight="1">
      <c r="A1280" s="24" t="inlineStr">
        <is>
          <t>23d6153d3882402e</t>
        </is>
      </c>
      <c r="B1280" s="24" t="inlineStr">
        <is>
          <t>2026-10-11T22:37:50.072561Z</t>
        </is>
      </c>
      <c r="C1280" s="24" t="inlineStr">
        <is>
          <t>2026-10-12T03:00Z</t>
        </is>
      </c>
      <c r="D1280" s="24" t="inlineStr">
        <is>
          <t>381-2026:185314</t>
        </is>
      </c>
      <c r="E1280" s="24" t="inlineStr">
        <is>
          <t>TENNIS</t>
        </is>
      </c>
      <c r="F1280" s="24" t="inlineStr">
        <is>
          <t>Sonay Kartal</t>
        </is>
      </c>
      <c r="G1280" s="24" t="inlineStr">
        <is>
          <t>Anhelina Kalinina</t>
        </is>
      </c>
      <c r="H1280" s="24" t="inlineStr">
        <is>
          <t>moneyline</t>
        </is>
      </c>
      <c r="I1280" s="24" t="inlineStr">
        <is>
          <t>away</t>
        </is>
      </c>
      <c r="J1280" s="25" t="n"/>
      <c r="K1280" s="24" t="inlineStr">
        <is>
          <t>polymarket_us</t>
        </is>
      </c>
      <c r="L1280" s="26" t="n">
        <v>-178</v>
      </c>
      <c r="M1280" s="27" t="n">
        <v>1.561798</v>
      </c>
      <c r="N1280" s="28" t="n">
        <v>0.640288</v>
      </c>
      <c r="O1280" s="28" t="n">
        <v>0.5620000000000001</v>
      </c>
      <c r="P1280" s="28" t="n">
        <v>0.05</v>
      </c>
      <c r="Q1280" s="28" t="n">
        <v>-0.078288</v>
      </c>
      <c r="R1280" s="26" t="n">
        <v>0</v>
      </c>
      <c r="S1280" s="29" t="n">
        <v>1</v>
      </c>
      <c r="T1280" s="24" t="inlineStr">
        <is>
          <t>tennis-learned-v3</t>
        </is>
      </c>
      <c r="U1280" s="24" t="inlineStr">
        <is>
          <t>settled</t>
        </is>
      </c>
      <c r="V1280" s="24" t="inlineStr">
        <is>
          <t>win</t>
        </is>
      </c>
      <c r="W1280" s="26" t="n">
        <v>1</v>
      </c>
      <c r="X1280" s="26" t="n">
        <v>0</v>
      </c>
      <c r="Y1280" s="25" t="n"/>
      <c r="Z1280" s="26" t="n">
        <v>-178</v>
      </c>
      <c r="AA1280" s="28" t="n">
        <v>0.64</v>
      </c>
      <c r="AB1280" s="28" t="n">
        <v>-0.000288</v>
      </c>
      <c r="AC1280" s="30" t="n">
        <v>0.5618</v>
      </c>
      <c r="AD1280" s="24" t="inlineStr">
        <is>
          <t>2026-10-12T10:04:02.940630Z</t>
        </is>
      </c>
      <c r="AE1280" s="31" t="inlineStr">
        <is>
          <t>Tennis v3 Learned Fundamental on Hard (Bo3): Sonay Kartal p=0.562 vs Anhelina Kalinina. Executable ask 0.6400 (aec-wta-anhkal-sonkar-2026-10-11).</t>
        </is>
      </c>
      <c r="AF1280" s="31" t="inlineStr">
        <is>
          <t>Surface-blended Elo model; singles only, WTA+ATP market coverage, not yet locked-holdout qualified -- promoted by explicit operator directive, not genuine walk-forward validation.</t>
        </is>
      </c>
      <c r="AG1280" s="24" t="inlineStr">
        <is>
          <t>not_applicable</t>
        </is>
      </c>
      <c r="AH1280" s="24" t="n"/>
      <c r="AI1280" s="31" t="n"/>
      <c r="AJ1280" s="31" t="n"/>
      <c r="AK1280" s="24" t="inlineStr">
        <is>
          <t>paper_call</t>
        </is>
      </c>
      <c r="AL1280" s="26" t="n">
        <v>4</v>
      </c>
      <c r="AM1280" s="24" t="inlineStr">
        <is>
          <t>RESEARCH_OBSERVATION</t>
        </is>
      </c>
      <c r="AN1280" s="24" t="inlineStr">
        <is>
          <t>CALL</t>
        </is>
      </c>
      <c r="AO1280" s="24" t="inlineStr">
        <is>
          <t>PAPER_CALL_LOW_EDGE</t>
        </is>
      </c>
      <c r="AP1280" s="24" t="inlineStr">
        <is>
          <t>Sonay Kartal</t>
        </is>
      </c>
      <c r="AQ1280" s="24" t="inlineStr">
        <is>
          <t>Sonay Kartal</t>
        </is>
      </c>
      <c r="AR1280" s="24" t="inlineStr">
        <is>
          <t>Sonay Kartal</t>
        </is>
      </c>
      <c r="AS1280" s="24" t="inlineStr">
        <is>
          <t>Anhelina Kalinina</t>
        </is>
      </c>
      <c r="AT1280" s="24" t="inlineStr">
        <is>
          <t>Anhelina Kalinina</t>
        </is>
      </c>
      <c r="AU1280" s="24" t="inlineStr">
        <is>
          <t>Anhelina Kalinina</t>
        </is>
      </c>
      <c r="AV1280" s="24" t="n"/>
      <c r="AW1280" s="24" t="n"/>
      <c r="AX1280" s="24" t="inlineStr">
        <is>
          <t>statistical_model</t>
        </is>
      </c>
      <c r="AY1280" s="24" t="n"/>
      <c r="AZ1280" s="24" t="inlineStr">
        <is>
          <t>shadow_qualified</t>
        </is>
      </c>
      <c r="BA1280" s="24" t="inlineStr">
        <is>
          <t>7443acc419841200d57e1edf36b77f1940cdd0c48dce3d43fcd05498a109440b</t>
        </is>
      </c>
      <c r="BB1280" s="24" t="inlineStr">
        <is>
          <t>learned_v3</t>
        </is>
      </c>
      <c r="BC1280" s="24" t="inlineStr">
        <is>
          <t>tennis-learned-v3</t>
        </is>
      </c>
      <c r="BD1280" s="24" t="inlineStr">
        <is>
          <t>7443acc419841200d57e1edf36b77f1940cdd0c48dce3d43fcd05498a109440b</t>
        </is>
      </c>
      <c r="BE1280" s="24" t="inlineStr">
        <is>
          <t>tennis-learned-v3</t>
        </is>
      </c>
      <c r="BF1280" s="24" t="inlineStr">
        <is>
          <t>1</t>
        </is>
      </c>
      <c r="BG1280" s="24" t="inlineStr">
        <is>
          <t>7443acc419841200d57e1edf36b77f1940cdd0c48dce3d43fcd05498a109440b</t>
        </is>
      </c>
      <c r="BH1280" s="24" t="inlineStr">
        <is>
          <t>2026-10-11T22:32:46.736206Z</t>
        </is>
      </c>
      <c r="BI1280" s="24" t="inlineStr">
        <is>
          <t>["same_event","same_team_same_day","same_league_same_day"]</t>
        </is>
      </c>
      <c r="BJ1280" s="25" t="n"/>
      <c r="BK1280" s="26" t="n">
        <v>-178</v>
      </c>
      <c r="BL1280" s="27" t="n">
        <v>1.561798</v>
      </c>
      <c r="BM1280" s="28" t="n">
        <v>0.640288</v>
      </c>
      <c r="BN1280" s="28" t="n"/>
      <c r="BO1280" s="28" t="n"/>
      <c r="BP1280" s="25" t="n"/>
      <c r="BQ1280" s="27" t="n">
        <v>1.561798</v>
      </c>
      <c r="BR1280" s="28" t="n">
        <v>0.64</v>
      </c>
      <c r="BS1280" s="28" t="n"/>
      <c r="BT1280" s="28" t="n"/>
      <c r="BU1280" s="25" t="n"/>
      <c r="BV1280" s="29" t="n"/>
      <c r="BW1280" s="24" t="n"/>
      <c r="BX1280" s="30" t="n"/>
      <c r="BY1280" s="27" t="n"/>
      <c r="BZ1280" s="24" t="n"/>
      <c r="CA1280" s="31" t="n"/>
      <c r="CB1280" s="24" t="n"/>
      <c r="CC1280" s="24" t="n"/>
      <c r="CD1280" s="24" t="n"/>
      <c r="CE1280" s="24" t="n"/>
      <c r="CF1280" s="24" t="n"/>
      <c r="CG1280" s="24" t="n"/>
      <c r="CH1280" s="24" t="n"/>
      <c r="CI1280" s="24" t="n"/>
      <c r="CJ1280" s="24" t="n"/>
      <c r="CK1280" s="24" t="n"/>
      <c r="CL1280" s="24" t="n"/>
      <c r="CM1280" s="24" t="n"/>
      <c r="CN1280" s="24" t="n"/>
      <c r="CO1280" s="24" t="n"/>
      <c r="CP1280" s="24" t="n"/>
      <c r="CQ1280" s="24" t="n"/>
      <c r="CR1280" s="24" t="n"/>
      <c r="CS1280" s="24" t="inlineStr">
        <is>
          <t>False</t>
        </is>
      </c>
      <c r="CT1280" s="24" t="n"/>
      <c r="CU1280" s="24" t="n"/>
      <c r="CV1280" s="24" t="n"/>
      <c r="CW1280" s="24" t="n"/>
      <c r="CX1280" s="24" t="n"/>
      <c r="CY1280" s="24" t="n"/>
      <c r="CZ1280" s="24" t="n"/>
      <c r="DA1280" s="24" t="n"/>
      <c r="DB1280" s="24" t="n"/>
      <c r="DC1280" s="24" t="n"/>
      <c r="DD1280" s="24" t="inlineStr">
        <is>
          <t>a0ce0893d974d384b22ca059cfa10d481020fc62cf292822aff44ef4506bc2bb</t>
        </is>
      </c>
      <c r="DE1280" s="24" t="inlineStr">
        <is>
          <t>E:\model-prediction\data\odds\tennis\2026-10-11\polymarket_snapshots.jsonl</t>
        </is>
      </c>
      <c r="DF1280" s="24" t="inlineStr">
        <is>
          <t>1333562:2026-10-11T22:32:46.736206Z</t>
        </is>
      </c>
      <c r="DG1280" s="24" t="n"/>
      <c r="DH1280" s="24" t="n"/>
      <c r="DI1280" s="24" t="n"/>
      <c r="DJ1280" s="24" t="n"/>
      <c r="DK1280" s="24" t="n"/>
      <c r="DL1280" s="24" t="n"/>
      <c r="DM1280" s="24" t="n"/>
      <c r="DN1280" s="24" t="n"/>
      <c r="DO1280" s="24" t="n"/>
      <c r="DP1280" s="24" t="n"/>
      <c r="DQ1280" s="24" t="inlineStr">
        <is>
          <t>{"artifact_hash": "7443acc419841200d57e1edf36b77f1940cdd0c48dce3d43fcd05498a109440b", "away_team": "Sonay Kartal", "event_id": "381-2026:185314", "event_start_utc": "2026-10-12T03:00Z", "features": {"elo_p1_surface": 1660.3, "elo_p2_surface": 1623.5, "expected_games_p1": 13.25, "expected_games_p2": 10.99, "expected_total_games": 24.25, "history_matches": 16675, "min_player_matches": 76, "surface": "Hard"}, "historical_source_observation_times_verified": false, "home_team": "Anhelina Kalinina", "inference_inputs": {"best_of": 3, "code_sha256": {"features/elo_ratings.py": "d6513e79d65448c06cc0f9b9eed0eaa091567835128e1f6647a310da8d78a872", "models/tennis.py": "7443acc419841200d57e1edf36b77f1940cdd0c48dce3d43fcd05498a109440b"}, "counts": [76, 133], "market_probability": null, "model_version": "tennis-learned-v3", "overall_ratings": [1722.3486757554663, 1633.4617966229232], "p_serve_a": 0.6080321670615453, "p_serve_b": 0.5719678329384547, "players": ["Sonay Kartal", "Anhelina Kalinina"], "rest_days": [6.0, 11.0], "sport": "TENNIS", "surface": "Hard", "surface_counts": [55, 103], "surface_ratings": [1660.2529604716945, 1623.4578577316402], "tour": "WTA"}, "market_type": "moneyline", "model_version": "tennis-learned-v3", "observed_at_utc": "2026-10-11T22:37:06.815209+00:00", "probabilities": {"away": 0.562, "home": 0.438}, "replay_scope": "Exact full-precision serving state and rounding; upstream historical observation times are not certified.", "schema": "coded-moneyline-replay-v1", "snapshot_hash": "3038b3fc15d159695be551ee16a9acb27ffc597c9dfe9979fc5b2406b177f9d4", "sport": "TENNIS"}</t>
        </is>
      </c>
    </row>
    <row r="1281" ht="36" customHeight="1">
      <c r="A1281" s="24" t="inlineStr">
        <is>
          <t>40675e17828c43e7</t>
        </is>
      </c>
      <c r="B1281" s="24" t="inlineStr">
        <is>
          <t>2026-10-11T22:37:50.072561Z</t>
        </is>
      </c>
      <c r="C1281" s="24" t="inlineStr">
        <is>
          <t>2026-10-12T03:00Z</t>
        </is>
      </c>
      <c r="D1281" s="24" t="inlineStr">
        <is>
          <t>381-2026:185314</t>
        </is>
      </c>
      <c r="E1281" s="24" t="inlineStr">
        <is>
          <t>TENNIS</t>
        </is>
      </c>
      <c r="F1281" s="24" t="inlineStr">
        <is>
          <t>Sonay Kartal</t>
        </is>
      </c>
      <c r="G1281" s="24" t="inlineStr">
        <is>
          <t>Anhelina Kalinina</t>
        </is>
      </c>
      <c r="H1281" s="24" t="inlineStr">
        <is>
          <t>spread</t>
        </is>
      </c>
      <c r="I1281" s="24" t="inlineStr">
        <is>
          <t>away</t>
        </is>
      </c>
      <c r="J1281" s="25" t="n">
        <v>1.5</v>
      </c>
      <c r="K1281" s="24" t="inlineStr">
        <is>
          <t>polymarket_us</t>
        </is>
      </c>
      <c r="L1281" s="26" t="n">
        <v>133</v>
      </c>
      <c r="M1281" s="27" t="n">
        <v>2.33</v>
      </c>
      <c r="N1281" s="28" t="n">
        <v>0.429185</v>
      </c>
      <c r="O1281" s="28" t="n">
        <v>0.6358</v>
      </c>
      <c r="P1281" s="28" t="n">
        <v>0.05</v>
      </c>
      <c r="Q1281" s="28" t="n">
        <v>0.206615</v>
      </c>
      <c r="R1281" s="26" t="n">
        <v>100</v>
      </c>
      <c r="S1281" s="29" t="n">
        <v>2</v>
      </c>
      <c r="T1281" s="24" t="inlineStr">
        <is>
          <t>tennis-learned-v3</t>
        </is>
      </c>
      <c r="U1281" s="24" t="inlineStr">
        <is>
          <t>settled</t>
        </is>
      </c>
      <c r="V1281" s="24" t="inlineStr">
        <is>
          <t>win</t>
        </is>
      </c>
      <c r="W1281" s="26" t="n">
        <v>13</v>
      </c>
      <c r="X1281" s="26" t="n">
        <v>8</v>
      </c>
      <c r="Y1281" s="25" t="n"/>
      <c r="Z1281" s="26" t="n"/>
      <c r="AA1281" s="28" t="n"/>
      <c r="AB1281" s="28" t="n"/>
      <c r="AC1281" s="30" t="n">
        <v>2.66</v>
      </c>
      <c r="AD1281" s="24" t="inlineStr">
        <is>
          <t>2026-10-12T10:04:09.383921Z</t>
        </is>
      </c>
      <c r="AE1281" s="31" t="inlineStr">
        <is>
          <t>Tennis Markov game spread +1.5 games: away cover p=0.636. Executable ask 0.4300 (asc-wta-anhkal-sonkar-2026-10-11-gs-pos-1pt5).</t>
        </is>
      </c>
      <c r="AF1281" s="31" t="inlineStr">
        <is>
          <t>Surface-blended Elo model; singles only, WTA+ATP market coverage, not yet locked-holdout qualified -- promoted by explicit operator directive, not genuine walk-forward validation.</t>
        </is>
      </c>
      <c r="AG1281" s="24" t="inlineStr">
        <is>
          <t>not_applicable</t>
        </is>
      </c>
      <c r="AH1281" s="24" t="n"/>
      <c r="AI1281" s="31" t="n"/>
      <c r="AJ1281" s="31" t="n"/>
      <c r="AK1281" s="24" t="inlineStr">
        <is>
          <t>model_qualified</t>
        </is>
      </c>
      <c r="AL1281" s="26" t="n">
        <v>4</v>
      </c>
      <c r="AM1281" s="24" t="inlineStr">
        <is>
          <t>QUALIFIED_SHADOW_CALL</t>
        </is>
      </c>
      <c r="AN1281" s="24" t="inlineStr">
        <is>
          <t>CALL</t>
        </is>
      </c>
      <c r="AO1281" s="24" t="inlineStr">
        <is>
          <t>QUALIFIED</t>
        </is>
      </c>
      <c r="AP1281" s="24" t="inlineStr">
        <is>
          <t>Sonay Kartal</t>
        </is>
      </c>
      <c r="AQ1281" s="24" t="inlineStr">
        <is>
          <t>Sonay Kartal</t>
        </is>
      </c>
      <c r="AR1281" s="24" t="inlineStr">
        <is>
          <t>Sonay Kartal</t>
        </is>
      </c>
      <c r="AS1281" s="24" t="inlineStr">
        <is>
          <t>Anhelina Kalinina</t>
        </is>
      </c>
      <c r="AT1281" s="24" t="inlineStr">
        <is>
          <t>Anhelina Kalinina</t>
        </is>
      </c>
      <c r="AU1281" s="24" t="inlineStr">
        <is>
          <t>Anhelina Kalinina</t>
        </is>
      </c>
      <c r="AV1281" s="24" t="n"/>
      <c r="AW1281" s="24" t="n"/>
      <c r="AX1281" s="24" t="inlineStr">
        <is>
          <t>statistical_model</t>
        </is>
      </c>
      <c r="AY1281" s="24" t="n"/>
      <c r="AZ1281" s="24" t="inlineStr">
        <is>
          <t>shadow_qualified</t>
        </is>
      </c>
      <c r="BA1281" s="24" t="inlineStr">
        <is>
          <t>7443acc419841200d57e1edf36b77f1940cdd0c48dce3d43fcd05498a109440b</t>
        </is>
      </c>
      <c r="BB1281" s="24" t="inlineStr">
        <is>
          <t>learned_v3</t>
        </is>
      </c>
      <c r="BC1281" s="24" t="inlineStr">
        <is>
          <t>tennis-learned-v3</t>
        </is>
      </c>
      <c r="BD1281" s="24" t="inlineStr">
        <is>
          <t>7443acc419841200d57e1edf36b77f1940cdd0c48dce3d43fcd05498a109440b</t>
        </is>
      </c>
      <c r="BE1281" s="24" t="inlineStr">
        <is>
          <t>tennis-learned-v3</t>
        </is>
      </c>
      <c r="BF1281" s="24" t="inlineStr">
        <is>
          <t>1</t>
        </is>
      </c>
      <c r="BG1281" s="24" t="inlineStr">
        <is>
          <t>7443acc419841200d57e1edf36b77f1940cdd0c48dce3d43fcd05498a109440b</t>
        </is>
      </c>
      <c r="BH1281" s="24" t="inlineStr">
        <is>
          <t>2026-10-11T22:32:26.455966Z</t>
        </is>
      </c>
      <c r="BI1281" s="24" t="inlineStr">
        <is>
          <t>["same_event","same_team_same_day","same_league_same_day"]</t>
        </is>
      </c>
      <c r="BJ1281" s="25" t="n">
        <v>1.5</v>
      </c>
      <c r="BK1281" s="26" t="n">
        <v>133</v>
      </c>
      <c r="BL1281" s="27" t="n">
        <v>2.33</v>
      </c>
      <c r="BM1281" s="28" t="n">
        <v>0.429185</v>
      </c>
      <c r="BN1281" s="28" t="n"/>
      <c r="BO1281" s="28" t="n"/>
      <c r="BP1281" s="25" t="n"/>
      <c r="BQ1281" s="27" t="n"/>
      <c r="BR1281" s="28" t="n"/>
      <c r="BS1281" s="28" t="n"/>
      <c r="BT1281" s="28" t="n"/>
      <c r="BU1281" s="25" t="n"/>
      <c r="BV1281" s="29" t="n"/>
      <c r="BW1281" s="24" t="n"/>
      <c r="BX1281" s="30" t="n"/>
      <c r="BY1281" s="27" t="n"/>
      <c r="BZ1281" s="24" t="n"/>
      <c r="CA1281" s="31" t="n"/>
      <c r="CB1281" s="24" t="n"/>
      <c r="CC1281" s="24" t="n"/>
      <c r="CD1281" s="24" t="n"/>
      <c r="CE1281" s="24" t="n"/>
      <c r="CF1281" s="24" t="n"/>
      <c r="CG1281" s="24" t="n"/>
      <c r="CH1281" s="24" t="n"/>
      <c r="CI1281" s="24" t="n"/>
      <c r="CJ1281" s="24" t="n"/>
      <c r="CK1281" s="24" t="n"/>
      <c r="CL1281" s="24" t="n"/>
      <c r="CM1281" s="24" t="n"/>
      <c r="CN1281" s="24" t="n"/>
      <c r="CO1281" s="24" t="n"/>
      <c r="CP1281" s="24" t="n"/>
      <c r="CQ1281" s="24" t="n"/>
      <c r="CR1281" s="24" t="n"/>
      <c r="CS1281" s="24" t="inlineStr">
        <is>
          <t>True</t>
        </is>
      </c>
      <c r="CT1281" s="24" t="n"/>
      <c r="CU1281" s="24" t="n"/>
      <c r="CV1281" s="24" t="n"/>
      <c r="CW1281" s="24" t="n"/>
      <c r="CX1281" s="24" t="n"/>
      <c r="CY1281" s="24" t="n"/>
      <c r="CZ1281" s="24" t="n"/>
      <c r="DA1281" s="24" t="n"/>
      <c r="DB1281" s="24" t="n"/>
      <c r="DC1281" s="24" t="n"/>
      <c r="DD1281" s="24" t="inlineStr">
        <is>
          <t>1ce9d6337a211f0b0a48c4aeddfdcdaf53dad9a21652115ce81654234d106d5d</t>
        </is>
      </c>
      <c r="DE1281" s="24" t="inlineStr">
        <is>
          <t>E:\model-prediction\data\odds\tennis\2026-10-11\polymarket_snapshots.jsonl</t>
        </is>
      </c>
      <c r="DF1281" s="24" t="inlineStr">
        <is>
          <t>1353932:2026-10-11T22:32:26.455966Z</t>
        </is>
      </c>
      <c r="DG1281" s="24" t="n"/>
      <c r="DH1281" s="24" t="n"/>
      <c r="DI1281" s="24" t="n"/>
      <c r="DJ1281" s="24" t="n"/>
      <c r="DK1281" s="24" t="n"/>
      <c r="DL1281" s="24" t="n"/>
      <c r="DM1281" s="24" t="n"/>
      <c r="DN1281" s="24" t="n"/>
      <c r="DO1281" s="24" t="n"/>
      <c r="DP1281" s="24" t="n"/>
      <c r="DQ1281" s="24" t="n"/>
    </row>
    <row r="1282" ht="36" customHeight="1">
      <c r="A1282" s="24" t="inlineStr">
        <is>
          <t>62be8d9c3fee49d9</t>
        </is>
      </c>
      <c r="B1282" s="24" t="inlineStr">
        <is>
          <t>2026-10-11T22:37:50.072561Z</t>
        </is>
      </c>
      <c r="C1282" s="24" t="inlineStr">
        <is>
          <t>2026-10-12T03:00Z</t>
        </is>
      </c>
      <c r="D1282" s="24" t="inlineStr">
        <is>
          <t>381-2026:185314</t>
        </is>
      </c>
      <c r="E1282" s="24" t="inlineStr">
        <is>
          <t>TENNIS</t>
        </is>
      </c>
      <c r="F1282" s="24" t="inlineStr">
        <is>
          <t>Sonay Kartal</t>
        </is>
      </c>
      <c r="G1282" s="24" t="inlineStr">
        <is>
          <t>Anhelina Kalinina</t>
        </is>
      </c>
      <c r="H1282" s="24" t="inlineStr">
        <is>
          <t>total</t>
        </is>
      </c>
      <c r="I1282" s="24" t="inlineStr">
        <is>
          <t>over</t>
        </is>
      </c>
      <c r="J1282" s="25" t="n">
        <v>22.5</v>
      </c>
      <c r="K1282" s="24" t="inlineStr">
        <is>
          <t>polymarket_us</t>
        </is>
      </c>
      <c r="L1282" s="26" t="n">
        <v>138</v>
      </c>
      <c r="M1282" s="27" t="n">
        <v>2.38</v>
      </c>
      <c r="N1282" s="28" t="n">
        <v>0.420168</v>
      </c>
      <c r="O1282" s="28" t="n">
        <v>0.5386</v>
      </c>
      <c r="P1282" s="28" t="n">
        <v>0.05</v>
      </c>
      <c r="Q1282" s="28" t="n">
        <v>0.118432</v>
      </c>
      <c r="R1282" s="26" t="n">
        <v>79</v>
      </c>
      <c r="S1282" s="29" t="n">
        <v>1.5</v>
      </c>
      <c r="T1282" s="24" t="inlineStr">
        <is>
          <t>tennis-learned-v3</t>
        </is>
      </c>
      <c r="U1282" s="24" t="inlineStr">
        <is>
          <t>settled</t>
        </is>
      </c>
      <c r="V1282" s="24" t="inlineStr">
        <is>
          <t>loss</t>
        </is>
      </c>
      <c r="W1282" s="26" t="n">
        <v>13</v>
      </c>
      <c r="X1282" s="26" t="n">
        <v>8</v>
      </c>
      <c r="Y1282" s="25" t="n"/>
      <c r="Z1282" s="26" t="n"/>
      <c r="AA1282" s="28" t="n"/>
      <c r="AB1282" s="28" t="n"/>
      <c r="AC1282" s="30" t="n">
        <v>-1.5</v>
      </c>
      <c r="AD1282" s="24" t="inlineStr">
        <is>
          <t>2026-10-12T10:04:20.166831Z</t>
        </is>
      </c>
      <c r="AE1282" s="31" t="inlineStr">
        <is>
          <t>Tennis Markov total games line 22.5: over p=0.539. Executable ask 0.4200 (tsc-wta-anhkal-sonkar-2026-10-11-tg-22pt5).</t>
        </is>
      </c>
      <c r="AF1282" s="31" t="inlineStr">
        <is>
          <t>Surface-blended Elo model; singles only, WTA+ATP market coverage, not yet locked-holdout qualified -- promoted by explicit operator directive, not genuine walk-forward validation.</t>
        </is>
      </c>
      <c r="AG1282" s="24" t="inlineStr">
        <is>
          <t>review_required</t>
        </is>
      </c>
      <c r="AH1282" s="24" t="n"/>
      <c r="AI1282" s="31" t="n"/>
      <c r="AJ1282" s="31" t="n"/>
      <c r="AK1282" s="24" t="inlineStr">
        <is>
          <t>model_qualified</t>
        </is>
      </c>
      <c r="AL1282" s="26" t="n">
        <v>4</v>
      </c>
      <c r="AM1282" s="24" t="inlineStr">
        <is>
          <t>QUALIFIED_SHADOW_CALL</t>
        </is>
      </c>
      <c r="AN1282" s="24" t="inlineStr">
        <is>
          <t>CALL</t>
        </is>
      </c>
      <c r="AO1282" s="24" t="inlineStr">
        <is>
          <t>QUALIFIED</t>
        </is>
      </c>
      <c r="AP1282" s="24" t="inlineStr">
        <is>
          <t>Sonay Kartal</t>
        </is>
      </c>
      <c r="AQ1282" s="24" t="inlineStr">
        <is>
          <t>Sonay Kartal</t>
        </is>
      </c>
      <c r="AR1282" s="24" t="inlineStr">
        <is>
          <t>Sonay Kartal</t>
        </is>
      </c>
      <c r="AS1282" s="24" t="inlineStr">
        <is>
          <t>Anhelina Kalinina</t>
        </is>
      </c>
      <c r="AT1282" s="24" t="inlineStr">
        <is>
          <t>Anhelina Kalinina</t>
        </is>
      </c>
      <c r="AU1282" s="24" t="inlineStr">
        <is>
          <t>Anhelina Kalinina</t>
        </is>
      </c>
      <c r="AV1282" s="24" t="n"/>
      <c r="AW1282" s="24" t="n"/>
      <c r="AX1282" s="24" t="inlineStr">
        <is>
          <t>statistical_model</t>
        </is>
      </c>
      <c r="AY1282" s="24" t="n"/>
      <c r="AZ1282" s="24" t="inlineStr">
        <is>
          <t>shadow_qualified</t>
        </is>
      </c>
      <c r="BA1282" s="24" t="inlineStr">
        <is>
          <t>7443acc419841200d57e1edf36b77f1940cdd0c48dce3d43fcd05498a109440b</t>
        </is>
      </c>
      <c r="BB1282" s="24" t="inlineStr">
        <is>
          <t>learned_v3</t>
        </is>
      </c>
      <c r="BC1282" s="24" t="inlineStr">
        <is>
          <t>tennis-learned-v3</t>
        </is>
      </c>
      <c r="BD1282" s="24" t="inlineStr">
        <is>
          <t>7443acc419841200d57e1edf36b77f1940cdd0c48dce3d43fcd05498a109440b</t>
        </is>
      </c>
      <c r="BE1282" s="24" t="inlineStr">
        <is>
          <t>tennis-learned-v3</t>
        </is>
      </c>
      <c r="BF1282" s="24" t="inlineStr">
        <is>
          <t>1</t>
        </is>
      </c>
      <c r="BG1282" s="24" t="inlineStr">
        <is>
          <t>7443acc419841200d57e1edf36b77f1940cdd0c48dce3d43fcd05498a109440b</t>
        </is>
      </c>
      <c r="BH1282" s="24" t="inlineStr">
        <is>
          <t>2026-10-11T22:32:26.526933Z</t>
        </is>
      </c>
      <c r="BI1282" s="24" t="inlineStr">
        <is>
          <t>["same_event","same_team_same_day","same_league_same_day"]</t>
        </is>
      </c>
      <c r="BJ1282" s="25" t="n">
        <v>22.5</v>
      </c>
      <c r="BK1282" s="26" t="n">
        <v>138</v>
      </c>
      <c r="BL1282" s="27" t="n">
        <v>2.38</v>
      </c>
      <c r="BM1282" s="28" t="n">
        <v>0.420168</v>
      </c>
      <c r="BN1282" s="28" t="n"/>
      <c r="BO1282" s="28" t="n"/>
      <c r="BP1282" s="25" t="n"/>
      <c r="BQ1282" s="27" t="n"/>
      <c r="BR1282" s="28" t="n"/>
      <c r="BS1282" s="28" t="n"/>
      <c r="BT1282" s="28" t="n"/>
      <c r="BU1282" s="25" t="n"/>
      <c r="BV1282" s="29" t="n"/>
      <c r="BW1282" s="24" t="n"/>
      <c r="BX1282" s="30" t="n"/>
      <c r="BY1282" s="27" t="n"/>
      <c r="BZ1282" s="24" t="n"/>
      <c r="CA1282" s="31" t="n"/>
      <c r="CB1282" s="24" t="n"/>
      <c r="CC1282" s="24" t="n"/>
      <c r="CD1282" s="24" t="n"/>
      <c r="CE1282" s="24" t="n"/>
      <c r="CF1282" s="24" t="n"/>
      <c r="CG1282" s="24" t="n"/>
      <c r="CH1282" s="24" t="n"/>
      <c r="CI1282" s="24" t="n"/>
      <c r="CJ1282" s="24" t="n"/>
      <c r="CK1282" s="24" t="n"/>
      <c r="CL1282" s="24" t="n"/>
      <c r="CM1282" s="24" t="n"/>
      <c r="CN1282" s="24" t="n"/>
      <c r="CO1282" s="24" t="n"/>
      <c r="CP1282" s="24" t="n"/>
      <c r="CQ1282" s="24" t="n"/>
      <c r="CR1282" s="24" t="n"/>
      <c r="CS1282" s="24" t="inlineStr">
        <is>
          <t>True</t>
        </is>
      </c>
      <c r="CT1282" s="24" t="n"/>
      <c r="CU1282" s="24" t="n"/>
      <c r="CV1282" s="24" t="n"/>
      <c r="CW1282" s="24" t="n"/>
      <c r="CX1282" s="24" t="n"/>
      <c r="CY1282" s="24" t="n"/>
      <c r="CZ1282" s="24" t="n"/>
      <c r="DA1282" s="24" t="n"/>
      <c r="DB1282" s="24" t="n"/>
      <c r="DC1282" s="24" t="n"/>
      <c r="DD1282" s="24" t="inlineStr">
        <is>
          <t>eef19d467a84cfac615c3bfab730fae77f16afb3f851697925a6ecd3fd3fc95a</t>
        </is>
      </c>
      <c r="DE1282" s="24" t="inlineStr">
        <is>
          <t>E:\model-prediction\data\odds\tennis\2026-10-11\polymarket_snapshots.jsonl</t>
        </is>
      </c>
      <c r="DF1282" s="24" t="inlineStr">
        <is>
          <t>1353907:2026-10-11T22:32:26.526933Z</t>
        </is>
      </c>
      <c r="DG1282" s="24" t="n"/>
      <c r="DH1282" s="24" t="n"/>
      <c r="DI1282" s="24" t="n"/>
      <c r="DJ1282" s="24" t="n"/>
      <c r="DK1282" s="24" t="n"/>
      <c r="DL1282" s="24" t="n"/>
      <c r="DM1282" s="24" t="n"/>
      <c r="DN1282" s="24" t="n"/>
      <c r="DO1282" s="24" t="n"/>
      <c r="DP1282" s="24" t="n"/>
      <c r="DQ1282" s="24" t="n"/>
    </row>
    <row r="1283" ht="36" customHeight="1">
      <c r="A1283" s="24" t="inlineStr">
        <is>
          <t>9fdc39d1ef574c28</t>
        </is>
      </c>
      <c r="B1283" s="24" t="inlineStr">
        <is>
          <t>2026-10-11T22:37:50.072561Z</t>
        </is>
      </c>
      <c r="C1283" s="24" t="inlineStr">
        <is>
          <t>2026-10-12T03:00Z</t>
        </is>
      </c>
      <c r="D1283" s="24" t="inlineStr">
        <is>
          <t>381-2026:185336</t>
        </is>
      </c>
      <c r="E1283" s="24" t="inlineStr">
        <is>
          <t>TENNIS</t>
        </is>
      </c>
      <c r="F1283" s="24" t="inlineStr">
        <is>
          <t>Leylah Fernandez</t>
        </is>
      </c>
      <c r="G1283" s="24" t="inlineStr">
        <is>
          <t>Ekaterina Alexandrova</t>
        </is>
      </c>
      <c r="H1283" s="24" t="inlineStr">
        <is>
          <t>moneyline</t>
        </is>
      </c>
      <c r="I1283" s="24" t="inlineStr">
        <is>
          <t>home</t>
        </is>
      </c>
      <c r="J1283" s="25" t="n"/>
      <c r="K1283" s="24" t="inlineStr">
        <is>
          <t>polymarket_us</t>
        </is>
      </c>
      <c r="L1283" s="26" t="n">
        <v>-117</v>
      </c>
      <c r="M1283" s="27" t="n">
        <v>1.854701</v>
      </c>
      <c r="N1283" s="28" t="n">
        <v>0.539171</v>
      </c>
      <c r="O1283" s="28" t="n">
        <v>0.5603</v>
      </c>
      <c r="P1283" s="28" t="n">
        <v>0.05</v>
      </c>
      <c r="Q1283" s="28" t="n">
        <v>0.021129</v>
      </c>
      <c r="R1283" s="26" t="n">
        <v>31</v>
      </c>
      <c r="S1283" s="29" t="n">
        <v>1</v>
      </c>
      <c r="T1283" s="24" t="inlineStr">
        <is>
          <t>tennis-learned-v3</t>
        </is>
      </c>
      <c r="U1283" s="24" t="inlineStr">
        <is>
          <t>settled</t>
        </is>
      </c>
      <c r="V1283" s="24" t="inlineStr">
        <is>
          <t>loss</t>
        </is>
      </c>
      <c r="W1283" s="26" t="n">
        <v>1</v>
      </c>
      <c r="X1283" s="26" t="n">
        <v>0</v>
      </c>
      <c r="Y1283" s="25" t="n"/>
      <c r="Z1283" s="26" t="n">
        <v>-117</v>
      </c>
      <c r="AA1283" s="28" t="n">
        <v>0.54</v>
      </c>
      <c r="AB1283" s="28" t="n">
        <v>0.000829</v>
      </c>
      <c r="AC1283" s="30" t="n">
        <v>-1</v>
      </c>
      <c r="AD1283" s="24" t="inlineStr">
        <is>
          <t>2026-10-12T10:04:26.280980Z</t>
        </is>
      </c>
      <c r="AE1283" s="31" t="inlineStr">
        <is>
          <t>Tennis v3 Learned Fundamental on Hard (Bo3): Leylah Fernandez p=0.440 vs Ekaterina Alexandrova. Executable ask 0.5400 (aec-wta-ekaale-leyfer-2026-10-11).</t>
        </is>
      </c>
      <c r="AF1283" s="31" t="inlineStr">
        <is>
          <t>Surface-blended Elo model; singles only, WTA+ATP market coverage, not yet locked-holdout qualified -- promoted by explicit operator directive, not genuine walk-forward validation.</t>
        </is>
      </c>
      <c r="AG1283" s="24" t="inlineStr">
        <is>
          <t>review_required</t>
        </is>
      </c>
      <c r="AH1283" s="24" t="n"/>
      <c r="AI1283" s="31" t="n"/>
      <c r="AJ1283" s="31" t="n"/>
      <c r="AK1283" s="24" t="inlineStr">
        <is>
          <t>paper_call</t>
        </is>
      </c>
      <c r="AL1283" s="26" t="n">
        <v>4</v>
      </c>
      <c r="AM1283" s="24" t="inlineStr">
        <is>
          <t>RESEARCH_OBSERVATION</t>
        </is>
      </c>
      <c r="AN1283" s="24" t="inlineStr">
        <is>
          <t>CALL</t>
        </is>
      </c>
      <c r="AO1283" s="24" t="inlineStr">
        <is>
          <t>PAPER_CALL_LOW_EDGE</t>
        </is>
      </c>
      <c r="AP1283" s="24" t="inlineStr">
        <is>
          <t>Leylah Fernandez</t>
        </is>
      </c>
      <c r="AQ1283" s="24" t="inlineStr">
        <is>
          <t>Leylah Fernandez</t>
        </is>
      </c>
      <c r="AR1283" s="24" t="inlineStr">
        <is>
          <t>Leylah Fernandez</t>
        </is>
      </c>
      <c r="AS1283" s="24" t="inlineStr">
        <is>
          <t>Ekaterina Alexandrova</t>
        </is>
      </c>
      <c r="AT1283" s="24" t="inlineStr">
        <is>
          <t>Ekaterina Alexandrova</t>
        </is>
      </c>
      <c r="AU1283" s="24" t="inlineStr">
        <is>
          <t>Ekaterina Alexandrova</t>
        </is>
      </c>
      <c r="AV1283" s="24" t="n"/>
      <c r="AW1283" s="24" t="n"/>
      <c r="AX1283" s="24" t="inlineStr">
        <is>
          <t>statistical_model</t>
        </is>
      </c>
      <c r="AY1283" s="24" t="n"/>
      <c r="AZ1283" s="24" t="inlineStr">
        <is>
          <t>shadow_qualified</t>
        </is>
      </c>
      <c r="BA1283" s="24" t="inlineStr">
        <is>
          <t>7443acc419841200d57e1edf36b77f1940cdd0c48dce3d43fcd05498a109440b</t>
        </is>
      </c>
      <c r="BB1283" s="24" t="inlineStr">
        <is>
          <t>learned_v3</t>
        </is>
      </c>
      <c r="BC1283" s="24" t="inlineStr">
        <is>
          <t>tennis-learned-v3</t>
        </is>
      </c>
      <c r="BD1283" s="24" t="inlineStr">
        <is>
          <t>7443acc419841200d57e1edf36b77f1940cdd0c48dce3d43fcd05498a109440b</t>
        </is>
      </c>
      <c r="BE1283" s="24" t="inlineStr">
        <is>
          <t>tennis-learned-v3</t>
        </is>
      </c>
      <c r="BF1283" s="24" t="inlineStr">
        <is>
          <t>1</t>
        </is>
      </c>
      <c r="BG1283" s="24" t="inlineStr">
        <is>
          <t>7443acc419841200d57e1edf36b77f1940cdd0c48dce3d43fcd05498a109440b</t>
        </is>
      </c>
      <c r="BH1283" s="24" t="inlineStr">
        <is>
          <t>2026-10-11T22:32:36.660105Z</t>
        </is>
      </c>
      <c r="BI1283" s="24" t="inlineStr">
        <is>
          <t>["same_event","same_team_same_day","same_league_same_day"]</t>
        </is>
      </c>
      <c r="BJ1283" s="25" t="n"/>
      <c r="BK1283" s="26" t="n">
        <v>-117</v>
      </c>
      <c r="BL1283" s="27" t="n">
        <v>1.854701</v>
      </c>
      <c r="BM1283" s="28" t="n">
        <v>0.539171</v>
      </c>
      <c r="BN1283" s="28" t="n"/>
      <c r="BO1283" s="28" t="n"/>
      <c r="BP1283" s="25" t="n"/>
      <c r="BQ1283" s="27" t="n">
        <v>1.854701</v>
      </c>
      <c r="BR1283" s="28" t="n">
        <v>0.54</v>
      </c>
      <c r="BS1283" s="28" t="n"/>
      <c r="BT1283" s="28" t="n"/>
      <c r="BU1283" s="25" t="n"/>
      <c r="BV1283" s="29" t="n"/>
      <c r="BW1283" s="24" t="n"/>
      <c r="BX1283" s="30" t="n"/>
      <c r="BY1283" s="27" t="n"/>
      <c r="BZ1283" s="24" t="n"/>
      <c r="CA1283" s="31" t="n"/>
      <c r="CB1283" s="24" t="n"/>
      <c r="CC1283" s="24" t="n"/>
      <c r="CD1283" s="24" t="n"/>
      <c r="CE1283" s="24" t="n"/>
      <c r="CF1283" s="24" t="n"/>
      <c r="CG1283" s="24" t="n"/>
      <c r="CH1283" s="24" t="n"/>
      <c r="CI1283" s="24" t="n"/>
      <c r="CJ1283" s="24" t="n"/>
      <c r="CK1283" s="24" t="n"/>
      <c r="CL1283" s="24" t="n"/>
      <c r="CM1283" s="24" t="n"/>
      <c r="CN1283" s="24" t="n"/>
      <c r="CO1283" s="24" t="n"/>
      <c r="CP1283" s="24" t="n"/>
      <c r="CQ1283" s="24" t="n"/>
      <c r="CR1283" s="24" t="n"/>
      <c r="CS1283" s="24" t="inlineStr">
        <is>
          <t>True</t>
        </is>
      </c>
      <c r="CT1283" s="24" t="n"/>
      <c r="CU1283" s="24" t="n"/>
      <c r="CV1283" s="24" t="n"/>
      <c r="CW1283" s="24" t="n"/>
      <c r="CX1283" s="24" t="n"/>
      <c r="CY1283" s="24" t="n"/>
      <c r="CZ1283" s="24" t="n"/>
      <c r="DA1283" s="24" t="n"/>
      <c r="DB1283" s="24" t="n"/>
      <c r="DC1283" s="24" t="n"/>
      <c r="DD1283" s="24" t="inlineStr">
        <is>
          <t>738d9eeb019c94806c5a6316faef2e586803e5a0bf09eaa74e4d4017e0c70f5b</t>
        </is>
      </c>
      <c r="DE1283" s="24" t="inlineStr">
        <is>
          <t>E:\model-prediction\data\odds\tennis\2026-10-11\polymarket_snapshots.jsonl</t>
        </is>
      </c>
      <c r="DF1283" s="24" t="inlineStr">
        <is>
          <t>1333560:2026-10-11T22:32:36.660105Z</t>
        </is>
      </c>
      <c r="DG1283" s="24" t="n"/>
      <c r="DH1283" s="24" t="n"/>
      <c r="DI1283" s="24" t="n"/>
      <c r="DJ1283" s="24" t="n"/>
      <c r="DK1283" s="24" t="n"/>
      <c r="DL1283" s="24" t="n"/>
      <c r="DM1283" s="24" t="n"/>
      <c r="DN1283" s="24" t="n"/>
      <c r="DO1283" s="24" t="n"/>
      <c r="DP1283" s="24" t="n"/>
      <c r="DQ1283" s="24" t="inlineStr">
        <is>
          <t>{"artifact_hash": "7443acc419841200d57e1edf36b77f1940cdd0c48dce3d43fcd05498a109440b", "away_team": "Leylah Fernandez", "event_id": "381-2026:185336", "event_start_utc": "2026-10-12T03:00Z", "features": {"elo_p1_surface": 1649.9, "elo_p2_surface": 1662.0, "expected_games_p1": 11.43, "expected_games_p2": 12.99, "expected_total_games": 24.42, "history_matches": 16675, "min_player_matches": 153, "surface": "Hard"}, "historical_source_observation_times_verified": false, "home_team": "Ekaterina Alexandrova", "inference_inputs": {"best_of": 3, "code_sha256": {"features/elo_ratings.py": "d6513e79d65448c06cc0f9b9eed0eaa091567835128e1f6647a310da8d78a872", "models/tennis.py": "7443acc419841200d57e1edf36b77f1940cdd0c48dce3d43fcd05498a109440b"}, "counts": [153, 165], "market_probability": null, "model_version": "tennis-learned-v3", "overall_ratings": [1702.5635646370936, 1750.6642658966286], "p_serve_a": 0.5724666316992206, "p_serve_b": 0.6075333683007793, "players": ["Leylah Fernandez", "Ekaterina Alexandrova"], "rest_days": [8.0, 3.0], "sport": "TENNIS", "surface": "Hard", "surface_counts": [120, 139], "surface_ratings": [1649.9106184976968, 1661.9556169725806], "tour": "WTA"}, "market_type": "moneyline", "model_version": "tennis-learned-v3", "observed_at_utc": "2026-10-11T22:37:06.815209+00:00", "probabilities": {"away": 0.4397, "home": 0.5603}, "replay_scope": "Exact full-precision serving state and rounding; upstream historical observation times are not certified.", "schema": "coded-moneyline-replay-v1", "snapshot_hash": "d33b249812a042823c93e0c8c718d935dbaafd4cc7588e69a6636c2b08036650", "sport": "TENNIS"}</t>
        </is>
      </c>
    </row>
    <row r="1284" ht="36" customHeight="1">
      <c r="A1284" s="24" t="inlineStr">
        <is>
          <t>347c4095323b43b8</t>
        </is>
      </c>
      <c r="B1284" s="24" t="inlineStr">
        <is>
          <t>2026-10-11T22:37:50.072561Z</t>
        </is>
      </c>
      <c r="C1284" s="24" t="inlineStr">
        <is>
          <t>2026-10-12T03:00Z</t>
        </is>
      </c>
      <c r="D1284" s="24" t="inlineStr">
        <is>
          <t>381-2026:185336</t>
        </is>
      </c>
      <c r="E1284" s="24" t="inlineStr">
        <is>
          <t>TENNIS</t>
        </is>
      </c>
      <c r="F1284" s="24" t="inlineStr">
        <is>
          <t>Leylah Fernandez</t>
        </is>
      </c>
      <c r="G1284" s="24" t="inlineStr">
        <is>
          <t>Ekaterina Alexandrova</t>
        </is>
      </c>
      <c r="H1284" s="24" t="inlineStr">
        <is>
          <t>spread</t>
        </is>
      </c>
      <c r="I1284" s="24" t="inlineStr">
        <is>
          <t>home</t>
        </is>
      </c>
      <c r="J1284" s="25" t="n">
        <v>-1.5</v>
      </c>
      <c r="K1284" s="24" t="inlineStr">
        <is>
          <t>polymarket_us</t>
        </is>
      </c>
      <c r="L1284" s="26" t="n">
        <v>104</v>
      </c>
      <c r="M1284" s="27" t="n">
        <v>2.04</v>
      </c>
      <c r="N1284" s="28" t="n">
        <v>0.490196</v>
      </c>
      <c r="O1284" s="28" t="n">
        <v>0.5911</v>
      </c>
      <c r="P1284" s="28" t="n">
        <v>0.05</v>
      </c>
      <c r="Q1284" s="28" t="n">
        <v>0.100904</v>
      </c>
      <c r="R1284" s="26" t="n">
        <v>70</v>
      </c>
      <c r="S1284" s="29" t="n">
        <v>1.25</v>
      </c>
      <c r="T1284" s="24" t="inlineStr">
        <is>
          <t>tennis-learned-v3</t>
        </is>
      </c>
      <c r="U1284" s="24" t="inlineStr">
        <is>
          <t>settled</t>
        </is>
      </c>
      <c r="V1284" s="24" t="inlineStr">
        <is>
          <t>loss</t>
        </is>
      </c>
      <c r="W1284" s="26" t="n">
        <v>15</v>
      </c>
      <c r="X1284" s="26" t="n">
        <v>13</v>
      </c>
      <c r="Y1284" s="25" t="n"/>
      <c r="Z1284" s="26" t="n"/>
      <c r="AA1284" s="28" t="n"/>
      <c r="AB1284" s="28" t="n"/>
      <c r="AC1284" s="30" t="n">
        <v>-1.25</v>
      </c>
      <c r="AD1284" s="24" t="inlineStr">
        <is>
          <t>2026-10-12T10:04:39.738490Z</t>
        </is>
      </c>
      <c r="AE1284" s="31" t="inlineStr">
        <is>
          <t>Tennis Markov game spread -1.5 games: home cover p=0.591. Executable ask 0.4900 (asc-wta-ekaale-leyfer-2026-10-11-gs-neg-1pt5).</t>
        </is>
      </c>
      <c r="AF1284" s="31" t="inlineStr">
        <is>
          <t>Surface-blended Elo model; singles only, WTA+ATP market coverage, not yet locked-holdout qualified -- promoted by explicit operator directive, not genuine walk-forward validation.</t>
        </is>
      </c>
      <c r="AG1284" s="24" t="inlineStr">
        <is>
          <t>review_required</t>
        </is>
      </c>
      <c r="AH1284" s="24" t="n"/>
      <c r="AI1284" s="31" t="n"/>
      <c r="AJ1284" s="31" t="n"/>
      <c r="AK1284" s="24" t="inlineStr">
        <is>
          <t>model_qualified</t>
        </is>
      </c>
      <c r="AL1284" s="26" t="n">
        <v>4</v>
      </c>
      <c r="AM1284" s="24" t="inlineStr">
        <is>
          <t>QUALIFIED_SHADOW_CALL</t>
        </is>
      </c>
      <c r="AN1284" s="24" t="inlineStr">
        <is>
          <t>CALL</t>
        </is>
      </c>
      <c r="AO1284" s="24" t="inlineStr">
        <is>
          <t>QUALIFIED</t>
        </is>
      </c>
      <c r="AP1284" s="24" t="inlineStr">
        <is>
          <t>Leylah Fernandez</t>
        </is>
      </c>
      <c r="AQ1284" s="24" t="inlineStr">
        <is>
          <t>Leylah Fernandez</t>
        </is>
      </c>
      <c r="AR1284" s="24" t="inlineStr">
        <is>
          <t>Leylah Fernandez</t>
        </is>
      </c>
      <c r="AS1284" s="24" t="inlineStr">
        <is>
          <t>Ekaterina Alexandrova</t>
        </is>
      </c>
      <c r="AT1284" s="24" t="inlineStr">
        <is>
          <t>Ekaterina Alexandrova</t>
        </is>
      </c>
      <c r="AU1284" s="24" t="inlineStr">
        <is>
          <t>Ekaterina Alexandrova</t>
        </is>
      </c>
      <c r="AV1284" s="24" t="n"/>
      <c r="AW1284" s="24" t="n"/>
      <c r="AX1284" s="24" t="inlineStr">
        <is>
          <t>statistical_model</t>
        </is>
      </c>
      <c r="AY1284" s="24" t="n"/>
      <c r="AZ1284" s="24" t="inlineStr">
        <is>
          <t>shadow_qualified</t>
        </is>
      </c>
      <c r="BA1284" s="24" t="inlineStr">
        <is>
          <t>7443acc419841200d57e1edf36b77f1940cdd0c48dce3d43fcd05498a109440b</t>
        </is>
      </c>
      <c r="BB1284" s="24" t="inlineStr">
        <is>
          <t>learned_v3</t>
        </is>
      </c>
      <c r="BC1284" s="24" t="inlineStr">
        <is>
          <t>tennis-learned-v3</t>
        </is>
      </c>
      <c r="BD1284" s="24" t="inlineStr">
        <is>
          <t>7443acc419841200d57e1edf36b77f1940cdd0c48dce3d43fcd05498a109440b</t>
        </is>
      </c>
      <c r="BE1284" s="24" t="inlineStr">
        <is>
          <t>tennis-learned-v3</t>
        </is>
      </c>
      <c r="BF1284" s="24" t="inlineStr">
        <is>
          <t>1</t>
        </is>
      </c>
      <c r="BG1284" s="24" t="inlineStr">
        <is>
          <t>7443acc419841200d57e1edf36b77f1940cdd0c48dce3d43fcd05498a109440b</t>
        </is>
      </c>
      <c r="BH1284" s="24" t="inlineStr">
        <is>
          <t>2026-10-11T22:32:16.399578Z</t>
        </is>
      </c>
      <c r="BI1284" s="24" t="inlineStr">
        <is>
          <t>["same_event","same_team_same_day","same_league_same_day"]</t>
        </is>
      </c>
      <c r="BJ1284" s="25" t="n">
        <v>-1.5</v>
      </c>
      <c r="BK1284" s="26" t="n">
        <v>104</v>
      </c>
      <c r="BL1284" s="27" t="n">
        <v>2.04</v>
      </c>
      <c r="BM1284" s="28" t="n">
        <v>0.490196</v>
      </c>
      <c r="BN1284" s="28" t="n"/>
      <c r="BO1284" s="28" t="n"/>
      <c r="BP1284" s="25" t="n"/>
      <c r="BQ1284" s="27" t="n"/>
      <c r="BR1284" s="28" t="n"/>
      <c r="BS1284" s="28" t="n"/>
      <c r="BT1284" s="28" t="n"/>
      <c r="BU1284" s="25" t="n"/>
      <c r="BV1284" s="29" t="n"/>
      <c r="BW1284" s="24" t="n"/>
      <c r="BX1284" s="30" t="n"/>
      <c r="BY1284" s="27" t="n"/>
      <c r="BZ1284" s="24" t="n"/>
      <c r="CA1284" s="31" t="n"/>
      <c r="CB1284" s="24" t="n"/>
      <c r="CC1284" s="24" t="n"/>
      <c r="CD1284" s="24" t="n"/>
      <c r="CE1284" s="24" t="n"/>
      <c r="CF1284" s="24" t="n"/>
      <c r="CG1284" s="24" t="n"/>
      <c r="CH1284" s="24" t="n"/>
      <c r="CI1284" s="24" t="n"/>
      <c r="CJ1284" s="24" t="n"/>
      <c r="CK1284" s="24" t="n"/>
      <c r="CL1284" s="24" t="n"/>
      <c r="CM1284" s="24" t="n"/>
      <c r="CN1284" s="24" t="n"/>
      <c r="CO1284" s="24" t="n"/>
      <c r="CP1284" s="24" t="n"/>
      <c r="CQ1284" s="24" t="n"/>
      <c r="CR1284" s="24" t="n"/>
      <c r="CS1284" s="24" t="inlineStr">
        <is>
          <t>True</t>
        </is>
      </c>
      <c r="CT1284" s="24" t="n"/>
      <c r="CU1284" s="24" t="n"/>
      <c r="CV1284" s="24" t="n"/>
      <c r="CW1284" s="24" t="n"/>
      <c r="CX1284" s="24" t="n"/>
      <c r="CY1284" s="24" t="n"/>
      <c r="CZ1284" s="24" t="n"/>
      <c r="DA1284" s="24" t="n"/>
      <c r="DB1284" s="24" t="n"/>
      <c r="DC1284" s="24" t="n"/>
      <c r="DD1284" s="24" t="inlineStr">
        <is>
          <t>03b532865bcb8dbd83abb91f92c55defbb1930f3267c5790ca31b947e7050aea</t>
        </is>
      </c>
      <c r="DE1284" s="24" t="inlineStr">
        <is>
          <t>E:\model-prediction\data\odds\tennis\2026-10-11\polymarket_snapshots.jsonl</t>
        </is>
      </c>
      <c r="DF1284" s="24" t="inlineStr">
        <is>
          <t>1354033:2026-10-11T22:32:16.399578Z</t>
        </is>
      </c>
      <c r="DG1284" s="24" t="n"/>
      <c r="DH1284" s="24" t="n"/>
      <c r="DI1284" s="24" t="n"/>
      <c r="DJ1284" s="24" t="n"/>
      <c r="DK1284" s="24" t="n"/>
      <c r="DL1284" s="24" t="n"/>
      <c r="DM1284" s="24" t="n"/>
      <c r="DN1284" s="24" t="n"/>
      <c r="DO1284" s="24" t="n"/>
      <c r="DP1284" s="24" t="n"/>
      <c r="DQ1284" s="24" t="n"/>
    </row>
    <row r="1285" ht="36" customHeight="1">
      <c r="A1285" s="24" t="inlineStr">
        <is>
          <t>3c268b75219a481c</t>
        </is>
      </c>
      <c r="B1285" s="24" t="inlineStr">
        <is>
          <t>2026-10-11T22:37:50.072561Z</t>
        </is>
      </c>
      <c r="C1285" s="24" t="inlineStr">
        <is>
          <t>2026-10-12T03:00Z</t>
        </is>
      </c>
      <c r="D1285" s="24" t="inlineStr">
        <is>
          <t>381-2026:185336</t>
        </is>
      </c>
      <c r="E1285" s="24" t="inlineStr">
        <is>
          <t>TENNIS</t>
        </is>
      </c>
      <c r="F1285" s="24" t="inlineStr">
        <is>
          <t>Leylah Fernandez</t>
        </is>
      </c>
      <c r="G1285" s="24" t="inlineStr">
        <is>
          <t>Ekaterina Alexandrova</t>
        </is>
      </c>
      <c r="H1285" s="24" t="inlineStr">
        <is>
          <t>total</t>
        </is>
      </c>
      <c r="I1285" s="24" t="inlineStr">
        <is>
          <t>over</t>
        </is>
      </c>
      <c r="J1285" s="25" t="n">
        <v>22.5</v>
      </c>
      <c r="K1285" s="24" t="inlineStr">
        <is>
          <t>polymarket_us</t>
        </is>
      </c>
      <c r="L1285" s="26" t="n">
        <v>113</v>
      </c>
      <c r="M1285" s="27" t="n">
        <v>2.13</v>
      </c>
      <c r="N1285" s="28" t="n">
        <v>0.469484</v>
      </c>
      <c r="O1285" s="28" t="n">
        <v>0.5497</v>
      </c>
      <c r="P1285" s="28" t="n">
        <v>0.05</v>
      </c>
      <c r="Q1285" s="28" t="n">
        <v>0.080216</v>
      </c>
      <c r="R1285" s="26" t="n">
        <v>60</v>
      </c>
      <c r="S1285" s="29" t="n">
        <v>1.25</v>
      </c>
      <c r="T1285" s="24" t="inlineStr">
        <is>
          <t>tennis-learned-v3</t>
        </is>
      </c>
      <c r="U1285" s="24" t="inlineStr">
        <is>
          <t>settled</t>
        </is>
      </c>
      <c r="V1285" s="24" t="inlineStr">
        <is>
          <t>win</t>
        </is>
      </c>
      <c r="W1285" s="26" t="n">
        <v>15</v>
      </c>
      <c r="X1285" s="26" t="n">
        <v>13</v>
      </c>
      <c r="Y1285" s="25" t="n"/>
      <c r="Z1285" s="26" t="n"/>
      <c r="AA1285" s="28" t="n"/>
      <c r="AB1285" s="28" t="n"/>
      <c r="AC1285" s="30" t="n">
        <v>1.4125</v>
      </c>
      <c r="AD1285" s="24" t="inlineStr">
        <is>
          <t>2026-10-12T10:04:45.477559Z</t>
        </is>
      </c>
      <c r="AE1285" s="31" t="inlineStr">
        <is>
          <t>Tennis Markov total games line 22.5: over p=0.550. Executable ask 0.4700 (tsc-wta-ekaale-leyfer-2026-10-11-tg-22pt5).</t>
        </is>
      </c>
      <c r="AF1285" s="31" t="inlineStr">
        <is>
          <t>Surface-blended Elo model; singles only, WTA+ATP market coverage, not yet locked-holdout qualified -- promoted by explicit operator directive, not genuine walk-forward validation.</t>
        </is>
      </c>
      <c r="AG1285" s="24" t="inlineStr">
        <is>
          <t>not_applicable</t>
        </is>
      </c>
      <c r="AH1285" s="24" t="n"/>
      <c r="AI1285" s="31" t="n"/>
      <c r="AJ1285" s="31" t="n"/>
      <c r="AK1285" s="24" t="inlineStr">
        <is>
          <t>model_qualified</t>
        </is>
      </c>
      <c r="AL1285" s="26" t="n">
        <v>4</v>
      </c>
      <c r="AM1285" s="24" t="inlineStr">
        <is>
          <t>QUALIFIED_SHADOW_CALL</t>
        </is>
      </c>
      <c r="AN1285" s="24" t="inlineStr">
        <is>
          <t>CALL</t>
        </is>
      </c>
      <c r="AO1285" s="24" t="inlineStr">
        <is>
          <t>QUALIFIED</t>
        </is>
      </c>
      <c r="AP1285" s="24" t="inlineStr">
        <is>
          <t>Leylah Fernandez</t>
        </is>
      </c>
      <c r="AQ1285" s="24" t="inlineStr">
        <is>
          <t>Leylah Fernandez</t>
        </is>
      </c>
      <c r="AR1285" s="24" t="inlineStr">
        <is>
          <t>Leylah Fernandez</t>
        </is>
      </c>
      <c r="AS1285" s="24" t="inlineStr">
        <is>
          <t>Ekaterina Alexandrova</t>
        </is>
      </c>
      <c r="AT1285" s="24" t="inlineStr">
        <is>
          <t>Ekaterina Alexandrova</t>
        </is>
      </c>
      <c r="AU1285" s="24" t="inlineStr">
        <is>
          <t>Ekaterina Alexandrova</t>
        </is>
      </c>
      <c r="AV1285" s="24" t="n"/>
      <c r="AW1285" s="24" t="n"/>
      <c r="AX1285" s="24" t="inlineStr">
        <is>
          <t>statistical_model</t>
        </is>
      </c>
      <c r="AY1285" s="24" t="n"/>
      <c r="AZ1285" s="24" t="inlineStr">
        <is>
          <t>shadow_qualified</t>
        </is>
      </c>
      <c r="BA1285" s="24" t="inlineStr">
        <is>
          <t>7443acc419841200d57e1edf36b77f1940cdd0c48dce3d43fcd05498a109440b</t>
        </is>
      </c>
      <c r="BB1285" s="24" t="inlineStr">
        <is>
          <t>learned_v3</t>
        </is>
      </c>
      <c r="BC1285" s="24" t="inlineStr">
        <is>
          <t>tennis-learned-v3</t>
        </is>
      </c>
      <c r="BD1285" s="24" t="inlineStr">
        <is>
          <t>7443acc419841200d57e1edf36b77f1940cdd0c48dce3d43fcd05498a109440b</t>
        </is>
      </c>
      <c r="BE1285" s="24" t="inlineStr">
        <is>
          <t>tennis-learned-v3</t>
        </is>
      </c>
      <c r="BF1285" s="24" t="inlineStr">
        <is>
          <t>1</t>
        </is>
      </c>
      <c r="BG1285" s="24" t="inlineStr">
        <is>
          <t>7443acc419841200d57e1edf36b77f1940cdd0c48dce3d43fcd05498a109440b</t>
        </is>
      </c>
      <c r="BH1285" s="24" t="inlineStr">
        <is>
          <t>2026-10-11T22:32:16.485848Z</t>
        </is>
      </c>
      <c r="BI1285" s="24" t="inlineStr">
        <is>
          <t>["same_event","same_team_same_day","same_league_same_day"]</t>
        </is>
      </c>
      <c r="BJ1285" s="25" t="n">
        <v>22.5</v>
      </c>
      <c r="BK1285" s="26" t="n">
        <v>113</v>
      </c>
      <c r="BL1285" s="27" t="n">
        <v>2.13</v>
      </c>
      <c r="BM1285" s="28" t="n">
        <v>0.469484</v>
      </c>
      <c r="BN1285" s="28" t="n"/>
      <c r="BO1285" s="28" t="n"/>
      <c r="BP1285" s="25" t="n"/>
      <c r="BQ1285" s="27" t="n"/>
      <c r="BR1285" s="28" t="n"/>
      <c r="BS1285" s="28" t="n"/>
      <c r="BT1285" s="28" t="n"/>
      <c r="BU1285" s="25" t="n"/>
      <c r="BV1285" s="29" t="n"/>
      <c r="BW1285" s="24" t="n"/>
      <c r="BX1285" s="30" t="n"/>
      <c r="BY1285" s="27" t="n"/>
      <c r="BZ1285" s="24" t="n"/>
      <c r="CA1285" s="31" t="n"/>
      <c r="CB1285" s="24" t="n"/>
      <c r="CC1285" s="24" t="n"/>
      <c r="CD1285" s="24" t="n"/>
      <c r="CE1285" s="24" t="n"/>
      <c r="CF1285" s="24" t="n"/>
      <c r="CG1285" s="24" t="n"/>
      <c r="CH1285" s="24" t="n"/>
      <c r="CI1285" s="24" t="n"/>
      <c r="CJ1285" s="24" t="n"/>
      <c r="CK1285" s="24" t="n"/>
      <c r="CL1285" s="24" t="n"/>
      <c r="CM1285" s="24" t="n"/>
      <c r="CN1285" s="24" t="n"/>
      <c r="CO1285" s="24" t="n"/>
      <c r="CP1285" s="24" t="n"/>
      <c r="CQ1285" s="24" t="n"/>
      <c r="CR1285" s="24" t="n"/>
      <c r="CS1285" s="24" t="inlineStr">
        <is>
          <t>True</t>
        </is>
      </c>
      <c r="CT1285" s="24" t="n"/>
      <c r="CU1285" s="24" t="n"/>
      <c r="CV1285" s="24" t="n"/>
      <c r="CW1285" s="24" t="n"/>
      <c r="CX1285" s="24" t="n"/>
      <c r="CY1285" s="24" t="n"/>
      <c r="CZ1285" s="24" t="n"/>
      <c r="DA1285" s="24" t="n"/>
      <c r="DB1285" s="24" t="n"/>
      <c r="DC1285" s="24" t="n"/>
      <c r="DD1285" s="24" t="inlineStr">
        <is>
          <t>f5c9a3942dc2a31f87c0582ea05cf17a834c2ce48e2f25353923f7726321c179</t>
        </is>
      </c>
      <c r="DE1285" s="24" t="inlineStr">
        <is>
          <t>E:\model-prediction\data\odds\tennis\2026-10-11\polymarket_snapshots.jsonl</t>
        </is>
      </c>
      <c r="DF1285" s="24" t="inlineStr">
        <is>
          <t>1354001:2026-10-11T22:32:16.485848Z</t>
        </is>
      </c>
      <c r="DG1285" s="24" t="n"/>
      <c r="DH1285" s="24" t="n"/>
      <c r="DI1285" s="24" t="n"/>
      <c r="DJ1285" s="24" t="n"/>
      <c r="DK1285" s="24" t="n"/>
      <c r="DL1285" s="24" t="n"/>
      <c r="DM1285" s="24" t="n"/>
      <c r="DN1285" s="24" t="n"/>
      <c r="DO1285" s="24" t="n"/>
      <c r="DP1285" s="24" t="n"/>
      <c r="DQ1285" s="24" t="n"/>
    </row>
    <row r="1286" ht="36" customHeight="1">
      <c r="A1286" s="24" t="inlineStr">
        <is>
          <t>e51e7a82f9774ce2</t>
        </is>
      </c>
      <c r="B1286" s="24" t="inlineStr">
        <is>
          <t>2026-10-11T22:37:50.072561Z</t>
        </is>
      </c>
      <c r="C1286" s="24" t="inlineStr">
        <is>
          <t>2026-10-12T04:30Z</t>
        </is>
      </c>
      <c r="D1286" s="24" t="inlineStr">
        <is>
          <t>381-2026:185331</t>
        </is>
      </c>
      <c r="E1286" s="24" t="inlineStr">
        <is>
          <t>TENNIS</t>
        </is>
      </c>
      <c r="F1286" s="24" t="inlineStr">
        <is>
          <t>Marie Bouzkova</t>
        </is>
      </c>
      <c r="G1286" s="24" t="inlineStr">
        <is>
          <t>Clara Tauson</t>
        </is>
      </c>
      <c r="H1286" s="24" t="inlineStr">
        <is>
          <t>moneyline</t>
        </is>
      </c>
      <c r="I1286" s="24" t="inlineStr">
        <is>
          <t>away</t>
        </is>
      </c>
      <c r="J1286" s="25" t="n"/>
      <c r="K1286" s="24" t="inlineStr">
        <is>
          <t>polymarket_us</t>
        </is>
      </c>
      <c r="L1286" s="26" t="n">
        <v>-233</v>
      </c>
      <c r="M1286" s="27" t="n">
        <v>1.429185</v>
      </c>
      <c r="N1286" s="28" t="n">
        <v>0.6997</v>
      </c>
      <c r="O1286" s="28" t="n">
        <v>0.65</v>
      </c>
      <c r="P1286" s="28" t="n">
        <v>0.05</v>
      </c>
      <c r="Q1286" s="28" t="n">
        <v>-0.0497</v>
      </c>
      <c r="R1286" s="26" t="n">
        <v>0</v>
      </c>
      <c r="S1286" s="29" t="n">
        <v>1</v>
      </c>
      <c r="T1286" s="24" t="inlineStr">
        <is>
          <t>tennis-learned-v3</t>
        </is>
      </c>
      <c r="U1286" s="24" t="inlineStr">
        <is>
          <t>settled</t>
        </is>
      </c>
      <c r="V1286" s="24" t="inlineStr">
        <is>
          <t>win</t>
        </is>
      </c>
      <c r="W1286" s="26" t="n">
        <v>1</v>
      </c>
      <c r="X1286" s="26" t="n">
        <v>0</v>
      </c>
      <c r="Y1286" s="25" t="n"/>
      <c r="Z1286" s="26" t="n">
        <v>-233</v>
      </c>
      <c r="AA1286" s="28" t="n">
        <v>0.7</v>
      </c>
      <c r="AB1286" s="28" t="n">
        <v>0.0003</v>
      </c>
      <c r="AC1286" s="30" t="n">
        <v>0.4292</v>
      </c>
      <c r="AD1286" s="24" t="inlineStr">
        <is>
          <t>2026-10-12T10:04:51.291930Z</t>
        </is>
      </c>
      <c r="AE1286" s="31" t="inlineStr">
        <is>
          <t>Tennis v3 Learned Fundamental on Hard (Bo3): Marie Bouzkova p=0.650 vs Clara Tauson. Executable ask 0.7000 (aec-wta-clatau-marbou-2026-10-11).</t>
        </is>
      </c>
      <c r="AF1286" s="31" t="inlineStr">
        <is>
          <t>Surface-blended Elo model; singles only, WTA+ATP market coverage, not yet locked-holdout qualified -- promoted by explicit operator directive, not genuine walk-forward validation.</t>
        </is>
      </c>
      <c r="AG1286" s="24" t="inlineStr">
        <is>
          <t>not_applicable</t>
        </is>
      </c>
      <c r="AH1286" s="24" t="n"/>
      <c r="AI1286" s="31" t="n"/>
      <c r="AJ1286" s="31" t="n"/>
      <c r="AK1286" s="24" t="inlineStr">
        <is>
          <t>paper_call</t>
        </is>
      </c>
      <c r="AL1286" s="26" t="n">
        <v>4</v>
      </c>
      <c r="AM1286" s="24" t="inlineStr">
        <is>
          <t>RESEARCH_OBSERVATION</t>
        </is>
      </c>
      <c r="AN1286" s="24" t="inlineStr">
        <is>
          <t>CALL</t>
        </is>
      </c>
      <c r="AO1286" s="24" t="inlineStr">
        <is>
          <t>PAPER_CALL_LOW_EDGE</t>
        </is>
      </c>
      <c r="AP1286" s="24" t="inlineStr">
        <is>
          <t>Marie Bouzkova</t>
        </is>
      </c>
      <c r="AQ1286" s="24" t="inlineStr">
        <is>
          <t>Marie Bouzkova</t>
        </is>
      </c>
      <c r="AR1286" s="24" t="inlineStr">
        <is>
          <t>Marie Bouzkova</t>
        </is>
      </c>
      <c r="AS1286" s="24" t="inlineStr">
        <is>
          <t>Clara Tauson</t>
        </is>
      </c>
      <c r="AT1286" s="24" t="inlineStr">
        <is>
          <t>Clara Tauson</t>
        </is>
      </c>
      <c r="AU1286" s="24" t="inlineStr">
        <is>
          <t>Clara Tauson</t>
        </is>
      </c>
      <c r="AV1286" s="24" t="n"/>
      <c r="AW1286" s="24" t="n"/>
      <c r="AX1286" s="24" t="inlineStr">
        <is>
          <t>statistical_model</t>
        </is>
      </c>
      <c r="AY1286" s="24" t="n"/>
      <c r="AZ1286" s="24" t="inlineStr">
        <is>
          <t>shadow_qualified</t>
        </is>
      </c>
      <c r="BA1286" s="24" t="inlineStr">
        <is>
          <t>7443acc419841200d57e1edf36b77f1940cdd0c48dce3d43fcd05498a109440b</t>
        </is>
      </c>
      <c r="BB1286" s="24" t="inlineStr">
        <is>
          <t>learned_v3</t>
        </is>
      </c>
      <c r="BC1286" s="24" t="inlineStr">
        <is>
          <t>tennis-learned-v3</t>
        </is>
      </c>
      <c r="BD1286" s="24" t="inlineStr">
        <is>
          <t>7443acc419841200d57e1edf36b77f1940cdd0c48dce3d43fcd05498a109440b</t>
        </is>
      </c>
      <c r="BE1286" s="24" t="inlineStr">
        <is>
          <t>tennis-learned-v3</t>
        </is>
      </c>
      <c r="BF1286" s="24" t="inlineStr">
        <is>
          <t>1</t>
        </is>
      </c>
      <c r="BG1286" s="24" t="inlineStr">
        <is>
          <t>7443acc419841200d57e1edf36b77f1940cdd0c48dce3d43fcd05498a109440b</t>
        </is>
      </c>
      <c r="BH1286" s="24" t="inlineStr">
        <is>
          <t>2026-10-11T06:45:10.760608Z</t>
        </is>
      </c>
      <c r="BI1286" s="24" t="inlineStr">
        <is>
          <t>["same_event","same_team_same_day","same_league_same_day"]</t>
        </is>
      </c>
      <c r="BJ1286" s="25" t="n"/>
      <c r="BK1286" s="26" t="n">
        <v>-233</v>
      </c>
      <c r="BL1286" s="27" t="n">
        <v>1.429185</v>
      </c>
      <c r="BM1286" s="28" t="n">
        <v>0.6997</v>
      </c>
      <c r="BN1286" s="28" t="n"/>
      <c r="BO1286" s="28" t="n"/>
      <c r="BP1286" s="25" t="n"/>
      <c r="BQ1286" s="27" t="n">
        <v>1.429185</v>
      </c>
      <c r="BR1286" s="28" t="n">
        <v>0.7</v>
      </c>
      <c r="BS1286" s="28" t="n"/>
      <c r="BT1286" s="28" t="n"/>
      <c r="BU1286" s="25" t="n"/>
      <c r="BV1286" s="29" t="n"/>
      <c r="BW1286" s="24" t="n"/>
      <c r="BX1286" s="30" t="n"/>
      <c r="BY1286" s="27" t="n"/>
      <c r="BZ1286" s="24" t="n"/>
      <c r="CA1286" s="31" t="n"/>
      <c r="CB1286" s="24" t="n"/>
      <c r="CC1286" s="24" t="n"/>
      <c r="CD1286" s="24" t="n"/>
      <c r="CE1286" s="24" t="n"/>
      <c r="CF1286" s="24" t="n"/>
      <c r="CG1286" s="24" t="n"/>
      <c r="CH1286" s="24" t="n"/>
      <c r="CI1286" s="24" t="n"/>
      <c r="CJ1286" s="24" t="n"/>
      <c r="CK1286" s="24" t="n"/>
      <c r="CL1286" s="24" t="n"/>
      <c r="CM1286" s="24" t="n"/>
      <c r="CN1286" s="24" t="n"/>
      <c r="CO1286" s="24" t="n"/>
      <c r="CP1286" s="24" t="n"/>
      <c r="CQ1286" s="24" t="n"/>
      <c r="CR1286" s="24" t="n"/>
      <c r="CS1286" s="24" t="inlineStr">
        <is>
          <t>False</t>
        </is>
      </c>
      <c r="CT1286" s="24" t="n"/>
      <c r="CU1286" s="24" t="n"/>
      <c r="CV1286" s="24" t="n"/>
      <c r="CW1286" s="24" t="n"/>
      <c r="CX1286" s="24" t="n"/>
      <c r="CY1286" s="24" t="n"/>
      <c r="CZ1286" s="24" t="n"/>
      <c r="DA1286" s="24" t="n"/>
      <c r="DB1286" s="24" t="n"/>
      <c r="DC1286" s="24" t="n"/>
      <c r="DD1286" s="24" t="inlineStr">
        <is>
          <t>e69af15f3cbeda4cacbce4615b80c43580ec811566a6cd1ecd2cf1283fca80ef</t>
        </is>
      </c>
      <c r="DE1286" s="24" t="inlineStr">
        <is>
          <t>E:\model-prediction\data\odds\tennis\2026-10-11\polymarket_snapshots.jsonl</t>
        </is>
      </c>
      <c r="DF1286" s="24" t="inlineStr">
        <is>
          <t>1333572:2026-10-11T06:45:10.760608Z</t>
        </is>
      </c>
      <c r="DG1286" s="24" t="n"/>
      <c r="DH1286" s="24" t="n"/>
      <c r="DI1286" s="24" t="n"/>
      <c r="DJ1286" s="24" t="n"/>
      <c r="DK1286" s="24" t="n"/>
      <c r="DL1286" s="24" t="n"/>
      <c r="DM1286" s="24" t="n"/>
      <c r="DN1286" s="24" t="n"/>
      <c r="DO1286" s="24" t="n"/>
      <c r="DP1286" s="24" t="n"/>
      <c r="DQ1286" s="24" t="inlineStr">
        <is>
          <t>{"artifact_hash": "7443acc419841200d57e1edf36b77f1940cdd0c48dce3d43fcd05498a109440b", "away_team": "Marie Bouzkova", "event_id": "381-2026:185331", "event_start_utc": "2026-10-12T04:30Z", "features": {"elo_p1_surface": 1652.3, "elo_p2_surface": 1590.1, "expected_games_p1": 13.41, "expected_games_p2": 8.74, "expected_total_games": 22.15, "history_matches": 16675, "min_player_matches": 150, "surface": "Hard"}, "historical_source_observation_times_verified": false, "home_team": "Clara Tauson", "inference_inputs": {"best_of": 3, "code_sha256": {"features/elo_ratings.py": "d6513e79d65448c06cc0f9b9eed0eaa091567835128e1f6647a310da8d78a872", "models/tennis.py": "7443acc419841200d57e1edf36b77f1940cdd0c48dce3d43fcd05498a109440b"}, "counts": [150, 154], "market_probability": null, "model_version": "tennis-learned-v3", "overall_ratings": [1754.0499714904072, 1620.4554264993774], "p_serve_a": 0.6348087287813108, "p_serve_b": 0.5451912712186892, "players": ["Marie Bouzkova", "Clara Tauson"], "rest_days": [6.0, 9.0], "sport": "TENNIS", "surface": "Hard", "surface_counts": [117, 125], "surface_ratings": [1652.271302232888, 1590.1187901212045], "tour": "WTA"}, "market_type": "moneyline", "model_version": "tennis-learned-v3", "observed_at_utc": "2026-10-11T22:37:06.815209+00:00", "probabilities": {"away": 0.65, "home": 0.35}, "replay_scope": "Exact full-precision serving state and rounding; upstream historical observation times are not certified.", "schema": "coded-moneyline-replay-v1", "snapshot_hash": "cf57af5fc4db583b6505395f4377bc9a084bdb8666e96c8358fd893d32419495", "sport": "TENNIS"}</t>
        </is>
      </c>
    </row>
    <row r="1287" ht="36" customHeight="1">
      <c r="A1287" s="24" t="inlineStr">
        <is>
          <t>af7bc8d8ccd348bb</t>
        </is>
      </c>
      <c r="B1287" s="24" t="inlineStr">
        <is>
          <t>2026-10-12T05:38:26.409279Z</t>
        </is>
      </c>
      <c r="C1287" s="24" t="inlineStr">
        <is>
          <t>2026-10-12T05:40Z</t>
        </is>
      </c>
      <c r="D1287" s="24" t="inlineStr">
        <is>
          <t>381-2026:185333</t>
        </is>
      </c>
      <c r="E1287" s="24" t="inlineStr">
        <is>
          <t>TENNIS</t>
        </is>
      </c>
      <c r="F1287" s="24" t="inlineStr">
        <is>
          <t>Mia Pohankova</t>
        </is>
      </c>
      <c r="G1287" s="24" t="inlineStr">
        <is>
          <t>Anna Bondar</t>
        </is>
      </c>
      <c r="H1287" s="24" t="inlineStr">
        <is>
          <t>spread</t>
        </is>
      </c>
      <c r="I1287" s="24" t="inlineStr">
        <is>
          <t>away</t>
        </is>
      </c>
      <c r="J1287" s="25" t="n">
        <v>-7.5</v>
      </c>
      <c r="K1287" s="24" t="inlineStr">
        <is>
          <t>polymarket_us</t>
        </is>
      </c>
      <c r="L1287" s="26" t="n">
        <v>223</v>
      </c>
      <c r="M1287" s="27" t="n">
        <v>3.23</v>
      </c>
      <c r="N1287" s="28" t="n">
        <v>0.309598</v>
      </c>
      <c r="O1287" s="28" t="n">
        <v>0.7239</v>
      </c>
      <c r="P1287" s="28" t="n">
        <v>0.05</v>
      </c>
      <c r="Q1287" s="28" t="n">
        <v>0.414302</v>
      </c>
      <c r="R1287" s="26" t="n">
        <v>100</v>
      </c>
      <c r="S1287" s="29" t="n">
        <v>2</v>
      </c>
      <c r="T1287" s="24" t="inlineStr">
        <is>
          <t>tennis-learned-v3</t>
        </is>
      </c>
      <c r="U1287" s="24" t="inlineStr">
        <is>
          <t>settled</t>
        </is>
      </c>
      <c r="V1287" s="24" t="inlineStr">
        <is>
          <t>win</t>
        </is>
      </c>
      <c r="W1287" s="26" t="n">
        <v>12</v>
      </c>
      <c r="X1287" s="26" t="n">
        <v>4</v>
      </c>
      <c r="Y1287" s="25" t="n"/>
      <c r="Z1287" s="26" t="n"/>
      <c r="AA1287" s="28" t="n"/>
      <c r="AB1287" s="28" t="n"/>
      <c r="AC1287" s="30" t="n">
        <v>4.46</v>
      </c>
      <c r="AD1287" s="24" t="inlineStr">
        <is>
          <t>2026-10-12T10:05:02.779055Z</t>
        </is>
      </c>
      <c r="AE1287" s="31" t="inlineStr">
        <is>
          <t>Tennis Markov game spread -7.5 games: away cover p=0.724. Executable ask 0.3100 (asc-wta-annbon-miapoh-2026-10-12-gs-neg-7pt5).</t>
        </is>
      </c>
      <c r="AF1287" s="31" t="inlineStr">
        <is>
          <t>Surface-blended Elo model; singles only, WTA+ATP market coverage, not yet locked-holdout qualified -- promoted by explicit operator directive, not genuine walk-forward validation.</t>
        </is>
      </c>
      <c r="AG1287" s="24" t="inlineStr">
        <is>
          <t>not_applicable</t>
        </is>
      </c>
      <c r="AH1287" s="24" t="n"/>
      <c r="AI1287" s="31" t="n"/>
      <c r="AJ1287" s="31" t="n"/>
      <c r="AK1287" s="24" t="inlineStr">
        <is>
          <t>model_qualified</t>
        </is>
      </c>
      <c r="AL1287" s="26" t="n">
        <v>4</v>
      </c>
      <c r="AM1287" s="24" t="inlineStr">
        <is>
          <t>QUALIFIED_SHADOW_CALL</t>
        </is>
      </c>
      <c r="AN1287" s="24" t="inlineStr">
        <is>
          <t>CALL</t>
        </is>
      </c>
      <c r="AO1287" s="24" t="inlineStr">
        <is>
          <t>QUALIFIED</t>
        </is>
      </c>
      <c r="AP1287" s="24" t="inlineStr">
        <is>
          <t>Mia Pohankova</t>
        </is>
      </c>
      <c r="AQ1287" s="24" t="inlineStr">
        <is>
          <t>Mia Pohankova</t>
        </is>
      </c>
      <c r="AR1287" s="24" t="inlineStr">
        <is>
          <t>Mia Pohankova</t>
        </is>
      </c>
      <c r="AS1287" s="24" t="inlineStr">
        <is>
          <t>Anna Bondar</t>
        </is>
      </c>
      <c r="AT1287" s="24" t="inlineStr">
        <is>
          <t>Anna Bondar</t>
        </is>
      </c>
      <c r="AU1287" s="24" t="inlineStr">
        <is>
          <t>Anna Bondar</t>
        </is>
      </c>
      <c r="AV1287" s="24" t="n"/>
      <c r="AW1287" s="24" t="n"/>
      <c r="AX1287" s="24" t="inlineStr">
        <is>
          <t>statistical_model</t>
        </is>
      </c>
      <c r="AY1287" s="24" t="n"/>
      <c r="AZ1287" s="24" t="inlineStr">
        <is>
          <t>shadow_qualified</t>
        </is>
      </c>
      <c r="BA1287" s="24" t="inlineStr">
        <is>
          <t>7443acc419841200d57e1edf36b77f1940cdd0c48dce3d43fcd05498a109440b</t>
        </is>
      </c>
      <c r="BB1287" s="24" t="inlineStr">
        <is>
          <t>learned_v3</t>
        </is>
      </c>
      <c r="BC1287" s="24" t="inlineStr">
        <is>
          <t>tennis-learned-v3</t>
        </is>
      </c>
      <c r="BD1287" s="24" t="inlineStr">
        <is>
          <t>7443acc419841200d57e1edf36b77f1940cdd0c48dce3d43fcd05498a109440b</t>
        </is>
      </c>
      <c r="BE1287" s="24" t="inlineStr">
        <is>
          <t>tennis-learned-v3</t>
        </is>
      </c>
      <c r="BF1287" s="24" t="inlineStr">
        <is>
          <t>1</t>
        </is>
      </c>
      <c r="BG1287" s="24" t="inlineStr">
        <is>
          <t>7443acc419841200d57e1edf36b77f1940cdd0c48dce3d43fcd05498a109440b</t>
        </is>
      </c>
      <c r="BH1287" s="24" t="inlineStr">
        <is>
          <t>2026-10-12T04:59:53.451833Z</t>
        </is>
      </c>
      <c r="BI1287" s="24" t="inlineStr">
        <is>
          <t>["same_event","same_team_same_day","same_league_same_day"]</t>
        </is>
      </c>
      <c r="BJ1287" s="25" t="n">
        <v>-7.5</v>
      </c>
      <c r="BK1287" s="26" t="n">
        <v>223</v>
      </c>
      <c r="BL1287" s="27" t="n">
        <v>3.23</v>
      </c>
      <c r="BM1287" s="28" t="n">
        <v>0.309598</v>
      </c>
      <c r="BN1287" s="28" t="n"/>
      <c r="BO1287" s="28" t="n"/>
      <c r="BP1287" s="25" t="n"/>
      <c r="BQ1287" s="27" t="n"/>
      <c r="BR1287" s="28" t="n"/>
      <c r="BS1287" s="28" t="n"/>
      <c r="BT1287" s="28" t="n"/>
      <c r="BU1287" s="25" t="n"/>
      <c r="BV1287" s="29" t="n"/>
      <c r="BW1287" s="24" t="n"/>
      <c r="BX1287" s="30" t="n"/>
      <c r="BY1287" s="27" t="n"/>
      <c r="BZ1287" s="24" t="n"/>
      <c r="CA1287" s="31" t="n"/>
      <c r="CB1287" s="24" t="n"/>
      <c r="CC1287" s="24" t="n"/>
      <c r="CD1287" s="24" t="n"/>
      <c r="CE1287" s="24" t="n"/>
      <c r="CF1287" s="24" t="n"/>
      <c r="CG1287" s="24" t="n"/>
      <c r="CH1287" s="24" t="n"/>
      <c r="CI1287" s="24" t="n"/>
      <c r="CJ1287" s="24" t="n"/>
      <c r="CK1287" s="24" t="n"/>
      <c r="CL1287" s="24" t="n"/>
      <c r="CM1287" s="24" t="n"/>
      <c r="CN1287" s="24" t="n"/>
      <c r="CO1287" s="24" t="n"/>
      <c r="CP1287" s="24" t="n"/>
      <c r="CQ1287" s="24" t="n"/>
      <c r="CR1287" s="24" t="n"/>
      <c r="CS1287" s="24" t="inlineStr">
        <is>
          <t>True</t>
        </is>
      </c>
      <c r="CT1287" s="24" t="n"/>
      <c r="CU1287" s="24" t="n"/>
      <c r="CV1287" s="24" t="n"/>
      <c r="CW1287" s="24" t="n"/>
      <c r="CX1287" s="24" t="n"/>
      <c r="CY1287" s="24" t="n"/>
      <c r="CZ1287" s="24" t="n"/>
      <c r="DA1287" s="24" t="n"/>
      <c r="DB1287" s="24" t="n"/>
      <c r="DC1287" s="24" t="n"/>
      <c r="DD1287" s="24" t="inlineStr">
        <is>
          <t>6b29bdfa35c0d45c44fa46fecd01fd29c66603e0d1c9f4593c8a626776341e9e</t>
        </is>
      </c>
      <c r="DE1287" s="24" t="inlineStr">
        <is>
          <t>E:\model-prediction\data\odds\tennis\2026-10-12\polymarket_snapshots.jsonl</t>
        </is>
      </c>
      <c r="DF1287" s="24" t="inlineStr">
        <is>
          <t>1386218:2026-10-12T04:59:53.451833Z</t>
        </is>
      </c>
      <c r="DG1287" s="24" t="n"/>
      <c r="DH1287" s="24" t="n"/>
      <c r="DI1287" s="24" t="n"/>
      <c r="DJ1287" s="24" t="n"/>
      <c r="DK1287" s="24" t="n"/>
      <c r="DL1287" s="24" t="n"/>
      <c r="DM1287" s="24" t="n"/>
      <c r="DN1287" s="24" t="n"/>
      <c r="DO1287" s="24" t="n"/>
      <c r="DP1287" s="24" t="n"/>
      <c r="DQ1287" s="24" t="n"/>
    </row>
    <row r="1288" ht="36" customHeight="1">
      <c r="A1288" s="24" t="inlineStr">
        <is>
          <t>6ba1b90dccb44822</t>
        </is>
      </c>
      <c r="B1288" s="24" t="inlineStr">
        <is>
          <t>2026-10-12T05:38:26.409279Z</t>
        </is>
      </c>
      <c r="C1288" s="24" t="inlineStr">
        <is>
          <t>2026-10-12T06:00Z</t>
        </is>
      </c>
      <c r="D1288" s="24" t="inlineStr">
        <is>
          <t>381-2026:185321</t>
        </is>
      </c>
      <c r="E1288" s="24" t="inlineStr">
        <is>
          <t>TENNIS</t>
        </is>
      </c>
      <c r="F1288" s="24" t="inlineStr">
        <is>
          <t>Sara Bejlek</t>
        </is>
      </c>
      <c r="G1288" s="24" t="inlineStr">
        <is>
          <t>Jasmine Paolini</t>
        </is>
      </c>
      <c r="H1288" s="24" t="inlineStr">
        <is>
          <t>spread</t>
        </is>
      </c>
      <c r="I1288" s="24" t="inlineStr">
        <is>
          <t>home</t>
        </is>
      </c>
      <c r="J1288" s="25" t="n">
        <v>1.5</v>
      </c>
      <c r="K1288" s="24" t="inlineStr">
        <is>
          <t>polymarket_us</t>
        </is>
      </c>
      <c r="L1288" s="26" t="n">
        <v>-108</v>
      </c>
      <c r="M1288" s="27" t="n">
        <v>1.925926</v>
      </c>
      <c r="N1288" s="28" t="n">
        <v>0.519231</v>
      </c>
      <c r="O1288" s="28" t="n">
        <v>0.6289</v>
      </c>
      <c r="P1288" s="28" t="n">
        <v>0.05</v>
      </c>
      <c r="Q1288" s="28" t="n">
        <v>0.109669</v>
      </c>
      <c r="R1288" s="26" t="n">
        <v>75</v>
      </c>
      <c r="S1288" s="29" t="n">
        <v>1.5</v>
      </c>
      <c r="T1288" s="24" t="inlineStr">
        <is>
          <t>tennis-learned-v3</t>
        </is>
      </c>
      <c r="U1288" s="24" t="inlineStr">
        <is>
          <t>settled</t>
        </is>
      </c>
      <c r="V1288" s="24" t="inlineStr">
        <is>
          <t>win</t>
        </is>
      </c>
      <c r="W1288" s="26" t="n">
        <v>7</v>
      </c>
      <c r="X1288" s="26" t="n">
        <v>12</v>
      </c>
      <c r="Y1288" s="25" t="n"/>
      <c r="Z1288" s="26" t="n"/>
      <c r="AA1288" s="28" t="n"/>
      <c r="AB1288" s="28" t="n"/>
      <c r="AC1288" s="30" t="n">
        <v>1.3889</v>
      </c>
      <c r="AD1288" s="24" t="inlineStr">
        <is>
          <t>2026-10-12T10:05:18.059516Z</t>
        </is>
      </c>
      <c r="AE1288" s="31" t="inlineStr">
        <is>
          <t>Tennis Markov game spread +1.5 games: home cover p=0.629. Executable ask 0.5200 (asc-wta-jaspao-sarbej-2026-10-11-gs-pos-1pt5).</t>
        </is>
      </c>
      <c r="AF1288" s="31" t="inlineStr">
        <is>
          <t>Surface-blended Elo model; singles only, WTA+ATP market coverage, not yet locked-holdout qualified -- promoted by explicit operator directive, not genuine walk-forward validation.</t>
        </is>
      </c>
      <c r="AG1288" s="24" t="inlineStr">
        <is>
          <t>not_applicable</t>
        </is>
      </c>
      <c r="AH1288" s="24" t="n"/>
      <c r="AI1288" s="31" t="n"/>
      <c r="AJ1288" s="31" t="n"/>
      <c r="AK1288" s="24" t="inlineStr">
        <is>
          <t>model_qualified</t>
        </is>
      </c>
      <c r="AL1288" s="26" t="n">
        <v>4</v>
      </c>
      <c r="AM1288" s="24" t="inlineStr">
        <is>
          <t>QUALIFIED_SHADOW_CALL</t>
        </is>
      </c>
      <c r="AN1288" s="24" t="inlineStr">
        <is>
          <t>CALL</t>
        </is>
      </c>
      <c r="AO1288" s="24" t="inlineStr">
        <is>
          <t>QUALIFIED</t>
        </is>
      </c>
      <c r="AP1288" s="24" t="inlineStr">
        <is>
          <t>Sara Bejlek</t>
        </is>
      </c>
      <c r="AQ1288" s="24" t="inlineStr">
        <is>
          <t>Sara Bejlek</t>
        </is>
      </c>
      <c r="AR1288" s="24" t="inlineStr">
        <is>
          <t>Sara Bejlek</t>
        </is>
      </c>
      <c r="AS1288" s="24" t="inlineStr">
        <is>
          <t>Jasmine Paolini</t>
        </is>
      </c>
      <c r="AT1288" s="24" t="inlineStr">
        <is>
          <t>Jasmine Paolini</t>
        </is>
      </c>
      <c r="AU1288" s="24" t="inlineStr">
        <is>
          <t>Jasmine Paolini</t>
        </is>
      </c>
      <c r="AV1288" s="24" t="n"/>
      <c r="AW1288" s="24" t="n"/>
      <c r="AX1288" s="24" t="inlineStr">
        <is>
          <t>statistical_model</t>
        </is>
      </c>
      <c r="AY1288" s="24" t="n"/>
      <c r="AZ1288" s="24" t="inlineStr">
        <is>
          <t>shadow_qualified</t>
        </is>
      </c>
      <c r="BA1288" s="24" t="inlineStr">
        <is>
          <t>7443acc419841200d57e1edf36b77f1940cdd0c48dce3d43fcd05498a109440b</t>
        </is>
      </c>
      <c r="BB1288" s="24" t="inlineStr">
        <is>
          <t>learned_v3</t>
        </is>
      </c>
      <c r="BC1288" s="24" t="inlineStr">
        <is>
          <t>tennis-learned-v3</t>
        </is>
      </c>
      <c r="BD1288" s="24" t="inlineStr">
        <is>
          <t>7443acc419841200d57e1edf36b77f1940cdd0c48dce3d43fcd05498a109440b</t>
        </is>
      </c>
      <c r="BE1288" s="24" t="inlineStr">
        <is>
          <t>tennis-learned-v3</t>
        </is>
      </c>
      <c r="BF1288" s="24" t="inlineStr">
        <is>
          <t>1</t>
        </is>
      </c>
      <c r="BG1288" s="24" t="inlineStr">
        <is>
          <t>7443acc419841200d57e1edf36b77f1940cdd0c48dce3d43fcd05498a109440b</t>
        </is>
      </c>
      <c r="BH1288" s="24" t="inlineStr">
        <is>
          <t>2026-10-12T04:59:33.656148Z</t>
        </is>
      </c>
      <c r="BI1288" s="24" t="inlineStr">
        <is>
          <t>["same_event","same_team_same_day","same_league_same_day"]</t>
        </is>
      </c>
      <c r="BJ1288" s="25" t="n">
        <v>1.5</v>
      </c>
      <c r="BK1288" s="26" t="n">
        <v>-108</v>
      </c>
      <c r="BL1288" s="27" t="n">
        <v>1.925926</v>
      </c>
      <c r="BM1288" s="28" t="n">
        <v>0.519231</v>
      </c>
      <c r="BN1288" s="28" t="n"/>
      <c r="BO1288" s="28" t="n"/>
      <c r="BP1288" s="25" t="n"/>
      <c r="BQ1288" s="27" t="n"/>
      <c r="BR1288" s="28" t="n"/>
      <c r="BS1288" s="28" t="n"/>
      <c r="BT1288" s="28" t="n"/>
      <c r="BU1288" s="25" t="n"/>
      <c r="BV1288" s="29" t="n"/>
      <c r="BW1288" s="24" t="n"/>
      <c r="BX1288" s="30" t="n"/>
      <c r="BY1288" s="27" t="n"/>
      <c r="BZ1288" s="24" t="n"/>
      <c r="CA1288" s="31" t="n"/>
      <c r="CB1288" s="24" t="n"/>
      <c r="CC1288" s="24" t="n"/>
      <c r="CD1288" s="24" t="n"/>
      <c r="CE1288" s="24" t="n"/>
      <c r="CF1288" s="24" t="n"/>
      <c r="CG1288" s="24" t="n"/>
      <c r="CH1288" s="24" t="n"/>
      <c r="CI1288" s="24" t="n"/>
      <c r="CJ1288" s="24" t="n"/>
      <c r="CK1288" s="24" t="n"/>
      <c r="CL1288" s="24" t="n"/>
      <c r="CM1288" s="24" t="n"/>
      <c r="CN1288" s="24" t="n"/>
      <c r="CO1288" s="24" t="n"/>
      <c r="CP1288" s="24" t="n"/>
      <c r="CQ1288" s="24" t="n"/>
      <c r="CR1288" s="24" t="n"/>
      <c r="CS1288" s="24" t="inlineStr">
        <is>
          <t>True</t>
        </is>
      </c>
      <c r="CT1288" s="24" t="n"/>
      <c r="CU1288" s="24" t="n"/>
      <c r="CV1288" s="24" t="n"/>
      <c r="CW1288" s="24" t="n"/>
      <c r="CX1288" s="24" t="n"/>
      <c r="CY1288" s="24" t="n"/>
      <c r="CZ1288" s="24" t="n"/>
      <c r="DA1288" s="24" t="n"/>
      <c r="DB1288" s="24" t="n"/>
      <c r="DC1288" s="24" t="n"/>
      <c r="DD1288" s="24" t="inlineStr">
        <is>
          <t>8338e77af9bb5f61452b4301ab96b60a24cb747e571c5f4c6af4430c377b441f</t>
        </is>
      </c>
      <c r="DE1288" s="24" t="inlineStr">
        <is>
          <t>E:\model-prediction\data\odds\tennis\2026-10-12\polymarket_snapshots.jsonl</t>
        </is>
      </c>
      <c r="DF1288" s="24" t="inlineStr">
        <is>
          <t>1354042:2026-10-12T04:59:33.656148Z</t>
        </is>
      </c>
      <c r="DG1288" s="24" t="n"/>
      <c r="DH1288" s="24" t="n"/>
      <c r="DI1288" s="24" t="n"/>
      <c r="DJ1288" s="24" t="n"/>
      <c r="DK1288" s="24" t="n"/>
      <c r="DL1288" s="24" t="n"/>
      <c r="DM1288" s="24" t="n"/>
      <c r="DN1288" s="24" t="n"/>
      <c r="DO1288" s="24" t="n"/>
      <c r="DP1288" s="24" t="n"/>
      <c r="DQ1288" s="24" t="n"/>
    </row>
    <row r="1289" ht="36" customHeight="1">
      <c r="A1289" s="24" t="inlineStr">
        <is>
          <t>dd5642f70d004c74</t>
        </is>
      </c>
      <c r="B1289" s="24" t="inlineStr">
        <is>
          <t>2026-10-12T05:38:26.409279Z</t>
        </is>
      </c>
      <c r="C1289" s="24" t="inlineStr">
        <is>
          <t>2026-10-12T06:00Z</t>
        </is>
      </c>
      <c r="D1289" s="24" t="inlineStr">
        <is>
          <t>381-2026:185321</t>
        </is>
      </c>
      <c r="E1289" s="24" t="inlineStr">
        <is>
          <t>TENNIS</t>
        </is>
      </c>
      <c r="F1289" s="24" t="inlineStr">
        <is>
          <t>Sara Bejlek</t>
        </is>
      </c>
      <c r="G1289" s="24" t="inlineStr">
        <is>
          <t>Jasmine Paolini</t>
        </is>
      </c>
      <c r="H1289" s="24" t="inlineStr">
        <is>
          <t>moneyline</t>
        </is>
      </c>
      <c r="I1289" s="24" t="inlineStr">
        <is>
          <t>home</t>
        </is>
      </c>
      <c r="J1289" s="25" t="n"/>
      <c r="K1289" s="24" t="inlineStr">
        <is>
          <t>polymarket_us</t>
        </is>
      </c>
      <c r="L1289" s="26" t="n">
        <v>113</v>
      </c>
      <c r="M1289" s="27" t="n">
        <v>2.13</v>
      </c>
      <c r="N1289" s="28" t="n">
        <v>0.469484</v>
      </c>
      <c r="O1289" s="28" t="n">
        <v>0.5263</v>
      </c>
      <c r="P1289" s="28" t="n">
        <v>0.05</v>
      </c>
      <c r="Q1289" s="28" t="n">
        <v>0.056816</v>
      </c>
      <c r="R1289" s="26" t="n">
        <v>48</v>
      </c>
      <c r="S1289" s="29" t="n">
        <v>1</v>
      </c>
      <c r="T1289" s="24" t="inlineStr">
        <is>
          <t>tennis-learned-v3</t>
        </is>
      </c>
      <c r="U1289" s="24" t="inlineStr">
        <is>
          <t>settled</t>
        </is>
      </c>
      <c r="V1289" s="24" t="inlineStr">
        <is>
          <t>win</t>
        </is>
      </c>
      <c r="W1289" s="26" t="n">
        <v>0</v>
      </c>
      <c r="X1289" s="26" t="n">
        <v>1</v>
      </c>
      <c r="Y1289" s="25" t="n"/>
      <c r="Z1289" s="26" t="n">
        <v>113</v>
      </c>
      <c r="AA1289" s="28" t="n">
        <v>0.47</v>
      </c>
      <c r="AB1289" s="28" t="n">
        <v>0.000516</v>
      </c>
      <c r="AC1289" s="30" t="n">
        <v>1.13</v>
      </c>
      <c r="AD1289" s="24" t="inlineStr">
        <is>
          <t>2026-10-12T10:05:26.977252Z</t>
        </is>
      </c>
      <c r="AE1289" s="31" t="inlineStr">
        <is>
          <t>Tennis v3 Learned Fundamental on Hard (Bo3): Sara Bejlek p=0.474 vs Jasmine Paolini. Executable ask 0.4700 (aec-wta-jaspao-sarbej-2026-10-11).</t>
        </is>
      </c>
      <c r="AF1289" s="31" t="inlineStr">
        <is>
          <t>Surface-blended Elo model; singles only, WTA+ATP market coverage, not yet locked-holdout qualified -- promoted by explicit operator directive, not genuine walk-forward validation.</t>
        </is>
      </c>
      <c r="AG1289" s="24" t="inlineStr">
        <is>
          <t>not_applicable</t>
        </is>
      </c>
      <c r="AH1289" s="24" t="n"/>
      <c r="AI1289" s="31" t="n"/>
      <c r="AJ1289" s="31" t="n"/>
      <c r="AK1289" s="24" t="inlineStr">
        <is>
          <t>paper_call</t>
        </is>
      </c>
      <c r="AL1289" s="26" t="n">
        <v>4</v>
      </c>
      <c r="AM1289" s="24" t="inlineStr">
        <is>
          <t>RESEARCH_OBSERVATION</t>
        </is>
      </c>
      <c r="AN1289" s="24" t="inlineStr">
        <is>
          <t>CALL</t>
        </is>
      </c>
      <c r="AO1289" s="24" t="inlineStr">
        <is>
          <t>PAPER_CALL_LOW_EDGE</t>
        </is>
      </c>
      <c r="AP1289" s="24" t="inlineStr">
        <is>
          <t>Sara Bejlek</t>
        </is>
      </c>
      <c r="AQ1289" s="24" t="inlineStr">
        <is>
          <t>Sara Bejlek</t>
        </is>
      </c>
      <c r="AR1289" s="24" t="inlineStr">
        <is>
          <t>Sara Bejlek</t>
        </is>
      </c>
      <c r="AS1289" s="24" t="inlineStr">
        <is>
          <t>Jasmine Paolini</t>
        </is>
      </c>
      <c r="AT1289" s="24" t="inlineStr">
        <is>
          <t>Jasmine Paolini</t>
        </is>
      </c>
      <c r="AU1289" s="24" t="inlineStr">
        <is>
          <t>Jasmine Paolini</t>
        </is>
      </c>
      <c r="AV1289" s="24" t="n"/>
      <c r="AW1289" s="24" t="n"/>
      <c r="AX1289" s="24" t="inlineStr">
        <is>
          <t>statistical_model</t>
        </is>
      </c>
      <c r="AY1289" s="24" t="n"/>
      <c r="AZ1289" s="24" t="inlineStr">
        <is>
          <t>shadow_qualified</t>
        </is>
      </c>
      <c r="BA1289" s="24" t="inlineStr">
        <is>
          <t>7443acc419841200d57e1edf36b77f1940cdd0c48dce3d43fcd05498a109440b</t>
        </is>
      </c>
      <c r="BB1289" s="24" t="inlineStr">
        <is>
          <t>learned_v3</t>
        </is>
      </c>
      <c r="BC1289" s="24" t="inlineStr">
        <is>
          <t>tennis-learned-v3</t>
        </is>
      </c>
      <c r="BD1289" s="24" t="inlineStr">
        <is>
          <t>7443acc419841200d57e1edf36b77f1940cdd0c48dce3d43fcd05498a109440b</t>
        </is>
      </c>
      <c r="BE1289" s="24" t="inlineStr">
        <is>
          <t>tennis-learned-v3</t>
        </is>
      </c>
      <c r="BF1289" s="24" t="inlineStr">
        <is>
          <t>1</t>
        </is>
      </c>
      <c r="BG1289" s="24" t="inlineStr">
        <is>
          <t>7443acc419841200d57e1edf36b77f1940cdd0c48dce3d43fcd05498a109440b</t>
        </is>
      </c>
      <c r="BH1289" s="24" t="inlineStr">
        <is>
          <t>2026-10-12T04:59:43.835137Z</t>
        </is>
      </c>
      <c r="BI1289" s="24" t="inlineStr">
        <is>
          <t>["same_event","same_team_same_day","same_league_same_day"]</t>
        </is>
      </c>
      <c r="BJ1289" s="25" t="n"/>
      <c r="BK1289" s="26" t="n">
        <v>113</v>
      </c>
      <c r="BL1289" s="27" t="n">
        <v>2.13</v>
      </c>
      <c r="BM1289" s="28" t="n">
        <v>0.469484</v>
      </c>
      <c r="BN1289" s="28" t="n"/>
      <c r="BO1289" s="28" t="n"/>
      <c r="BP1289" s="25" t="n"/>
      <c r="BQ1289" s="27" t="n">
        <v>2.13</v>
      </c>
      <c r="BR1289" s="28" t="n">
        <v>0.47</v>
      </c>
      <c r="BS1289" s="28" t="n"/>
      <c r="BT1289" s="28" t="n"/>
      <c r="BU1289" s="25" t="n"/>
      <c r="BV1289" s="29" t="n"/>
      <c r="BW1289" s="24" t="n"/>
      <c r="BX1289" s="30" t="n"/>
      <c r="BY1289" s="27" t="n"/>
      <c r="BZ1289" s="24" t="n"/>
      <c r="CA1289" s="31" t="n"/>
      <c r="CB1289" s="24" t="n"/>
      <c r="CC1289" s="24" t="n"/>
      <c r="CD1289" s="24" t="n"/>
      <c r="CE1289" s="24" t="n"/>
      <c r="CF1289" s="24" t="n"/>
      <c r="CG1289" s="24" t="n"/>
      <c r="CH1289" s="24" t="n"/>
      <c r="CI1289" s="24" t="n"/>
      <c r="CJ1289" s="24" t="n"/>
      <c r="CK1289" s="24" t="n"/>
      <c r="CL1289" s="24" t="n"/>
      <c r="CM1289" s="24" t="n"/>
      <c r="CN1289" s="24" t="n"/>
      <c r="CO1289" s="24" t="n"/>
      <c r="CP1289" s="24" t="n"/>
      <c r="CQ1289" s="24" t="n"/>
      <c r="CR1289" s="24" t="n"/>
      <c r="CS1289" s="24" t="inlineStr">
        <is>
          <t>True</t>
        </is>
      </c>
      <c r="CT1289" s="24" t="n"/>
      <c r="CU1289" s="24" t="n"/>
      <c r="CV1289" s="24" t="n"/>
      <c r="CW1289" s="24" t="n"/>
      <c r="CX1289" s="24" t="n"/>
      <c r="CY1289" s="24" t="n"/>
      <c r="CZ1289" s="24" t="n"/>
      <c r="DA1289" s="24" t="n"/>
      <c r="DB1289" s="24" t="n"/>
      <c r="DC1289" s="24" t="n"/>
      <c r="DD1289" s="24" t="inlineStr">
        <is>
          <t>de6f9ca8eca27241860941169bac7fa04c81760dab56ad9a5942e8b5f907bfdf</t>
        </is>
      </c>
      <c r="DE1289" s="24" t="inlineStr">
        <is>
          <t>E:\model-prediction\data\odds\tennis\2026-10-12\polymarket_snapshots.jsonl</t>
        </is>
      </c>
      <c r="DF1289" s="24" t="inlineStr">
        <is>
          <t>1333564:2026-10-12T04:59:43.835137Z</t>
        </is>
      </c>
      <c r="DG1289" s="24" t="n"/>
      <c r="DH1289" s="24" t="n"/>
      <c r="DI1289" s="24" t="n"/>
      <c r="DJ1289" s="24" t="n"/>
      <c r="DK1289" s="24" t="n"/>
      <c r="DL1289" s="24" t="n"/>
      <c r="DM1289" s="24" t="n"/>
      <c r="DN1289" s="24" t="n"/>
      <c r="DO1289" s="24" t="n"/>
      <c r="DP1289" s="24" t="n"/>
      <c r="DQ1289" s="24" t="inlineStr">
        <is>
          <t>{"artifact_hash": "7443acc419841200d57e1edf36b77f1940cdd0c48dce3d43fcd05498a109440b", "away_team": "Sara Bejlek", "event_id": "381-2026:185321", "event_start_utc": "2026-10-12T06:00Z", "features": {"elo_p1_surface": 1653.4, "elo_p2_surface": 1651.8, "expected_games_p1": 12.11, "expected_games_p2": 12.62, "expected_total_games": 24.73, "history_matches": 16708, "min_player_matches": 125, "surface": "Hard"}, "historical_source_observation_times_verified": false, "home_team": "Jasmine Paolini", "inference_inputs": {"best_of": 3, "code_sha256": {"features/elo_ratings.py": "d6513e79d65448c06cc0f9b9eed0eaa091567835128e1f6647a310da8d78a872", "models/tennis.py": "7443acc419841200d57e1edf36b77f1940cdd0c48dce3d43fcd05498a109440b"}, "counts": [125, 150], "market_probability": null, "model_version": "tennis-learned-v3", "overall_ratings": [1714.8967801060094, 1731.7381110442657], "p_serve_a": 0.5823774540178469, "p_serve_b": 0.597622545982153, "players": ["Sara Bejlek", "Jasmine Paolini"], "rest_days": [7.0, 10.0], "sport": "TENNIS", "surface": "Hard", "surface_counts": [94, 102], "surface_ratings": [1653.4116143310578, 1651.7757612847402], "tour": "WTA"}, "market_type": "moneyline", "model_version": "tennis-learned-v3", "observed_at_utc": "2026-10-12T05:38:23.706514+00:00", "probabilities": {"away": 0.4737, "home": 0.5263}, "replay_scope": "Exact full-precision serving state and rounding; upstream historical observation times are not certified.", "schema": "coded-moneyline-replay-v1", "snapshot_hash": "f865e6018e1e65181779fc0acc6dcbd68fd27343fea2eea385b8152a115bbdad", "sport": "TENNIS"}</t>
        </is>
      </c>
    </row>
    <row r="1290" ht="36" customHeight="1">
      <c r="A1290" s="24" t="inlineStr">
        <is>
          <t>cebd2bde20ff4b6b</t>
        </is>
      </c>
      <c r="B1290" s="24" t="inlineStr">
        <is>
          <t>2026-10-12T05:38:26.409279Z</t>
        </is>
      </c>
      <c r="C1290" s="24" t="inlineStr">
        <is>
          <t>2026-10-12T06:00Z</t>
        </is>
      </c>
      <c r="D1290" s="24" t="inlineStr">
        <is>
          <t>381-2026:185321</t>
        </is>
      </c>
      <c r="E1290" s="24" t="inlineStr">
        <is>
          <t>TENNIS</t>
        </is>
      </c>
      <c r="F1290" s="24" t="inlineStr">
        <is>
          <t>Sara Bejlek</t>
        </is>
      </c>
      <c r="G1290" s="24" t="inlineStr">
        <is>
          <t>Jasmine Paolini</t>
        </is>
      </c>
      <c r="H1290" s="24" t="inlineStr">
        <is>
          <t>total</t>
        </is>
      </c>
      <c r="I1290" s="24" t="inlineStr">
        <is>
          <t>over</t>
        </is>
      </c>
      <c r="J1290" s="25" t="n">
        <v>22.5</v>
      </c>
      <c r="K1290" s="24" t="inlineStr">
        <is>
          <t>polymarket_us</t>
        </is>
      </c>
      <c r="L1290" s="26" t="n">
        <v>133</v>
      </c>
      <c r="M1290" s="27" t="n">
        <v>2.33</v>
      </c>
      <c r="N1290" s="28" t="n">
        <v>0.429185</v>
      </c>
      <c r="O1290" s="28" t="n">
        <v>0.5732</v>
      </c>
      <c r="P1290" s="28" t="n">
        <v>0.05</v>
      </c>
      <c r="Q1290" s="28" t="n">
        <v>0.144015</v>
      </c>
      <c r="R1290" s="26" t="n">
        <v>92</v>
      </c>
      <c r="S1290" s="29" t="n">
        <v>1.75</v>
      </c>
      <c r="T1290" s="24" t="inlineStr">
        <is>
          <t>tennis-learned-v3</t>
        </is>
      </c>
      <c r="U1290" s="24" t="inlineStr">
        <is>
          <t>settled</t>
        </is>
      </c>
      <c r="V1290" s="24" t="inlineStr">
        <is>
          <t>loss</t>
        </is>
      </c>
      <c r="W1290" s="26" t="n">
        <v>7</v>
      </c>
      <c r="X1290" s="26" t="n">
        <v>12</v>
      </c>
      <c r="Y1290" s="25" t="n"/>
      <c r="Z1290" s="26" t="n"/>
      <c r="AA1290" s="28" t="n"/>
      <c r="AB1290" s="28" t="n"/>
      <c r="AC1290" s="30" t="n">
        <v>-1.75</v>
      </c>
      <c r="AD1290" s="24" t="inlineStr">
        <is>
          <t>2026-10-12T10:05:33.417623Z</t>
        </is>
      </c>
      <c r="AE1290" s="31" t="inlineStr">
        <is>
          <t>Tennis Markov total games line 22.5: over p=0.573. Executable ask 0.4300 (tsc-wta-jaspao-sarbej-2026-10-11-tg-22pt5).</t>
        </is>
      </c>
      <c r="AF1290" s="31" t="inlineStr">
        <is>
          <t>Surface-blended Elo model; singles only, WTA+ATP market coverage, not yet locked-holdout qualified -- promoted by explicit operator directive, not genuine walk-forward validation.</t>
        </is>
      </c>
      <c r="AG1290" s="24" t="inlineStr">
        <is>
          <t>review_required</t>
        </is>
      </c>
      <c r="AH1290" s="24" t="n"/>
      <c r="AI1290" s="31" t="n"/>
      <c r="AJ1290" s="31" t="n"/>
      <c r="AK1290" s="24" t="inlineStr">
        <is>
          <t>model_qualified</t>
        </is>
      </c>
      <c r="AL1290" s="26" t="n">
        <v>4</v>
      </c>
      <c r="AM1290" s="24" t="inlineStr">
        <is>
          <t>QUALIFIED_SHADOW_CALL</t>
        </is>
      </c>
      <c r="AN1290" s="24" t="inlineStr">
        <is>
          <t>CALL</t>
        </is>
      </c>
      <c r="AO1290" s="24" t="inlineStr">
        <is>
          <t>QUALIFIED</t>
        </is>
      </c>
      <c r="AP1290" s="24" t="inlineStr">
        <is>
          <t>Sara Bejlek</t>
        </is>
      </c>
      <c r="AQ1290" s="24" t="inlineStr">
        <is>
          <t>Sara Bejlek</t>
        </is>
      </c>
      <c r="AR1290" s="24" t="inlineStr">
        <is>
          <t>Sara Bejlek</t>
        </is>
      </c>
      <c r="AS1290" s="24" t="inlineStr">
        <is>
          <t>Jasmine Paolini</t>
        </is>
      </c>
      <c r="AT1290" s="24" t="inlineStr">
        <is>
          <t>Jasmine Paolini</t>
        </is>
      </c>
      <c r="AU1290" s="24" t="inlineStr">
        <is>
          <t>Jasmine Paolini</t>
        </is>
      </c>
      <c r="AV1290" s="24" t="n"/>
      <c r="AW1290" s="24" t="n"/>
      <c r="AX1290" s="24" t="inlineStr">
        <is>
          <t>statistical_model</t>
        </is>
      </c>
      <c r="AY1290" s="24" t="n"/>
      <c r="AZ1290" s="24" t="inlineStr">
        <is>
          <t>shadow_qualified</t>
        </is>
      </c>
      <c r="BA1290" s="24" t="inlineStr">
        <is>
          <t>7443acc419841200d57e1edf36b77f1940cdd0c48dce3d43fcd05498a109440b</t>
        </is>
      </c>
      <c r="BB1290" s="24" t="inlineStr">
        <is>
          <t>learned_v3</t>
        </is>
      </c>
      <c r="BC1290" s="24" t="inlineStr">
        <is>
          <t>tennis-learned-v3</t>
        </is>
      </c>
      <c r="BD1290" s="24" t="inlineStr">
        <is>
          <t>7443acc419841200d57e1edf36b77f1940cdd0c48dce3d43fcd05498a109440b</t>
        </is>
      </c>
      <c r="BE1290" s="24" t="inlineStr">
        <is>
          <t>tennis-learned-v3</t>
        </is>
      </c>
      <c r="BF1290" s="24" t="inlineStr">
        <is>
          <t>1</t>
        </is>
      </c>
      <c r="BG1290" s="24" t="inlineStr">
        <is>
          <t>7443acc419841200d57e1edf36b77f1940cdd0c48dce3d43fcd05498a109440b</t>
        </is>
      </c>
      <c r="BH1290" s="24" t="inlineStr">
        <is>
          <t>2026-10-12T04:59:43.897016Z</t>
        </is>
      </c>
      <c r="BI1290" s="24" t="inlineStr">
        <is>
          <t>["same_event","same_team_same_day","same_league_same_day"]</t>
        </is>
      </c>
      <c r="BJ1290" s="25" t="n">
        <v>22.5</v>
      </c>
      <c r="BK1290" s="26" t="n">
        <v>133</v>
      </c>
      <c r="BL1290" s="27" t="n">
        <v>2.33</v>
      </c>
      <c r="BM1290" s="28" t="n">
        <v>0.429185</v>
      </c>
      <c r="BN1290" s="28" t="n"/>
      <c r="BO1290" s="28" t="n"/>
      <c r="BP1290" s="25" t="n"/>
      <c r="BQ1290" s="27" t="n"/>
      <c r="BR1290" s="28" t="n"/>
      <c r="BS1290" s="28" t="n"/>
      <c r="BT1290" s="28" t="n"/>
      <c r="BU1290" s="25" t="n"/>
      <c r="BV1290" s="29" t="n"/>
      <c r="BW1290" s="24" t="n"/>
      <c r="BX1290" s="30" t="n"/>
      <c r="BY1290" s="27" t="n"/>
      <c r="BZ1290" s="24" t="n"/>
      <c r="CA1290" s="31" t="n"/>
      <c r="CB1290" s="24" t="n"/>
      <c r="CC1290" s="24" t="n"/>
      <c r="CD1290" s="24" t="n"/>
      <c r="CE1290" s="24" t="n"/>
      <c r="CF1290" s="24" t="n"/>
      <c r="CG1290" s="24" t="n"/>
      <c r="CH1290" s="24" t="n"/>
      <c r="CI1290" s="24" t="n"/>
      <c r="CJ1290" s="24" t="n"/>
      <c r="CK1290" s="24" t="n"/>
      <c r="CL1290" s="24" t="n"/>
      <c r="CM1290" s="24" t="n"/>
      <c r="CN1290" s="24" t="n"/>
      <c r="CO1290" s="24" t="n"/>
      <c r="CP1290" s="24" t="n"/>
      <c r="CQ1290" s="24" t="n"/>
      <c r="CR1290" s="24" t="n"/>
      <c r="CS1290" s="24" t="inlineStr">
        <is>
          <t>True</t>
        </is>
      </c>
      <c r="CT1290" s="24" t="n"/>
      <c r="CU1290" s="24" t="n"/>
      <c r="CV1290" s="24" t="n"/>
      <c r="CW1290" s="24" t="n"/>
      <c r="CX1290" s="24" t="n"/>
      <c r="CY1290" s="24" t="n"/>
      <c r="CZ1290" s="24" t="n"/>
      <c r="DA1290" s="24" t="n"/>
      <c r="DB1290" s="24" t="n"/>
      <c r="DC1290" s="24" t="n"/>
      <c r="DD1290" s="24" t="inlineStr">
        <is>
          <t>ab2be5f17f4e45284bb7213aadab3c6f619741b671e7d803fd93d625a98809c6</t>
        </is>
      </c>
      <c r="DE1290" s="24" t="inlineStr">
        <is>
          <t>E:\model-prediction\data\odds\tennis\2026-10-12\polymarket_snapshots.jsonl</t>
        </is>
      </c>
      <c r="DF1290" s="24" t="inlineStr">
        <is>
          <t>1354019:2026-10-12T04:59:43.897016Z</t>
        </is>
      </c>
      <c r="DG1290" s="24" t="n"/>
      <c r="DH1290" s="24" t="n"/>
      <c r="DI1290" s="24" t="n"/>
      <c r="DJ1290" s="24" t="n"/>
      <c r="DK1290" s="24" t="n"/>
      <c r="DL1290" s="24" t="n"/>
      <c r="DM1290" s="24" t="n"/>
      <c r="DN1290" s="24" t="n"/>
      <c r="DO1290" s="24" t="n"/>
      <c r="DP1290" s="24" t="n"/>
      <c r="DQ1290" s="24" t="n"/>
    </row>
    <row r="1291" ht="36" customHeight="1">
      <c r="A1291" s="24" t="inlineStr">
        <is>
          <t>30762fe08c68430e</t>
        </is>
      </c>
      <c r="B1291" s="24" t="inlineStr">
        <is>
          <t>2026-10-12T05:38:26.409279Z</t>
        </is>
      </c>
      <c r="C1291" s="24" t="inlineStr">
        <is>
          <t>2026-10-12T06:30Z</t>
        </is>
      </c>
      <c r="D1291" s="24" t="inlineStr">
        <is>
          <t>381-2026:185327</t>
        </is>
      </c>
      <c r="E1291" s="24" t="inlineStr">
        <is>
          <t>TENNIS</t>
        </is>
      </c>
      <c r="F1291" s="24" t="inlineStr">
        <is>
          <t>Donna Vekic</t>
        </is>
      </c>
      <c r="G1291" s="24" t="inlineStr">
        <is>
          <t>Maria Sakkari</t>
        </is>
      </c>
      <c r="H1291" s="24" t="inlineStr">
        <is>
          <t>moneyline</t>
        </is>
      </c>
      <c r="I1291" s="24" t="inlineStr">
        <is>
          <t>home</t>
        </is>
      </c>
      <c r="J1291" s="25" t="n"/>
      <c r="K1291" s="24" t="inlineStr">
        <is>
          <t>polymarket_us</t>
        </is>
      </c>
      <c r="L1291" s="26" t="n">
        <v>-156</v>
      </c>
      <c r="M1291" s="27" t="n">
        <v>1.641026</v>
      </c>
      <c r="N1291" s="28" t="n">
        <v>0.609375</v>
      </c>
      <c r="O1291" s="28" t="n">
        <v>0.5406</v>
      </c>
      <c r="P1291" s="28" t="n">
        <v>0.05</v>
      </c>
      <c r="Q1291" s="28" t="n">
        <v>-0.068775</v>
      </c>
      <c r="R1291" s="26" t="n">
        <v>0</v>
      </c>
      <c r="S1291" s="29" t="n">
        <v>1</v>
      </c>
      <c r="T1291" s="24" t="inlineStr">
        <is>
          <t>tennis-learned-v3</t>
        </is>
      </c>
      <c r="U1291" s="24" t="inlineStr">
        <is>
          <t>settled</t>
        </is>
      </c>
      <c r="V1291" s="24" t="inlineStr">
        <is>
          <t>win</t>
        </is>
      </c>
      <c r="W1291" s="26" t="n">
        <v>0</v>
      </c>
      <c r="X1291" s="26" t="n">
        <v>1</v>
      </c>
      <c r="Y1291" s="25" t="n"/>
      <c r="Z1291" s="26" t="n">
        <v>-156</v>
      </c>
      <c r="AA1291" s="28" t="n">
        <v>0.61</v>
      </c>
      <c r="AB1291" s="28" t="n">
        <v>0.000625</v>
      </c>
      <c r="AC1291" s="30" t="n">
        <v>0.641</v>
      </c>
      <c r="AD1291" s="24" t="inlineStr">
        <is>
          <t>2026-10-12T10:05:39.115589Z</t>
        </is>
      </c>
      <c r="AE1291" s="31" t="inlineStr">
        <is>
          <t>Tennis v3 Learned Fundamental on Hard (Bo3): Donna Vekic p=0.459 vs Maria Sakkari. Executable ask 0.6100 (aec-wta-marsak-donvek-2026-10-11).</t>
        </is>
      </c>
      <c r="AF1291" s="31" t="inlineStr">
        <is>
          <t>Surface-blended Elo model; singles only, WTA+ATP market coverage, not yet locked-holdout qualified -- promoted by explicit operator directive, not genuine walk-forward validation.</t>
        </is>
      </c>
      <c r="AG1291" s="24" t="inlineStr">
        <is>
          <t>not_applicable</t>
        </is>
      </c>
      <c r="AH1291" s="24" t="n"/>
      <c r="AI1291" s="31" t="n"/>
      <c r="AJ1291" s="31" t="n"/>
      <c r="AK1291" s="24" t="inlineStr">
        <is>
          <t>paper_call</t>
        </is>
      </c>
      <c r="AL1291" s="26" t="n">
        <v>4</v>
      </c>
      <c r="AM1291" s="24" t="inlineStr">
        <is>
          <t>RESEARCH_OBSERVATION</t>
        </is>
      </c>
      <c r="AN1291" s="24" t="inlineStr">
        <is>
          <t>CALL</t>
        </is>
      </c>
      <c r="AO1291" s="24" t="inlineStr">
        <is>
          <t>PAPER_CALL_LOW_EDGE</t>
        </is>
      </c>
      <c r="AP1291" s="24" t="inlineStr">
        <is>
          <t>Donna Vekic</t>
        </is>
      </c>
      <c r="AQ1291" s="24" t="inlineStr">
        <is>
          <t>Donna Vekic</t>
        </is>
      </c>
      <c r="AR1291" s="24" t="inlineStr">
        <is>
          <t>Donna Vekic</t>
        </is>
      </c>
      <c r="AS1291" s="24" t="inlineStr">
        <is>
          <t>Maria Sakkari</t>
        </is>
      </c>
      <c r="AT1291" s="24" t="inlineStr">
        <is>
          <t>Maria Sakkari</t>
        </is>
      </c>
      <c r="AU1291" s="24" t="inlineStr">
        <is>
          <t>Maria Sakkari</t>
        </is>
      </c>
      <c r="AV1291" s="24" t="n"/>
      <c r="AW1291" s="24" t="n"/>
      <c r="AX1291" s="24" t="inlineStr">
        <is>
          <t>statistical_model</t>
        </is>
      </c>
      <c r="AY1291" s="24" t="n"/>
      <c r="AZ1291" s="24" t="inlineStr">
        <is>
          <t>shadow_qualified</t>
        </is>
      </c>
      <c r="BA1291" s="24" t="inlineStr">
        <is>
          <t>7443acc419841200d57e1edf36b77f1940cdd0c48dce3d43fcd05498a109440b</t>
        </is>
      </c>
      <c r="BB1291" s="24" t="inlineStr">
        <is>
          <t>learned_v3</t>
        </is>
      </c>
      <c r="BC1291" s="24" t="inlineStr">
        <is>
          <t>tennis-learned-v3</t>
        </is>
      </c>
      <c r="BD1291" s="24" t="inlineStr">
        <is>
          <t>7443acc419841200d57e1edf36b77f1940cdd0c48dce3d43fcd05498a109440b</t>
        </is>
      </c>
      <c r="BE1291" s="24" t="inlineStr">
        <is>
          <t>tennis-learned-v3</t>
        </is>
      </c>
      <c r="BF1291" s="24" t="inlineStr">
        <is>
          <t>1</t>
        </is>
      </c>
      <c r="BG1291" s="24" t="inlineStr">
        <is>
          <t>7443acc419841200d57e1edf36b77f1940cdd0c48dce3d43fcd05498a109440b</t>
        </is>
      </c>
      <c r="BH1291" s="24" t="inlineStr">
        <is>
          <t>2026-10-12T05:00:14.647176Z</t>
        </is>
      </c>
      <c r="BI1291" s="24" t="inlineStr">
        <is>
          <t>["same_event","same_team_same_day","same_league_same_day"]</t>
        </is>
      </c>
      <c r="BJ1291" s="25" t="n"/>
      <c r="BK1291" s="26" t="n">
        <v>-156</v>
      </c>
      <c r="BL1291" s="27" t="n">
        <v>1.641026</v>
      </c>
      <c r="BM1291" s="28" t="n">
        <v>0.609375</v>
      </c>
      <c r="BN1291" s="28" t="n"/>
      <c r="BO1291" s="28" t="n"/>
      <c r="BP1291" s="25" t="n"/>
      <c r="BQ1291" s="27" t="n">
        <v>1.641026</v>
      </c>
      <c r="BR1291" s="28" t="n">
        <v>0.61</v>
      </c>
      <c r="BS1291" s="28" t="n"/>
      <c r="BT1291" s="28" t="n"/>
      <c r="BU1291" s="25" t="n"/>
      <c r="BV1291" s="29" t="n"/>
      <c r="BW1291" s="24" t="n"/>
      <c r="BX1291" s="30" t="n"/>
      <c r="BY1291" s="27" t="n"/>
      <c r="BZ1291" s="24" t="n"/>
      <c r="CA1291" s="31" t="n"/>
      <c r="CB1291" s="24" t="n"/>
      <c r="CC1291" s="24" t="n"/>
      <c r="CD1291" s="24" t="n"/>
      <c r="CE1291" s="24" t="n"/>
      <c r="CF1291" s="24" t="n"/>
      <c r="CG1291" s="24" t="n"/>
      <c r="CH1291" s="24" t="n"/>
      <c r="CI1291" s="24" t="n"/>
      <c r="CJ1291" s="24" t="n"/>
      <c r="CK1291" s="24" t="n"/>
      <c r="CL1291" s="24" t="n"/>
      <c r="CM1291" s="24" t="n"/>
      <c r="CN1291" s="24" t="n"/>
      <c r="CO1291" s="24" t="n"/>
      <c r="CP1291" s="24" t="n"/>
      <c r="CQ1291" s="24" t="n"/>
      <c r="CR1291" s="24" t="n"/>
      <c r="CS1291" s="24" t="inlineStr">
        <is>
          <t>False</t>
        </is>
      </c>
      <c r="CT1291" s="24" t="n"/>
      <c r="CU1291" s="24" t="n"/>
      <c r="CV1291" s="24" t="n"/>
      <c r="CW1291" s="24" t="n"/>
      <c r="CX1291" s="24" t="n"/>
      <c r="CY1291" s="24" t="n"/>
      <c r="CZ1291" s="24" t="n"/>
      <c r="DA1291" s="24" t="n"/>
      <c r="DB1291" s="24" t="n"/>
      <c r="DC1291" s="24" t="n"/>
      <c r="DD1291" s="24" t="inlineStr">
        <is>
          <t>6c162fec28199b3ff72217892e13a2f894ac1f4b793e061d6d0a9874f41e8d2e</t>
        </is>
      </c>
      <c r="DE1291" s="24" t="inlineStr">
        <is>
          <t>E:\model-prediction\data\odds\tennis\2026-10-12\polymarket_snapshots.jsonl</t>
        </is>
      </c>
      <c r="DF1291" s="24" t="inlineStr">
        <is>
          <t>1333567:2026-10-12T05:00:14.647176Z</t>
        </is>
      </c>
      <c r="DG1291" s="24" t="n"/>
      <c r="DH1291" s="24" t="n"/>
      <c r="DI1291" s="24" t="n"/>
      <c r="DJ1291" s="24" t="n"/>
      <c r="DK1291" s="24" t="n"/>
      <c r="DL1291" s="24" t="n"/>
      <c r="DM1291" s="24" t="n"/>
      <c r="DN1291" s="24" t="n"/>
      <c r="DO1291" s="24" t="n"/>
      <c r="DP1291" s="24" t="n"/>
      <c r="DQ1291" s="24" t="inlineStr">
        <is>
          <t>{"artifact_hash": "7443acc419841200d57e1edf36b77f1940cdd0c48dce3d43fcd05498a109440b", "away_team": "Donna Vekic", "event_id": "381-2026:185327", "event_start_utc": "2026-10-12T06:30Z", "features": {"elo_p1_surface": 1610.0, "elo_p2_surface": 1602.4, "expected_games_p1": 11.84, "expected_games_p2": 12.8, "expected_total_games": 24.63, "history_matches": 16708, "min_player_matches": 128, "surface": "Hard"}, "historical_source_observation_times_verified": false, "home_team": "Maria Sakkari", "inference_inputs": {"best_of": 3, "code_sha256": {"features/elo_ratings.py": "d6513e79d65448c06cc0f9b9eed0eaa091567835128e1f6647a310da8d78a872", "models/tennis.py": "7443acc419841200d57e1edf36b77f1940cdd0c48dce3d43fcd05498a109440b"}, "counts": [136, 128], "market_probability": null, "model_version": "tennis-learned-v3", "overall_ratings": [1633.1580333619243, 1685.3685744151153], "p_serve_a": 0.5782119644921034, "p_serve_b": 0.6017880355078965, "players": ["Donna Vekic", "Maria Sakkari"], "rest_days": [7.0, 6.0], "sport": "TENNIS", "surface": "Hard", "surface_counts": [108, 95], "surface_ratings": [1610.0289531986268, 1602.4159011294573], "tour": "WTA"}, "market_type": "moneyline", "model_version": "tennis-learned-v3", "observed_at_utc": "2026-10-12T05:38:23.706514+00:00", "probabilities": {"away": 0.4594, "home": 0.5406}, "replay_scope": "Exact full-precision serving state and rounding; upstream historical observation times are not certified.", "schema": "coded-moneyline-replay-v1", "snapshot_hash": "7b39974de9359d5087aa30405ee8b918c67119b3a522108b49e54f551ec4a87a", "sport": "TENNIS"}</t>
        </is>
      </c>
    </row>
    <row r="1292" ht="36" customHeight="1">
      <c r="A1292" s="24" t="inlineStr">
        <is>
          <t>26082f9cd0334877</t>
        </is>
      </c>
      <c r="B1292" s="24" t="inlineStr">
        <is>
          <t>2026-10-12T05:38:26.409279Z</t>
        </is>
      </c>
      <c r="C1292" s="24" t="inlineStr">
        <is>
          <t>2026-10-12T06:30Z</t>
        </is>
      </c>
      <c r="D1292" s="24" t="inlineStr">
        <is>
          <t>381-2026:185327</t>
        </is>
      </c>
      <c r="E1292" s="24" t="inlineStr">
        <is>
          <t>TENNIS</t>
        </is>
      </c>
      <c r="F1292" s="24" t="inlineStr">
        <is>
          <t>Donna Vekic</t>
        </is>
      </c>
      <c r="G1292" s="24" t="inlineStr">
        <is>
          <t>Maria Sakkari</t>
        </is>
      </c>
      <c r="H1292" s="24" t="inlineStr">
        <is>
          <t>spread</t>
        </is>
      </c>
      <c r="I1292" s="24" t="inlineStr">
        <is>
          <t>home</t>
        </is>
      </c>
      <c r="J1292" s="25" t="n">
        <v>-1.5</v>
      </c>
      <c r="K1292" s="24" t="inlineStr">
        <is>
          <t>polymarket_us</t>
        </is>
      </c>
      <c r="L1292" s="26" t="n">
        <v>-127</v>
      </c>
      <c r="M1292" s="27" t="n">
        <v>1.787402</v>
      </c>
      <c r="N1292" s="28" t="n">
        <v>0.5594710000000001</v>
      </c>
      <c r="O1292" s="28" t="n">
        <v>0.5322</v>
      </c>
      <c r="P1292" s="28" t="n">
        <v>0.05</v>
      </c>
      <c r="Q1292" s="28" t="n">
        <v>-0.027271</v>
      </c>
      <c r="R1292" s="26" t="n">
        <v>6</v>
      </c>
      <c r="S1292" s="29" t="n">
        <v>1</v>
      </c>
      <c r="T1292" s="24" t="inlineStr">
        <is>
          <t>tennis-learned-v3</t>
        </is>
      </c>
      <c r="U1292" s="24" t="inlineStr">
        <is>
          <t>settled</t>
        </is>
      </c>
      <c r="V1292" s="24" t="inlineStr">
        <is>
          <t>win</t>
        </is>
      </c>
      <c r="W1292" s="26" t="n">
        <v>6</v>
      </c>
      <c r="X1292" s="26" t="n">
        <v>12</v>
      </c>
      <c r="Y1292" s="25" t="n"/>
      <c r="Z1292" s="26" t="n"/>
      <c r="AA1292" s="28" t="n"/>
      <c r="AB1292" s="28" t="n"/>
      <c r="AC1292" s="30" t="n">
        <v>0.7874</v>
      </c>
      <c r="AD1292" s="24" t="inlineStr">
        <is>
          <t>2026-10-12T10:05:45.802768Z</t>
        </is>
      </c>
      <c r="AE1292" s="31" t="inlineStr">
        <is>
          <t>Tennis Markov game spread -1.5 games: home cover p=0.532. Executable ask 0.5600 (asc-wta-marsak-donvek-2026-10-11-gs-neg-1pt5).</t>
        </is>
      </c>
      <c r="AF1292" s="31" t="inlineStr">
        <is>
          <t>Surface-blended Elo model; singles only, WTA+ATP market coverage, not yet locked-holdout qualified -- promoted by explicit operator directive, not genuine walk-forward validation.</t>
        </is>
      </c>
      <c r="AG1292" s="24" t="inlineStr">
        <is>
          <t>not_applicable</t>
        </is>
      </c>
      <c r="AH1292" s="24" t="n"/>
      <c r="AI1292" s="31" t="n"/>
      <c r="AJ1292" s="31" t="n"/>
      <c r="AK1292" s="24" t="inlineStr">
        <is>
          <t>paper_call</t>
        </is>
      </c>
      <c r="AL1292" s="26" t="n">
        <v>4</v>
      </c>
      <c r="AM1292" s="24" t="inlineStr">
        <is>
          <t>RESEARCH_OBSERVATION</t>
        </is>
      </c>
      <c r="AN1292" s="24" t="inlineStr">
        <is>
          <t>CALL</t>
        </is>
      </c>
      <c r="AO1292" s="24" t="inlineStr">
        <is>
          <t>PAPER_CALL_LOW_EDGE</t>
        </is>
      </c>
      <c r="AP1292" s="24" t="inlineStr">
        <is>
          <t>Donna Vekic</t>
        </is>
      </c>
      <c r="AQ1292" s="24" t="inlineStr">
        <is>
          <t>Donna Vekic</t>
        </is>
      </c>
      <c r="AR1292" s="24" t="inlineStr">
        <is>
          <t>Donna Vekic</t>
        </is>
      </c>
      <c r="AS1292" s="24" t="inlineStr">
        <is>
          <t>Maria Sakkari</t>
        </is>
      </c>
      <c r="AT1292" s="24" t="inlineStr">
        <is>
          <t>Maria Sakkari</t>
        </is>
      </c>
      <c r="AU1292" s="24" t="inlineStr">
        <is>
          <t>Maria Sakkari</t>
        </is>
      </c>
      <c r="AV1292" s="24" t="n"/>
      <c r="AW1292" s="24" t="n"/>
      <c r="AX1292" s="24" t="inlineStr">
        <is>
          <t>statistical_model</t>
        </is>
      </c>
      <c r="AY1292" s="24" t="n"/>
      <c r="AZ1292" s="24" t="inlineStr">
        <is>
          <t>shadow_qualified</t>
        </is>
      </c>
      <c r="BA1292" s="24" t="inlineStr">
        <is>
          <t>7443acc419841200d57e1edf36b77f1940cdd0c48dce3d43fcd05498a109440b</t>
        </is>
      </c>
      <c r="BB1292" s="24" t="inlineStr">
        <is>
          <t>learned_v3</t>
        </is>
      </c>
      <c r="BC1292" s="24" t="inlineStr">
        <is>
          <t>tennis-learned-v3</t>
        </is>
      </c>
      <c r="BD1292" s="24" t="inlineStr">
        <is>
          <t>7443acc419841200d57e1edf36b77f1940cdd0c48dce3d43fcd05498a109440b</t>
        </is>
      </c>
      <c r="BE1292" s="24" t="inlineStr">
        <is>
          <t>tennis-learned-v3</t>
        </is>
      </c>
      <c r="BF1292" s="24" t="inlineStr">
        <is>
          <t>1</t>
        </is>
      </c>
      <c r="BG1292" s="24" t="inlineStr">
        <is>
          <t>7443acc419841200d57e1edf36b77f1940cdd0c48dce3d43fcd05498a109440b</t>
        </is>
      </c>
      <c r="BH1292" s="24" t="inlineStr">
        <is>
          <t>2026-10-12T05:00:03.543972Z</t>
        </is>
      </c>
      <c r="BI1292" s="24" t="inlineStr">
        <is>
          <t>["same_event","same_team_same_day","same_league_same_day"]</t>
        </is>
      </c>
      <c r="BJ1292" s="25" t="n">
        <v>-1.5</v>
      </c>
      <c r="BK1292" s="26" t="n">
        <v>-127</v>
      </c>
      <c r="BL1292" s="27" t="n">
        <v>1.787402</v>
      </c>
      <c r="BM1292" s="28" t="n">
        <v>0.5594710000000001</v>
      </c>
      <c r="BN1292" s="28" t="n"/>
      <c r="BO1292" s="28" t="n"/>
      <c r="BP1292" s="25" t="n"/>
      <c r="BQ1292" s="27" t="n"/>
      <c r="BR1292" s="28" t="n"/>
      <c r="BS1292" s="28" t="n"/>
      <c r="BT1292" s="28" t="n"/>
      <c r="BU1292" s="25" t="n"/>
      <c r="BV1292" s="29" t="n"/>
      <c r="BW1292" s="24" t="n"/>
      <c r="BX1292" s="30" t="n"/>
      <c r="BY1292" s="27" t="n"/>
      <c r="BZ1292" s="24" t="n"/>
      <c r="CA1292" s="31" t="n"/>
      <c r="CB1292" s="24" t="n"/>
      <c r="CC1292" s="24" t="n"/>
      <c r="CD1292" s="24" t="n"/>
      <c r="CE1292" s="24" t="n"/>
      <c r="CF1292" s="24" t="n"/>
      <c r="CG1292" s="24" t="n"/>
      <c r="CH1292" s="24" t="n"/>
      <c r="CI1292" s="24" t="n"/>
      <c r="CJ1292" s="24" t="n"/>
      <c r="CK1292" s="24" t="n"/>
      <c r="CL1292" s="24" t="n"/>
      <c r="CM1292" s="24" t="n"/>
      <c r="CN1292" s="24" t="n"/>
      <c r="CO1292" s="24" t="n"/>
      <c r="CP1292" s="24" t="n"/>
      <c r="CQ1292" s="24" t="n"/>
      <c r="CR1292" s="24" t="n"/>
      <c r="CS1292" s="24" t="inlineStr">
        <is>
          <t>False</t>
        </is>
      </c>
      <c r="CT1292" s="24" t="n"/>
      <c r="CU1292" s="24" t="n"/>
      <c r="CV1292" s="24" t="n"/>
      <c r="CW1292" s="24" t="n"/>
      <c r="CX1292" s="24" t="n"/>
      <c r="CY1292" s="24" t="n"/>
      <c r="CZ1292" s="24" t="n"/>
      <c r="DA1292" s="24" t="n"/>
      <c r="DB1292" s="24" t="n"/>
      <c r="DC1292" s="24" t="n"/>
      <c r="DD1292" s="24" t="inlineStr">
        <is>
          <t>6ad400838437129c99e5dbd6f1349da50f1887563fc0609f8da44af8606bccc1</t>
        </is>
      </c>
      <c r="DE1292" s="24" t="inlineStr">
        <is>
          <t>E:\model-prediction\data\odds\tennis\2026-10-12\polymarket_snapshots.jsonl</t>
        </is>
      </c>
      <c r="DF1292" s="24" t="inlineStr">
        <is>
          <t>1353863:2026-10-12T05:00:03.543972Z</t>
        </is>
      </c>
      <c r="DG1292" s="24" t="n"/>
      <c r="DH1292" s="24" t="n"/>
      <c r="DI1292" s="24" t="n"/>
      <c r="DJ1292" s="24" t="n"/>
      <c r="DK1292" s="24" t="n"/>
      <c r="DL1292" s="24" t="n"/>
      <c r="DM1292" s="24" t="n"/>
      <c r="DN1292" s="24" t="n"/>
      <c r="DO1292" s="24" t="n"/>
      <c r="DP1292" s="24" t="n"/>
      <c r="DQ1292" s="24" t="n"/>
    </row>
    <row r="1293" ht="36" customHeight="1">
      <c r="A1293" s="24" t="inlineStr">
        <is>
          <t>997c8bc363b74063</t>
        </is>
      </c>
      <c r="B1293" s="24" t="inlineStr">
        <is>
          <t>2026-10-12T05:38:26.409279Z</t>
        </is>
      </c>
      <c r="C1293" s="24" t="inlineStr">
        <is>
          <t>2026-10-12T06:30Z</t>
        </is>
      </c>
      <c r="D1293" s="24" t="inlineStr">
        <is>
          <t>381-2026:185327</t>
        </is>
      </c>
      <c r="E1293" s="24" t="inlineStr">
        <is>
          <t>TENNIS</t>
        </is>
      </c>
      <c r="F1293" s="24" t="inlineStr">
        <is>
          <t>Donna Vekic</t>
        </is>
      </c>
      <c r="G1293" s="24" t="inlineStr">
        <is>
          <t>Maria Sakkari</t>
        </is>
      </c>
      <c r="H1293" s="24" t="inlineStr">
        <is>
          <t>total</t>
        </is>
      </c>
      <c r="I1293" s="24" t="inlineStr">
        <is>
          <t>over</t>
        </is>
      </c>
      <c r="J1293" s="25" t="n">
        <v>22.5</v>
      </c>
      <c r="K1293" s="24" t="inlineStr">
        <is>
          <t>polymarket_us</t>
        </is>
      </c>
      <c r="L1293" s="26" t="n">
        <v>122</v>
      </c>
      <c r="M1293" s="27" t="n">
        <v>2.22</v>
      </c>
      <c r="N1293" s="28" t="n">
        <v>0.45045</v>
      </c>
      <c r="O1293" s="28" t="n">
        <v>0.5657</v>
      </c>
      <c r="P1293" s="28" t="n">
        <v>0.05</v>
      </c>
      <c r="Q1293" s="28" t="n">
        <v>0.11525</v>
      </c>
      <c r="R1293" s="26" t="n">
        <v>78</v>
      </c>
      <c r="S1293" s="29" t="n">
        <v>1.5</v>
      </c>
      <c r="T1293" s="24" t="inlineStr">
        <is>
          <t>tennis-learned-v3</t>
        </is>
      </c>
      <c r="U1293" s="24" t="inlineStr">
        <is>
          <t>settled</t>
        </is>
      </c>
      <c r="V1293" s="24" t="inlineStr">
        <is>
          <t>loss</t>
        </is>
      </c>
      <c r="W1293" s="26" t="n">
        <v>6</v>
      </c>
      <c r="X1293" s="26" t="n">
        <v>12</v>
      </c>
      <c r="Y1293" s="25" t="n"/>
      <c r="Z1293" s="26" t="n"/>
      <c r="AA1293" s="28" t="n"/>
      <c r="AB1293" s="28" t="n"/>
      <c r="AC1293" s="30" t="n">
        <v>-1.5</v>
      </c>
      <c r="AD1293" s="24" t="inlineStr">
        <is>
          <t>2026-10-12T10:05:51.245638Z</t>
        </is>
      </c>
      <c r="AE1293" s="31" t="inlineStr">
        <is>
          <t>Tennis Markov total games line 22.5: over p=0.566. Executable ask 0.4500 (tsc-wta-marsak-donvek-2026-10-11-tg-22pt5).</t>
        </is>
      </c>
      <c r="AF1293" s="31" t="inlineStr">
        <is>
          <t>Surface-blended Elo model; singles only, WTA+ATP market coverage, not yet locked-holdout qualified -- promoted by explicit operator directive, not genuine walk-forward validation.</t>
        </is>
      </c>
      <c r="AG1293" s="24" t="inlineStr">
        <is>
          <t>review_required</t>
        </is>
      </c>
      <c r="AH1293" s="24" t="n"/>
      <c r="AI1293" s="31" t="n"/>
      <c r="AJ1293" s="31" t="n"/>
      <c r="AK1293" s="24" t="inlineStr">
        <is>
          <t>model_qualified</t>
        </is>
      </c>
      <c r="AL1293" s="26" t="n">
        <v>4</v>
      </c>
      <c r="AM1293" s="24" t="inlineStr">
        <is>
          <t>QUALIFIED_SHADOW_CALL</t>
        </is>
      </c>
      <c r="AN1293" s="24" t="inlineStr">
        <is>
          <t>CALL</t>
        </is>
      </c>
      <c r="AO1293" s="24" t="inlineStr">
        <is>
          <t>QUALIFIED</t>
        </is>
      </c>
      <c r="AP1293" s="24" t="inlineStr">
        <is>
          <t>Donna Vekic</t>
        </is>
      </c>
      <c r="AQ1293" s="24" t="inlineStr">
        <is>
          <t>Donna Vekic</t>
        </is>
      </c>
      <c r="AR1293" s="24" t="inlineStr">
        <is>
          <t>Donna Vekic</t>
        </is>
      </c>
      <c r="AS1293" s="24" t="inlineStr">
        <is>
          <t>Maria Sakkari</t>
        </is>
      </c>
      <c r="AT1293" s="24" t="inlineStr">
        <is>
          <t>Maria Sakkari</t>
        </is>
      </c>
      <c r="AU1293" s="24" t="inlineStr">
        <is>
          <t>Maria Sakkari</t>
        </is>
      </c>
      <c r="AV1293" s="24" t="n"/>
      <c r="AW1293" s="24" t="n"/>
      <c r="AX1293" s="24" t="inlineStr">
        <is>
          <t>statistical_model</t>
        </is>
      </c>
      <c r="AY1293" s="24" t="n"/>
      <c r="AZ1293" s="24" t="inlineStr">
        <is>
          <t>shadow_qualified</t>
        </is>
      </c>
      <c r="BA1293" s="24" t="inlineStr">
        <is>
          <t>7443acc419841200d57e1edf36b77f1940cdd0c48dce3d43fcd05498a109440b</t>
        </is>
      </c>
      <c r="BB1293" s="24" t="inlineStr">
        <is>
          <t>learned_v3</t>
        </is>
      </c>
      <c r="BC1293" s="24" t="inlineStr">
        <is>
          <t>tennis-learned-v3</t>
        </is>
      </c>
      <c r="BD1293" s="24" t="inlineStr">
        <is>
          <t>7443acc419841200d57e1edf36b77f1940cdd0c48dce3d43fcd05498a109440b</t>
        </is>
      </c>
      <c r="BE1293" s="24" t="inlineStr">
        <is>
          <t>tennis-learned-v3</t>
        </is>
      </c>
      <c r="BF1293" s="24" t="inlineStr">
        <is>
          <t>1</t>
        </is>
      </c>
      <c r="BG1293" s="24" t="inlineStr">
        <is>
          <t>7443acc419841200d57e1edf36b77f1940cdd0c48dce3d43fcd05498a109440b</t>
        </is>
      </c>
      <c r="BH1293" s="24" t="inlineStr">
        <is>
          <t>2026-10-12T05:00:25.712341Z</t>
        </is>
      </c>
      <c r="BI1293" s="24" t="inlineStr">
        <is>
          <t>["same_event","same_team_same_day","same_league_same_day"]</t>
        </is>
      </c>
      <c r="BJ1293" s="25" t="n">
        <v>22.5</v>
      </c>
      <c r="BK1293" s="26" t="n">
        <v>122</v>
      </c>
      <c r="BL1293" s="27" t="n">
        <v>2.22</v>
      </c>
      <c r="BM1293" s="28" t="n">
        <v>0.45045</v>
      </c>
      <c r="BN1293" s="28" t="n"/>
      <c r="BO1293" s="28" t="n"/>
      <c r="BP1293" s="25" t="n"/>
      <c r="BQ1293" s="27" t="n"/>
      <c r="BR1293" s="28" t="n"/>
      <c r="BS1293" s="28" t="n"/>
      <c r="BT1293" s="28" t="n"/>
      <c r="BU1293" s="25" t="n"/>
      <c r="BV1293" s="29" t="n"/>
      <c r="BW1293" s="24" t="n"/>
      <c r="BX1293" s="30" t="n"/>
      <c r="BY1293" s="27" t="n"/>
      <c r="BZ1293" s="24" t="n"/>
      <c r="CA1293" s="31" t="n"/>
      <c r="CB1293" s="24" t="n"/>
      <c r="CC1293" s="24" t="n"/>
      <c r="CD1293" s="24" t="n"/>
      <c r="CE1293" s="24" t="n"/>
      <c r="CF1293" s="24" t="n"/>
      <c r="CG1293" s="24" t="n"/>
      <c r="CH1293" s="24" t="n"/>
      <c r="CI1293" s="24" t="n"/>
      <c r="CJ1293" s="24" t="n"/>
      <c r="CK1293" s="24" t="n"/>
      <c r="CL1293" s="24" t="n"/>
      <c r="CM1293" s="24" t="n"/>
      <c r="CN1293" s="24" t="n"/>
      <c r="CO1293" s="24" t="n"/>
      <c r="CP1293" s="24" t="n"/>
      <c r="CQ1293" s="24" t="n"/>
      <c r="CR1293" s="24" t="n"/>
      <c r="CS1293" s="24" t="inlineStr">
        <is>
          <t>True</t>
        </is>
      </c>
      <c r="CT1293" s="24" t="n"/>
      <c r="CU1293" s="24" t="n"/>
      <c r="CV1293" s="24" t="n"/>
      <c r="CW1293" s="24" t="n"/>
      <c r="CX1293" s="24" t="n"/>
      <c r="CY1293" s="24" t="n"/>
      <c r="CZ1293" s="24" t="n"/>
      <c r="DA1293" s="24" t="n"/>
      <c r="DB1293" s="24" t="n"/>
      <c r="DC1293" s="24" t="n"/>
      <c r="DD1293" s="24" t="inlineStr">
        <is>
          <t>6b34d92c5d95654807f48100c8dfab0238213f3a694201799c3bec351991ec31</t>
        </is>
      </c>
      <c r="DE1293" s="24" t="inlineStr">
        <is>
          <t>E:\model-prediction\data\odds\tennis\2026-10-12\polymarket_snapshots.jsonl</t>
        </is>
      </c>
      <c r="DF1293" s="24" t="inlineStr">
        <is>
          <t>1353834:2026-10-12T05:00:25.712341Z</t>
        </is>
      </c>
      <c r="DG1293" s="24" t="n"/>
      <c r="DH1293" s="24" t="n"/>
      <c r="DI1293" s="24" t="n"/>
      <c r="DJ1293" s="24" t="n"/>
      <c r="DK1293" s="24" t="n"/>
      <c r="DL1293" s="24" t="n"/>
      <c r="DM1293" s="24" t="n"/>
      <c r="DN1293" s="24" t="n"/>
      <c r="DO1293" s="24" t="n"/>
      <c r="DP1293" s="24" t="n"/>
      <c r="DQ1293" s="24" t="n"/>
    </row>
    <row r="1294" ht="36" customHeight="1">
      <c r="A1294" s="24" t="inlineStr">
        <is>
          <t>da4184d126494a15</t>
        </is>
      </c>
      <c r="B1294" s="24" t="inlineStr">
        <is>
          <t>2026-10-12T05:38:26.409279Z</t>
        </is>
      </c>
      <c r="C1294" s="24" t="inlineStr">
        <is>
          <t>2026-10-12T07:30Z</t>
        </is>
      </c>
      <c r="D1294" s="24" t="inlineStr">
        <is>
          <t>381-2026:185318</t>
        </is>
      </c>
      <c r="E1294" s="24" t="inlineStr">
        <is>
          <t>TENNIS</t>
        </is>
      </c>
      <c r="F1294" s="24" t="inlineStr">
        <is>
          <t>Yuliia Starodubtseva</t>
        </is>
      </c>
      <c r="G1294" s="24" t="inlineStr">
        <is>
          <t>Catherine McNally</t>
        </is>
      </c>
      <c r="H1294" s="24" t="inlineStr">
        <is>
          <t>total</t>
        </is>
      </c>
      <c r="I1294" s="24" t="inlineStr">
        <is>
          <t>over</t>
        </is>
      </c>
      <c r="J1294" s="25" t="n">
        <v>22.5</v>
      </c>
      <c r="K1294" s="24" t="inlineStr">
        <is>
          <t>polymarket_us</t>
        </is>
      </c>
      <c r="L1294" s="26" t="n">
        <v>133</v>
      </c>
      <c r="M1294" s="27" t="n">
        <v>2.33</v>
      </c>
      <c r="N1294" s="28" t="n">
        <v>0.429185</v>
      </c>
      <c r="O1294" s="28" t="n">
        <v>0.5694</v>
      </c>
      <c r="P1294" s="28" t="n">
        <v>0.05</v>
      </c>
      <c r="Q1294" s="28" t="n">
        <v>0.140215</v>
      </c>
      <c r="R1294" s="26" t="n">
        <v>90</v>
      </c>
      <c r="S1294" s="29" t="n">
        <v>1.5</v>
      </c>
      <c r="T1294" s="24" t="inlineStr">
        <is>
          <t>tennis-learned-v3</t>
        </is>
      </c>
      <c r="U1294" s="24" t="inlineStr">
        <is>
          <t>settled</t>
        </is>
      </c>
      <c r="V1294" s="24" t="inlineStr">
        <is>
          <t>win</t>
        </is>
      </c>
      <c r="W1294" s="26" t="n">
        <v>16</v>
      </c>
      <c r="X1294" s="26" t="n">
        <v>15</v>
      </c>
      <c r="Y1294" s="25" t="n"/>
      <c r="Z1294" s="26" t="n"/>
      <c r="AA1294" s="28" t="n"/>
      <c r="AB1294" s="28" t="n"/>
      <c r="AC1294" s="30" t="n">
        <v>1.995</v>
      </c>
      <c r="AD1294" s="24" t="inlineStr">
        <is>
          <t>2026-10-12T16:06:24.054713Z</t>
        </is>
      </c>
      <c r="AE1294" s="31" t="inlineStr">
        <is>
          <t>Tennis Markov total games line 22.5: over p=0.569. Executable ask 0.4300 (tsc-wta-catmcn-yulsta-2026-10-11-tg-22pt5).</t>
        </is>
      </c>
      <c r="AF1294" s="31" t="inlineStr">
        <is>
          <t>Surface-blended Elo model; singles only, WTA+ATP market coverage, not yet locked-holdout qualified -- promoted by explicit operator directive, not genuine walk-forward validation.</t>
        </is>
      </c>
      <c r="AG1294" s="24" t="inlineStr">
        <is>
          <t>not_applicable</t>
        </is>
      </c>
      <c r="AH1294" s="24" t="n"/>
      <c r="AI1294" s="31" t="n"/>
      <c r="AJ1294" s="31" t="n"/>
      <c r="AK1294" s="24" t="inlineStr">
        <is>
          <t>model_qualified</t>
        </is>
      </c>
      <c r="AL1294" s="26" t="n">
        <v>4</v>
      </c>
      <c r="AM1294" s="24" t="inlineStr">
        <is>
          <t>QUALIFIED_SHADOW_CALL</t>
        </is>
      </c>
      <c r="AN1294" s="24" t="inlineStr">
        <is>
          <t>CALL</t>
        </is>
      </c>
      <c r="AO1294" s="24" t="inlineStr">
        <is>
          <t>QUALIFIED</t>
        </is>
      </c>
      <c r="AP1294" s="24" t="inlineStr">
        <is>
          <t>Yuliia Starodubtseva</t>
        </is>
      </c>
      <c r="AQ1294" s="24" t="inlineStr">
        <is>
          <t>Yuliia Starodubtseva</t>
        </is>
      </c>
      <c r="AR1294" s="24" t="inlineStr">
        <is>
          <t>Yuliia Starodubtseva</t>
        </is>
      </c>
      <c r="AS1294" s="24" t="inlineStr">
        <is>
          <t>Catherine McNally</t>
        </is>
      </c>
      <c r="AT1294" s="24" t="inlineStr">
        <is>
          <t>Catherine McNally</t>
        </is>
      </c>
      <c r="AU1294" s="24" t="inlineStr">
        <is>
          <t>Catherine McNally</t>
        </is>
      </c>
      <c r="AV1294" s="24" t="n"/>
      <c r="AW1294" s="24" t="n"/>
      <c r="AX1294" s="24" t="inlineStr">
        <is>
          <t>statistical_model</t>
        </is>
      </c>
      <c r="AY1294" s="24" t="n"/>
      <c r="AZ1294" s="24" t="inlineStr">
        <is>
          <t>shadow_qualified</t>
        </is>
      </c>
      <c r="BA1294" s="24" t="inlineStr">
        <is>
          <t>7443acc419841200d57e1edf36b77f1940cdd0c48dce3d43fcd05498a109440b</t>
        </is>
      </c>
      <c r="BB1294" s="24" t="inlineStr">
        <is>
          <t>learned_v3</t>
        </is>
      </c>
      <c r="BC1294" s="24" t="inlineStr">
        <is>
          <t>tennis-learned-v3</t>
        </is>
      </c>
      <c r="BD1294" s="24" t="inlineStr">
        <is>
          <t>7443acc419841200d57e1edf36b77f1940cdd0c48dce3d43fcd05498a109440b</t>
        </is>
      </c>
      <c r="BE1294" s="24" t="inlineStr">
        <is>
          <t>tennis-learned-v3</t>
        </is>
      </c>
      <c r="BF1294" s="24" t="inlineStr">
        <is>
          <t>1</t>
        </is>
      </c>
      <c r="BG1294" s="24" t="inlineStr">
        <is>
          <t>7443acc419841200d57e1edf36b77f1940cdd0c48dce3d43fcd05498a109440b</t>
        </is>
      </c>
      <c r="BH1294" s="24" t="inlineStr">
        <is>
          <t>2026-10-12T05:00:15.586726Z</t>
        </is>
      </c>
      <c r="BI1294" s="24" t="inlineStr">
        <is>
          <t>["same_event","same_team_same_day","same_league_same_day"]</t>
        </is>
      </c>
      <c r="BJ1294" s="25" t="n">
        <v>22.5</v>
      </c>
      <c r="BK1294" s="26" t="n">
        <v>133</v>
      </c>
      <c r="BL1294" s="27" t="n">
        <v>2.33</v>
      </c>
      <c r="BM1294" s="28" t="n">
        <v>0.429185</v>
      </c>
      <c r="BN1294" s="28" t="n"/>
      <c r="BO1294" s="28" t="n"/>
      <c r="BP1294" s="25" t="n"/>
      <c r="BQ1294" s="27" t="n"/>
      <c r="BR1294" s="28" t="n"/>
      <c r="BS1294" s="28" t="n"/>
      <c r="BT1294" s="28" t="n"/>
      <c r="BU1294" s="25" t="n"/>
      <c r="BV1294" s="29" t="n"/>
      <c r="BW1294" s="24" t="n"/>
      <c r="BX1294" s="30" t="n"/>
      <c r="BY1294" s="27" t="n"/>
      <c r="BZ1294" s="24" t="n"/>
      <c r="CA1294" s="31" t="n"/>
      <c r="CB1294" s="24" t="n"/>
      <c r="CC1294" s="24" t="n"/>
      <c r="CD1294" s="24" t="n"/>
      <c r="CE1294" s="24" t="n"/>
      <c r="CF1294" s="24" t="n"/>
      <c r="CG1294" s="24" t="n"/>
      <c r="CH1294" s="24" t="n"/>
      <c r="CI1294" s="24" t="n"/>
      <c r="CJ1294" s="24" t="n"/>
      <c r="CK1294" s="24" t="n"/>
      <c r="CL1294" s="24" t="n"/>
      <c r="CM1294" s="24" t="n"/>
      <c r="CN1294" s="24" t="n"/>
      <c r="CO1294" s="24" t="n"/>
      <c r="CP1294" s="24" t="n"/>
      <c r="CQ1294" s="24" t="n"/>
      <c r="CR1294" s="24" t="n"/>
      <c r="CS1294" s="24" t="inlineStr">
        <is>
          <t>True</t>
        </is>
      </c>
      <c r="CT1294" s="24" t="n"/>
      <c r="CU1294" s="24" t="n"/>
      <c r="CV1294" s="24" t="n"/>
      <c r="CW1294" s="24" t="n"/>
      <c r="CX1294" s="24" t="n"/>
      <c r="CY1294" s="24" t="n"/>
      <c r="CZ1294" s="24" t="n"/>
      <c r="DA1294" s="24" t="n"/>
      <c r="DB1294" s="24" t="n"/>
      <c r="DC1294" s="24" t="n"/>
      <c r="DD1294" s="24" t="inlineStr">
        <is>
          <t>9be3fbef579544747ba0eb49ac97ad38b2f5121aa9c13510aeeb391389bfcd07</t>
        </is>
      </c>
      <c r="DE1294" s="24" t="inlineStr">
        <is>
          <t>E:\model-prediction\data\odds\tennis\2026-10-12\polymarket_snapshots.jsonl</t>
        </is>
      </c>
      <c r="DF1294" s="24" t="inlineStr">
        <is>
          <t>1365297:2026-10-12T05:00:15.586726Z</t>
        </is>
      </c>
      <c r="DG1294" s="24" t="n"/>
      <c r="DH1294" s="24" t="n"/>
      <c r="DI1294" s="24" t="n"/>
      <c r="DJ1294" s="24" t="n"/>
      <c r="DK1294" s="24" t="n"/>
      <c r="DL1294" s="24" t="n"/>
      <c r="DM1294" s="24" t="n"/>
      <c r="DN1294" s="24" t="n"/>
      <c r="DO1294" s="24" t="n"/>
      <c r="DP1294" s="24" t="n"/>
      <c r="DQ1294" s="24" t="n"/>
    </row>
    <row r="1295" ht="36" customHeight="1">
      <c r="A1295" s="24" t="inlineStr">
        <is>
          <t>e3b7ec66dc284d11</t>
        </is>
      </c>
      <c r="B1295" s="24" t="inlineStr">
        <is>
          <t>2026-10-12T05:38:26.409279Z</t>
        </is>
      </c>
      <c r="C1295" s="24" t="inlineStr">
        <is>
          <t>2026-10-12T09:30Z</t>
        </is>
      </c>
      <c r="D1295" s="24" t="inlineStr">
        <is>
          <t>1020-2026:185495</t>
        </is>
      </c>
      <c r="E1295" s="24" t="inlineStr">
        <is>
          <t>TENNIS</t>
        </is>
      </c>
      <c r="F1295" s="24" t="inlineStr">
        <is>
          <t>Francesca Curmi</t>
        </is>
      </c>
      <c r="G1295" s="24" t="inlineStr">
        <is>
          <t>Eva Vedder</t>
        </is>
      </c>
      <c r="H1295" s="24" t="inlineStr">
        <is>
          <t>spread</t>
        </is>
      </c>
      <c r="I1295" s="24" t="inlineStr">
        <is>
          <t>home</t>
        </is>
      </c>
      <c r="J1295" s="25" t="n">
        <v>4.5</v>
      </c>
      <c r="K1295" s="24" t="inlineStr">
        <is>
          <t>polymarket_us</t>
        </is>
      </c>
      <c r="L1295" s="26" t="n">
        <v>-270</v>
      </c>
      <c r="M1295" s="27" t="n">
        <v>1.37037</v>
      </c>
      <c r="N1295" s="28" t="n">
        <v>0.72973</v>
      </c>
      <c r="O1295" s="28" t="n">
        <v>0.6235000000000001</v>
      </c>
      <c r="P1295" s="28" t="n">
        <v>0.05</v>
      </c>
      <c r="Q1295" s="28" t="n">
        <v>-0.10623</v>
      </c>
      <c r="R1295" s="26" t="n">
        <v>0</v>
      </c>
      <c r="S1295" s="29" t="n">
        <v>1</v>
      </c>
      <c r="T1295" s="24" t="inlineStr">
        <is>
          <t>tennis-learned-v3</t>
        </is>
      </c>
      <c r="U1295" s="24" t="inlineStr">
        <is>
          <t>settled</t>
        </is>
      </c>
      <c r="V1295" s="24" t="inlineStr">
        <is>
          <t>loss</t>
        </is>
      </c>
      <c r="W1295" s="26" t="n">
        <v>17</v>
      </c>
      <c r="X1295" s="26" t="n">
        <v>11</v>
      </c>
      <c r="Y1295" s="25" t="n"/>
      <c r="Z1295" s="26" t="n"/>
      <c r="AA1295" s="28" t="n"/>
      <c r="AB1295" s="28" t="n"/>
      <c r="AC1295" s="30" t="n">
        <v>-1</v>
      </c>
      <c r="AD1295" s="24" t="inlineStr">
        <is>
          <t>2026-10-12T16:06:37.471756Z</t>
        </is>
      </c>
      <c r="AE1295" s="31" t="inlineStr">
        <is>
          <t>Tennis Markov game spread +4.5 games: home cover p=0.624. Executable ask 0.7300 (asc-wta-evaved-fracur-2026-10-12-gs-pos-4pt5).</t>
        </is>
      </c>
      <c r="AF1295" s="31" t="inlineStr">
        <is>
          <t>Surface-blended Elo model; singles only, WTA+ATP market coverage, not yet locked-holdout qualified -- promoted by explicit operator directive, not genuine walk-forward validation.</t>
        </is>
      </c>
      <c r="AG1295" s="24" t="inlineStr">
        <is>
          <t>review_required</t>
        </is>
      </c>
      <c r="AH1295" s="24" t="n"/>
      <c r="AI1295" s="31" t="n"/>
      <c r="AJ1295" s="31" t="n"/>
      <c r="AK1295" s="24" t="inlineStr">
        <is>
          <t>paper_call</t>
        </is>
      </c>
      <c r="AL1295" s="26" t="n">
        <v>4</v>
      </c>
      <c r="AM1295" s="24" t="inlineStr">
        <is>
          <t>RESEARCH_OBSERVATION</t>
        </is>
      </c>
      <c r="AN1295" s="24" t="inlineStr">
        <is>
          <t>CALL</t>
        </is>
      </c>
      <c r="AO1295" s="24" t="inlineStr">
        <is>
          <t>PAPER_CALL_LOW_EDGE</t>
        </is>
      </c>
      <c r="AP1295" s="24" t="inlineStr">
        <is>
          <t>Francesca Curmi</t>
        </is>
      </c>
      <c r="AQ1295" s="24" t="inlineStr">
        <is>
          <t>Francesca Curmi</t>
        </is>
      </c>
      <c r="AR1295" s="24" t="inlineStr">
        <is>
          <t>Francesca Curmi</t>
        </is>
      </c>
      <c r="AS1295" s="24" t="inlineStr">
        <is>
          <t>Eva Vedder</t>
        </is>
      </c>
      <c r="AT1295" s="24" t="inlineStr">
        <is>
          <t>Eva Vedder</t>
        </is>
      </c>
      <c r="AU1295" s="24" t="inlineStr">
        <is>
          <t>Eva Vedder</t>
        </is>
      </c>
      <c r="AV1295" s="24" t="n"/>
      <c r="AW1295" s="24" t="n"/>
      <c r="AX1295" s="24" t="inlineStr">
        <is>
          <t>statistical_model</t>
        </is>
      </c>
      <c r="AY1295" s="24" t="n"/>
      <c r="AZ1295" s="24" t="inlineStr">
        <is>
          <t>shadow_qualified</t>
        </is>
      </c>
      <c r="BA1295" s="24" t="inlineStr">
        <is>
          <t>7443acc419841200d57e1edf36b77f1940cdd0c48dce3d43fcd05498a109440b</t>
        </is>
      </c>
      <c r="BB1295" s="24" t="inlineStr">
        <is>
          <t>learned_v3</t>
        </is>
      </c>
      <c r="BC1295" s="24" t="inlineStr">
        <is>
          <t>tennis-learned-v3</t>
        </is>
      </c>
      <c r="BD1295" s="24" t="inlineStr">
        <is>
          <t>7443acc419841200d57e1edf36b77f1940cdd0c48dce3d43fcd05498a109440b</t>
        </is>
      </c>
      <c r="BE1295" s="24" t="inlineStr">
        <is>
          <t>tennis-learned-v3</t>
        </is>
      </c>
      <c r="BF1295" s="24" t="inlineStr">
        <is>
          <t>1</t>
        </is>
      </c>
      <c r="BG1295" s="24" t="inlineStr">
        <is>
          <t>7443acc419841200d57e1edf36b77f1940cdd0c48dce3d43fcd05498a109440b</t>
        </is>
      </c>
      <c r="BH1295" s="24" t="inlineStr">
        <is>
          <t>2026-10-12T05:00:15.552244Z</t>
        </is>
      </c>
      <c r="BI1295" s="24" t="inlineStr">
        <is>
          <t>["same_event","same_team_same_day","same_league_same_day"]</t>
        </is>
      </c>
      <c r="BJ1295" s="25" t="n">
        <v>4.5</v>
      </c>
      <c r="BK1295" s="26" t="n">
        <v>-270</v>
      </c>
      <c r="BL1295" s="27" t="n">
        <v>1.37037</v>
      </c>
      <c r="BM1295" s="28" t="n">
        <v>0.72973</v>
      </c>
      <c r="BN1295" s="28" t="n"/>
      <c r="BO1295" s="28" t="n"/>
      <c r="BP1295" s="25" t="n"/>
      <c r="BQ1295" s="27" t="n"/>
      <c r="BR1295" s="28" t="n"/>
      <c r="BS1295" s="28" t="n"/>
      <c r="BT1295" s="28" t="n"/>
      <c r="BU1295" s="25" t="n"/>
      <c r="BV1295" s="29" t="n"/>
      <c r="BW1295" s="24" t="n"/>
      <c r="BX1295" s="30" t="n"/>
      <c r="BY1295" s="27" t="n"/>
      <c r="BZ1295" s="24" t="n"/>
      <c r="CA1295" s="31" t="n"/>
      <c r="CB1295" s="24" t="n"/>
      <c r="CC1295" s="24" t="n"/>
      <c r="CD1295" s="24" t="n"/>
      <c r="CE1295" s="24" t="n"/>
      <c r="CF1295" s="24" t="n"/>
      <c r="CG1295" s="24" t="n"/>
      <c r="CH1295" s="24" t="n"/>
      <c r="CI1295" s="24" t="n"/>
      <c r="CJ1295" s="24" t="n"/>
      <c r="CK1295" s="24" t="n"/>
      <c r="CL1295" s="24" t="n"/>
      <c r="CM1295" s="24" t="n"/>
      <c r="CN1295" s="24" t="n"/>
      <c r="CO1295" s="24" t="n"/>
      <c r="CP1295" s="24" t="n"/>
      <c r="CQ1295" s="24" t="n"/>
      <c r="CR1295" s="24" t="n"/>
      <c r="CS1295" s="24" t="inlineStr">
        <is>
          <t>False</t>
        </is>
      </c>
      <c r="CT1295" s="24" t="n"/>
      <c r="CU1295" s="24" t="n"/>
      <c r="CV1295" s="24" t="n"/>
      <c r="CW1295" s="24" t="n"/>
      <c r="CX1295" s="24" t="n"/>
      <c r="CY1295" s="24" t="n"/>
      <c r="CZ1295" s="24" t="n"/>
      <c r="DA1295" s="24" t="n"/>
      <c r="DB1295" s="24" t="n"/>
      <c r="DC1295" s="24" t="n"/>
      <c r="DD1295" s="24" t="inlineStr">
        <is>
          <t>393d8213b99f13764a8467f92b30ee5ad7de6aaa1c2f5f3e8e94ff5b1ea9d6e3</t>
        </is>
      </c>
      <c r="DE1295" s="24" t="inlineStr">
        <is>
          <t>E:\model-prediction\data\odds\tennis\2026-10-12\polymarket_snapshots.jsonl</t>
        </is>
      </c>
      <c r="DF1295" s="24" t="inlineStr">
        <is>
          <t>1367515:2026-10-12T05:00:15.552244Z</t>
        </is>
      </c>
      <c r="DG1295" s="24" t="n"/>
      <c r="DH1295" s="24" t="n"/>
      <c r="DI1295" s="24" t="n"/>
      <c r="DJ1295" s="24" t="n"/>
      <c r="DK1295" s="24" t="n"/>
      <c r="DL1295" s="24" t="n"/>
      <c r="DM1295" s="24" t="n"/>
      <c r="DN1295" s="24" t="n"/>
      <c r="DO1295" s="24" t="n"/>
      <c r="DP1295" s="24" t="n"/>
      <c r="DQ1295" s="24" t="n"/>
    </row>
    <row r="1296" ht="36" customHeight="1">
      <c r="A1296" s="24" t="inlineStr">
        <is>
          <t>9365247fff1d4838</t>
        </is>
      </c>
      <c r="B1296" s="24" t="inlineStr">
        <is>
          <t>2026-10-12T05:38:26.409279Z</t>
        </is>
      </c>
      <c r="C1296" s="24" t="inlineStr">
        <is>
          <t>2026-10-12T09:30Z</t>
        </is>
      </c>
      <c r="D1296" s="24" t="inlineStr">
        <is>
          <t>1020-2026:185495</t>
        </is>
      </c>
      <c r="E1296" s="24" t="inlineStr">
        <is>
          <t>TENNIS</t>
        </is>
      </c>
      <c r="F1296" s="24" t="inlineStr">
        <is>
          <t>Francesca Curmi</t>
        </is>
      </c>
      <c r="G1296" s="24" t="inlineStr">
        <is>
          <t>Eva Vedder</t>
        </is>
      </c>
      <c r="H1296" s="24" t="inlineStr">
        <is>
          <t>total</t>
        </is>
      </c>
      <c r="I1296" s="24" t="inlineStr">
        <is>
          <t>over</t>
        </is>
      </c>
      <c r="J1296" s="25" t="n">
        <v>22.5</v>
      </c>
      <c r="K1296" s="24" t="inlineStr">
        <is>
          <t>polymarket_us</t>
        </is>
      </c>
      <c r="L1296" s="26" t="n">
        <v>138</v>
      </c>
      <c r="M1296" s="27" t="n">
        <v>2.38</v>
      </c>
      <c r="N1296" s="28" t="n">
        <v>0.420168</v>
      </c>
      <c r="O1296" s="28" t="n">
        <v>0.5405</v>
      </c>
      <c r="P1296" s="28" t="n">
        <v>0.05</v>
      </c>
      <c r="Q1296" s="28" t="n">
        <v>0.120332</v>
      </c>
      <c r="R1296" s="26" t="n">
        <v>80</v>
      </c>
      <c r="S1296" s="29" t="n">
        <v>1.5</v>
      </c>
      <c r="T1296" s="24" t="inlineStr">
        <is>
          <t>tennis-learned-v3</t>
        </is>
      </c>
      <c r="U1296" s="24" t="inlineStr">
        <is>
          <t>settled</t>
        </is>
      </c>
      <c r="V1296" s="24" t="inlineStr">
        <is>
          <t>win</t>
        </is>
      </c>
      <c r="W1296" s="26" t="n">
        <v>17</v>
      </c>
      <c r="X1296" s="26" t="n">
        <v>11</v>
      </c>
      <c r="Y1296" s="25" t="n"/>
      <c r="Z1296" s="26" t="n"/>
      <c r="AA1296" s="28" t="n"/>
      <c r="AB1296" s="28" t="n"/>
      <c r="AC1296" s="30" t="n">
        <v>2.07</v>
      </c>
      <c r="AD1296" s="24" t="inlineStr">
        <is>
          <t>2026-10-12T16:06:56.577359Z</t>
        </is>
      </c>
      <c r="AE1296" s="31" t="inlineStr">
        <is>
          <t>Tennis Markov total games line 22.5: over p=0.541. Executable ask 0.4200 (tsc-wta-evaved-fracur-2026-10-12-tg-22pt5).</t>
        </is>
      </c>
      <c r="AF1296" s="31" t="inlineStr">
        <is>
          <t>Surface-blended Elo model; singles only, WTA+ATP market coverage, not yet locked-holdout qualified -- promoted by explicit operator directive, not genuine walk-forward validation.</t>
        </is>
      </c>
      <c r="AG1296" s="24" t="inlineStr">
        <is>
          <t>not_applicable</t>
        </is>
      </c>
      <c r="AH1296" s="24" t="n"/>
      <c r="AI1296" s="31" t="n"/>
      <c r="AJ1296" s="31" t="n"/>
      <c r="AK1296" s="24" t="inlineStr">
        <is>
          <t>model_qualified</t>
        </is>
      </c>
      <c r="AL1296" s="26" t="n">
        <v>4</v>
      </c>
      <c r="AM1296" s="24" t="inlineStr">
        <is>
          <t>QUALIFIED_SHADOW_CALL</t>
        </is>
      </c>
      <c r="AN1296" s="24" t="inlineStr">
        <is>
          <t>CALL</t>
        </is>
      </c>
      <c r="AO1296" s="24" t="inlineStr">
        <is>
          <t>QUALIFIED</t>
        </is>
      </c>
      <c r="AP1296" s="24" t="inlineStr">
        <is>
          <t>Francesca Curmi</t>
        </is>
      </c>
      <c r="AQ1296" s="24" t="inlineStr">
        <is>
          <t>Francesca Curmi</t>
        </is>
      </c>
      <c r="AR1296" s="24" t="inlineStr">
        <is>
          <t>Francesca Curmi</t>
        </is>
      </c>
      <c r="AS1296" s="24" t="inlineStr">
        <is>
          <t>Eva Vedder</t>
        </is>
      </c>
      <c r="AT1296" s="24" t="inlineStr">
        <is>
          <t>Eva Vedder</t>
        </is>
      </c>
      <c r="AU1296" s="24" t="inlineStr">
        <is>
          <t>Eva Vedder</t>
        </is>
      </c>
      <c r="AV1296" s="24" t="n"/>
      <c r="AW1296" s="24" t="n"/>
      <c r="AX1296" s="24" t="inlineStr">
        <is>
          <t>statistical_model</t>
        </is>
      </c>
      <c r="AY1296" s="24" t="n"/>
      <c r="AZ1296" s="24" t="inlineStr">
        <is>
          <t>shadow_qualified</t>
        </is>
      </c>
      <c r="BA1296" s="24" t="inlineStr">
        <is>
          <t>7443acc419841200d57e1edf36b77f1940cdd0c48dce3d43fcd05498a109440b</t>
        </is>
      </c>
      <c r="BB1296" s="24" t="inlineStr">
        <is>
          <t>learned_v3</t>
        </is>
      </c>
      <c r="BC1296" s="24" t="inlineStr">
        <is>
          <t>tennis-learned-v3</t>
        </is>
      </c>
      <c r="BD1296" s="24" t="inlineStr">
        <is>
          <t>7443acc419841200d57e1edf36b77f1940cdd0c48dce3d43fcd05498a109440b</t>
        </is>
      </c>
      <c r="BE1296" s="24" t="inlineStr">
        <is>
          <t>tennis-learned-v3</t>
        </is>
      </c>
      <c r="BF1296" s="24" t="inlineStr">
        <is>
          <t>1</t>
        </is>
      </c>
      <c r="BG1296" s="24" t="inlineStr">
        <is>
          <t>7443acc419841200d57e1edf36b77f1940cdd0c48dce3d43fcd05498a109440b</t>
        </is>
      </c>
      <c r="BH1296" s="24" t="inlineStr">
        <is>
          <t>2026-10-12T05:00:55.883102Z</t>
        </is>
      </c>
      <c r="BI1296" s="24" t="inlineStr">
        <is>
          <t>["same_event","same_team_same_day","same_league_same_day"]</t>
        </is>
      </c>
      <c r="BJ1296" s="25" t="n">
        <v>22.5</v>
      </c>
      <c r="BK1296" s="26" t="n">
        <v>138</v>
      </c>
      <c r="BL1296" s="27" t="n">
        <v>2.38</v>
      </c>
      <c r="BM1296" s="28" t="n">
        <v>0.420168</v>
      </c>
      <c r="BN1296" s="28" t="n"/>
      <c r="BO1296" s="28" t="n"/>
      <c r="BP1296" s="25" t="n"/>
      <c r="BQ1296" s="27" t="n"/>
      <c r="BR1296" s="28" t="n"/>
      <c r="BS1296" s="28" t="n"/>
      <c r="BT1296" s="28" t="n"/>
      <c r="BU1296" s="25" t="n"/>
      <c r="BV1296" s="29" t="n"/>
      <c r="BW1296" s="24" t="n"/>
      <c r="BX1296" s="30" t="n"/>
      <c r="BY1296" s="27" t="n"/>
      <c r="BZ1296" s="24" t="n"/>
      <c r="CA1296" s="31" t="n"/>
      <c r="CB1296" s="24" t="n"/>
      <c r="CC1296" s="24" t="n"/>
      <c r="CD1296" s="24" t="n"/>
      <c r="CE1296" s="24" t="n"/>
      <c r="CF1296" s="24" t="n"/>
      <c r="CG1296" s="24" t="n"/>
      <c r="CH1296" s="24" t="n"/>
      <c r="CI1296" s="24" t="n"/>
      <c r="CJ1296" s="24" t="n"/>
      <c r="CK1296" s="24" t="n"/>
      <c r="CL1296" s="24" t="n"/>
      <c r="CM1296" s="24" t="n"/>
      <c r="CN1296" s="24" t="n"/>
      <c r="CO1296" s="24" t="n"/>
      <c r="CP1296" s="24" t="n"/>
      <c r="CQ1296" s="24" t="n"/>
      <c r="CR1296" s="24" t="n"/>
      <c r="CS1296" s="24" t="inlineStr">
        <is>
          <t>True</t>
        </is>
      </c>
      <c r="CT1296" s="24" t="n"/>
      <c r="CU1296" s="24" t="n"/>
      <c r="CV1296" s="24" t="n"/>
      <c r="CW1296" s="24" t="n"/>
      <c r="CX1296" s="24" t="n"/>
      <c r="CY1296" s="24" t="n"/>
      <c r="CZ1296" s="24" t="n"/>
      <c r="DA1296" s="24" t="n"/>
      <c r="DB1296" s="24" t="n"/>
      <c r="DC1296" s="24" t="n"/>
      <c r="DD1296" s="24" t="inlineStr">
        <is>
          <t>e57729d1333a43d03cae7ee2f53442a0fb743c94cb9c69aead0bc531984bf21f</t>
        </is>
      </c>
      <c r="DE1296" s="24" t="inlineStr">
        <is>
          <t>E:\model-prediction\data\odds\tennis\2026-10-12\polymarket_snapshots.jsonl</t>
        </is>
      </c>
      <c r="DF1296" s="24" t="inlineStr">
        <is>
          <t>1367502:2026-10-12T05:00:55.883102Z</t>
        </is>
      </c>
      <c r="DG1296" s="24" t="n"/>
      <c r="DH1296" s="24" t="n"/>
      <c r="DI1296" s="24" t="n"/>
      <c r="DJ1296" s="24" t="n"/>
      <c r="DK1296" s="24" t="n"/>
      <c r="DL1296" s="24" t="n"/>
      <c r="DM1296" s="24" t="n"/>
      <c r="DN1296" s="24" t="n"/>
      <c r="DO1296" s="24" t="n"/>
      <c r="DP1296" s="24" t="n"/>
      <c r="DQ1296" s="24" t="n"/>
    </row>
    <row r="1297" ht="36" customHeight="1">
      <c r="A1297" s="24" t="inlineStr">
        <is>
          <t>1105fe2eecda4ed5</t>
        </is>
      </c>
      <c r="B1297" s="24" t="inlineStr">
        <is>
          <t>2026-10-12T05:38:26.409279Z</t>
        </is>
      </c>
      <c r="C1297" s="24" t="inlineStr">
        <is>
          <t>2026-10-12T10:00Z</t>
        </is>
      </c>
      <c r="D1297" s="24" t="inlineStr">
        <is>
          <t>1025-2026:186415</t>
        </is>
      </c>
      <c r="E1297" s="24" t="inlineStr">
        <is>
          <t>TENNIS</t>
        </is>
      </c>
      <c r="F1297" s="24" t="inlineStr">
        <is>
          <t>Li Zongyu</t>
        </is>
      </c>
      <c r="G1297" s="24" t="inlineStr">
        <is>
          <t>Erika Andreeva</t>
        </is>
      </c>
      <c r="H1297" s="24" t="inlineStr">
        <is>
          <t>moneyline</t>
        </is>
      </c>
      <c r="I1297" s="24" t="inlineStr">
        <is>
          <t>home</t>
        </is>
      </c>
      <c r="J1297" s="25" t="n"/>
      <c r="K1297" s="24" t="inlineStr">
        <is>
          <t>polymarket_us</t>
        </is>
      </c>
      <c r="L1297" s="26" t="n">
        <v>-426</v>
      </c>
      <c r="M1297" s="27" t="n">
        <v>1.234742</v>
      </c>
      <c r="N1297" s="28" t="n">
        <v>0.809886</v>
      </c>
      <c r="O1297" s="28" t="n">
        <v>0.7010999999999999</v>
      </c>
      <c r="P1297" s="28" t="n">
        <v>0.05</v>
      </c>
      <c r="Q1297" s="28" t="n">
        <v>-0.108786</v>
      </c>
      <c r="R1297" s="26" t="n">
        <v>0</v>
      </c>
      <c r="S1297" s="29" t="n">
        <v>1</v>
      </c>
      <c r="T1297" s="24" t="inlineStr">
        <is>
          <t>tennis-learned-v3</t>
        </is>
      </c>
      <c r="U1297" s="24" t="inlineStr">
        <is>
          <t>settled</t>
        </is>
      </c>
      <c r="V1297" s="24" t="inlineStr">
        <is>
          <t>win</t>
        </is>
      </c>
      <c r="W1297" s="26" t="n">
        <v>0</v>
      </c>
      <c r="X1297" s="26" t="n">
        <v>1</v>
      </c>
      <c r="Y1297" s="25" t="n"/>
      <c r="Z1297" s="26" t="n">
        <v>-426</v>
      </c>
      <c r="AA1297" s="28" t="n">
        <v>0.8100000000000001</v>
      </c>
      <c r="AB1297" s="28" t="n">
        <v>0.000114</v>
      </c>
      <c r="AC1297" s="30" t="n">
        <v>0.2347</v>
      </c>
      <c r="AD1297" s="24" t="inlineStr">
        <is>
          <t>2026-10-12T16:07:13.560718Z</t>
        </is>
      </c>
      <c r="AE1297" s="31" t="inlineStr">
        <is>
          <t>Tennis v3 Learned Fundamental on Hard (Bo3): Li Zongyu p=0.299 vs Erika Andreeva. Executable ask 0.8100 (aec-wta-eriand-zonli-2026-10-12).</t>
        </is>
      </c>
      <c r="AF1297" s="31" t="inlineStr">
        <is>
          <t>Surface-blended Elo model; singles only, WTA+ATP market coverage, not yet locked-holdout qualified -- promoted by explicit operator directive, not genuine walk-forward validation.</t>
        </is>
      </c>
      <c r="AG1297" s="24" t="inlineStr">
        <is>
          <t>not_applicable</t>
        </is>
      </c>
      <c r="AH1297" s="24" t="n"/>
      <c r="AI1297" s="31" t="n"/>
      <c r="AJ1297" s="31" t="n"/>
      <c r="AK1297" s="24" t="inlineStr">
        <is>
          <t>paper_call</t>
        </is>
      </c>
      <c r="AL1297" s="26" t="n">
        <v>4</v>
      </c>
      <c r="AM1297" s="24" t="inlineStr">
        <is>
          <t>RESEARCH_OBSERVATION</t>
        </is>
      </c>
      <c r="AN1297" s="24" t="inlineStr">
        <is>
          <t>CALL</t>
        </is>
      </c>
      <c r="AO1297" s="24" t="inlineStr">
        <is>
          <t>PAPER_CALL_LOW_EDGE</t>
        </is>
      </c>
      <c r="AP1297" s="24" t="inlineStr">
        <is>
          <t>Li Zongyu</t>
        </is>
      </c>
      <c r="AQ1297" s="24" t="inlineStr">
        <is>
          <t>Li Zongyu</t>
        </is>
      </c>
      <c r="AR1297" s="24" t="inlineStr">
        <is>
          <t>Li Zongyu</t>
        </is>
      </c>
      <c r="AS1297" s="24" t="inlineStr">
        <is>
          <t>Erika Andreeva</t>
        </is>
      </c>
      <c r="AT1297" s="24" t="inlineStr">
        <is>
          <t>Erika Andreeva</t>
        </is>
      </c>
      <c r="AU1297" s="24" t="inlineStr">
        <is>
          <t>Erika Andreeva</t>
        </is>
      </c>
      <c r="AV1297" s="24" t="n"/>
      <c r="AW1297" s="24" t="n"/>
      <c r="AX1297" s="24" t="inlineStr">
        <is>
          <t>statistical_model</t>
        </is>
      </c>
      <c r="AY1297" s="24" t="n"/>
      <c r="AZ1297" s="24" t="inlineStr">
        <is>
          <t>shadow_qualified</t>
        </is>
      </c>
      <c r="BA1297" s="24" t="inlineStr">
        <is>
          <t>7443acc419841200d57e1edf36b77f1940cdd0c48dce3d43fcd05498a109440b</t>
        </is>
      </c>
      <c r="BB1297" s="24" t="inlineStr">
        <is>
          <t>learned_v3</t>
        </is>
      </c>
      <c r="BC1297" s="24" t="inlineStr">
        <is>
          <t>tennis-learned-v3</t>
        </is>
      </c>
      <c r="BD1297" s="24" t="inlineStr">
        <is>
          <t>7443acc419841200d57e1edf36b77f1940cdd0c48dce3d43fcd05498a109440b</t>
        </is>
      </c>
      <c r="BE1297" s="24" t="inlineStr">
        <is>
          <t>tennis-learned-v3</t>
        </is>
      </c>
      <c r="BF1297" s="24" t="inlineStr">
        <is>
          <t>1</t>
        </is>
      </c>
      <c r="BG1297" s="24" t="inlineStr">
        <is>
          <t>7443acc419841200d57e1edf36b77f1940cdd0c48dce3d43fcd05498a109440b</t>
        </is>
      </c>
      <c r="BH1297" s="24" t="inlineStr">
        <is>
          <t>2026-10-12T05:00:55.862854Z</t>
        </is>
      </c>
      <c r="BI1297" s="24" t="inlineStr">
        <is>
          <t>["same_event","same_team_same_day","same_league_same_day"]</t>
        </is>
      </c>
      <c r="BJ1297" s="25" t="n"/>
      <c r="BK1297" s="26" t="n">
        <v>-426</v>
      </c>
      <c r="BL1297" s="27" t="n">
        <v>1.234742</v>
      </c>
      <c r="BM1297" s="28" t="n">
        <v>0.809886</v>
      </c>
      <c r="BN1297" s="28" t="n"/>
      <c r="BO1297" s="28" t="n"/>
      <c r="BP1297" s="25" t="n"/>
      <c r="BQ1297" s="27" t="n">
        <v>1.234742</v>
      </c>
      <c r="BR1297" s="28" t="n">
        <v>0.8100000000000001</v>
      </c>
      <c r="BS1297" s="28" t="n"/>
      <c r="BT1297" s="28" t="n"/>
      <c r="BU1297" s="25" t="n"/>
      <c r="BV1297" s="29" t="n"/>
      <c r="BW1297" s="24" t="n"/>
      <c r="BX1297" s="30" t="n"/>
      <c r="BY1297" s="27" t="n"/>
      <c r="BZ1297" s="24" t="n"/>
      <c r="CA1297" s="31" t="n"/>
      <c r="CB1297" s="24" t="n"/>
      <c r="CC1297" s="24" t="n"/>
      <c r="CD1297" s="24" t="n"/>
      <c r="CE1297" s="24" t="n"/>
      <c r="CF1297" s="24" t="n"/>
      <c r="CG1297" s="24" t="n"/>
      <c r="CH1297" s="24" t="n"/>
      <c r="CI1297" s="24" t="n"/>
      <c r="CJ1297" s="24" t="n"/>
      <c r="CK1297" s="24" t="n"/>
      <c r="CL1297" s="24" t="n"/>
      <c r="CM1297" s="24" t="n"/>
      <c r="CN1297" s="24" t="n"/>
      <c r="CO1297" s="24" t="n"/>
      <c r="CP1297" s="24" t="n"/>
      <c r="CQ1297" s="24" t="n"/>
      <c r="CR1297" s="24" t="n"/>
      <c r="CS1297" s="24" t="inlineStr">
        <is>
          <t>False</t>
        </is>
      </c>
      <c r="CT1297" s="24" t="n"/>
      <c r="CU1297" s="24" t="n"/>
      <c r="CV1297" s="24" t="n"/>
      <c r="CW1297" s="24" t="n"/>
      <c r="CX1297" s="24" t="n"/>
      <c r="CY1297" s="24" t="n"/>
      <c r="CZ1297" s="24" t="n"/>
      <c r="DA1297" s="24" t="n"/>
      <c r="DB1297" s="24" t="n"/>
      <c r="DC1297" s="24" t="n"/>
      <c r="DD1297" s="24" t="inlineStr">
        <is>
          <t>66d47a5538967120133f123fd5ddabe26775c60069d25f0dd600e43e496ea0a4</t>
        </is>
      </c>
      <c r="DE1297" s="24" t="inlineStr">
        <is>
          <t>E:\model-prediction\data\odds\tennis\2026-10-12\polymarket_snapshots.jsonl</t>
        </is>
      </c>
      <c r="DF1297" s="24" t="inlineStr">
        <is>
          <t>1368859:2026-10-12T05:00:55.862854Z</t>
        </is>
      </c>
      <c r="DG1297" s="24" t="n"/>
      <c r="DH1297" s="24" t="n"/>
      <c r="DI1297" s="24" t="n"/>
      <c r="DJ1297" s="24" t="n"/>
      <c r="DK1297" s="24" t="n"/>
      <c r="DL1297" s="24" t="n"/>
      <c r="DM1297" s="24" t="n"/>
      <c r="DN1297" s="24" t="n"/>
      <c r="DO1297" s="24" t="n"/>
      <c r="DP1297" s="24" t="n"/>
      <c r="DQ1297" s="24" t="inlineStr">
        <is>
          <t>{"artifact_hash": "7443acc419841200d57e1edf36b77f1940cdd0c48dce3d43fcd05498a109440b", "away_team": "Li Zongyu", "event_id": "1025-2026:186415", "event_start_utc": "2026-10-12T10:00Z", "features": {"elo_p1_surface": 1478.4, "elo_p2_surface": 1511.5, "expected_games_p1": 7.83, "expected_games_p2": 13.08, "expected_total_games": 20.9, "history_matches": 16708, "min_player_matches": 13, "surface": "Hard"}, "historical_source_observation_times_verified": false, "home_team": "Erika Andreeva", "inference_inputs": {"best_of": 3, "code_sha256": {"features/elo_ratings.py": "d6513e79d65448c06cc0f9b9eed0eaa091567835128e1f6647a310da8d78a872", "models/tennis.py": "7443acc419841200d57e1edf36b77f1940cdd0c48dce3d43fcd05498a109440b"}, "counts": [13, 111], "market_probability": null, "model_version": "tennis-learned-v3", "overall_ratings": [1464.498915427018, 1501.1495665098262], "p_serve_a": 0.5282795008131135, "p_serve_b": 0.6517204991868865, "players": ["Li Zongyu", "Erika Andreeva"], "rest_days": [0.0, 1.0], "sport": "TENNIS", "surface": "Hard", "surface_counts": [13, 96], "surface_ratings": [1478.3721754904384, 1511.4603925297572], "tour": "WTA"}, "market_type": "moneyline", "model_version": "tennis-learned-v3", "observed_at_utc": "2026-10-12T05:38:23.706514+00:00", "probabilities": {"away": 0.2989, "home": 0.7011}, "replay_scope": "Exact full-precision serving state and rounding; upstream historical observation times are not certified.", "schema": "coded-moneyline-replay-v1", "snapshot_hash": "e511f7f5fef124afdd9e60ed0e0f9e14fb6d4c6799627efe9a32b526ad8fd7a8", "sport": "TENNIS"}</t>
        </is>
      </c>
    </row>
    <row r="1298" ht="36" customHeight="1">
      <c r="A1298" s="24" t="inlineStr">
        <is>
          <t>52f001120b16406c</t>
        </is>
      </c>
      <c r="B1298" s="24" t="inlineStr">
        <is>
          <t>2026-10-12T05:38:26.409279Z</t>
        </is>
      </c>
      <c r="C1298" s="24" t="inlineStr">
        <is>
          <t>2026-10-12T06:00Z</t>
        </is>
      </c>
      <c r="D1298" s="24" t="inlineStr">
        <is>
          <t>315-2026:184938</t>
        </is>
      </c>
      <c r="E1298" s="24" t="inlineStr">
        <is>
          <t>TENNIS</t>
        </is>
      </c>
      <c r="F1298" s="24" t="inlineStr">
        <is>
          <t>Rafael Jodar</t>
        </is>
      </c>
      <c r="G1298" s="24" t="inlineStr">
        <is>
          <t>Jiri Lehecka</t>
        </is>
      </c>
      <c r="H1298" s="24" t="inlineStr">
        <is>
          <t>moneyline</t>
        </is>
      </c>
      <c r="I1298" s="24" t="inlineStr">
        <is>
          <t>home</t>
        </is>
      </c>
      <c r="J1298" s="25" t="n"/>
      <c r="K1298" s="24" t="inlineStr">
        <is>
          <t>polymarket_us</t>
        </is>
      </c>
      <c r="L1298" s="26" t="n">
        <v>-156</v>
      </c>
      <c r="M1298" s="27" t="n">
        <v>1.641026</v>
      </c>
      <c r="N1298" s="28" t="n">
        <v>0.609375</v>
      </c>
      <c r="O1298" s="28" t="n">
        <v>0.6456</v>
      </c>
      <c r="P1298" s="28" t="n">
        <v>0.05</v>
      </c>
      <c r="Q1298" s="28" t="n">
        <v>0.036225</v>
      </c>
      <c r="R1298" s="26" t="n">
        <v>38</v>
      </c>
      <c r="S1298" s="29" t="n">
        <v>1</v>
      </c>
      <c r="T1298" s="24" t="inlineStr">
        <is>
          <t>tennis-learned-v3</t>
        </is>
      </c>
      <c r="U1298" s="24" t="inlineStr">
        <is>
          <t>settled</t>
        </is>
      </c>
      <c r="V1298" s="24" t="inlineStr">
        <is>
          <t>loss</t>
        </is>
      </c>
      <c r="W1298" s="26" t="n">
        <v>1</v>
      </c>
      <c r="X1298" s="26" t="n">
        <v>0</v>
      </c>
      <c r="Y1298" s="25" t="n"/>
      <c r="Z1298" s="26" t="n">
        <v>-156</v>
      </c>
      <c r="AA1298" s="28" t="n">
        <v>0.61</v>
      </c>
      <c r="AB1298" s="28" t="n">
        <v>0.000625</v>
      </c>
      <c r="AC1298" s="30" t="n">
        <v>-1</v>
      </c>
      <c r="AD1298" s="24" t="inlineStr">
        <is>
          <t>2026-10-12T10:05:56.877343Z</t>
        </is>
      </c>
      <c r="AE1298" s="31" t="inlineStr">
        <is>
          <t>Tennis v3 Learned Fundamental on Hard (Bo3): Rafael Jodar p=0.354 vs Jiri Lehecka. Executable ask 0.6100 (aec-atp-jirleh-rafjod-2026-10-11).</t>
        </is>
      </c>
      <c r="AF1298" s="31" t="inlineStr">
        <is>
          <t>Surface-blended Elo model; singles only, WTA+ATP market coverage, not yet locked-holdout qualified -- promoted by explicit operator directive, not genuine walk-forward validation.</t>
        </is>
      </c>
      <c r="AG1298" s="24" t="inlineStr">
        <is>
          <t>review_required</t>
        </is>
      </c>
      <c r="AH1298" s="24" t="n"/>
      <c r="AI1298" s="31" t="n"/>
      <c r="AJ1298" s="31" t="n"/>
      <c r="AK1298" s="24" t="inlineStr">
        <is>
          <t>paper_call</t>
        </is>
      </c>
      <c r="AL1298" s="26" t="n">
        <v>4</v>
      </c>
      <c r="AM1298" s="24" t="inlineStr">
        <is>
          <t>RESEARCH_OBSERVATION</t>
        </is>
      </c>
      <c r="AN1298" s="24" t="inlineStr">
        <is>
          <t>CALL</t>
        </is>
      </c>
      <c r="AO1298" s="24" t="inlineStr">
        <is>
          <t>PAPER_CALL_LOW_EDGE</t>
        </is>
      </c>
      <c r="AP1298" s="24" t="inlineStr">
        <is>
          <t>Rafael Jodar</t>
        </is>
      </c>
      <c r="AQ1298" s="24" t="inlineStr">
        <is>
          <t>Rafael Jodar</t>
        </is>
      </c>
      <c r="AR1298" s="24" t="inlineStr">
        <is>
          <t>Rafael Jodar</t>
        </is>
      </c>
      <c r="AS1298" s="24" t="inlineStr">
        <is>
          <t>Jiri Lehecka</t>
        </is>
      </c>
      <c r="AT1298" s="24" t="inlineStr">
        <is>
          <t>Jiri Lehecka</t>
        </is>
      </c>
      <c r="AU1298" s="24" t="inlineStr">
        <is>
          <t>Jiri Lehecka</t>
        </is>
      </c>
      <c r="AV1298" s="24" t="n"/>
      <c r="AW1298" s="24" t="n"/>
      <c r="AX1298" s="24" t="inlineStr">
        <is>
          <t>statistical_model</t>
        </is>
      </c>
      <c r="AY1298" s="24" t="n"/>
      <c r="AZ1298" s="24" t="inlineStr">
        <is>
          <t>shadow_qualified</t>
        </is>
      </c>
      <c r="BA1298" s="24" t="inlineStr">
        <is>
          <t>7443acc419841200d57e1edf36b77f1940cdd0c48dce3d43fcd05498a109440b</t>
        </is>
      </c>
      <c r="BB1298" s="24" t="inlineStr">
        <is>
          <t>learned_v3</t>
        </is>
      </c>
      <c r="BC1298" s="24" t="inlineStr">
        <is>
          <t>tennis-learned-v3</t>
        </is>
      </c>
      <c r="BD1298" s="24" t="inlineStr">
        <is>
          <t>7443acc419841200d57e1edf36b77f1940cdd0c48dce3d43fcd05498a109440b</t>
        </is>
      </c>
      <c r="BE1298" s="24" t="inlineStr">
        <is>
          <t>tennis-learned-v3</t>
        </is>
      </c>
      <c r="BF1298" s="24" t="inlineStr">
        <is>
          <t>1</t>
        </is>
      </c>
      <c r="BG1298" s="24" t="inlineStr">
        <is>
          <t>7443acc419841200d57e1edf36b77f1940cdd0c48dce3d43fcd05498a109440b</t>
        </is>
      </c>
      <c r="BH1298" s="24" t="inlineStr">
        <is>
          <t>2026-10-12T05:07:45.713856Z</t>
        </is>
      </c>
      <c r="BI1298" s="24" t="inlineStr">
        <is>
          <t>["same_event","same_team_same_day","same_league_same_day"]</t>
        </is>
      </c>
      <c r="BJ1298" s="25" t="n"/>
      <c r="BK1298" s="26" t="n">
        <v>-156</v>
      </c>
      <c r="BL1298" s="27" t="n">
        <v>1.641026</v>
      </c>
      <c r="BM1298" s="28" t="n">
        <v>0.609375</v>
      </c>
      <c r="BN1298" s="28" t="n"/>
      <c r="BO1298" s="28" t="n"/>
      <c r="BP1298" s="25" t="n"/>
      <c r="BQ1298" s="27" t="n">
        <v>1.641026</v>
      </c>
      <c r="BR1298" s="28" t="n">
        <v>0.61</v>
      </c>
      <c r="BS1298" s="28" t="n"/>
      <c r="BT1298" s="28" t="n"/>
      <c r="BU1298" s="25" t="n"/>
      <c r="BV1298" s="29" t="n"/>
      <c r="BW1298" s="24" t="n"/>
      <c r="BX1298" s="30" t="n"/>
      <c r="BY1298" s="27" t="n"/>
      <c r="BZ1298" s="24" t="n"/>
      <c r="CA1298" s="31" t="n"/>
      <c r="CB1298" s="24" t="n"/>
      <c r="CC1298" s="24" t="n"/>
      <c r="CD1298" s="24" t="n"/>
      <c r="CE1298" s="24" t="n"/>
      <c r="CF1298" s="24" t="n"/>
      <c r="CG1298" s="24" t="n"/>
      <c r="CH1298" s="24" t="n"/>
      <c r="CI1298" s="24" t="n"/>
      <c r="CJ1298" s="24" t="n"/>
      <c r="CK1298" s="24" t="n"/>
      <c r="CL1298" s="24" t="n"/>
      <c r="CM1298" s="24" t="n"/>
      <c r="CN1298" s="24" t="n"/>
      <c r="CO1298" s="24" t="n"/>
      <c r="CP1298" s="24" t="n"/>
      <c r="CQ1298" s="24" t="n"/>
      <c r="CR1298" s="24" t="n"/>
      <c r="CS1298" s="24" t="inlineStr">
        <is>
          <t>True</t>
        </is>
      </c>
      <c r="CT1298" s="24" t="n"/>
      <c r="CU1298" s="24" t="n"/>
      <c r="CV1298" s="24" t="n"/>
      <c r="CW1298" s="24" t="n"/>
      <c r="CX1298" s="24" t="n"/>
      <c r="CY1298" s="24" t="n"/>
      <c r="CZ1298" s="24" t="n"/>
      <c r="DA1298" s="24" t="n"/>
      <c r="DB1298" s="24" t="n"/>
      <c r="DC1298" s="24" t="n"/>
      <c r="DD1298" s="24" t="inlineStr">
        <is>
          <t>7e8a9161465058c1067a4e39c2db339a45ff1a12c305d3fc61f598ef4ffc0839</t>
        </is>
      </c>
      <c r="DE1298" s="24" t="inlineStr">
        <is>
          <t>E:\model-prediction\data\odds\tennis\2026-10-12\polymarket_snapshots.jsonl</t>
        </is>
      </c>
      <c r="DF1298" s="24" t="inlineStr">
        <is>
          <t>1331783:2026-10-12T05:07:45.713856Z</t>
        </is>
      </c>
      <c r="DG1298" s="24" t="n"/>
      <c r="DH1298" s="24" t="n"/>
      <c r="DI1298" s="24" t="n"/>
      <c r="DJ1298" s="24" t="n"/>
      <c r="DK1298" s="24" t="n"/>
      <c r="DL1298" s="24" t="n"/>
      <c r="DM1298" s="24" t="n"/>
      <c r="DN1298" s="24" t="n"/>
      <c r="DO1298" s="24" t="n"/>
      <c r="DP1298" s="24" t="n"/>
      <c r="DQ1298" s="24" t="inlineStr">
        <is>
          <t>{"artifact_hash": "7443acc419841200d57e1edf36b77f1940cdd0c48dce3d43fcd05498a109440b", "away_team": "Rafael Jodar", "event_id": "315-2026:184938", "event_start_utc": "2026-10-12T06:00Z", "features": {"elo_p1_surface": 1631.3, "elo_p2_surface": 1710.2, "expected_games_p1": 10.09, "expected_games_p2": 13.48, "expected_total_games": 23.56, "history_matches": 11478, "min_player_matches": 58, "surface": "Hard"}, "historical_source_observation_times_verified": false, "home_team": "Jiri Lehecka", "inference_inputs": {"best_of": 3, "code_sha256": {"features/elo_ratings.py": "d6513e79d65448c06cc0f9b9eed0eaa091567835128e1f6647a310da8d78a872", "models/tennis.py": "7443acc419841200d57e1edf36b77f1940cdd0c48dce3d43fcd05498a109440b"}, "counts": [58, 152], "market_probability": null, "model_version": "tennis-learned-v3", "overall_ratings": [1753.423870321544, 1798.7818826895912], "p_serve_a": 0.5915747895312478, "p_serve_b": 0.6784252104687523, "players": ["Rafael Jodar", "Jiri Lehecka"], "rest_days": [2.0, 2.0], "sport": "TENNIS", "surface": "Hard", "surface_counts": [37, 121], "surface_ratings": [1631.349990023909, 1710.1512898408746], "tour": "ATP"}, "market_type": "moneyline", "model_version": "tennis-learned-v3", "observed_at_utc": "2026-10-12T05:38:23.706514+00:00", "probabilities": {"away": 0.3544, "home": 0.6456}, "replay_scope": "Exact full-precision serving state and rounding; upstream historical observation times are not certified.", "schema": "coded-moneyline-replay-v1", "snapshot_hash": "ddfd08d91c2288dfb446b2148a0547f639ee2e8a2a12a25272e61c9301611fcf", "sport": "TENNIS"}</t>
        </is>
      </c>
    </row>
    <row r="1299" ht="36" customHeight="1">
      <c r="A1299" s="24" t="inlineStr">
        <is>
          <t>d9c570b28d3e41dc</t>
        </is>
      </c>
      <c r="B1299" s="24" t="inlineStr">
        <is>
          <t>2026-10-12T05:38:26.409279Z</t>
        </is>
      </c>
      <c r="C1299" s="24" t="inlineStr">
        <is>
          <t>2026-10-12T06:00Z</t>
        </is>
      </c>
      <c r="D1299" s="24" t="inlineStr">
        <is>
          <t>315-2026:184938</t>
        </is>
      </c>
      <c r="E1299" s="24" t="inlineStr">
        <is>
          <t>TENNIS</t>
        </is>
      </c>
      <c r="F1299" s="24" t="inlineStr">
        <is>
          <t>Rafael Jodar</t>
        </is>
      </c>
      <c r="G1299" s="24" t="inlineStr">
        <is>
          <t>Jiri Lehecka</t>
        </is>
      </c>
      <c r="H1299" s="24" t="inlineStr">
        <is>
          <t>total</t>
        </is>
      </c>
      <c r="I1299" s="24" t="inlineStr">
        <is>
          <t>under</t>
        </is>
      </c>
      <c r="J1299" s="25" t="n">
        <v>22.5</v>
      </c>
      <c r="K1299" s="24" t="inlineStr">
        <is>
          <t>polymarket_us</t>
        </is>
      </c>
      <c r="L1299" s="26" t="n">
        <v>100</v>
      </c>
      <c r="M1299" s="27" t="n">
        <v>2</v>
      </c>
      <c r="N1299" s="28" t="n">
        <v>0.5</v>
      </c>
      <c r="O1299" s="28" t="n">
        <v>0.5335</v>
      </c>
      <c r="P1299" s="28" t="n">
        <v>0.05</v>
      </c>
      <c r="Q1299" s="28" t="n">
        <v>0.0335</v>
      </c>
      <c r="R1299" s="26" t="n">
        <v>37</v>
      </c>
      <c r="S1299" s="29" t="n">
        <v>1</v>
      </c>
      <c r="T1299" s="24" t="inlineStr">
        <is>
          <t>tennis-learned-v3</t>
        </is>
      </c>
      <c r="U1299" s="24" t="inlineStr">
        <is>
          <t>settled</t>
        </is>
      </c>
      <c r="V1299" s="24" t="inlineStr">
        <is>
          <t>loss</t>
        </is>
      </c>
      <c r="W1299" s="26" t="n">
        <v>17</v>
      </c>
      <c r="X1299" s="26" t="n">
        <v>16</v>
      </c>
      <c r="Y1299" s="25" t="n"/>
      <c r="Z1299" s="26" t="n"/>
      <c r="AA1299" s="28" t="n"/>
      <c r="AB1299" s="28" t="n"/>
      <c r="AC1299" s="30" t="n">
        <v>-1</v>
      </c>
      <c r="AD1299" s="24" t="inlineStr">
        <is>
          <t>2026-10-12T10:06:03.341078Z</t>
        </is>
      </c>
      <c r="AE1299" s="31" t="inlineStr">
        <is>
          <t>Tennis Markov total games line 22.5: under p=0.533. Executable ask 0.5000 (tsc-atp-jirleh-rafjod-2026-10-11-tg-22pt5).</t>
        </is>
      </c>
      <c r="AF1299" s="31" t="inlineStr">
        <is>
          <t>Surface-blended Elo model; singles only, WTA+ATP market coverage, not yet locked-holdout qualified -- promoted by explicit operator directive, not genuine walk-forward validation.</t>
        </is>
      </c>
      <c r="AG1299" s="24" t="inlineStr">
        <is>
          <t>review_required</t>
        </is>
      </c>
      <c r="AH1299" s="24" t="n"/>
      <c r="AI1299" s="31" t="n"/>
      <c r="AJ1299" s="31" t="n"/>
      <c r="AK1299" s="24" t="inlineStr">
        <is>
          <t>paper_call</t>
        </is>
      </c>
      <c r="AL1299" s="26" t="n">
        <v>4</v>
      </c>
      <c r="AM1299" s="24" t="inlineStr">
        <is>
          <t>RESEARCH_OBSERVATION</t>
        </is>
      </c>
      <c r="AN1299" s="24" t="inlineStr">
        <is>
          <t>CALL</t>
        </is>
      </c>
      <c r="AO1299" s="24" t="inlineStr">
        <is>
          <t>PAPER_CALL_LOW_EDGE</t>
        </is>
      </c>
      <c r="AP1299" s="24" t="inlineStr">
        <is>
          <t>Rafael Jodar</t>
        </is>
      </c>
      <c r="AQ1299" s="24" t="inlineStr">
        <is>
          <t>Rafael Jodar</t>
        </is>
      </c>
      <c r="AR1299" s="24" t="inlineStr">
        <is>
          <t>Rafael Jodar</t>
        </is>
      </c>
      <c r="AS1299" s="24" t="inlineStr">
        <is>
          <t>Jiri Lehecka</t>
        </is>
      </c>
      <c r="AT1299" s="24" t="inlineStr">
        <is>
          <t>Jiri Lehecka</t>
        </is>
      </c>
      <c r="AU1299" s="24" t="inlineStr">
        <is>
          <t>Jiri Lehecka</t>
        </is>
      </c>
      <c r="AV1299" s="24" t="n"/>
      <c r="AW1299" s="24" t="n"/>
      <c r="AX1299" s="24" t="inlineStr">
        <is>
          <t>statistical_model</t>
        </is>
      </c>
      <c r="AY1299" s="24" t="n"/>
      <c r="AZ1299" s="24" t="inlineStr">
        <is>
          <t>shadow_qualified</t>
        </is>
      </c>
      <c r="BA1299" s="24" t="inlineStr">
        <is>
          <t>7443acc419841200d57e1edf36b77f1940cdd0c48dce3d43fcd05498a109440b</t>
        </is>
      </c>
      <c r="BB1299" s="24" t="inlineStr">
        <is>
          <t>learned_v3</t>
        </is>
      </c>
      <c r="BC1299" s="24" t="inlineStr">
        <is>
          <t>tennis-learned-v3</t>
        </is>
      </c>
      <c r="BD1299" s="24" t="inlineStr">
        <is>
          <t>7443acc419841200d57e1edf36b77f1940cdd0c48dce3d43fcd05498a109440b</t>
        </is>
      </c>
      <c r="BE1299" s="24" t="inlineStr">
        <is>
          <t>tennis-learned-v3</t>
        </is>
      </c>
      <c r="BF1299" s="24" t="inlineStr">
        <is>
          <t>1</t>
        </is>
      </c>
      <c r="BG1299" s="24" t="inlineStr">
        <is>
          <t>7443acc419841200d57e1edf36b77f1940cdd0c48dce3d43fcd05498a109440b</t>
        </is>
      </c>
      <c r="BH1299" s="24" t="inlineStr">
        <is>
          <t>2026-10-12T05:08:05.830300Z</t>
        </is>
      </c>
      <c r="BI1299" s="24" t="inlineStr">
        <is>
          <t>["same_event","same_team_same_day","same_league_same_day"]</t>
        </is>
      </c>
      <c r="BJ1299" s="25" t="n">
        <v>22.5</v>
      </c>
      <c r="BK1299" s="26" t="n">
        <v>100</v>
      </c>
      <c r="BL1299" s="27" t="n">
        <v>2</v>
      </c>
      <c r="BM1299" s="28" t="n">
        <v>0.5</v>
      </c>
      <c r="BN1299" s="28" t="n"/>
      <c r="BO1299" s="28" t="n"/>
      <c r="BP1299" s="25" t="n"/>
      <c r="BQ1299" s="27" t="n"/>
      <c r="BR1299" s="28" t="n"/>
      <c r="BS1299" s="28" t="n"/>
      <c r="BT1299" s="28" t="n"/>
      <c r="BU1299" s="25" t="n"/>
      <c r="BV1299" s="29" t="n"/>
      <c r="BW1299" s="24" t="n"/>
      <c r="BX1299" s="30" t="n"/>
      <c r="BY1299" s="27" t="n"/>
      <c r="BZ1299" s="24" t="n"/>
      <c r="CA1299" s="31" t="n"/>
      <c r="CB1299" s="24" t="n"/>
      <c r="CC1299" s="24" t="n"/>
      <c r="CD1299" s="24" t="n"/>
      <c r="CE1299" s="24" t="n"/>
      <c r="CF1299" s="24" t="n"/>
      <c r="CG1299" s="24" t="n"/>
      <c r="CH1299" s="24" t="n"/>
      <c r="CI1299" s="24" t="n"/>
      <c r="CJ1299" s="24" t="n"/>
      <c r="CK1299" s="24" t="n"/>
      <c r="CL1299" s="24" t="n"/>
      <c r="CM1299" s="24" t="n"/>
      <c r="CN1299" s="24" t="n"/>
      <c r="CO1299" s="24" t="n"/>
      <c r="CP1299" s="24" t="n"/>
      <c r="CQ1299" s="24" t="n"/>
      <c r="CR1299" s="24" t="n"/>
      <c r="CS1299" s="24" t="inlineStr">
        <is>
          <t>True</t>
        </is>
      </c>
      <c r="CT1299" s="24" t="n"/>
      <c r="CU1299" s="24" t="n"/>
      <c r="CV1299" s="24" t="n"/>
      <c r="CW1299" s="24" t="n"/>
      <c r="CX1299" s="24" t="n"/>
      <c r="CY1299" s="24" t="n"/>
      <c r="CZ1299" s="24" t="n"/>
      <c r="DA1299" s="24" t="n"/>
      <c r="DB1299" s="24" t="n"/>
      <c r="DC1299" s="24" t="n"/>
      <c r="DD1299" s="24" t="inlineStr">
        <is>
          <t>cef4acc66a079a90d1dab9c10ad9b6fad46b92995e3bd040fd4c5e7211cdc3c0</t>
        </is>
      </c>
      <c r="DE1299" s="24" t="inlineStr">
        <is>
          <t>E:\model-prediction\data\odds\tennis\2026-10-12\polymarket_snapshots.jsonl</t>
        </is>
      </c>
      <c r="DF1299" s="24" t="inlineStr">
        <is>
          <t>1331812:2026-10-12T05:08:05.830300Z</t>
        </is>
      </c>
      <c r="DG1299" s="24" t="n"/>
      <c r="DH1299" s="24" t="n"/>
      <c r="DI1299" s="24" t="n"/>
      <c r="DJ1299" s="24" t="n"/>
      <c r="DK1299" s="24" t="n"/>
      <c r="DL1299" s="24" t="n"/>
      <c r="DM1299" s="24" t="n"/>
      <c r="DN1299" s="24" t="n"/>
      <c r="DO1299" s="24" t="n"/>
      <c r="DP1299" s="24" t="n"/>
      <c r="DQ1299" s="24" t="n"/>
    </row>
    <row r="1300" ht="36" customHeight="1">
      <c r="A1300" s="24" t="inlineStr">
        <is>
          <t>22f24f8816d34c1e</t>
        </is>
      </c>
      <c r="B1300" s="24" t="inlineStr">
        <is>
          <t>2026-10-12T05:38:26.409279Z</t>
        </is>
      </c>
      <c r="C1300" s="24" t="inlineStr">
        <is>
          <t>2026-10-12T06:00Z</t>
        </is>
      </c>
      <c r="D1300" s="24" t="inlineStr">
        <is>
          <t>315-2026:184938</t>
        </is>
      </c>
      <c r="E1300" s="24" t="inlineStr">
        <is>
          <t>TENNIS</t>
        </is>
      </c>
      <c r="F1300" s="24" t="inlineStr">
        <is>
          <t>Rafael Jodar</t>
        </is>
      </c>
      <c r="G1300" s="24" t="inlineStr">
        <is>
          <t>Jiri Lehecka</t>
        </is>
      </c>
      <c r="H1300" s="24" t="inlineStr">
        <is>
          <t>spread</t>
        </is>
      </c>
      <c r="I1300" s="24" t="inlineStr">
        <is>
          <t>away</t>
        </is>
      </c>
      <c r="J1300" s="25" t="n">
        <v>-7.5</v>
      </c>
      <c r="K1300" s="24" t="inlineStr">
        <is>
          <t>polymarket_us</t>
        </is>
      </c>
      <c r="L1300" s="26" t="n">
        <v>257</v>
      </c>
      <c r="M1300" s="27" t="n">
        <v>3.57</v>
      </c>
      <c r="N1300" s="28" t="n">
        <v>0.280112</v>
      </c>
      <c r="O1300" s="28" t="n">
        <v>0.9332</v>
      </c>
      <c r="P1300" s="28" t="n">
        <v>0.05</v>
      </c>
      <c r="Q1300" s="28" t="n">
        <v>0.653088</v>
      </c>
      <c r="R1300" s="26" t="n">
        <v>100</v>
      </c>
      <c r="S1300" s="29" t="n">
        <v>2</v>
      </c>
      <c r="T1300" s="24" t="inlineStr">
        <is>
          <t>tennis-learned-v3</t>
        </is>
      </c>
      <c r="U1300" s="24" t="inlineStr">
        <is>
          <t>settled</t>
        </is>
      </c>
      <c r="V1300" s="24" t="inlineStr">
        <is>
          <t>loss</t>
        </is>
      </c>
      <c r="W1300" s="26" t="n">
        <v>17</v>
      </c>
      <c r="X1300" s="26" t="n">
        <v>16</v>
      </c>
      <c r="Y1300" s="25" t="n"/>
      <c r="Z1300" s="26" t="n"/>
      <c r="AA1300" s="28" t="n"/>
      <c r="AB1300" s="28" t="n"/>
      <c r="AC1300" s="30" t="n">
        <v>-2</v>
      </c>
      <c r="AD1300" s="24" t="inlineStr">
        <is>
          <t>2026-10-12T10:06:10.583580Z</t>
        </is>
      </c>
      <c r="AE1300" s="31" t="inlineStr">
        <is>
          <t>Tennis Markov game spread -7.5 games: away cover p=0.933. Executable ask 0.2800 (asc-atp-jirleh-rafjod-2026-10-11-gs-neg-7pt5).</t>
        </is>
      </c>
      <c r="AF1300" s="31" t="inlineStr">
        <is>
          <t>Surface-blended Elo model; singles only, WTA+ATP market coverage, not yet locked-holdout qualified -- promoted by explicit operator directive, not genuine walk-forward validation.</t>
        </is>
      </c>
      <c r="AG1300" s="24" t="inlineStr">
        <is>
          <t>review_required</t>
        </is>
      </c>
      <c r="AH1300" s="24" t="n"/>
      <c r="AI1300" s="31" t="n"/>
      <c r="AJ1300" s="31" t="n"/>
      <c r="AK1300" s="24" t="inlineStr">
        <is>
          <t>model_qualified</t>
        </is>
      </c>
      <c r="AL1300" s="26" t="n">
        <v>4</v>
      </c>
      <c r="AM1300" s="24" t="inlineStr">
        <is>
          <t>QUALIFIED_SHADOW_CALL</t>
        </is>
      </c>
      <c r="AN1300" s="24" t="inlineStr">
        <is>
          <t>CALL</t>
        </is>
      </c>
      <c r="AO1300" s="24" t="inlineStr">
        <is>
          <t>QUALIFIED</t>
        </is>
      </c>
      <c r="AP1300" s="24" t="inlineStr">
        <is>
          <t>Rafael Jodar</t>
        </is>
      </c>
      <c r="AQ1300" s="24" t="inlineStr">
        <is>
          <t>Rafael Jodar</t>
        </is>
      </c>
      <c r="AR1300" s="24" t="inlineStr">
        <is>
          <t>Rafael Jodar</t>
        </is>
      </c>
      <c r="AS1300" s="24" t="inlineStr">
        <is>
          <t>Jiri Lehecka</t>
        </is>
      </c>
      <c r="AT1300" s="24" t="inlineStr">
        <is>
          <t>Jiri Lehecka</t>
        </is>
      </c>
      <c r="AU1300" s="24" t="inlineStr">
        <is>
          <t>Jiri Lehecka</t>
        </is>
      </c>
      <c r="AV1300" s="24" t="n"/>
      <c r="AW1300" s="24" t="n"/>
      <c r="AX1300" s="24" t="inlineStr">
        <is>
          <t>statistical_model</t>
        </is>
      </c>
      <c r="AY1300" s="24" t="n"/>
      <c r="AZ1300" s="24" t="inlineStr">
        <is>
          <t>shadow_qualified</t>
        </is>
      </c>
      <c r="BA1300" s="24" t="inlineStr">
        <is>
          <t>7443acc419841200d57e1edf36b77f1940cdd0c48dce3d43fcd05498a109440b</t>
        </is>
      </c>
      <c r="BB1300" s="24" t="inlineStr">
        <is>
          <t>learned_v3</t>
        </is>
      </c>
      <c r="BC1300" s="24" t="inlineStr">
        <is>
          <t>tennis-learned-v3</t>
        </is>
      </c>
      <c r="BD1300" s="24" t="inlineStr">
        <is>
          <t>7443acc419841200d57e1edf36b77f1940cdd0c48dce3d43fcd05498a109440b</t>
        </is>
      </c>
      <c r="BE1300" s="24" t="inlineStr">
        <is>
          <t>tennis-learned-v3</t>
        </is>
      </c>
      <c r="BF1300" s="24" t="inlineStr">
        <is>
          <t>1</t>
        </is>
      </c>
      <c r="BG1300" s="24" t="inlineStr">
        <is>
          <t>7443acc419841200d57e1edf36b77f1940cdd0c48dce3d43fcd05498a109440b</t>
        </is>
      </c>
      <c r="BH1300" s="24" t="inlineStr">
        <is>
          <t>2026-10-12T05:08:05.835879Z</t>
        </is>
      </c>
      <c r="BI1300" s="24" t="inlineStr">
        <is>
          <t>["same_event","same_team_same_day","same_league_same_day"]</t>
        </is>
      </c>
      <c r="BJ1300" s="25" t="n">
        <v>-7.5</v>
      </c>
      <c r="BK1300" s="26" t="n">
        <v>257</v>
      </c>
      <c r="BL1300" s="27" t="n">
        <v>3.57</v>
      </c>
      <c r="BM1300" s="28" t="n">
        <v>0.280112</v>
      </c>
      <c r="BN1300" s="28" t="n"/>
      <c r="BO1300" s="28" t="n"/>
      <c r="BP1300" s="25" t="n"/>
      <c r="BQ1300" s="27" t="n"/>
      <c r="BR1300" s="28" t="n"/>
      <c r="BS1300" s="28" t="n"/>
      <c r="BT1300" s="28" t="n"/>
      <c r="BU1300" s="25" t="n"/>
      <c r="BV1300" s="29" t="n"/>
      <c r="BW1300" s="24" t="n"/>
      <c r="BX1300" s="30" t="n"/>
      <c r="BY1300" s="27" t="n"/>
      <c r="BZ1300" s="24" t="n"/>
      <c r="CA1300" s="31" t="n"/>
      <c r="CB1300" s="24" t="n"/>
      <c r="CC1300" s="24" t="n"/>
      <c r="CD1300" s="24" t="n"/>
      <c r="CE1300" s="24" t="n"/>
      <c r="CF1300" s="24" t="n"/>
      <c r="CG1300" s="24" t="n"/>
      <c r="CH1300" s="24" t="n"/>
      <c r="CI1300" s="24" t="n"/>
      <c r="CJ1300" s="24" t="n"/>
      <c r="CK1300" s="24" t="n"/>
      <c r="CL1300" s="24" t="n"/>
      <c r="CM1300" s="24" t="n"/>
      <c r="CN1300" s="24" t="n"/>
      <c r="CO1300" s="24" t="n"/>
      <c r="CP1300" s="24" t="n"/>
      <c r="CQ1300" s="24" t="n"/>
      <c r="CR1300" s="24" t="n"/>
      <c r="CS1300" s="24" t="inlineStr">
        <is>
          <t>True</t>
        </is>
      </c>
      <c r="CT1300" s="24" t="n"/>
      <c r="CU1300" s="24" t="n"/>
      <c r="CV1300" s="24" t="n"/>
      <c r="CW1300" s="24" t="n"/>
      <c r="CX1300" s="24" t="n"/>
      <c r="CY1300" s="24" t="n"/>
      <c r="CZ1300" s="24" t="n"/>
      <c r="DA1300" s="24" t="n"/>
      <c r="DB1300" s="24" t="n"/>
      <c r="DC1300" s="24" t="n"/>
      <c r="DD1300" s="24" t="inlineStr">
        <is>
          <t>5481fcdf94244bbe54b26389e0f7a63ff5e27d016dc3f1b682ba045f1a9d5b07</t>
        </is>
      </c>
      <c r="DE1300" s="24" t="inlineStr">
        <is>
          <t>E:\model-prediction\data\odds\tennis\2026-10-12\polymarket_snapshots.jsonl</t>
        </is>
      </c>
      <c r="DF1300" s="24" t="inlineStr">
        <is>
          <t>1331823:2026-10-12T05:08:05.835879Z</t>
        </is>
      </c>
      <c r="DG1300" s="24" t="n"/>
      <c r="DH1300" s="24" t="n"/>
      <c r="DI1300" s="24" t="n"/>
      <c r="DJ1300" s="24" t="n"/>
      <c r="DK1300" s="24" t="n"/>
      <c r="DL1300" s="24" t="n"/>
      <c r="DM1300" s="24" t="n"/>
      <c r="DN1300" s="24" t="n"/>
      <c r="DO1300" s="24" t="n"/>
      <c r="DP1300" s="24" t="n"/>
      <c r="DQ1300" s="24" t="n"/>
    </row>
    <row r="1301" ht="36" customHeight="1">
      <c r="A1301" s="24" t="inlineStr">
        <is>
          <t>69f145e554594b67</t>
        </is>
      </c>
      <c r="B1301" s="24" t="inlineStr">
        <is>
          <t>2026-10-12T05:38:26.409279Z</t>
        </is>
      </c>
      <c r="C1301" s="24" t="inlineStr">
        <is>
          <t>2026-10-12T06:30Z</t>
        </is>
      </c>
      <c r="D1301" s="24" t="inlineStr">
        <is>
          <t>315-2026:184939</t>
        </is>
      </c>
      <c r="E1301" s="24" t="inlineStr">
        <is>
          <t>TENNIS</t>
        </is>
      </c>
      <c r="F1301" s="24" t="inlineStr">
        <is>
          <t>Taylor Fritz</t>
        </is>
      </c>
      <c r="G1301" s="24" t="inlineStr">
        <is>
          <t>Stefanos Tsitsipas</t>
        </is>
      </c>
      <c r="H1301" s="24" t="inlineStr">
        <is>
          <t>total</t>
        </is>
      </c>
      <c r="I1301" s="24" t="inlineStr">
        <is>
          <t>over</t>
        </is>
      </c>
      <c r="J1301" s="25" t="n">
        <v>22.5</v>
      </c>
      <c r="K1301" s="24" t="inlineStr">
        <is>
          <t>polymarket_us</t>
        </is>
      </c>
      <c r="L1301" s="26" t="n">
        <v>-144</v>
      </c>
      <c r="M1301" s="27" t="n">
        <v>1.694444</v>
      </c>
      <c r="N1301" s="28" t="n">
        <v>0.590164</v>
      </c>
      <c r="O1301" s="28" t="n">
        <v>0.5488</v>
      </c>
      <c r="P1301" s="28" t="n">
        <v>0.05</v>
      </c>
      <c r="Q1301" s="28" t="n">
        <v>-0.041364</v>
      </c>
      <c r="R1301" s="26" t="n">
        <v>0</v>
      </c>
      <c r="S1301" s="29" t="n">
        <v>1</v>
      </c>
      <c r="T1301" s="24" t="inlineStr">
        <is>
          <t>tennis-learned-v3</t>
        </is>
      </c>
      <c r="U1301" s="24" t="inlineStr">
        <is>
          <t>settled</t>
        </is>
      </c>
      <c r="V1301" s="24" t="inlineStr">
        <is>
          <t>win</t>
        </is>
      </c>
      <c r="W1301" s="26" t="n">
        <v>14</v>
      </c>
      <c r="X1301" s="26" t="n">
        <v>16</v>
      </c>
      <c r="Y1301" s="25" t="n"/>
      <c r="Z1301" s="26" t="n"/>
      <c r="AA1301" s="28" t="n"/>
      <c r="AB1301" s="28" t="n"/>
      <c r="AC1301" s="30" t="n">
        <v>0.6944</v>
      </c>
      <c r="AD1301" s="24" t="inlineStr">
        <is>
          <t>2026-10-12T10:06:16.541273Z</t>
        </is>
      </c>
      <c r="AE1301" s="31" t="inlineStr">
        <is>
          <t>Tennis Markov total games line 22.5: over p=0.549. Executable ask 0.5900 (tsc-atp-stetsi-tayfri-2026-10-12-tg-22pt5).</t>
        </is>
      </c>
      <c r="AF1301" s="31" t="inlineStr">
        <is>
          <t>Surface-blended Elo model; singles only, WTA+ATP market coverage, not yet locked-holdout qualified -- promoted by explicit operator directive, not genuine walk-forward validation.</t>
        </is>
      </c>
      <c r="AG1301" s="24" t="inlineStr">
        <is>
          <t>not_applicable</t>
        </is>
      </c>
      <c r="AH1301" s="24" t="n"/>
      <c r="AI1301" s="31" t="n"/>
      <c r="AJ1301" s="31" t="n"/>
      <c r="AK1301" s="24" t="inlineStr">
        <is>
          <t>paper_call</t>
        </is>
      </c>
      <c r="AL1301" s="26" t="n">
        <v>4</v>
      </c>
      <c r="AM1301" s="24" t="inlineStr">
        <is>
          <t>RESEARCH_OBSERVATION</t>
        </is>
      </c>
      <c r="AN1301" s="24" t="inlineStr">
        <is>
          <t>CALL</t>
        </is>
      </c>
      <c r="AO1301" s="24" t="inlineStr">
        <is>
          <t>PAPER_CALL_LOW_EDGE</t>
        </is>
      </c>
      <c r="AP1301" s="24" t="inlineStr">
        <is>
          <t>Taylor Fritz</t>
        </is>
      </c>
      <c r="AQ1301" s="24" t="inlineStr">
        <is>
          <t>Taylor Fritz</t>
        </is>
      </c>
      <c r="AR1301" s="24" t="inlineStr">
        <is>
          <t>Taylor Fritz</t>
        </is>
      </c>
      <c r="AS1301" s="24" t="inlineStr">
        <is>
          <t>Stefanos Tsitsipas</t>
        </is>
      </c>
      <c r="AT1301" s="24" t="inlineStr">
        <is>
          <t>Stefanos Tsitsipas</t>
        </is>
      </c>
      <c r="AU1301" s="24" t="inlineStr">
        <is>
          <t>Stefanos Tsitsipas</t>
        </is>
      </c>
      <c r="AV1301" s="24" t="n"/>
      <c r="AW1301" s="24" t="n"/>
      <c r="AX1301" s="24" t="inlineStr">
        <is>
          <t>statistical_model</t>
        </is>
      </c>
      <c r="AY1301" s="24" t="n"/>
      <c r="AZ1301" s="24" t="inlineStr">
        <is>
          <t>shadow_qualified</t>
        </is>
      </c>
      <c r="BA1301" s="24" t="inlineStr">
        <is>
          <t>7443acc419841200d57e1edf36b77f1940cdd0c48dce3d43fcd05498a109440b</t>
        </is>
      </c>
      <c r="BB1301" s="24" t="inlineStr">
        <is>
          <t>learned_v3</t>
        </is>
      </c>
      <c r="BC1301" s="24" t="inlineStr">
        <is>
          <t>tennis-learned-v3</t>
        </is>
      </c>
      <c r="BD1301" s="24" t="inlineStr">
        <is>
          <t>7443acc419841200d57e1edf36b77f1940cdd0c48dce3d43fcd05498a109440b</t>
        </is>
      </c>
      <c r="BE1301" s="24" t="inlineStr">
        <is>
          <t>tennis-learned-v3</t>
        </is>
      </c>
      <c r="BF1301" s="24" t="inlineStr">
        <is>
          <t>1</t>
        </is>
      </c>
      <c r="BG1301" s="24" t="inlineStr">
        <is>
          <t>7443acc419841200d57e1edf36b77f1940cdd0c48dce3d43fcd05498a109440b</t>
        </is>
      </c>
      <c r="BH1301" s="24" t="inlineStr">
        <is>
          <t>2026-10-12T05:08:25.992552Z</t>
        </is>
      </c>
      <c r="BI1301" s="24" t="inlineStr">
        <is>
          <t>["same_event","same_team_same_day","same_league_same_day"]</t>
        </is>
      </c>
      <c r="BJ1301" s="25" t="n">
        <v>22.5</v>
      </c>
      <c r="BK1301" s="26" t="n">
        <v>-144</v>
      </c>
      <c r="BL1301" s="27" t="n">
        <v>1.694444</v>
      </c>
      <c r="BM1301" s="28" t="n">
        <v>0.590164</v>
      </c>
      <c r="BN1301" s="28" t="n"/>
      <c r="BO1301" s="28" t="n"/>
      <c r="BP1301" s="25" t="n"/>
      <c r="BQ1301" s="27" t="n"/>
      <c r="BR1301" s="28" t="n"/>
      <c r="BS1301" s="28" t="n"/>
      <c r="BT1301" s="28" t="n"/>
      <c r="BU1301" s="25" t="n"/>
      <c r="BV1301" s="29" t="n"/>
      <c r="BW1301" s="24" t="n"/>
      <c r="BX1301" s="30" t="n"/>
      <c r="BY1301" s="27" t="n"/>
      <c r="BZ1301" s="24" t="n"/>
      <c r="CA1301" s="31" t="n"/>
      <c r="CB1301" s="24" t="n"/>
      <c r="CC1301" s="24" t="n"/>
      <c r="CD1301" s="24" t="n"/>
      <c r="CE1301" s="24" t="n"/>
      <c r="CF1301" s="24" t="n"/>
      <c r="CG1301" s="24" t="n"/>
      <c r="CH1301" s="24" t="n"/>
      <c r="CI1301" s="24" t="n"/>
      <c r="CJ1301" s="24" t="n"/>
      <c r="CK1301" s="24" t="n"/>
      <c r="CL1301" s="24" t="n"/>
      <c r="CM1301" s="24" t="n"/>
      <c r="CN1301" s="24" t="n"/>
      <c r="CO1301" s="24" t="n"/>
      <c r="CP1301" s="24" t="n"/>
      <c r="CQ1301" s="24" t="n"/>
      <c r="CR1301" s="24" t="n"/>
      <c r="CS1301" s="24" t="inlineStr">
        <is>
          <t>False</t>
        </is>
      </c>
      <c r="CT1301" s="24" t="n"/>
      <c r="CU1301" s="24" t="n"/>
      <c r="CV1301" s="24" t="n"/>
      <c r="CW1301" s="24" t="n"/>
      <c r="CX1301" s="24" t="n"/>
      <c r="CY1301" s="24" t="n"/>
      <c r="CZ1301" s="24" t="n"/>
      <c r="DA1301" s="24" t="n"/>
      <c r="DB1301" s="24" t="n"/>
      <c r="DC1301" s="24" t="n"/>
      <c r="DD1301" s="24" t="inlineStr">
        <is>
          <t>7ac5ee487ba92149673817732553aa8c4580e59f7043e671184c66e23e796940</t>
        </is>
      </c>
      <c r="DE1301" s="24" t="inlineStr">
        <is>
          <t>E:\model-prediction\data\odds\tennis\2026-10-12\polymarket_snapshots.jsonl</t>
        </is>
      </c>
      <c r="DF1301" s="24" t="inlineStr">
        <is>
          <t>1351228:2026-10-12T05:08:25.992552Z</t>
        </is>
      </c>
      <c r="DG1301" s="24" t="n"/>
      <c r="DH1301" s="24" t="n"/>
      <c r="DI1301" s="24" t="n"/>
      <c r="DJ1301" s="24" t="n"/>
      <c r="DK1301" s="24" t="n"/>
      <c r="DL1301" s="24" t="n"/>
      <c r="DM1301" s="24" t="n"/>
      <c r="DN1301" s="24" t="n"/>
      <c r="DO1301" s="24" t="n"/>
      <c r="DP1301" s="24" t="n"/>
      <c r="DQ1301" s="24" t="n"/>
    </row>
    <row r="1302" ht="36" customHeight="1">
      <c r="A1302" s="24" t="inlineStr">
        <is>
          <t>a716004f19104741</t>
        </is>
      </c>
      <c r="B1302" s="24" t="inlineStr">
        <is>
          <t>2026-10-12T05:38:26.409279Z</t>
        </is>
      </c>
      <c r="C1302" s="24" t="inlineStr">
        <is>
          <t>2026-10-12T06:30Z</t>
        </is>
      </c>
      <c r="D1302" s="24" t="inlineStr">
        <is>
          <t>315-2026:184939</t>
        </is>
      </c>
      <c r="E1302" s="24" t="inlineStr">
        <is>
          <t>TENNIS</t>
        </is>
      </c>
      <c r="F1302" s="24" t="inlineStr">
        <is>
          <t>Taylor Fritz</t>
        </is>
      </c>
      <c r="G1302" s="24" t="inlineStr">
        <is>
          <t>Stefanos Tsitsipas</t>
        </is>
      </c>
      <c r="H1302" s="24" t="inlineStr">
        <is>
          <t>moneyline</t>
        </is>
      </c>
      <c r="I1302" s="24" t="inlineStr">
        <is>
          <t>away</t>
        </is>
      </c>
      <c r="J1302" s="25" t="n"/>
      <c r="K1302" s="24" t="inlineStr">
        <is>
          <t>polymarket_us</t>
        </is>
      </c>
      <c r="L1302" s="26" t="n">
        <v>-150</v>
      </c>
      <c r="M1302" s="27" t="n">
        <v>1.666667</v>
      </c>
      <c r="N1302" s="28" t="n">
        <v>0.6</v>
      </c>
      <c r="O1302" s="28" t="n">
        <v>0.5789</v>
      </c>
      <c r="P1302" s="28" t="n">
        <v>0.05</v>
      </c>
      <c r="Q1302" s="28" t="n">
        <v>-0.0211</v>
      </c>
      <c r="R1302" s="26" t="n">
        <v>9</v>
      </c>
      <c r="S1302" s="29" t="n">
        <v>1</v>
      </c>
      <c r="T1302" s="24" t="inlineStr">
        <is>
          <t>tennis-learned-v3</t>
        </is>
      </c>
      <c r="U1302" s="24" t="inlineStr">
        <is>
          <t>settled</t>
        </is>
      </c>
      <c r="V1302" s="24" t="inlineStr">
        <is>
          <t>loss</t>
        </is>
      </c>
      <c r="W1302" s="26" t="n">
        <v>0</v>
      </c>
      <c r="X1302" s="26" t="n">
        <v>1</v>
      </c>
      <c r="Y1302" s="25" t="n"/>
      <c r="Z1302" s="26" t="n">
        <v>-150</v>
      </c>
      <c r="AA1302" s="28" t="n">
        <v>0.6</v>
      </c>
      <c r="AB1302" s="28" t="n">
        <v>0</v>
      </c>
      <c r="AC1302" s="30" t="n">
        <v>-1</v>
      </c>
      <c r="AD1302" s="24" t="inlineStr">
        <is>
          <t>2026-10-12T10:06:23.938913Z</t>
        </is>
      </c>
      <c r="AE1302" s="31" t="inlineStr">
        <is>
          <t>Tennis v3 Learned Fundamental on Hard (Bo3): Taylor Fritz p=0.579 vs Stefanos Tsitsipas. Executable ask 0.6000 (aec-atp-stetsi-tayfri-2026-10-12).</t>
        </is>
      </c>
      <c r="AF1302" s="31" t="inlineStr">
        <is>
          <t>Surface-blended Elo model; singles only, WTA+ATP market coverage, not yet locked-holdout qualified -- promoted by explicit operator directive, not genuine walk-forward validation.</t>
        </is>
      </c>
      <c r="AG1302" s="24" t="inlineStr">
        <is>
          <t>review_required</t>
        </is>
      </c>
      <c r="AH1302" s="24" t="n"/>
      <c r="AI1302" s="31" t="n"/>
      <c r="AJ1302" s="31" t="n"/>
      <c r="AK1302" s="24" t="inlineStr">
        <is>
          <t>paper_call</t>
        </is>
      </c>
      <c r="AL1302" s="26" t="n">
        <v>4</v>
      </c>
      <c r="AM1302" s="24" t="inlineStr">
        <is>
          <t>RESEARCH_OBSERVATION</t>
        </is>
      </c>
      <c r="AN1302" s="24" t="inlineStr">
        <is>
          <t>CALL</t>
        </is>
      </c>
      <c r="AO1302" s="24" t="inlineStr">
        <is>
          <t>PAPER_CALL_LOW_EDGE</t>
        </is>
      </c>
      <c r="AP1302" s="24" t="inlineStr">
        <is>
          <t>Taylor Fritz</t>
        </is>
      </c>
      <c r="AQ1302" s="24" t="inlineStr">
        <is>
          <t>Taylor Fritz</t>
        </is>
      </c>
      <c r="AR1302" s="24" t="inlineStr">
        <is>
          <t>Taylor Fritz</t>
        </is>
      </c>
      <c r="AS1302" s="24" t="inlineStr">
        <is>
          <t>Stefanos Tsitsipas</t>
        </is>
      </c>
      <c r="AT1302" s="24" t="inlineStr">
        <is>
          <t>Stefanos Tsitsipas</t>
        </is>
      </c>
      <c r="AU1302" s="24" t="inlineStr">
        <is>
          <t>Stefanos Tsitsipas</t>
        </is>
      </c>
      <c r="AV1302" s="24" t="n"/>
      <c r="AW1302" s="24" t="n"/>
      <c r="AX1302" s="24" t="inlineStr">
        <is>
          <t>statistical_model</t>
        </is>
      </c>
      <c r="AY1302" s="24" t="n"/>
      <c r="AZ1302" s="24" t="inlineStr">
        <is>
          <t>shadow_qualified</t>
        </is>
      </c>
      <c r="BA1302" s="24" t="inlineStr">
        <is>
          <t>7443acc419841200d57e1edf36b77f1940cdd0c48dce3d43fcd05498a109440b</t>
        </is>
      </c>
      <c r="BB1302" s="24" t="inlineStr">
        <is>
          <t>learned_v3</t>
        </is>
      </c>
      <c r="BC1302" s="24" t="inlineStr">
        <is>
          <t>tennis-learned-v3</t>
        </is>
      </c>
      <c r="BD1302" s="24" t="inlineStr">
        <is>
          <t>7443acc419841200d57e1edf36b77f1940cdd0c48dce3d43fcd05498a109440b</t>
        </is>
      </c>
      <c r="BE1302" s="24" t="inlineStr">
        <is>
          <t>tennis-learned-v3</t>
        </is>
      </c>
      <c r="BF1302" s="24" t="inlineStr">
        <is>
          <t>1</t>
        </is>
      </c>
      <c r="BG1302" s="24" t="inlineStr">
        <is>
          <t>7443acc419841200d57e1edf36b77f1940cdd0c48dce3d43fcd05498a109440b</t>
        </is>
      </c>
      <c r="BH1302" s="24" t="inlineStr">
        <is>
          <t>2026-10-12T05:08:26.002631Z</t>
        </is>
      </c>
      <c r="BI1302" s="24" t="inlineStr">
        <is>
          <t>["same_event","same_team_same_day","same_league_same_day"]</t>
        </is>
      </c>
      <c r="BJ1302" s="25" t="n"/>
      <c r="BK1302" s="26" t="n">
        <v>-150</v>
      </c>
      <c r="BL1302" s="27" t="n">
        <v>1.666667</v>
      </c>
      <c r="BM1302" s="28" t="n">
        <v>0.6</v>
      </c>
      <c r="BN1302" s="28" t="n"/>
      <c r="BO1302" s="28" t="n"/>
      <c r="BP1302" s="25" t="n"/>
      <c r="BQ1302" s="27" t="n">
        <v>1.666667</v>
      </c>
      <c r="BR1302" s="28" t="n">
        <v>0.6</v>
      </c>
      <c r="BS1302" s="28" t="n"/>
      <c r="BT1302" s="28" t="n"/>
      <c r="BU1302" s="25" t="n"/>
      <c r="BV1302" s="29" t="n"/>
      <c r="BW1302" s="24" t="n"/>
      <c r="BX1302" s="30" t="n"/>
      <c r="BY1302" s="27" t="n"/>
      <c r="BZ1302" s="24" t="n"/>
      <c r="CA1302" s="31" t="n"/>
      <c r="CB1302" s="24" t="n"/>
      <c r="CC1302" s="24" t="n"/>
      <c r="CD1302" s="24" t="n"/>
      <c r="CE1302" s="24" t="n"/>
      <c r="CF1302" s="24" t="n"/>
      <c r="CG1302" s="24" t="n"/>
      <c r="CH1302" s="24" t="n"/>
      <c r="CI1302" s="24" t="n"/>
      <c r="CJ1302" s="24" t="n"/>
      <c r="CK1302" s="24" t="n"/>
      <c r="CL1302" s="24" t="n"/>
      <c r="CM1302" s="24" t="n"/>
      <c r="CN1302" s="24" t="n"/>
      <c r="CO1302" s="24" t="n"/>
      <c r="CP1302" s="24" t="n"/>
      <c r="CQ1302" s="24" t="n"/>
      <c r="CR1302" s="24" t="n"/>
      <c r="CS1302" s="24" t="inlineStr">
        <is>
          <t>False</t>
        </is>
      </c>
      <c r="CT1302" s="24" t="n"/>
      <c r="CU1302" s="24" t="n"/>
      <c r="CV1302" s="24" t="n"/>
      <c r="CW1302" s="24" t="n"/>
      <c r="CX1302" s="24" t="n"/>
      <c r="CY1302" s="24" t="n"/>
      <c r="CZ1302" s="24" t="n"/>
      <c r="DA1302" s="24" t="n"/>
      <c r="DB1302" s="24" t="n"/>
      <c r="DC1302" s="24" t="n"/>
      <c r="DD1302" s="24" t="inlineStr">
        <is>
          <t>31771d12ac391c5842fc63530fa2edba842e439b047c1352feb1fe1a1280b72e</t>
        </is>
      </c>
      <c r="DE1302" s="24" t="inlineStr">
        <is>
          <t>E:\model-prediction\data\odds\tennis\2026-10-12\polymarket_snapshots.jsonl</t>
        </is>
      </c>
      <c r="DF1302" s="24" t="inlineStr">
        <is>
          <t>1334965:2026-10-12T05:08:26.002631Z</t>
        </is>
      </c>
      <c r="DG1302" s="24" t="n"/>
      <c r="DH1302" s="24" t="n"/>
      <c r="DI1302" s="24" t="n"/>
      <c r="DJ1302" s="24" t="n"/>
      <c r="DK1302" s="24" t="n"/>
      <c r="DL1302" s="24" t="n"/>
      <c r="DM1302" s="24" t="n"/>
      <c r="DN1302" s="24" t="n"/>
      <c r="DO1302" s="24" t="n"/>
      <c r="DP1302" s="24" t="n"/>
      <c r="DQ1302" s="24" t="inlineStr">
        <is>
          <t>{"artifact_hash": "7443acc419841200d57e1edf36b77f1940cdd0c48dce3d43fcd05498a109440b", "away_team": "Taylor Fritz", "event_id": "315-2026:184939", "event_start_utc": "2026-10-12T06:30Z", "features": {"elo_p1_surface": 1693.5, "elo_p2_surface": 1632.5, "expected_games_p1": 13.67, "expected_games_p2": 11.08, "expected_total_games": 24.75, "history_matches": 11478, "min_player_matches": 148, "surface": "Hard"}, "historical_source_observation_times_verified": false, "home_team": "Stefanos Tsitsipas", "inference_inputs": {"best_of": 3, "code_sha256": {"features/elo_ratings.py": "d6513e79d65448c06cc0f9b9eed0eaa091567835128e1f6647a310da8d78a872", "models/tennis.py": "7443acc419841200d57e1edf36b77f1940cdd0c48dce3d43fcd05498a109440b"}, "counts": [179, 148], "market_probability": null, "model_version": "tennis-learned-v3", "overall_ratings": [1767.2982794676363, 1727.0190430141863], "p_serve_a": 0.658050254309426, "p_serve_b": 0.611949745690574, "players": ["Taylor Fritz", "Stefanos Tsitsipas"], "rest_days": [2.0, 1.0], "sport": "TENNIS", "surface": "Hard", "surface_counts": [126, 87], "surface_ratings": [1693.5223614853533, 1632.5105833634166], "tour": "ATP"}, "market_type": "moneyline", "model_version": "tennis-learned-v3", "observed_at_utc": "2026-10-12T05:38:23.706514+00:00", "probabilities": {"away": 0.5789, "home": 0.4211}, "replay_scope": "Exact full-precision serving state and rounding; upstream historical observation times are not certified.", "schema": "coded-moneyline-replay-v1", "snapshot_hash": "1d51c9e5dec7d333ca78b129fef4ab56d6633d3d3c32815159850b13ec7359c0", "sport": "TENNIS"}</t>
        </is>
      </c>
    </row>
    <row r="1303" ht="36" customHeight="1">
      <c r="A1303" s="24" t="inlineStr">
        <is>
          <t>dbd169bc18394803</t>
        </is>
      </c>
      <c r="B1303" s="24" t="inlineStr">
        <is>
          <t>2026-10-12T05:38:26.409279Z</t>
        </is>
      </c>
      <c r="C1303" s="24" t="inlineStr">
        <is>
          <t>2026-10-12T06:30Z</t>
        </is>
      </c>
      <c r="D1303" s="24" t="inlineStr">
        <is>
          <t>315-2026:184939</t>
        </is>
      </c>
      <c r="E1303" s="24" t="inlineStr">
        <is>
          <t>TENNIS</t>
        </is>
      </c>
      <c r="F1303" s="24" t="inlineStr">
        <is>
          <t>Taylor Fritz</t>
        </is>
      </c>
      <c r="G1303" s="24" t="inlineStr">
        <is>
          <t>Stefanos Tsitsipas</t>
        </is>
      </c>
      <c r="H1303" s="24" t="inlineStr">
        <is>
          <t>spread</t>
        </is>
      </c>
      <c r="I1303" s="24" t="inlineStr">
        <is>
          <t>away</t>
        </is>
      </c>
      <c r="J1303" s="25" t="n">
        <v>-7.5</v>
      </c>
      <c r="K1303" s="24" t="inlineStr">
        <is>
          <t>polymarket_us</t>
        </is>
      </c>
      <c r="L1303" s="26" t="n">
        <v>163</v>
      </c>
      <c r="M1303" s="27" t="n">
        <v>2.63</v>
      </c>
      <c r="N1303" s="28" t="n">
        <v>0.380228</v>
      </c>
      <c r="O1303" s="28" t="n">
        <v>0.9967</v>
      </c>
      <c r="P1303" s="28" t="n">
        <v>0.05</v>
      </c>
      <c r="Q1303" s="28" t="n">
        <v>0.616472</v>
      </c>
      <c r="R1303" s="26" t="n">
        <v>100</v>
      </c>
      <c r="S1303" s="29" t="n">
        <v>2</v>
      </c>
      <c r="T1303" s="24" t="inlineStr">
        <is>
          <t>tennis-learned-v3</t>
        </is>
      </c>
      <c r="U1303" s="24" t="inlineStr">
        <is>
          <t>settled</t>
        </is>
      </c>
      <c r="V1303" s="24" t="inlineStr">
        <is>
          <t>loss</t>
        </is>
      </c>
      <c r="W1303" s="26" t="n">
        <v>14</v>
      </c>
      <c r="X1303" s="26" t="n">
        <v>16</v>
      </c>
      <c r="Y1303" s="25" t="n"/>
      <c r="Z1303" s="26" t="n"/>
      <c r="AA1303" s="28" t="n"/>
      <c r="AB1303" s="28" t="n"/>
      <c r="AC1303" s="30" t="n">
        <v>-2</v>
      </c>
      <c r="AD1303" s="24" t="inlineStr">
        <is>
          <t>2026-10-12T10:06:30.401550Z</t>
        </is>
      </c>
      <c r="AE1303" s="31" t="inlineStr">
        <is>
          <t>Tennis Markov game spread -7.5 games: away cover p=0.997. Executable ask 0.3800 (asc-atp-stetsi-tayfri-2026-10-12-gs-neg-7pt5).</t>
        </is>
      </c>
      <c r="AF1303" s="31" t="inlineStr">
        <is>
          <t>Surface-blended Elo model; singles only, WTA+ATP market coverage, not yet locked-holdout qualified -- promoted by explicit operator directive, not genuine walk-forward validation.</t>
        </is>
      </c>
      <c r="AG1303" s="24" t="inlineStr">
        <is>
          <t>review_required</t>
        </is>
      </c>
      <c r="AH1303" s="24" t="n"/>
      <c r="AI1303" s="31" t="n"/>
      <c r="AJ1303" s="31" t="n"/>
      <c r="AK1303" s="24" t="inlineStr">
        <is>
          <t>model_qualified</t>
        </is>
      </c>
      <c r="AL1303" s="26" t="n">
        <v>4</v>
      </c>
      <c r="AM1303" s="24" t="inlineStr">
        <is>
          <t>QUALIFIED_SHADOW_CALL</t>
        </is>
      </c>
      <c r="AN1303" s="24" t="inlineStr">
        <is>
          <t>CALL</t>
        </is>
      </c>
      <c r="AO1303" s="24" t="inlineStr">
        <is>
          <t>QUALIFIED</t>
        </is>
      </c>
      <c r="AP1303" s="24" t="inlineStr">
        <is>
          <t>Taylor Fritz</t>
        </is>
      </c>
      <c r="AQ1303" s="24" t="inlineStr">
        <is>
          <t>Taylor Fritz</t>
        </is>
      </c>
      <c r="AR1303" s="24" t="inlineStr">
        <is>
          <t>Taylor Fritz</t>
        </is>
      </c>
      <c r="AS1303" s="24" t="inlineStr">
        <is>
          <t>Stefanos Tsitsipas</t>
        </is>
      </c>
      <c r="AT1303" s="24" t="inlineStr">
        <is>
          <t>Stefanos Tsitsipas</t>
        </is>
      </c>
      <c r="AU1303" s="24" t="inlineStr">
        <is>
          <t>Stefanos Tsitsipas</t>
        </is>
      </c>
      <c r="AV1303" s="24" t="n"/>
      <c r="AW1303" s="24" t="n"/>
      <c r="AX1303" s="24" t="inlineStr">
        <is>
          <t>statistical_model</t>
        </is>
      </c>
      <c r="AY1303" s="24" t="n"/>
      <c r="AZ1303" s="24" t="inlineStr">
        <is>
          <t>shadow_qualified</t>
        </is>
      </c>
      <c r="BA1303" s="24" t="inlineStr">
        <is>
          <t>7443acc419841200d57e1edf36b77f1940cdd0c48dce3d43fcd05498a109440b</t>
        </is>
      </c>
      <c r="BB1303" s="24" t="inlineStr">
        <is>
          <t>learned_v3</t>
        </is>
      </c>
      <c r="BC1303" s="24" t="inlineStr">
        <is>
          <t>tennis-learned-v3</t>
        </is>
      </c>
      <c r="BD1303" s="24" t="inlineStr">
        <is>
          <t>7443acc419841200d57e1edf36b77f1940cdd0c48dce3d43fcd05498a109440b</t>
        </is>
      </c>
      <c r="BE1303" s="24" t="inlineStr">
        <is>
          <t>tennis-learned-v3</t>
        </is>
      </c>
      <c r="BF1303" s="24" t="inlineStr">
        <is>
          <t>1</t>
        </is>
      </c>
      <c r="BG1303" s="24" t="inlineStr">
        <is>
          <t>7443acc419841200d57e1edf36b77f1940cdd0c48dce3d43fcd05498a109440b</t>
        </is>
      </c>
      <c r="BH1303" s="24" t="inlineStr">
        <is>
          <t>2026-10-12T05:07:55.519662Z</t>
        </is>
      </c>
      <c r="BI1303" s="24" t="inlineStr">
        <is>
          <t>["same_event","same_team_same_day","same_league_same_day"]</t>
        </is>
      </c>
      <c r="BJ1303" s="25" t="n">
        <v>-7.5</v>
      </c>
      <c r="BK1303" s="26" t="n">
        <v>163</v>
      </c>
      <c r="BL1303" s="27" t="n">
        <v>2.63</v>
      </c>
      <c r="BM1303" s="28" t="n">
        <v>0.380228</v>
      </c>
      <c r="BN1303" s="28" t="n"/>
      <c r="BO1303" s="28" t="n"/>
      <c r="BP1303" s="25" t="n"/>
      <c r="BQ1303" s="27" t="n"/>
      <c r="BR1303" s="28" t="n"/>
      <c r="BS1303" s="28" t="n"/>
      <c r="BT1303" s="28" t="n"/>
      <c r="BU1303" s="25" t="n"/>
      <c r="BV1303" s="29" t="n"/>
      <c r="BW1303" s="24" t="n"/>
      <c r="BX1303" s="30" t="n"/>
      <c r="BY1303" s="27" t="n"/>
      <c r="BZ1303" s="24" t="n"/>
      <c r="CA1303" s="31" t="n"/>
      <c r="CB1303" s="24" t="n"/>
      <c r="CC1303" s="24" t="n"/>
      <c r="CD1303" s="24" t="n"/>
      <c r="CE1303" s="24" t="n"/>
      <c r="CF1303" s="24" t="n"/>
      <c r="CG1303" s="24" t="n"/>
      <c r="CH1303" s="24" t="n"/>
      <c r="CI1303" s="24" t="n"/>
      <c r="CJ1303" s="24" t="n"/>
      <c r="CK1303" s="24" t="n"/>
      <c r="CL1303" s="24" t="n"/>
      <c r="CM1303" s="24" t="n"/>
      <c r="CN1303" s="24" t="n"/>
      <c r="CO1303" s="24" t="n"/>
      <c r="CP1303" s="24" t="n"/>
      <c r="CQ1303" s="24" t="n"/>
      <c r="CR1303" s="24" t="n"/>
      <c r="CS1303" s="24" t="inlineStr">
        <is>
          <t>True</t>
        </is>
      </c>
      <c r="CT1303" s="24" t="n"/>
      <c r="CU1303" s="24" t="n"/>
      <c r="CV1303" s="24" t="n"/>
      <c r="CW1303" s="24" t="n"/>
      <c r="CX1303" s="24" t="n"/>
      <c r="CY1303" s="24" t="n"/>
      <c r="CZ1303" s="24" t="n"/>
      <c r="DA1303" s="24" t="n"/>
      <c r="DB1303" s="24" t="n"/>
      <c r="DC1303" s="24" t="n"/>
      <c r="DD1303" s="24" t="inlineStr">
        <is>
          <t>a651fe3107d008978d72971a638704cde59b1ec19a1c76137ef42b86d2b2d1ef</t>
        </is>
      </c>
      <c r="DE1303" s="24" t="inlineStr">
        <is>
          <t>E:\model-prediction\data\odds\tennis\2026-10-12\polymarket_snapshots.jsonl</t>
        </is>
      </c>
      <c r="DF1303" s="24" t="inlineStr">
        <is>
          <t>1351243:2026-10-12T05:07:55.519662Z</t>
        </is>
      </c>
      <c r="DG1303" s="24" t="n"/>
      <c r="DH1303" s="24" t="n"/>
      <c r="DI1303" s="24" t="n"/>
      <c r="DJ1303" s="24" t="n"/>
      <c r="DK1303" s="24" t="n"/>
      <c r="DL1303" s="24" t="n"/>
      <c r="DM1303" s="24" t="n"/>
      <c r="DN1303" s="24" t="n"/>
      <c r="DO1303" s="24" t="n"/>
      <c r="DP1303" s="24" t="n"/>
      <c r="DQ1303" s="24" t="n"/>
    </row>
    <row r="1304" ht="36" customHeight="1">
      <c r="A1304" s="24" t="inlineStr">
        <is>
          <t>ba9ac3305ca34420</t>
        </is>
      </c>
      <c r="B1304" s="24" t="inlineStr">
        <is>
          <t>2026-10-12T05:38:26.409279Z</t>
        </is>
      </c>
      <c r="C1304" s="24" t="inlineStr">
        <is>
          <t>2026-10-12T07:00Z</t>
        </is>
      </c>
      <c r="D1304" s="24" t="inlineStr">
        <is>
          <t>315-2026:184934</t>
        </is>
      </c>
      <c r="E1304" s="24" t="inlineStr">
        <is>
          <t>TENNIS</t>
        </is>
      </c>
      <c r="F1304" s="24" t="inlineStr">
        <is>
          <t>Dalibor Svrcina</t>
        </is>
      </c>
      <c r="G1304" s="24" t="inlineStr">
        <is>
          <t>Daniil Medvedev</t>
        </is>
      </c>
      <c r="H1304" s="24" t="inlineStr">
        <is>
          <t>moneyline</t>
        </is>
      </c>
      <c r="I1304" s="24" t="inlineStr">
        <is>
          <t>home</t>
        </is>
      </c>
      <c r="J1304" s="25" t="n"/>
      <c r="K1304" s="24" t="inlineStr">
        <is>
          <t>polymarket_us</t>
        </is>
      </c>
      <c r="L1304" s="26" t="n">
        <v>-669</v>
      </c>
      <c r="M1304" s="27" t="n">
        <v>1.149477</v>
      </c>
      <c r="N1304" s="28" t="n">
        <v>0.869961</v>
      </c>
      <c r="O1304" s="28" t="n">
        <v>0.8043</v>
      </c>
      <c r="P1304" s="28" t="n">
        <v>0.05</v>
      </c>
      <c r="Q1304" s="28" t="n">
        <v>-0.065661</v>
      </c>
      <c r="R1304" s="26" t="n">
        <v>0</v>
      </c>
      <c r="S1304" s="29" t="n">
        <v>1</v>
      </c>
      <c r="T1304" s="24" t="inlineStr">
        <is>
          <t>tennis-learned-v3</t>
        </is>
      </c>
      <c r="U1304" s="24" t="inlineStr">
        <is>
          <t>settled</t>
        </is>
      </c>
      <c r="V1304" s="24" t="inlineStr">
        <is>
          <t>win</t>
        </is>
      </c>
      <c r="W1304" s="26" t="n">
        <v>0</v>
      </c>
      <c r="X1304" s="26" t="n">
        <v>1</v>
      </c>
      <c r="Y1304" s="25" t="n"/>
      <c r="Z1304" s="26" t="n">
        <v>-669</v>
      </c>
      <c r="AA1304" s="28" t="n">
        <v>0.87</v>
      </c>
      <c r="AB1304" s="28" t="n">
        <v>3.9e-05</v>
      </c>
      <c r="AC1304" s="30" t="n">
        <v>0.1495</v>
      </c>
      <c r="AD1304" s="24" t="inlineStr">
        <is>
          <t>2026-10-12T16:07:21.327085Z</t>
        </is>
      </c>
      <c r="AE1304" s="31" t="inlineStr">
        <is>
          <t>Tennis v3 Learned Fundamental on Hard (Bo3): Dalibor Svrcina p=0.196 vs Daniil Medvedev. Executable ask 0.8700 (aec-atp-danmed-dalsvr-2026-10-10).</t>
        </is>
      </c>
      <c r="AF1304" s="31" t="inlineStr">
        <is>
          <t>Surface-blended Elo model; singles only, WTA+ATP market coverage, not yet locked-holdout qualified -- promoted by explicit operator directive, not genuine walk-forward validation.</t>
        </is>
      </c>
      <c r="AG1304" s="24" t="inlineStr">
        <is>
          <t>not_applicable</t>
        </is>
      </c>
      <c r="AH1304" s="24" t="n"/>
      <c r="AI1304" s="31" t="n"/>
      <c r="AJ1304" s="31" t="n"/>
      <c r="AK1304" s="24" t="inlineStr">
        <is>
          <t>paper_call</t>
        </is>
      </c>
      <c r="AL1304" s="26" t="n">
        <v>4</v>
      </c>
      <c r="AM1304" s="24" t="inlineStr">
        <is>
          <t>RESEARCH_OBSERVATION</t>
        </is>
      </c>
      <c r="AN1304" s="24" t="inlineStr">
        <is>
          <t>CALL</t>
        </is>
      </c>
      <c r="AO1304" s="24" t="inlineStr">
        <is>
          <t>PAPER_CALL_LOW_EDGE</t>
        </is>
      </c>
      <c r="AP1304" s="24" t="inlineStr">
        <is>
          <t>Dalibor Svrcina</t>
        </is>
      </c>
      <c r="AQ1304" s="24" t="inlineStr">
        <is>
          <t>Dalibor Svrcina</t>
        </is>
      </c>
      <c r="AR1304" s="24" t="inlineStr">
        <is>
          <t>Dalibor Svrcina</t>
        </is>
      </c>
      <c r="AS1304" s="24" t="inlineStr">
        <is>
          <t>Daniil Medvedev</t>
        </is>
      </c>
      <c r="AT1304" s="24" t="inlineStr">
        <is>
          <t>Daniil Medvedev</t>
        </is>
      </c>
      <c r="AU1304" s="24" t="inlineStr">
        <is>
          <t>Daniil Medvedev</t>
        </is>
      </c>
      <c r="AV1304" s="24" t="n"/>
      <c r="AW1304" s="24" t="n"/>
      <c r="AX1304" s="24" t="inlineStr">
        <is>
          <t>statistical_model</t>
        </is>
      </c>
      <c r="AY1304" s="24" t="n"/>
      <c r="AZ1304" s="24" t="inlineStr">
        <is>
          <t>shadow_qualified</t>
        </is>
      </c>
      <c r="BA1304" s="24" t="inlineStr">
        <is>
          <t>7443acc419841200d57e1edf36b77f1940cdd0c48dce3d43fcd05498a109440b</t>
        </is>
      </c>
      <c r="BB1304" s="24" t="inlineStr">
        <is>
          <t>learned_v3</t>
        </is>
      </c>
      <c r="BC1304" s="24" t="inlineStr">
        <is>
          <t>tennis-learned-v3</t>
        </is>
      </c>
      <c r="BD1304" s="24" t="inlineStr">
        <is>
          <t>7443acc419841200d57e1edf36b77f1940cdd0c48dce3d43fcd05498a109440b</t>
        </is>
      </c>
      <c r="BE1304" s="24" t="inlineStr">
        <is>
          <t>tennis-learned-v3</t>
        </is>
      </c>
      <c r="BF1304" s="24" t="inlineStr">
        <is>
          <t>1</t>
        </is>
      </c>
      <c r="BG1304" s="24" t="inlineStr">
        <is>
          <t>7443acc419841200d57e1edf36b77f1940cdd0c48dce3d43fcd05498a109440b</t>
        </is>
      </c>
      <c r="BH1304" s="24" t="inlineStr">
        <is>
          <t>2026-10-12T05:09:08.032082Z</t>
        </is>
      </c>
      <c r="BI1304" s="24" t="inlineStr">
        <is>
          <t>["same_event","same_team_same_day","same_league_same_day"]</t>
        </is>
      </c>
      <c r="BJ1304" s="25" t="n"/>
      <c r="BK1304" s="26" t="n">
        <v>-669</v>
      </c>
      <c r="BL1304" s="27" t="n">
        <v>1.149477</v>
      </c>
      <c r="BM1304" s="28" t="n">
        <v>0.869961</v>
      </c>
      <c r="BN1304" s="28" t="n"/>
      <c r="BO1304" s="28" t="n"/>
      <c r="BP1304" s="25" t="n"/>
      <c r="BQ1304" s="27" t="n">
        <v>1.149477</v>
      </c>
      <c r="BR1304" s="28" t="n">
        <v>0.87</v>
      </c>
      <c r="BS1304" s="28" t="n"/>
      <c r="BT1304" s="28" t="n"/>
      <c r="BU1304" s="25" t="n"/>
      <c r="BV1304" s="29" t="n"/>
      <c r="BW1304" s="24" t="n"/>
      <c r="BX1304" s="30" t="n"/>
      <c r="BY1304" s="27" t="n"/>
      <c r="BZ1304" s="24" t="n"/>
      <c r="CA1304" s="31" t="n"/>
      <c r="CB1304" s="24" t="n"/>
      <c r="CC1304" s="24" t="n"/>
      <c r="CD1304" s="24" t="n"/>
      <c r="CE1304" s="24" t="n"/>
      <c r="CF1304" s="24" t="n"/>
      <c r="CG1304" s="24" t="n"/>
      <c r="CH1304" s="24" t="n"/>
      <c r="CI1304" s="24" t="n"/>
      <c r="CJ1304" s="24" t="n"/>
      <c r="CK1304" s="24" t="n"/>
      <c r="CL1304" s="24" t="n"/>
      <c r="CM1304" s="24" t="n"/>
      <c r="CN1304" s="24" t="n"/>
      <c r="CO1304" s="24" t="n"/>
      <c r="CP1304" s="24" t="n"/>
      <c r="CQ1304" s="24" t="n"/>
      <c r="CR1304" s="24" t="n"/>
      <c r="CS1304" s="24" t="inlineStr">
        <is>
          <t>False</t>
        </is>
      </c>
      <c r="CT1304" s="24" t="n"/>
      <c r="CU1304" s="24" t="n"/>
      <c r="CV1304" s="24" t="n"/>
      <c r="CW1304" s="24" t="n"/>
      <c r="CX1304" s="24" t="n"/>
      <c r="CY1304" s="24" t="n"/>
      <c r="CZ1304" s="24" t="n"/>
      <c r="DA1304" s="24" t="n"/>
      <c r="DB1304" s="24" t="n"/>
      <c r="DC1304" s="24" t="n"/>
      <c r="DD1304" s="24" t="inlineStr">
        <is>
          <t>6a75b00245f9987957934993389e83605ede27e372a024c0e2339ddda512a3fb</t>
        </is>
      </c>
      <c r="DE1304" s="24" t="inlineStr">
        <is>
          <t>E:\model-prediction\data\odds\tennis\2026-10-12\polymarket_snapshots.jsonl</t>
        </is>
      </c>
      <c r="DF1304" s="24" t="inlineStr">
        <is>
          <t>1333737:2026-10-12T05:09:08.032082Z</t>
        </is>
      </c>
      <c r="DG1304" s="24" t="n"/>
      <c r="DH1304" s="24" t="n"/>
      <c r="DI1304" s="24" t="n"/>
      <c r="DJ1304" s="24" t="n"/>
      <c r="DK1304" s="24" t="n"/>
      <c r="DL1304" s="24" t="n"/>
      <c r="DM1304" s="24" t="n"/>
      <c r="DN1304" s="24" t="n"/>
      <c r="DO1304" s="24" t="n"/>
      <c r="DP1304" s="24" t="n"/>
      <c r="DQ1304" s="24" t="inlineStr">
        <is>
          <t>{"artifact_hash": "7443acc419841200d57e1edf36b77f1940cdd0c48dce3d43fcd05498a109440b", "away_team": "Dalibor Svrcina", "event_id": "315-2026:184934", "event_start_utc": "2026-10-12T07:00Z", "features": {"elo_p1_surface": 1557.8, "elo_p2_surface": 1745.9, "expected_games_p1": 6.12, "expected_games_p2": 12.54, "expected_total_games": 18.66, "history_matches": 11478, "min_player_matches": 70, "surface": "Hard"}, "historical_source_observation_times_verified": false, "home_team": "Daniil Medvedev", "inference_inputs": {"best_of": 3, "code_sha256": {"features/elo_ratings.py": "d6513e79d65448c06cc0f9b9eed0eaa091567835128e1f6647a310da8d78a872", "models/tennis.py": "7443acc419841200d57e1edf36b77f1940cdd0c48dce3d43fcd05498a109440b"}, "counts": [70, 191], "market_probability": null, "model_version": "tennis-learned-v3", "overall_ratings": [1595.9299137336989, 1792.1300924376362], "p_serve_a": 0.5326810874348997, "p_serve_b": 0.7373189125651003, "players": ["Dalibor Svrcina", "Daniil Medvedev"], "rest_days": [2.0, 2.0], "sport": "TENNIS", "surface": "Hard", "surface_counts": [53, 137], "surface_ratings": [1557.7926882251525, 1745.8603894984788], "tour": "ATP"}, "market_type": "moneyline", "model_version": "tennis-learned-v3", "observed_at_utc": "2026-10-12T05:38:23.706514+00:00", "probabilities": {"away": 0.1957, "home": 0.8043}, "replay_scope": "Exact full-precision serving state and rounding; upstream historical observation times are not certified.", "schema": "coded-moneyline-replay-v1", "snapshot_hash": "06ca399e0d1735f4a4a75c9849aa15b123762cdd94a85e08526f74f3f773f6c7", "sport": "TENNIS"}</t>
        </is>
      </c>
    </row>
    <row r="1305" ht="36" customHeight="1">
      <c r="A1305" s="24" t="inlineStr">
        <is>
          <t>0a017911452b4abb</t>
        </is>
      </c>
      <c r="B1305" s="24" t="inlineStr">
        <is>
          <t>2026-10-12T05:38:26.409279Z</t>
        </is>
      </c>
      <c r="C1305" s="24" t="inlineStr">
        <is>
          <t>2026-10-12T07:00Z</t>
        </is>
      </c>
      <c r="D1305" s="24" t="inlineStr">
        <is>
          <t>315-2026:184934</t>
        </is>
      </c>
      <c r="E1305" s="24" t="inlineStr">
        <is>
          <t>TENNIS</t>
        </is>
      </c>
      <c r="F1305" s="24" t="inlineStr">
        <is>
          <t>Dalibor Svrcina</t>
        </is>
      </c>
      <c r="G1305" s="24" t="inlineStr">
        <is>
          <t>Daniil Medvedev</t>
        </is>
      </c>
      <c r="H1305" s="24" t="inlineStr">
        <is>
          <t>spread</t>
        </is>
      </c>
      <c r="I1305" s="24" t="inlineStr">
        <is>
          <t>home</t>
        </is>
      </c>
      <c r="J1305" s="25" t="n">
        <v>-4.5</v>
      </c>
      <c r="K1305" s="24" t="inlineStr">
        <is>
          <t>polymarket_us</t>
        </is>
      </c>
      <c r="L1305" s="26" t="n">
        <v>-170</v>
      </c>
      <c r="M1305" s="27" t="n">
        <v>1.588235</v>
      </c>
      <c r="N1305" s="28" t="n">
        <v>0.62963</v>
      </c>
      <c r="O1305" s="28" t="n">
        <v>0.8204</v>
      </c>
      <c r="P1305" s="28" t="n">
        <v>0.05</v>
      </c>
      <c r="Q1305" s="28" t="n">
        <v>0.19077</v>
      </c>
      <c r="R1305" s="26" t="n">
        <v>100</v>
      </c>
      <c r="S1305" s="29" t="n">
        <v>2</v>
      </c>
      <c r="T1305" s="24" t="inlineStr">
        <is>
          <t>tennis-learned-v3</t>
        </is>
      </c>
      <c r="U1305" s="24" t="inlineStr">
        <is>
          <t>settled</t>
        </is>
      </c>
      <c r="V1305" s="24" t="inlineStr">
        <is>
          <t>win</t>
        </is>
      </c>
      <c r="W1305" s="26" t="n">
        <v>5</v>
      </c>
      <c r="X1305" s="26" t="n">
        <v>12</v>
      </c>
      <c r="Y1305" s="25" t="n"/>
      <c r="Z1305" s="26" t="n"/>
      <c r="AA1305" s="28" t="n"/>
      <c r="AB1305" s="28" t="n"/>
      <c r="AC1305" s="30" t="n">
        <v>1.1765</v>
      </c>
      <c r="AD1305" s="24" t="inlineStr">
        <is>
          <t>2026-10-12T16:07:29.228382Z</t>
        </is>
      </c>
      <c r="AE1305" s="31" t="inlineStr">
        <is>
          <t>Tennis Markov game spread -4.5 games: home cover p=0.820. Executable ask 0.6300 (asc-atp-danmed-dalsvr-2026-10-10-gs-neg-4pt5).</t>
        </is>
      </c>
      <c r="AF1305" s="31" t="inlineStr">
        <is>
          <t>Surface-blended Elo model; singles only, WTA+ATP market coverage, not yet locked-holdout qualified -- promoted by explicit operator directive, not genuine walk-forward validation.</t>
        </is>
      </c>
      <c r="AG1305" s="24" t="inlineStr">
        <is>
          <t>not_applicable</t>
        </is>
      </c>
      <c r="AH1305" s="24" t="n"/>
      <c r="AI1305" s="31" t="n"/>
      <c r="AJ1305" s="31" t="n"/>
      <c r="AK1305" s="24" t="inlineStr">
        <is>
          <t>model_qualified</t>
        </is>
      </c>
      <c r="AL1305" s="26" t="n">
        <v>4</v>
      </c>
      <c r="AM1305" s="24" t="inlineStr">
        <is>
          <t>QUALIFIED_SHADOW_CALL</t>
        </is>
      </c>
      <c r="AN1305" s="24" t="inlineStr">
        <is>
          <t>CALL</t>
        </is>
      </c>
      <c r="AO1305" s="24" t="inlineStr">
        <is>
          <t>QUALIFIED</t>
        </is>
      </c>
      <c r="AP1305" s="24" t="inlineStr">
        <is>
          <t>Dalibor Svrcina</t>
        </is>
      </c>
      <c r="AQ1305" s="24" t="inlineStr">
        <is>
          <t>Dalibor Svrcina</t>
        </is>
      </c>
      <c r="AR1305" s="24" t="inlineStr">
        <is>
          <t>Dalibor Svrcina</t>
        </is>
      </c>
      <c r="AS1305" s="24" t="inlineStr">
        <is>
          <t>Daniil Medvedev</t>
        </is>
      </c>
      <c r="AT1305" s="24" t="inlineStr">
        <is>
          <t>Daniil Medvedev</t>
        </is>
      </c>
      <c r="AU1305" s="24" t="inlineStr">
        <is>
          <t>Daniil Medvedev</t>
        </is>
      </c>
      <c r="AV1305" s="24" t="n"/>
      <c r="AW1305" s="24" t="n"/>
      <c r="AX1305" s="24" t="inlineStr">
        <is>
          <t>statistical_model</t>
        </is>
      </c>
      <c r="AY1305" s="24" t="n"/>
      <c r="AZ1305" s="24" t="inlineStr">
        <is>
          <t>shadow_qualified</t>
        </is>
      </c>
      <c r="BA1305" s="24" t="inlineStr">
        <is>
          <t>7443acc419841200d57e1edf36b77f1940cdd0c48dce3d43fcd05498a109440b</t>
        </is>
      </c>
      <c r="BB1305" s="24" t="inlineStr">
        <is>
          <t>learned_v3</t>
        </is>
      </c>
      <c r="BC1305" s="24" t="inlineStr">
        <is>
          <t>tennis-learned-v3</t>
        </is>
      </c>
      <c r="BD1305" s="24" t="inlineStr">
        <is>
          <t>7443acc419841200d57e1edf36b77f1940cdd0c48dce3d43fcd05498a109440b</t>
        </is>
      </c>
      <c r="BE1305" s="24" t="inlineStr">
        <is>
          <t>tennis-learned-v3</t>
        </is>
      </c>
      <c r="BF1305" s="24" t="inlineStr">
        <is>
          <t>1</t>
        </is>
      </c>
      <c r="BG1305" s="24" t="inlineStr">
        <is>
          <t>7443acc419841200d57e1edf36b77f1940cdd0c48dce3d43fcd05498a109440b</t>
        </is>
      </c>
      <c r="BH1305" s="24" t="inlineStr">
        <is>
          <t>2026-10-12T05:09:08.028566Z</t>
        </is>
      </c>
      <c r="BI1305" s="24" t="inlineStr">
        <is>
          <t>["same_event","same_team_same_day","same_league_same_day"]</t>
        </is>
      </c>
      <c r="BJ1305" s="25" t="n">
        <v>-4.5</v>
      </c>
      <c r="BK1305" s="26" t="n">
        <v>-170</v>
      </c>
      <c r="BL1305" s="27" t="n">
        <v>1.588235</v>
      </c>
      <c r="BM1305" s="28" t="n">
        <v>0.62963</v>
      </c>
      <c r="BN1305" s="28" t="n"/>
      <c r="BO1305" s="28" t="n"/>
      <c r="BP1305" s="25" t="n"/>
      <c r="BQ1305" s="27" t="n"/>
      <c r="BR1305" s="28" t="n"/>
      <c r="BS1305" s="28" t="n"/>
      <c r="BT1305" s="28" t="n"/>
      <c r="BU1305" s="25" t="n"/>
      <c r="BV1305" s="29" t="n"/>
      <c r="BW1305" s="24" t="n"/>
      <c r="BX1305" s="30" t="n"/>
      <c r="BY1305" s="27" t="n"/>
      <c r="BZ1305" s="24" t="n"/>
      <c r="CA1305" s="31" t="n"/>
      <c r="CB1305" s="24" t="n"/>
      <c r="CC1305" s="24" t="n"/>
      <c r="CD1305" s="24" t="n"/>
      <c r="CE1305" s="24" t="n"/>
      <c r="CF1305" s="24" t="n"/>
      <c r="CG1305" s="24" t="n"/>
      <c r="CH1305" s="24" t="n"/>
      <c r="CI1305" s="24" t="n"/>
      <c r="CJ1305" s="24" t="n"/>
      <c r="CK1305" s="24" t="n"/>
      <c r="CL1305" s="24" t="n"/>
      <c r="CM1305" s="24" t="n"/>
      <c r="CN1305" s="24" t="n"/>
      <c r="CO1305" s="24" t="n"/>
      <c r="CP1305" s="24" t="n"/>
      <c r="CQ1305" s="24" t="n"/>
      <c r="CR1305" s="24" t="n"/>
      <c r="CS1305" s="24" t="inlineStr">
        <is>
          <t>True</t>
        </is>
      </c>
      <c r="CT1305" s="24" t="n"/>
      <c r="CU1305" s="24" t="n"/>
      <c r="CV1305" s="24" t="n"/>
      <c r="CW1305" s="24" t="n"/>
      <c r="CX1305" s="24" t="n"/>
      <c r="CY1305" s="24" t="n"/>
      <c r="CZ1305" s="24" t="n"/>
      <c r="DA1305" s="24" t="n"/>
      <c r="DB1305" s="24" t="n"/>
      <c r="DC1305" s="24" t="n"/>
      <c r="DD1305" s="24" t="inlineStr">
        <is>
          <t>d7a62a742ff187f0dcecf88d8feff7c330dfe755056e80fe60b28d9a72ca5423</t>
        </is>
      </c>
      <c r="DE1305" s="24" t="inlineStr">
        <is>
          <t>E:\model-prediction\data\odds\tennis\2026-10-12\polymarket_snapshots.jsonl</t>
        </is>
      </c>
      <c r="DF1305" s="24" t="inlineStr">
        <is>
          <t>1334231:2026-10-12T05:09:08.028566Z</t>
        </is>
      </c>
      <c r="DG1305" s="24" t="n"/>
      <c r="DH1305" s="24" t="n"/>
      <c r="DI1305" s="24" t="n"/>
      <c r="DJ1305" s="24" t="n"/>
      <c r="DK1305" s="24" t="n"/>
      <c r="DL1305" s="24" t="n"/>
      <c r="DM1305" s="24" t="n"/>
      <c r="DN1305" s="24" t="n"/>
      <c r="DO1305" s="24" t="n"/>
      <c r="DP1305" s="24" t="n"/>
      <c r="DQ1305" s="24" t="n"/>
    </row>
    <row r="1306" ht="36" customHeight="1">
      <c r="A1306" s="24" t="inlineStr">
        <is>
          <t>0ef8724e4a114f29</t>
        </is>
      </c>
      <c r="B1306" s="24" t="inlineStr">
        <is>
          <t>2026-10-12T05:38:26.409279Z</t>
        </is>
      </c>
      <c r="C1306" s="24" t="inlineStr">
        <is>
          <t>2026-10-12T07:00Z</t>
        </is>
      </c>
      <c r="D1306" s="24" t="inlineStr">
        <is>
          <t>315-2026:184934</t>
        </is>
      </c>
      <c r="E1306" s="24" t="inlineStr">
        <is>
          <t>TENNIS</t>
        </is>
      </c>
      <c r="F1306" s="24" t="inlineStr">
        <is>
          <t>Dalibor Svrcina</t>
        </is>
      </c>
      <c r="G1306" s="24" t="inlineStr">
        <is>
          <t>Daniil Medvedev</t>
        </is>
      </c>
      <c r="H1306" s="24" t="inlineStr">
        <is>
          <t>total</t>
        </is>
      </c>
      <c r="I1306" s="24" t="inlineStr">
        <is>
          <t>under</t>
        </is>
      </c>
      <c r="J1306" s="25" t="n">
        <v>22.5</v>
      </c>
      <c r="K1306" s="24" t="inlineStr">
        <is>
          <t>polymarket_us</t>
        </is>
      </c>
      <c r="L1306" s="26" t="n">
        <v>-376</v>
      </c>
      <c r="M1306" s="27" t="n">
        <v>1.265957</v>
      </c>
      <c r="N1306" s="28" t="n">
        <v>0.789916</v>
      </c>
      <c r="O1306" s="28" t="n">
        <v>0.8812</v>
      </c>
      <c r="P1306" s="28" t="n">
        <v>0.05</v>
      </c>
      <c r="Q1306" s="28" t="n">
        <v>0.091284</v>
      </c>
      <c r="R1306" s="26" t="n">
        <v>66</v>
      </c>
      <c r="S1306" s="29" t="n">
        <v>1.25</v>
      </c>
      <c r="T1306" s="24" t="inlineStr">
        <is>
          <t>tennis-learned-v3</t>
        </is>
      </c>
      <c r="U1306" s="24" t="inlineStr">
        <is>
          <t>settled</t>
        </is>
      </c>
      <c r="V1306" s="24" t="inlineStr">
        <is>
          <t>win</t>
        </is>
      </c>
      <c r="W1306" s="26" t="n">
        <v>5</v>
      </c>
      <c r="X1306" s="26" t="n">
        <v>12</v>
      </c>
      <c r="Y1306" s="25" t="n"/>
      <c r="Z1306" s="26" t="n"/>
      <c r="AA1306" s="28" t="n"/>
      <c r="AB1306" s="28" t="n"/>
      <c r="AC1306" s="30" t="n">
        <v>0.3324</v>
      </c>
      <c r="AD1306" s="24" t="inlineStr">
        <is>
          <t>2026-10-12T16:07:44.038169Z</t>
        </is>
      </c>
      <c r="AE1306" s="31" t="inlineStr">
        <is>
          <t>Tennis Markov total games line 22.5: under p=0.881. Executable ask 0.7900 (tsc-atp-danmed-dalsvr-2026-10-10-tg-22pt5).</t>
        </is>
      </c>
      <c r="AF1306" s="31" t="inlineStr">
        <is>
          <t>Surface-blended Elo model; singles only, WTA+ATP market coverage, not yet locked-holdout qualified -- promoted by explicit operator directive, not genuine walk-forward validation.</t>
        </is>
      </c>
      <c r="AG1306" s="24" t="inlineStr">
        <is>
          <t>not_applicable</t>
        </is>
      </c>
      <c r="AH1306" s="24" t="n"/>
      <c r="AI1306" s="31" t="n"/>
      <c r="AJ1306" s="31" t="n"/>
      <c r="AK1306" s="24" t="inlineStr">
        <is>
          <t>model_qualified</t>
        </is>
      </c>
      <c r="AL1306" s="26" t="n">
        <v>4</v>
      </c>
      <c r="AM1306" s="24" t="inlineStr">
        <is>
          <t>QUALIFIED_SHADOW_CALL</t>
        </is>
      </c>
      <c r="AN1306" s="24" t="inlineStr">
        <is>
          <t>CALL</t>
        </is>
      </c>
      <c r="AO1306" s="24" t="inlineStr">
        <is>
          <t>QUALIFIED</t>
        </is>
      </c>
      <c r="AP1306" s="24" t="inlineStr">
        <is>
          <t>Dalibor Svrcina</t>
        </is>
      </c>
      <c r="AQ1306" s="24" t="inlineStr">
        <is>
          <t>Dalibor Svrcina</t>
        </is>
      </c>
      <c r="AR1306" s="24" t="inlineStr">
        <is>
          <t>Dalibor Svrcina</t>
        </is>
      </c>
      <c r="AS1306" s="24" t="inlineStr">
        <is>
          <t>Daniil Medvedev</t>
        </is>
      </c>
      <c r="AT1306" s="24" t="inlineStr">
        <is>
          <t>Daniil Medvedev</t>
        </is>
      </c>
      <c r="AU1306" s="24" t="inlineStr">
        <is>
          <t>Daniil Medvedev</t>
        </is>
      </c>
      <c r="AV1306" s="24" t="n"/>
      <c r="AW1306" s="24" t="n"/>
      <c r="AX1306" s="24" t="inlineStr">
        <is>
          <t>statistical_model</t>
        </is>
      </c>
      <c r="AY1306" s="24" t="n"/>
      <c r="AZ1306" s="24" t="inlineStr">
        <is>
          <t>shadow_qualified</t>
        </is>
      </c>
      <c r="BA1306" s="24" t="inlineStr">
        <is>
          <t>7443acc419841200d57e1edf36b77f1940cdd0c48dce3d43fcd05498a109440b</t>
        </is>
      </c>
      <c r="BB1306" s="24" t="inlineStr">
        <is>
          <t>learned_v3</t>
        </is>
      </c>
      <c r="BC1306" s="24" t="inlineStr">
        <is>
          <t>tennis-learned-v3</t>
        </is>
      </c>
      <c r="BD1306" s="24" t="inlineStr">
        <is>
          <t>7443acc419841200d57e1edf36b77f1940cdd0c48dce3d43fcd05498a109440b</t>
        </is>
      </c>
      <c r="BE1306" s="24" t="inlineStr">
        <is>
          <t>tennis-learned-v3</t>
        </is>
      </c>
      <c r="BF1306" s="24" t="inlineStr">
        <is>
          <t>1</t>
        </is>
      </c>
      <c r="BG1306" s="24" t="inlineStr">
        <is>
          <t>7443acc419841200d57e1edf36b77f1940cdd0c48dce3d43fcd05498a109440b</t>
        </is>
      </c>
      <c r="BH1306" s="24" t="inlineStr">
        <is>
          <t>2026-10-12T05:09:08.030076Z</t>
        </is>
      </c>
      <c r="BI1306" s="24" t="inlineStr">
        <is>
          <t>["same_event","same_team_same_day","same_league_same_day"]</t>
        </is>
      </c>
      <c r="BJ1306" s="25" t="n">
        <v>22.5</v>
      </c>
      <c r="BK1306" s="26" t="n">
        <v>-376</v>
      </c>
      <c r="BL1306" s="27" t="n">
        <v>1.265957</v>
      </c>
      <c r="BM1306" s="28" t="n">
        <v>0.789916</v>
      </c>
      <c r="BN1306" s="28" t="n"/>
      <c r="BO1306" s="28" t="n"/>
      <c r="BP1306" s="25" t="n"/>
      <c r="BQ1306" s="27" t="n"/>
      <c r="BR1306" s="28" t="n"/>
      <c r="BS1306" s="28" t="n"/>
      <c r="BT1306" s="28" t="n"/>
      <c r="BU1306" s="25" t="n"/>
      <c r="BV1306" s="29" t="n"/>
      <c r="BW1306" s="24" t="n"/>
      <c r="BX1306" s="30" t="n"/>
      <c r="BY1306" s="27" t="n"/>
      <c r="BZ1306" s="24" t="n"/>
      <c r="CA1306" s="31" t="n"/>
      <c r="CB1306" s="24" t="n"/>
      <c r="CC1306" s="24" t="n"/>
      <c r="CD1306" s="24" t="n"/>
      <c r="CE1306" s="24" t="n"/>
      <c r="CF1306" s="24" t="n"/>
      <c r="CG1306" s="24" t="n"/>
      <c r="CH1306" s="24" t="n"/>
      <c r="CI1306" s="24" t="n"/>
      <c r="CJ1306" s="24" t="n"/>
      <c r="CK1306" s="24" t="n"/>
      <c r="CL1306" s="24" t="n"/>
      <c r="CM1306" s="24" t="n"/>
      <c r="CN1306" s="24" t="n"/>
      <c r="CO1306" s="24" t="n"/>
      <c r="CP1306" s="24" t="n"/>
      <c r="CQ1306" s="24" t="n"/>
      <c r="CR1306" s="24" t="n"/>
      <c r="CS1306" s="24" t="inlineStr">
        <is>
          <t>True</t>
        </is>
      </c>
      <c r="CT1306" s="24" t="n"/>
      <c r="CU1306" s="24" t="n"/>
      <c r="CV1306" s="24" t="n"/>
      <c r="CW1306" s="24" t="n"/>
      <c r="CX1306" s="24" t="n"/>
      <c r="CY1306" s="24" t="n"/>
      <c r="CZ1306" s="24" t="n"/>
      <c r="DA1306" s="24" t="n"/>
      <c r="DB1306" s="24" t="n"/>
      <c r="DC1306" s="24" t="n"/>
      <c r="DD1306" s="24" t="inlineStr">
        <is>
          <t>a426b27a6ca110ba465e4855e3ffbe075921d457c1a3da003b9738d4b319e79c</t>
        </is>
      </c>
      <c r="DE1306" s="24" t="inlineStr">
        <is>
          <t>E:\model-prediction\data\odds\tennis\2026-10-12\polymarket_snapshots.jsonl</t>
        </is>
      </c>
      <c r="DF1306" s="24" t="inlineStr">
        <is>
          <t>1334235:2026-10-12T05:09:08.030076Z</t>
        </is>
      </c>
      <c r="DG1306" s="24" t="n"/>
      <c r="DH1306" s="24" t="n"/>
      <c r="DI1306" s="24" t="n"/>
      <c r="DJ1306" s="24" t="n"/>
      <c r="DK1306" s="24" t="n"/>
      <c r="DL1306" s="24" t="n"/>
      <c r="DM1306" s="24" t="n"/>
      <c r="DN1306" s="24" t="n"/>
      <c r="DO1306" s="24" t="n"/>
      <c r="DP1306" s="24" t="n"/>
      <c r="DQ1306" s="24" t="n"/>
    </row>
    <row r="1307" ht="36" customHeight="1">
      <c r="A1307" s="24" t="inlineStr">
        <is>
          <t>a30c942a56e24854</t>
        </is>
      </c>
      <c r="B1307" s="24" t="inlineStr">
        <is>
          <t>2026-10-12T05:38:26.409279Z</t>
        </is>
      </c>
      <c r="C1307" s="24" t="inlineStr">
        <is>
          <t>2026-10-12T08:30Z</t>
        </is>
      </c>
      <c r="D1307" s="24" t="inlineStr">
        <is>
          <t>315-2026:184937</t>
        </is>
      </c>
      <c r="E1307" s="24" t="inlineStr">
        <is>
          <t>TENNIS</t>
        </is>
      </c>
      <c r="F1307" s="24" t="inlineStr">
        <is>
          <t>Botic Van De Zandschulp</t>
        </is>
      </c>
      <c r="G1307" s="24" t="inlineStr">
        <is>
          <t>Arthur Fils</t>
        </is>
      </c>
      <c r="H1307" s="24" t="inlineStr">
        <is>
          <t>moneyline</t>
        </is>
      </c>
      <c r="I1307" s="24" t="inlineStr">
        <is>
          <t>home</t>
        </is>
      </c>
      <c r="J1307" s="25" t="n"/>
      <c r="K1307" s="24" t="inlineStr">
        <is>
          <t>polymarket_us</t>
        </is>
      </c>
      <c r="L1307" s="26" t="n">
        <v>-400</v>
      </c>
      <c r="M1307" s="27" t="n">
        <v>1.25</v>
      </c>
      <c r="N1307" s="28" t="n">
        <v>0.8</v>
      </c>
      <c r="O1307" s="28" t="n">
        <v>0.7076</v>
      </c>
      <c r="P1307" s="28" t="n">
        <v>0.05</v>
      </c>
      <c r="Q1307" s="28" t="n">
        <v>-0.0924</v>
      </c>
      <c r="R1307" s="26" t="n">
        <v>0</v>
      </c>
      <c r="S1307" s="29" t="n">
        <v>1</v>
      </c>
      <c r="T1307" s="24" t="inlineStr">
        <is>
          <t>tennis-learned-v3</t>
        </is>
      </c>
      <c r="U1307" s="24" t="inlineStr">
        <is>
          <t>settled</t>
        </is>
      </c>
      <c r="V1307" s="24" t="inlineStr">
        <is>
          <t>loss</t>
        </is>
      </c>
      <c r="W1307" s="26" t="n">
        <v>1</v>
      </c>
      <c r="X1307" s="26" t="n">
        <v>0</v>
      </c>
      <c r="Y1307" s="25" t="n"/>
      <c r="Z1307" s="26" t="n">
        <v>-400</v>
      </c>
      <c r="AA1307" s="28" t="n">
        <v>0.8</v>
      </c>
      <c r="AB1307" s="28" t="n">
        <v>0</v>
      </c>
      <c r="AC1307" s="30" t="n">
        <v>-1</v>
      </c>
      <c r="AD1307" s="24" t="inlineStr">
        <is>
          <t>2026-10-12T16:08:04.959614Z</t>
        </is>
      </c>
      <c r="AE1307" s="31" t="inlineStr">
        <is>
          <t>Tennis v3 Learned Fundamental on Hard (Bo3): Botic Van De Zandschulp p=0.292 vs Arthur Fils. Executable ask 0.8000 (aec-atp-artfil-botzan-2026-10-12).</t>
        </is>
      </c>
      <c r="AF1307" s="31" t="inlineStr">
        <is>
          <t>Surface-blended Elo model; singles only, WTA+ATP market coverage, not yet locked-holdout qualified -- promoted by explicit operator directive, not genuine walk-forward validation.</t>
        </is>
      </c>
      <c r="AG1307" s="24" t="inlineStr">
        <is>
          <t>review_required</t>
        </is>
      </c>
      <c r="AH1307" s="24" t="n"/>
      <c r="AI1307" s="31" t="n"/>
      <c r="AJ1307" s="31" t="n"/>
      <c r="AK1307" s="24" t="inlineStr">
        <is>
          <t>paper_call</t>
        </is>
      </c>
      <c r="AL1307" s="26" t="n">
        <v>4</v>
      </c>
      <c r="AM1307" s="24" t="inlineStr">
        <is>
          <t>RESEARCH_OBSERVATION</t>
        </is>
      </c>
      <c r="AN1307" s="24" t="inlineStr">
        <is>
          <t>CALL</t>
        </is>
      </c>
      <c r="AO1307" s="24" t="inlineStr">
        <is>
          <t>PAPER_CALL_LOW_EDGE</t>
        </is>
      </c>
      <c r="AP1307" s="24" t="inlineStr">
        <is>
          <t>Botic Van De Zandschulp</t>
        </is>
      </c>
      <c r="AQ1307" s="24" t="inlineStr">
        <is>
          <t>Botic Van De Zandschulp</t>
        </is>
      </c>
      <c r="AR1307" s="24" t="inlineStr">
        <is>
          <t>Botic Van De Zandschulp</t>
        </is>
      </c>
      <c r="AS1307" s="24" t="inlineStr">
        <is>
          <t>Arthur Fils</t>
        </is>
      </c>
      <c r="AT1307" s="24" t="inlineStr">
        <is>
          <t>Arthur Fils</t>
        </is>
      </c>
      <c r="AU1307" s="24" t="inlineStr">
        <is>
          <t>Arthur Fils</t>
        </is>
      </c>
      <c r="AV1307" s="24" t="n"/>
      <c r="AW1307" s="24" t="n"/>
      <c r="AX1307" s="24" t="inlineStr">
        <is>
          <t>statistical_model</t>
        </is>
      </c>
      <c r="AY1307" s="24" t="n"/>
      <c r="AZ1307" s="24" t="inlineStr">
        <is>
          <t>shadow_qualified</t>
        </is>
      </c>
      <c r="BA1307" s="24" t="inlineStr">
        <is>
          <t>7443acc419841200d57e1edf36b77f1940cdd0c48dce3d43fcd05498a109440b</t>
        </is>
      </c>
      <c r="BB1307" s="24" t="inlineStr">
        <is>
          <t>learned_v3</t>
        </is>
      </c>
      <c r="BC1307" s="24" t="inlineStr">
        <is>
          <t>tennis-learned-v3</t>
        </is>
      </c>
      <c r="BD1307" s="24" t="inlineStr">
        <is>
          <t>7443acc419841200d57e1edf36b77f1940cdd0c48dce3d43fcd05498a109440b</t>
        </is>
      </c>
      <c r="BE1307" s="24" t="inlineStr">
        <is>
          <t>tennis-learned-v3</t>
        </is>
      </c>
      <c r="BF1307" s="24" t="inlineStr">
        <is>
          <t>1</t>
        </is>
      </c>
      <c r="BG1307" s="24" t="inlineStr">
        <is>
          <t>7443acc419841200d57e1edf36b77f1940cdd0c48dce3d43fcd05498a109440b</t>
        </is>
      </c>
      <c r="BH1307" s="24" t="inlineStr">
        <is>
          <t>2026-10-12T05:09:18.842271Z</t>
        </is>
      </c>
      <c r="BI1307" s="24" t="inlineStr">
        <is>
          <t>["same_event","same_team_same_day","same_league_same_day"]</t>
        </is>
      </c>
      <c r="BJ1307" s="25" t="n"/>
      <c r="BK1307" s="26" t="n">
        <v>-400</v>
      </c>
      <c r="BL1307" s="27" t="n">
        <v>1.25</v>
      </c>
      <c r="BM1307" s="28" t="n">
        <v>0.8</v>
      </c>
      <c r="BN1307" s="28" t="n"/>
      <c r="BO1307" s="28" t="n"/>
      <c r="BP1307" s="25" t="n"/>
      <c r="BQ1307" s="27" t="n">
        <v>1.25</v>
      </c>
      <c r="BR1307" s="28" t="n">
        <v>0.8</v>
      </c>
      <c r="BS1307" s="28" t="n"/>
      <c r="BT1307" s="28" t="n"/>
      <c r="BU1307" s="25" t="n"/>
      <c r="BV1307" s="29" t="n"/>
      <c r="BW1307" s="24" t="n"/>
      <c r="BX1307" s="30" t="n"/>
      <c r="BY1307" s="27" t="n"/>
      <c r="BZ1307" s="24" t="n"/>
      <c r="CA1307" s="31" t="n"/>
      <c r="CB1307" s="24" t="n"/>
      <c r="CC1307" s="24" t="n"/>
      <c r="CD1307" s="24" t="n"/>
      <c r="CE1307" s="24" t="n"/>
      <c r="CF1307" s="24" t="n"/>
      <c r="CG1307" s="24" t="n"/>
      <c r="CH1307" s="24" t="n"/>
      <c r="CI1307" s="24" t="n"/>
      <c r="CJ1307" s="24" t="n"/>
      <c r="CK1307" s="24" t="n"/>
      <c r="CL1307" s="24" t="n"/>
      <c r="CM1307" s="24" t="n"/>
      <c r="CN1307" s="24" t="n"/>
      <c r="CO1307" s="24" t="n"/>
      <c r="CP1307" s="24" t="n"/>
      <c r="CQ1307" s="24" t="n"/>
      <c r="CR1307" s="24" t="n"/>
      <c r="CS1307" s="24" t="inlineStr">
        <is>
          <t>False</t>
        </is>
      </c>
      <c r="CT1307" s="24" t="n"/>
      <c r="CU1307" s="24" t="n"/>
      <c r="CV1307" s="24" t="n"/>
      <c r="CW1307" s="24" t="n"/>
      <c r="CX1307" s="24" t="n"/>
      <c r="CY1307" s="24" t="n"/>
      <c r="CZ1307" s="24" t="n"/>
      <c r="DA1307" s="24" t="n"/>
      <c r="DB1307" s="24" t="n"/>
      <c r="DC1307" s="24" t="n"/>
      <c r="DD1307" s="24" t="inlineStr">
        <is>
          <t>73e467d82b8cbaefed6d88a975d5c5d207a18a6a3b03656179a139d9a4f8dab3</t>
        </is>
      </c>
      <c r="DE1307" s="24" t="inlineStr">
        <is>
          <t>E:\model-prediction\data\odds\tennis\2026-10-12\polymarket_snapshots.jsonl</t>
        </is>
      </c>
      <c r="DF1307" s="24" t="inlineStr">
        <is>
          <t>1338361:2026-10-12T05:09:18.842271Z</t>
        </is>
      </c>
      <c r="DG1307" s="24" t="n"/>
      <c r="DH1307" s="24" t="n"/>
      <c r="DI1307" s="24" t="n"/>
      <c r="DJ1307" s="24" t="n"/>
      <c r="DK1307" s="24" t="n"/>
      <c r="DL1307" s="24" t="n"/>
      <c r="DM1307" s="24" t="n"/>
      <c r="DN1307" s="24" t="n"/>
      <c r="DO1307" s="24" t="n"/>
      <c r="DP1307" s="24" t="n"/>
      <c r="DQ1307" s="24" t="inlineStr">
        <is>
          <t>{"artifact_hash": "7443acc419841200d57e1edf36b77f1940cdd0c48dce3d43fcd05498a109440b", "away_team": "Botic Van De Zandschulp", "event_id": "315-2026:184937", "event_start_utc": "2026-10-12T08:30Z", "features": {"elo_p1_surface": 1620.9, "elo_p2_surface": 1729.2, "expected_games_p1": 8.52, "expected_games_p2": 13.21, "expected_total_games": 21.73, "history_matches": 11478, "min_player_matches": 143, "surface": "Hard"}, "historical_source_observation_times_verified": false, "home_team": "Arthur Fils", "inference_inputs": {"best_of": 3, "code_sha256": {"features/elo_ratings.py": "d6513e79d65448c06cc0f9b9eed0eaa091567835128e1f6647a310da8d78a872", "models/tennis.py": "7443acc419841200d57e1edf36b77f1940cdd0c48dce3d43fcd05498a109440b"}, "counts": [147, 143], "market_probability": null, "model_version": "tennis-learned-v3", "overall_ratings": [1678.0301032321227, 1858.944440550754], "p_serve_a": 0.5710247064885556, "p_serve_b": 0.6989752935114444, "players": ["Botic Van De Zandschulp", "Arthur Fils"], "rest_days": [1.0, 1.0], "sport": "TENNIS", "surface": "Hard", "surface_counts": [119, 93], "surface_ratings": [1620.863546393381, 1729.245492777566], "tour": "ATP"}, "market_type": "moneyline", "model_version": "tennis-learned-v3", "observed_at_utc": "2026-10-12T05:38:23.706514+00:00", "probabilities": {"away": 0.2924, "home": 0.7076}, "replay_scope": "Exact full-precision serving state and rounding; upstream historical observation times are not certified.", "schema": "coded-moneyline-replay-v1", "snapshot_hash": "40e7bb81c4abbeaf2acbf425b0128bb5437c4d0b259db5e6ee2de8ec713298f3", "sport": "TENNIS"}</t>
        </is>
      </c>
    </row>
    <row r="1308" ht="36" customHeight="1">
      <c r="A1308" s="24" t="inlineStr">
        <is>
          <t>50633bafd2504bca</t>
        </is>
      </c>
      <c r="B1308" s="24" t="inlineStr">
        <is>
          <t>2026-10-12T05:38:26.409279Z</t>
        </is>
      </c>
      <c r="C1308" s="24" t="inlineStr">
        <is>
          <t>2026-10-12T08:30Z</t>
        </is>
      </c>
      <c r="D1308" s="24" t="inlineStr">
        <is>
          <t>315-2026:184937</t>
        </is>
      </c>
      <c r="E1308" s="24" t="inlineStr">
        <is>
          <t>TENNIS</t>
        </is>
      </c>
      <c r="F1308" s="24" t="inlineStr">
        <is>
          <t>Botic Van De Zandschulp</t>
        </is>
      </c>
      <c r="G1308" s="24" t="inlineStr">
        <is>
          <t>Arthur Fils</t>
        </is>
      </c>
      <c r="H1308" s="24" t="inlineStr">
        <is>
          <t>total</t>
        </is>
      </c>
      <c r="I1308" s="24" t="inlineStr">
        <is>
          <t>under</t>
        </is>
      </c>
      <c r="J1308" s="25" t="n">
        <v>22.5</v>
      </c>
      <c r="K1308" s="24" t="inlineStr">
        <is>
          <t>polymarket_us</t>
        </is>
      </c>
      <c r="L1308" s="26" t="n">
        <v>-122</v>
      </c>
      <c r="M1308" s="27" t="n">
        <v>1.819672</v>
      </c>
      <c r="N1308" s="28" t="n">
        <v>0.54955</v>
      </c>
      <c r="O1308" s="28" t="n">
        <v>0.67</v>
      </c>
      <c r="P1308" s="28" t="n">
        <v>0.05</v>
      </c>
      <c r="Q1308" s="28" t="n">
        <v>0.12045</v>
      </c>
      <c r="R1308" s="26" t="n">
        <v>80</v>
      </c>
      <c r="S1308" s="29" t="n">
        <v>1.5</v>
      </c>
      <c r="T1308" s="24" t="inlineStr">
        <is>
          <t>tennis-learned-v3</t>
        </is>
      </c>
      <c r="U1308" s="24" t="inlineStr">
        <is>
          <t>settled</t>
        </is>
      </c>
      <c r="V1308" s="24" t="inlineStr">
        <is>
          <t>win</t>
        </is>
      </c>
      <c r="W1308" s="26" t="n">
        <v>13</v>
      </c>
      <c r="X1308" s="26" t="n">
        <v>9</v>
      </c>
      <c r="Y1308" s="25" t="n"/>
      <c r="Z1308" s="26" t="n"/>
      <c r="AA1308" s="28" t="n"/>
      <c r="AB1308" s="28" t="n"/>
      <c r="AC1308" s="30" t="n">
        <v>1.2295</v>
      </c>
      <c r="AD1308" s="24" t="inlineStr">
        <is>
          <t>2026-10-12T16:08:13.472753Z</t>
        </is>
      </c>
      <c r="AE1308" s="31" t="inlineStr">
        <is>
          <t>Tennis Markov total games line 22.5: under p=0.670. Executable ask 0.5500 (tsc-atp-artfil-botzan-2026-10-12-tg-22pt5).</t>
        </is>
      </c>
      <c r="AF1308" s="31" t="inlineStr">
        <is>
          <t>Surface-blended Elo model; singles only, WTA+ATP market coverage, not yet locked-holdout qualified -- promoted by explicit operator directive, not genuine walk-forward validation.</t>
        </is>
      </c>
      <c r="AG1308" s="24" t="inlineStr">
        <is>
          <t>not_applicable</t>
        </is>
      </c>
      <c r="AH1308" s="24" t="n"/>
      <c r="AI1308" s="31" t="n"/>
      <c r="AJ1308" s="31" t="n"/>
      <c r="AK1308" s="24" t="inlineStr">
        <is>
          <t>model_qualified</t>
        </is>
      </c>
      <c r="AL1308" s="26" t="n">
        <v>4</v>
      </c>
      <c r="AM1308" s="24" t="inlineStr">
        <is>
          <t>QUALIFIED_SHADOW_CALL</t>
        </is>
      </c>
      <c r="AN1308" s="24" t="inlineStr">
        <is>
          <t>CALL</t>
        </is>
      </c>
      <c r="AO1308" s="24" t="inlineStr">
        <is>
          <t>QUALIFIED</t>
        </is>
      </c>
      <c r="AP1308" s="24" t="inlineStr">
        <is>
          <t>Botic Van De Zandschulp</t>
        </is>
      </c>
      <c r="AQ1308" s="24" t="inlineStr">
        <is>
          <t>Botic Van De Zandschulp</t>
        </is>
      </c>
      <c r="AR1308" s="24" t="inlineStr">
        <is>
          <t>Botic Van De Zandschulp</t>
        </is>
      </c>
      <c r="AS1308" s="24" t="inlineStr">
        <is>
          <t>Arthur Fils</t>
        </is>
      </c>
      <c r="AT1308" s="24" t="inlineStr">
        <is>
          <t>Arthur Fils</t>
        </is>
      </c>
      <c r="AU1308" s="24" t="inlineStr">
        <is>
          <t>Arthur Fils</t>
        </is>
      </c>
      <c r="AV1308" s="24" t="n"/>
      <c r="AW1308" s="24" t="n"/>
      <c r="AX1308" s="24" t="inlineStr">
        <is>
          <t>statistical_model</t>
        </is>
      </c>
      <c r="AY1308" s="24" t="n"/>
      <c r="AZ1308" s="24" t="inlineStr">
        <is>
          <t>shadow_qualified</t>
        </is>
      </c>
      <c r="BA1308" s="24" t="inlineStr">
        <is>
          <t>7443acc419841200d57e1edf36b77f1940cdd0c48dce3d43fcd05498a109440b</t>
        </is>
      </c>
      <c r="BB1308" s="24" t="inlineStr">
        <is>
          <t>learned_v3</t>
        </is>
      </c>
      <c r="BC1308" s="24" t="inlineStr">
        <is>
          <t>tennis-learned-v3</t>
        </is>
      </c>
      <c r="BD1308" s="24" t="inlineStr">
        <is>
          <t>7443acc419841200d57e1edf36b77f1940cdd0c48dce3d43fcd05498a109440b</t>
        </is>
      </c>
      <c r="BE1308" s="24" t="inlineStr">
        <is>
          <t>tennis-learned-v3</t>
        </is>
      </c>
      <c r="BF1308" s="24" t="inlineStr">
        <is>
          <t>1</t>
        </is>
      </c>
      <c r="BG1308" s="24" t="inlineStr">
        <is>
          <t>7443acc419841200d57e1edf36b77f1940cdd0c48dce3d43fcd05498a109440b</t>
        </is>
      </c>
      <c r="BH1308" s="24" t="inlineStr">
        <is>
          <t>2026-10-12T05:09:18.857250Z</t>
        </is>
      </c>
      <c r="BI1308" s="24" t="inlineStr">
        <is>
          <t>["same_event","same_team_same_day","same_league_same_day"]</t>
        </is>
      </c>
      <c r="BJ1308" s="25" t="n">
        <v>22.5</v>
      </c>
      <c r="BK1308" s="26" t="n">
        <v>-122</v>
      </c>
      <c r="BL1308" s="27" t="n">
        <v>1.819672</v>
      </c>
      <c r="BM1308" s="28" t="n">
        <v>0.54955</v>
      </c>
      <c r="BN1308" s="28" t="n"/>
      <c r="BO1308" s="28" t="n"/>
      <c r="BP1308" s="25" t="n"/>
      <c r="BQ1308" s="27" t="n"/>
      <c r="BR1308" s="28" t="n"/>
      <c r="BS1308" s="28" t="n"/>
      <c r="BT1308" s="28" t="n"/>
      <c r="BU1308" s="25" t="n"/>
      <c r="BV1308" s="29" t="n"/>
      <c r="BW1308" s="24" t="n"/>
      <c r="BX1308" s="30" t="n"/>
      <c r="BY1308" s="27" t="n"/>
      <c r="BZ1308" s="24" t="n"/>
      <c r="CA1308" s="31" t="n"/>
      <c r="CB1308" s="24" t="n"/>
      <c r="CC1308" s="24" t="n"/>
      <c r="CD1308" s="24" t="n"/>
      <c r="CE1308" s="24" t="n"/>
      <c r="CF1308" s="24" t="n"/>
      <c r="CG1308" s="24" t="n"/>
      <c r="CH1308" s="24" t="n"/>
      <c r="CI1308" s="24" t="n"/>
      <c r="CJ1308" s="24" t="n"/>
      <c r="CK1308" s="24" t="n"/>
      <c r="CL1308" s="24" t="n"/>
      <c r="CM1308" s="24" t="n"/>
      <c r="CN1308" s="24" t="n"/>
      <c r="CO1308" s="24" t="n"/>
      <c r="CP1308" s="24" t="n"/>
      <c r="CQ1308" s="24" t="n"/>
      <c r="CR1308" s="24" t="n"/>
      <c r="CS1308" s="24" t="inlineStr">
        <is>
          <t>True</t>
        </is>
      </c>
      <c r="CT1308" s="24" t="n"/>
      <c r="CU1308" s="24" t="n"/>
      <c r="CV1308" s="24" t="n"/>
      <c r="CW1308" s="24" t="n"/>
      <c r="CX1308" s="24" t="n"/>
      <c r="CY1308" s="24" t="n"/>
      <c r="CZ1308" s="24" t="n"/>
      <c r="DA1308" s="24" t="n"/>
      <c r="DB1308" s="24" t="n"/>
      <c r="DC1308" s="24" t="n"/>
      <c r="DD1308" s="24" t="inlineStr">
        <is>
          <t>537bc8273107fa8fa2467f310752505f28c54bef3c3584acd66c58932d60f9d8</t>
        </is>
      </c>
      <c r="DE1308" s="24" t="inlineStr">
        <is>
          <t>E:\model-prediction\data\odds\tennis\2026-10-12\polymarket_snapshots.jsonl</t>
        </is>
      </c>
      <c r="DF1308" s="24" t="inlineStr">
        <is>
          <t>1351221:2026-10-12T05:09:18.857250Z</t>
        </is>
      </c>
      <c r="DG1308" s="24" t="n"/>
      <c r="DH1308" s="24" t="n"/>
      <c r="DI1308" s="24" t="n"/>
      <c r="DJ1308" s="24" t="n"/>
      <c r="DK1308" s="24" t="n"/>
      <c r="DL1308" s="24" t="n"/>
      <c r="DM1308" s="24" t="n"/>
      <c r="DN1308" s="24" t="n"/>
      <c r="DO1308" s="24" t="n"/>
      <c r="DP1308" s="24" t="n"/>
      <c r="DQ1308" s="24" t="n"/>
    </row>
    <row r="1309" ht="36" customHeight="1">
      <c r="A1309" s="24" t="inlineStr">
        <is>
          <t>a7bde9218a154ce0</t>
        </is>
      </c>
      <c r="B1309" s="24" t="inlineStr">
        <is>
          <t>2026-10-12T05:38:26.409279Z</t>
        </is>
      </c>
      <c r="C1309" s="24" t="inlineStr">
        <is>
          <t>2026-10-12T08:30Z</t>
        </is>
      </c>
      <c r="D1309" s="24" t="inlineStr">
        <is>
          <t>315-2026:184937</t>
        </is>
      </c>
      <c r="E1309" s="24" t="inlineStr">
        <is>
          <t>TENNIS</t>
        </is>
      </c>
      <c r="F1309" s="24" t="inlineStr">
        <is>
          <t>Botic Van De Zandschulp</t>
        </is>
      </c>
      <c r="G1309" s="24" t="inlineStr">
        <is>
          <t>Arthur Fils</t>
        </is>
      </c>
      <c r="H1309" s="24" t="inlineStr">
        <is>
          <t>spread</t>
        </is>
      </c>
      <c r="I1309" s="24" t="inlineStr">
        <is>
          <t>away</t>
        </is>
      </c>
      <c r="J1309" s="25" t="n">
        <v>-7.5</v>
      </c>
      <c r="K1309" s="24" t="inlineStr">
        <is>
          <t>polymarket_us</t>
        </is>
      </c>
      <c r="L1309" s="26" t="n">
        <v>233</v>
      </c>
      <c r="M1309" s="27" t="n">
        <v>3.33</v>
      </c>
      <c r="N1309" s="28" t="n">
        <v>0.3003</v>
      </c>
      <c r="O1309" s="28" t="n">
        <v>0.8729</v>
      </c>
      <c r="P1309" s="28" t="n">
        <v>0.05</v>
      </c>
      <c r="Q1309" s="28" t="n">
        <v>0.5726</v>
      </c>
      <c r="R1309" s="26" t="n">
        <v>100</v>
      </c>
      <c r="S1309" s="29" t="n">
        <v>2</v>
      </c>
      <c r="T1309" s="24" t="inlineStr">
        <is>
          <t>tennis-learned-v3</t>
        </is>
      </c>
      <c r="U1309" s="24" t="inlineStr">
        <is>
          <t>settled</t>
        </is>
      </c>
      <c r="V1309" s="24" t="inlineStr">
        <is>
          <t>loss</t>
        </is>
      </c>
      <c r="W1309" s="26" t="n">
        <v>13</v>
      </c>
      <c r="X1309" s="26" t="n">
        <v>9</v>
      </c>
      <c r="Y1309" s="25" t="n"/>
      <c r="Z1309" s="26" t="n"/>
      <c r="AA1309" s="28" t="n"/>
      <c r="AB1309" s="28" t="n"/>
      <c r="AC1309" s="30" t="n">
        <v>-2</v>
      </c>
      <c r="AD1309" s="24" t="inlineStr">
        <is>
          <t>2026-10-12T16:08:24.938667Z</t>
        </is>
      </c>
      <c r="AE1309" s="31" t="inlineStr">
        <is>
          <t>Tennis Markov game spread -7.5 games: away cover p=0.873. Executable ask 0.3000 (asc-atp-artfil-botzan-2026-10-12-gs-neg-7pt5).</t>
        </is>
      </c>
      <c r="AF1309" s="31" t="inlineStr">
        <is>
          <t>Surface-blended Elo model; singles only, WTA+ATP market coverage, not yet locked-holdout qualified -- promoted by explicit operator directive, not genuine walk-forward validation.</t>
        </is>
      </c>
      <c r="AG1309" s="24" t="inlineStr">
        <is>
          <t>review_required</t>
        </is>
      </c>
      <c r="AH1309" s="24" t="n"/>
      <c r="AI1309" s="31" t="n"/>
      <c r="AJ1309" s="31" t="n"/>
      <c r="AK1309" s="24" t="inlineStr">
        <is>
          <t>model_qualified</t>
        </is>
      </c>
      <c r="AL1309" s="26" t="n">
        <v>4</v>
      </c>
      <c r="AM1309" s="24" t="inlineStr">
        <is>
          <t>QUALIFIED_SHADOW_CALL</t>
        </is>
      </c>
      <c r="AN1309" s="24" t="inlineStr">
        <is>
          <t>CALL</t>
        </is>
      </c>
      <c r="AO1309" s="24" t="inlineStr">
        <is>
          <t>QUALIFIED</t>
        </is>
      </c>
      <c r="AP1309" s="24" t="inlineStr">
        <is>
          <t>Botic Van De Zandschulp</t>
        </is>
      </c>
      <c r="AQ1309" s="24" t="inlineStr">
        <is>
          <t>Botic Van De Zandschulp</t>
        </is>
      </c>
      <c r="AR1309" s="24" t="inlineStr">
        <is>
          <t>Botic Van De Zandschulp</t>
        </is>
      </c>
      <c r="AS1309" s="24" t="inlineStr">
        <is>
          <t>Arthur Fils</t>
        </is>
      </c>
      <c r="AT1309" s="24" t="inlineStr">
        <is>
          <t>Arthur Fils</t>
        </is>
      </c>
      <c r="AU1309" s="24" t="inlineStr">
        <is>
          <t>Arthur Fils</t>
        </is>
      </c>
      <c r="AV1309" s="24" t="n"/>
      <c r="AW1309" s="24" t="n"/>
      <c r="AX1309" s="24" t="inlineStr">
        <is>
          <t>statistical_model</t>
        </is>
      </c>
      <c r="AY1309" s="24" t="n"/>
      <c r="AZ1309" s="24" t="inlineStr">
        <is>
          <t>shadow_qualified</t>
        </is>
      </c>
      <c r="BA1309" s="24" t="inlineStr">
        <is>
          <t>7443acc419841200d57e1edf36b77f1940cdd0c48dce3d43fcd05498a109440b</t>
        </is>
      </c>
      <c r="BB1309" s="24" t="inlineStr">
        <is>
          <t>learned_v3</t>
        </is>
      </c>
      <c r="BC1309" s="24" t="inlineStr">
        <is>
          <t>tennis-learned-v3</t>
        </is>
      </c>
      <c r="BD1309" s="24" t="inlineStr">
        <is>
          <t>7443acc419841200d57e1edf36b77f1940cdd0c48dce3d43fcd05498a109440b</t>
        </is>
      </c>
      <c r="BE1309" s="24" t="inlineStr">
        <is>
          <t>tennis-learned-v3</t>
        </is>
      </c>
      <c r="BF1309" s="24" t="inlineStr">
        <is>
          <t>1</t>
        </is>
      </c>
      <c r="BG1309" s="24" t="inlineStr">
        <is>
          <t>7443acc419841200d57e1edf36b77f1940cdd0c48dce3d43fcd05498a109440b</t>
        </is>
      </c>
      <c r="BH1309" s="24" t="inlineStr">
        <is>
          <t>2026-10-12T05:09:39.070945Z</t>
        </is>
      </c>
      <c r="BI1309" s="24" t="inlineStr">
        <is>
          <t>["same_event","same_team_same_day","same_league_same_day"]</t>
        </is>
      </c>
      <c r="BJ1309" s="25" t="n">
        <v>-7.5</v>
      </c>
      <c r="BK1309" s="26" t="n">
        <v>233</v>
      </c>
      <c r="BL1309" s="27" t="n">
        <v>3.33</v>
      </c>
      <c r="BM1309" s="28" t="n">
        <v>0.3003</v>
      </c>
      <c r="BN1309" s="28" t="n"/>
      <c r="BO1309" s="28" t="n"/>
      <c r="BP1309" s="25" t="n"/>
      <c r="BQ1309" s="27" t="n"/>
      <c r="BR1309" s="28" t="n"/>
      <c r="BS1309" s="28" t="n"/>
      <c r="BT1309" s="28" t="n"/>
      <c r="BU1309" s="25" t="n"/>
      <c r="BV1309" s="29" t="n"/>
      <c r="BW1309" s="24" t="n"/>
      <c r="BX1309" s="30" t="n"/>
      <c r="BY1309" s="27" t="n"/>
      <c r="BZ1309" s="24" t="n"/>
      <c r="CA1309" s="31" t="n"/>
      <c r="CB1309" s="24" t="n"/>
      <c r="CC1309" s="24" t="n"/>
      <c r="CD1309" s="24" t="n"/>
      <c r="CE1309" s="24" t="n"/>
      <c r="CF1309" s="24" t="n"/>
      <c r="CG1309" s="24" t="n"/>
      <c r="CH1309" s="24" t="n"/>
      <c r="CI1309" s="24" t="n"/>
      <c r="CJ1309" s="24" t="n"/>
      <c r="CK1309" s="24" t="n"/>
      <c r="CL1309" s="24" t="n"/>
      <c r="CM1309" s="24" t="n"/>
      <c r="CN1309" s="24" t="n"/>
      <c r="CO1309" s="24" t="n"/>
      <c r="CP1309" s="24" t="n"/>
      <c r="CQ1309" s="24" t="n"/>
      <c r="CR1309" s="24" t="n"/>
      <c r="CS1309" s="24" t="inlineStr">
        <is>
          <t>True</t>
        </is>
      </c>
      <c r="CT1309" s="24" t="n"/>
      <c r="CU1309" s="24" t="n"/>
      <c r="CV1309" s="24" t="n"/>
      <c r="CW1309" s="24" t="n"/>
      <c r="CX1309" s="24" t="n"/>
      <c r="CY1309" s="24" t="n"/>
      <c r="CZ1309" s="24" t="n"/>
      <c r="DA1309" s="24" t="n"/>
      <c r="DB1309" s="24" t="n"/>
      <c r="DC1309" s="24" t="n"/>
      <c r="DD1309" s="24" t="inlineStr">
        <is>
          <t>003a86d7f593ae1c80c81d5b22bf46daf26f00c2d5732cfe87fd62bc9d0ba17e</t>
        </is>
      </c>
      <c r="DE1309" s="24" t="inlineStr">
        <is>
          <t>E:\model-prediction\data\odds\tennis\2026-10-12\polymarket_snapshots.jsonl</t>
        </is>
      </c>
      <c r="DF1309" s="24" t="inlineStr">
        <is>
          <t>1351236:2026-10-12T05:09:39.070945Z</t>
        </is>
      </c>
      <c r="DG1309" s="24" t="n"/>
      <c r="DH1309" s="24" t="n"/>
      <c r="DI1309" s="24" t="n"/>
      <c r="DJ1309" s="24" t="n"/>
      <c r="DK1309" s="24" t="n"/>
      <c r="DL1309" s="24" t="n"/>
      <c r="DM1309" s="24" t="n"/>
      <c r="DN1309" s="24" t="n"/>
      <c r="DO1309" s="24" t="n"/>
      <c r="DP1309" s="24" t="n"/>
      <c r="DQ1309" s="24" t="n"/>
    </row>
    <row r="1310" ht="36" customHeight="1">
      <c r="A1310" s="24" t="inlineStr">
        <is>
          <t>d8de4623cf754f14</t>
        </is>
      </c>
      <c r="B1310" s="24" t="inlineStr">
        <is>
          <t>2026-10-12T05:38:26.409279Z</t>
        </is>
      </c>
      <c r="C1310" s="24" t="inlineStr">
        <is>
          <t>2026-10-12T10:00Z</t>
        </is>
      </c>
      <c r="D1310" s="24" t="inlineStr">
        <is>
          <t>315-2026:184941</t>
        </is>
      </c>
      <c r="E1310" s="24" t="inlineStr">
        <is>
          <t>TENNIS</t>
        </is>
      </c>
      <c r="F1310" s="24" t="inlineStr">
        <is>
          <t>Carlos Alcaraz</t>
        </is>
      </c>
      <c r="G1310" s="24" t="inlineStr">
        <is>
          <t>Zizou Bergs</t>
        </is>
      </c>
      <c r="H1310" s="24" t="inlineStr">
        <is>
          <t>total</t>
        </is>
      </c>
      <c r="I1310" s="24" t="inlineStr">
        <is>
          <t>under</t>
        </is>
      </c>
      <c r="J1310" s="25" t="n">
        <v>22.5</v>
      </c>
      <c r="K1310" s="24" t="inlineStr">
        <is>
          <t>polymarket_us</t>
        </is>
      </c>
      <c r="L1310" s="26" t="n">
        <v>-300</v>
      </c>
      <c r="M1310" s="27" t="n">
        <v>1.333333</v>
      </c>
      <c r="N1310" s="28" t="n">
        <v>0.75</v>
      </c>
      <c r="O1310" s="28" t="n">
        <v>0.9873</v>
      </c>
      <c r="P1310" s="28" t="n">
        <v>0.05</v>
      </c>
      <c r="Q1310" s="28" t="n">
        <v>0.2373</v>
      </c>
      <c r="R1310" s="26" t="n">
        <v>100</v>
      </c>
      <c r="S1310" s="29" t="n">
        <v>2</v>
      </c>
      <c r="T1310" s="24" t="inlineStr">
        <is>
          <t>tennis-learned-v3</t>
        </is>
      </c>
      <c r="U1310" s="24" t="inlineStr">
        <is>
          <t>settled</t>
        </is>
      </c>
      <c r="V1310" s="24" t="inlineStr">
        <is>
          <t>loss</t>
        </is>
      </c>
      <c r="W1310" s="26" t="n">
        <v>11</v>
      </c>
      <c r="X1310" s="26" t="n">
        <v>14</v>
      </c>
      <c r="Y1310" s="25" t="n"/>
      <c r="Z1310" s="26" t="n"/>
      <c r="AA1310" s="28" t="n"/>
      <c r="AB1310" s="28" t="n"/>
      <c r="AC1310" s="30" t="n">
        <v>-2</v>
      </c>
      <c r="AD1310" s="24" t="inlineStr">
        <is>
          <t>2026-10-12T16:08:37.046400Z</t>
        </is>
      </c>
      <c r="AE1310" s="31" t="inlineStr">
        <is>
          <t>Tennis Markov total games line 22.5: under p=0.987. Executable ask 0.7500 (tsc-atp-zizber-caralc-2026-10-12-tg-22pt5).</t>
        </is>
      </c>
      <c r="AF1310" s="31" t="inlineStr">
        <is>
          <t>Surface-blended Elo model; singles only, WTA+ATP market coverage, not yet locked-holdout qualified -- promoted by explicit operator directive, not genuine walk-forward validation.</t>
        </is>
      </c>
      <c r="AG1310" s="24" t="inlineStr">
        <is>
          <t>review_required</t>
        </is>
      </c>
      <c r="AH1310" s="24" t="n"/>
      <c r="AI1310" s="31" t="n"/>
      <c r="AJ1310" s="31" t="n"/>
      <c r="AK1310" s="24" t="inlineStr">
        <is>
          <t>model_qualified</t>
        </is>
      </c>
      <c r="AL1310" s="26" t="n">
        <v>4</v>
      </c>
      <c r="AM1310" s="24" t="inlineStr">
        <is>
          <t>QUALIFIED_SHADOW_CALL</t>
        </is>
      </c>
      <c r="AN1310" s="24" t="inlineStr">
        <is>
          <t>CALL</t>
        </is>
      </c>
      <c r="AO1310" s="24" t="inlineStr">
        <is>
          <t>QUALIFIED</t>
        </is>
      </c>
      <c r="AP1310" s="24" t="inlineStr">
        <is>
          <t>Carlos Alcaraz</t>
        </is>
      </c>
      <c r="AQ1310" s="24" t="inlineStr">
        <is>
          <t>Carlos Alcaraz</t>
        </is>
      </c>
      <c r="AR1310" s="24" t="inlineStr">
        <is>
          <t>Carlos Alcaraz</t>
        </is>
      </c>
      <c r="AS1310" s="24" t="inlineStr">
        <is>
          <t>Zizou Bergs</t>
        </is>
      </c>
      <c r="AT1310" s="24" t="inlineStr">
        <is>
          <t>Zizou Bergs</t>
        </is>
      </c>
      <c r="AU1310" s="24" t="inlineStr">
        <is>
          <t>Zizou Bergs</t>
        </is>
      </c>
      <c r="AV1310" s="24" t="n"/>
      <c r="AW1310" s="24" t="n"/>
      <c r="AX1310" s="24" t="inlineStr">
        <is>
          <t>statistical_model</t>
        </is>
      </c>
      <c r="AY1310" s="24" t="n"/>
      <c r="AZ1310" s="24" t="inlineStr">
        <is>
          <t>shadow_qualified</t>
        </is>
      </c>
      <c r="BA1310" s="24" t="inlineStr">
        <is>
          <t>7443acc419841200d57e1edf36b77f1940cdd0c48dce3d43fcd05498a109440b</t>
        </is>
      </c>
      <c r="BB1310" s="24" t="inlineStr">
        <is>
          <t>learned_v3</t>
        </is>
      </c>
      <c r="BC1310" s="24" t="inlineStr">
        <is>
          <t>tennis-learned-v3</t>
        </is>
      </c>
      <c r="BD1310" s="24" t="inlineStr">
        <is>
          <t>7443acc419841200d57e1edf36b77f1940cdd0c48dce3d43fcd05498a109440b</t>
        </is>
      </c>
      <c r="BE1310" s="24" t="inlineStr">
        <is>
          <t>tennis-learned-v3</t>
        </is>
      </c>
      <c r="BF1310" s="24" t="inlineStr">
        <is>
          <t>1</t>
        </is>
      </c>
      <c r="BG1310" s="24" t="inlineStr">
        <is>
          <t>7443acc419841200d57e1edf36b77f1940cdd0c48dce3d43fcd05498a109440b</t>
        </is>
      </c>
      <c r="BH1310" s="24" t="inlineStr">
        <is>
          <t>2026-10-12T05:13:50.025930Z</t>
        </is>
      </c>
      <c r="BI1310" s="24" t="inlineStr">
        <is>
          <t>["same_event","same_team_same_day","same_league_same_day"]</t>
        </is>
      </c>
      <c r="BJ1310" s="25" t="n">
        <v>22.5</v>
      </c>
      <c r="BK1310" s="26" t="n">
        <v>-300</v>
      </c>
      <c r="BL1310" s="27" t="n">
        <v>1.333333</v>
      </c>
      <c r="BM1310" s="28" t="n">
        <v>0.75</v>
      </c>
      <c r="BN1310" s="28" t="n"/>
      <c r="BO1310" s="28" t="n"/>
      <c r="BP1310" s="25" t="n"/>
      <c r="BQ1310" s="27" t="n"/>
      <c r="BR1310" s="28" t="n"/>
      <c r="BS1310" s="28" t="n"/>
      <c r="BT1310" s="28" t="n"/>
      <c r="BU1310" s="25" t="n"/>
      <c r="BV1310" s="29" t="n"/>
      <c r="BW1310" s="24" t="n"/>
      <c r="BX1310" s="30" t="n"/>
      <c r="BY1310" s="27" t="n"/>
      <c r="BZ1310" s="24" t="n"/>
      <c r="CA1310" s="31" t="n"/>
      <c r="CB1310" s="24" t="n"/>
      <c r="CC1310" s="24" t="n"/>
      <c r="CD1310" s="24" t="n"/>
      <c r="CE1310" s="24" t="n"/>
      <c r="CF1310" s="24" t="n"/>
      <c r="CG1310" s="24" t="n"/>
      <c r="CH1310" s="24" t="n"/>
      <c r="CI1310" s="24" t="n"/>
      <c r="CJ1310" s="24" t="n"/>
      <c r="CK1310" s="24" t="n"/>
      <c r="CL1310" s="24" t="n"/>
      <c r="CM1310" s="24" t="n"/>
      <c r="CN1310" s="24" t="n"/>
      <c r="CO1310" s="24" t="n"/>
      <c r="CP1310" s="24" t="n"/>
      <c r="CQ1310" s="24" t="n"/>
      <c r="CR1310" s="24" t="n"/>
      <c r="CS1310" s="24" t="inlineStr">
        <is>
          <t>True</t>
        </is>
      </c>
      <c r="CT1310" s="24" t="n"/>
      <c r="CU1310" s="24" t="n"/>
      <c r="CV1310" s="24" t="n"/>
      <c r="CW1310" s="24" t="n"/>
      <c r="CX1310" s="24" t="n"/>
      <c r="CY1310" s="24" t="n"/>
      <c r="CZ1310" s="24" t="n"/>
      <c r="DA1310" s="24" t="n"/>
      <c r="DB1310" s="24" t="n"/>
      <c r="DC1310" s="24" t="n"/>
      <c r="DD1310" s="24" t="inlineStr">
        <is>
          <t>f65b9c89e19bc57eee836a1201d44ce8463eb056adfc65103a547cff94a8365c</t>
        </is>
      </c>
      <c r="DE1310" s="24" t="inlineStr">
        <is>
          <t>E:\model-prediction\data\odds\tennis\2026-10-12\polymarket_snapshots.jsonl</t>
        </is>
      </c>
      <c r="DF1310" s="24" t="inlineStr">
        <is>
          <t>1351076:2026-10-12T05:13:50.025930Z</t>
        </is>
      </c>
      <c r="DG1310" s="24" t="n"/>
      <c r="DH1310" s="24" t="n"/>
      <c r="DI1310" s="24" t="n"/>
      <c r="DJ1310" s="24" t="n"/>
      <c r="DK1310" s="24" t="n"/>
      <c r="DL1310" s="24" t="n"/>
      <c r="DM1310" s="24" t="n"/>
      <c r="DN1310" s="24" t="n"/>
      <c r="DO1310" s="24" t="n"/>
      <c r="DP1310" s="24" t="n"/>
      <c r="DQ1310" s="24" t="n"/>
    </row>
    <row r="1311" ht="36" customHeight="1">
      <c r="A1311" s="24" t="inlineStr">
        <is>
          <t>e73fb60c45f94849</t>
        </is>
      </c>
      <c r="B1311" s="24" t="inlineStr">
        <is>
          <t>2026-10-12T05:38:26.409279Z</t>
        </is>
      </c>
      <c r="C1311" s="24" t="inlineStr">
        <is>
          <t>2026-10-12T10:00Z</t>
        </is>
      </c>
      <c r="D1311" s="24" t="inlineStr">
        <is>
          <t>315-2026:184941</t>
        </is>
      </c>
      <c r="E1311" s="24" t="inlineStr">
        <is>
          <t>TENNIS</t>
        </is>
      </c>
      <c r="F1311" s="24" t="inlineStr">
        <is>
          <t>Carlos Alcaraz</t>
        </is>
      </c>
      <c r="G1311" s="24" t="inlineStr">
        <is>
          <t>Zizou Bergs</t>
        </is>
      </c>
      <c r="H1311" s="24" t="inlineStr">
        <is>
          <t>moneyline</t>
        </is>
      </c>
      <c r="I1311" s="24" t="inlineStr">
        <is>
          <t>away</t>
        </is>
      </c>
      <c r="J1311" s="25" t="n"/>
      <c r="K1311" s="24" t="inlineStr">
        <is>
          <t>polymarket_us</t>
        </is>
      </c>
      <c r="L1311" s="26" t="n">
        <v>-1150</v>
      </c>
      <c r="M1311" s="27" t="n">
        <v>1.086957</v>
      </c>
      <c r="N1311" s="28" t="n">
        <v>0.92</v>
      </c>
      <c r="O1311" s="28" t="n">
        <v>0.8975</v>
      </c>
      <c r="P1311" s="28" t="n">
        <v>0.05</v>
      </c>
      <c r="Q1311" s="28" t="n">
        <v>-0.0225</v>
      </c>
      <c r="R1311" s="26" t="n">
        <v>9</v>
      </c>
      <c r="S1311" s="29" t="n">
        <v>1</v>
      </c>
      <c r="T1311" s="24" t="inlineStr">
        <is>
          <t>tennis-learned-v3</t>
        </is>
      </c>
      <c r="U1311" s="24" t="inlineStr">
        <is>
          <t>settled</t>
        </is>
      </c>
      <c r="V1311" s="24" t="inlineStr">
        <is>
          <t>loss</t>
        </is>
      </c>
      <c r="W1311" s="26" t="n">
        <v>0</v>
      </c>
      <c r="X1311" s="26" t="n">
        <v>1</v>
      </c>
      <c r="Y1311" s="25" t="n"/>
      <c r="Z1311" s="26" t="n">
        <v>-1150</v>
      </c>
      <c r="AA1311" s="28" t="n">
        <v>0.92</v>
      </c>
      <c r="AB1311" s="28" t="n">
        <v>0</v>
      </c>
      <c r="AC1311" s="30" t="n">
        <v>-1</v>
      </c>
      <c r="AD1311" s="24" t="inlineStr">
        <is>
          <t>2026-10-12T16:08:46.873153Z</t>
        </is>
      </c>
      <c r="AE1311" s="31" t="inlineStr">
        <is>
          <t>Tennis v3 Learned Fundamental on Hard (Bo3): Carlos Alcaraz p=0.898 vs Zizou Bergs. Executable ask 0.9200 (aec-atp-zizber-caralc-2026-10-12).</t>
        </is>
      </c>
      <c r="AF1311" s="31" t="inlineStr">
        <is>
          <t>Surface-blended Elo model; singles only, WTA+ATP market coverage, not yet locked-holdout qualified -- promoted by explicit operator directive, not genuine walk-forward validation.</t>
        </is>
      </c>
      <c r="AG1311" s="24" t="inlineStr">
        <is>
          <t>review_required</t>
        </is>
      </c>
      <c r="AH1311" s="24" t="n"/>
      <c r="AI1311" s="31" t="n"/>
      <c r="AJ1311" s="31" t="n"/>
      <c r="AK1311" s="24" t="inlineStr">
        <is>
          <t>paper_call</t>
        </is>
      </c>
      <c r="AL1311" s="26" t="n">
        <v>4</v>
      </c>
      <c r="AM1311" s="24" t="inlineStr">
        <is>
          <t>RESEARCH_OBSERVATION</t>
        </is>
      </c>
      <c r="AN1311" s="24" t="inlineStr">
        <is>
          <t>CALL</t>
        </is>
      </c>
      <c r="AO1311" s="24" t="inlineStr">
        <is>
          <t>PAPER_CALL_LOW_EDGE</t>
        </is>
      </c>
      <c r="AP1311" s="24" t="inlineStr">
        <is>
          <t>Carlos Alcaraz</t>
        </is>
      </c>
      <c r="AQ1311" s="24" t="inlineStr">
        <is>
          <t>Carlos Alcaraz</t>
        </is>
      </c>
      <c r="AR1311" s="24" t="inlineStr">
        <is>
          <t>Carlos Alcaraz</t>
        </is>
      </c>
      <c r="AS1311" s="24" t="inlineStr">
        <is>
          <t>Zizou Bergs</t>
        </is>
      </c>
      <c r="AT1311" s="24" t="inlineStr">
        <is>
          <t>Zizou Bergs</t>
        </is>
      </c>
      <c r="AU1311" s="24" t="inlineStr">
        <is>
          <t>Zizou Bergs</t>
        </is>
      </c>
      <c r="AV1311" s="24" t="n"/>
      <c r="AW1311" s="24" t="n"/>
      <c r="AX1311" s="24" t="inlineStr">
        <is>
          <t>statistical_model</t>
        </is>
      </c>
      <c r="AY1311" s="24" t="n"/>
      <c r="AZ1311" s="24" t="inlineStr">
        <is>
          <t>shadow_qualified</t>
        </is>
      </c>
      <c r="BA1311" s="24" t="inlineStr">
        <is>
          <t>7443acc419841200d57e1edf36b77f1940cdd0c48dce3d43fcd05498a109440b</t>
        </is>
      </c>
      <c r="BB1311" s="24" t="inlineStr">
        <is>
          <t>learned_v3</t>
        </is>
      </c>
      <c r="BC1311" s="24" t="inlineStr">
        <is>
          <t>tennis-learned-v3</t>
        </is>
      </c>
      <c r="BD1311" s="24" t="inlineStr">
        <is>
          <t>7443acc419841200d57e1edf36b77f1940cdd0c48dce3d43fcd05498a109440b</t>
        </is>
      </c>
      <c r="BE1311" s="24" t="inlineStr">
        <is>
          <t>tennis-learned-v3</t>
        </is>
      </c>
      <c r="BF1311" s="24" t="inlineStr">
        <is>
          <t>1</t>
        </is>
      </c>
      <c r="BG1311" s="24" t="inlineStr">
        <is>
          <t>7443acc419841200d57e1edf36b77f1940cdd0c48dce3d43fcd05498a109440b</t>
        </is>
      </c>
      <c r="BH1311" s="24" t="inlineStr">
        <is>
          <t>2026-10-12T05:13:50.035116Z</t>
        </is>
      </c>
      <c r="BI1311" s="24" t="inlineStr">
        <is>
          <t>["same_event","same_team_same_day","same_league_same_day"]</t>
        </is>
      </c>
      <c r="BJ1311" s="25" t="n"/>
      <c r="BK1311" s="26" t="n">
        <v>-1150</v>
      </c>
      <c r="BL1311" s="27" t="n">
        <v>1.086957</v>
      </c>
      <c r="BM1311" s="28" t="n">
        <v>0.92</v>
      </c>
      <c r="BN1311" s="28" t="n"/>
      <c r="BO1311" s="28" t="n"/>
      <c r="BP1311" s="25" t="n"/>
      <c r="BQ1311" s="27" t="n">
        <v>1.086957</v>
      </c>
      <c r="BR1311" s="28" t="n">
        <v>0.92</v>
      </c>
      <c r="BS1311" s="28" t="n"/>
      <c r="BT1311" s="28" t="n"/>
      <c r="BU1311" s="25" t="n"/>
      <c r="BV1311" s="29" t="n"/>
      <c r="BW1311" s="24" t="n"/>
      <c r="BX1311" s="30" t="n"/>
      <c r="BY1311" s="27" t="n"/>
      <c r="BZ1311" s="24" t="n"/>
      <c r="CA1311" s="31" t="n"/>
      <c r="CB1311" s="24" t="n"/>
      <c r="CC1311" s="24" t="n"/>
      <c r="CD1311" s="24" t="n"/>
      <c r="CE1311" s="24" t="n"/>
      <c r="CF1311" s="24" t="n"/>
      <c r="CG1311" s="24" t="n"/>
      <c r="CH1311" s="24" t="n"/>
      <c r="CI1311" s="24" t="n"/>
      <c r="CJ1311" s="24" t="n"/>
      <c r="CK1311" s="24" t="n"/>
      <c r="CL1311" s="24" t="n"/>
      <c r="CM1311" s="24" t="n"/>
      <c r="CN1311" s="24" t="n"/>
      <c r="CO1311" s="24" t="n"/>
      <c r="CP1311" s="24" t="n"/>
      <c r="CQ1311" s="24" t="n"/>
      <c r="CR1311" s="24" t="n"/>
      <c r="CS1311" s="24" t="inlineStr">
        <is>
          <t>False</t>
        </is>
      </c>
      <c r="CT1311" s="24" t="n"/>
      <c r="CU1311" s="24" t="n"/>
      <c r="CV1311" s="24" t="n"/>
      <c r="CW1311" s="24" t="n"/>
      <c r="CX1311" s="24" t="n"/>
      <c r="CY1311" s="24" t="n"/>
      <c r="CZ1311" s="24" t="n"/>
      <c r="DA1311" s="24" t="n"/>
      <c r="DB1311" s="24" t="n"/>
      <c r="DC1311" s="24" t="n"/>
      <c r="DD1311" s="24" t="inlineStr">
        <is>
          <t>586bb96b2ea5b98ac0bfa534bb8731f48f2451cad2f0cef492aff54b8f93bf12</t>
        </is>
      </c>
      <c r="DE1311" s="24" t="inlineStr">
        <is>
          <t>E:\model-prediction\data\odds\tennis\2026-10-12\polymarket_snapshots.jsonl</t>
        </is>
      </c>
      <c r="DF1311" s="24" t="inlineStr">
        <is>
          <t>1338364:2026-10-12T05:13:50.035116Z</t>
        </is>
      </c>
      <c r="DG1311" s="24" t="n"/>
      <c r="DH1311" s="24" t="n"/>
      <c r="DI1311" s="24" t="n"/>
      <c r="DJ1311" s="24" t="n"/>
      <c r="DK1311" s="24" t="n"/>
      <c r="DL1311" s="24" t="n"/>
      <c r="DM1311" s="24" t="n"/>
      <c r="DN1311" s="24" t="n"/>
      <c r="DO1311" s="24" t="n"/>
      <c r="DP1311" s="24" t="n"/>
      <c r="DQ1311" s="24" t="inlineStr">
        <is>
          <t>{"artifact_hash": "7443acc419841200d57e1edf36b77f1940cdd0c48dce3d43fcd05498a109440b", "away_team": "Carlos Alcaraz", "event_id": "315-2026:184941", "event_start_utc": "2026-10-12T10:00Z", "features": {"elo_p1_surface": 1891.4, "elo_p2_surface": 1568.4, "expected_games_p1": 12.11, "expected_games_p2": 3.46, "expected_total_games": 15.57, "history_matches": 11478, "min_player_matches": 147, "surface": "Hard"}, "historical_source_observation_times_verified": false, "home_team": "Zizou Bergs", "inference_inputs": {"best_of": 3, "code_sha256": {"features/elo_ratings.py": "d6513e79d65448c06cc0f9b9eed0eaa091567835128e1f6647a310da8d78a872", "models/tennis.py": "7443acc419841200d57e1edf36b77f1940cdd0c48dce3d43fcd05498a109440b"}, "counts": [176, 147], "market_probability": null, "model_version": "tennis-learned-v3", "overall_ratings": [2042.0749680920683, 1642.4351594893044], "p_serve_a": 0.78, "p_serve_b": 0.47794119186852885, "players": ["Carlos Alcaraz", "Zizou Bergs"], "rest_days": [1.0, 1.0], "sport": "TENNIS", "surface": "Hard", "surface_counts": [121, 110], "surface_ratings": [1891.3707191230283, 1568.4002083263633], "tour": "ATP"}, "market_type": "moneyline", "model_version": "tennis-learned-v3", "observed_at_utc": "2026-10-12T05:38:23.706514+00:00", "probabilities": {"away": 0.8975, "home": 0.1025}, "replay_scope": "Exact full-precision serving state and rounding; upstream historical observation times are not certified.", "schema": "coded-moneyline-replay-v1", "snapshot_hash": "04924551e3550a4d0e58262e16f50c140f9a02bd684c28b71cce2ad5f2caeb87", "sport": "TENNIS"}</t>
        </is>
      </c>
    </row>
    <row r="1312" ht="36" customHeight="1">
      <c r="A1312" s="24" t="inlineStr">
        <is>
          <t>40ce67dfbeb144b5</t>
        </is>
      </c>
      <c r="B1312" s="24" t="inlineStr">
        <is>
          <t>2026-10-12T05:38:26.409279Z</t>
        </is>
      </c>
      <c r="C1312" s="24" t="inlineStr">
        <is>
          <t>2026-10-12T10:00Z</t>
        </is>
      </c>
      <c r="D1312" s="24" t="inlineStr">
        <is>
          <t>315-2026:184941</t>
        </is>
      </c>
      <c r="E1312" s="24" t="inlineStr">
        <is>
          <t>TENNIS</t>
        </is>
      </c>
      <c r="F1312" s="24" t="inlineStr">
        <is>
          <t>Carlos Alcaraz</t>
        </is>
      </c>
      <c r="G1312" s="24" t="inlineStr">
        <is>
          <t>Zizou Bergs</t>
        </is>
      </c>
      <c r="H1312" s="24" t="inlineStr">
        <is>
          <t>spread</t>
        </is>
      </c>
      <c r="I1312" s="24" t="inlineStr">
        <is>
          <t>away</t>
        </is>
      </c>
      <c r="J1312" s="25" t="n">
        <v>1.5</v>
      </c>
      <c r="K1312" s="24" t="inlineStr">
        <is>
          <t>polymarket_us</t>
        </is>
      </c>
      <c r="L1312" s="26" t="n">
        <v>335</v>
      </c>
      <c r="M1312" s="27" t="n">
        <v>4.35</v>
      </c>
      <c r="N1312" s="28" t="n">
        <v>0.229885</v>
      </c>
      <c r="O1312" s="28" t="n">
        <v>0.9999</v>
      </c>
      <c r="P1312" s="28" t="n">
        <v>0.05</v>
      </c>
      <c r="Q1312" s="28" t="n">
        <v>0.770015</v>
      </c>
      <c r="R1312" s="26" t="n">
        <v>100</v>
      </c>
      <c r="S1312" s="29" t="n">
        <v>2</v>
      </c>
      <c r="T1312" s="24" t="inlineStr">
        <is>
          <t>tennis-learned-v3</t>
        </is>
      </c>
      <c r="U1312" s="24" t="inlineStr">
        <is>
          <t>settled</t>
        </is>
      </c>
      <c r="V1312" s="24" t="inlineStr">
        <is>
          <t>loss</t>
        </is>
      </c>
      <c r="W1312" s="26" t="n">
        <v>11</v>
      </c>
      <c r="X1312" s="26" t="n">
        <v>14</v>
      </c>
      <c r="Y1312" s="25" t="n"/>
      <c r="Z1312" s="26" t="n"/>
      <c r="AA1312" s="28" t="n"/>
      <c r="AB1312" s="28" t="n"/>
      <c r="AC1312" s="30" t="n">
        <v>-2</v>
      </c>
      <c r="AD1312" s="24" t="inlineStr">
        <is>
          <t>2026-10-12T16:09:02.853666Z</t>
        </is>
      </c>
      <c r="AE1312" s="31" t="inlineStr">
        <is>
          <t>Tennis Markov game spread +1.5 games: away cover p=1.000. Executable ask 0.2300 (asc-atp-zizber-caralc-2026-10-12-gs-pos-1pt5).</t>
        </is>
      </c>
      <c r="AF1312" s="31" t="inlineStr">
        <is>
          <t>Surface-blended Elo model; singles only, WTA+ATP market coverage, not yet locked-holdout qualified -- promoted by explicit operator directive, not genuine walk-forward validation.</t>
        </is>
      </c>
      <c r="AG1312" s="24" t="inlineStr">
        <is>
          <t>review_required</t>
        </is>
      </c>
      <c r="AH1312" s="24" t="n"/>
      <c r="AI1312" s="31" t="n"/>
      <c r="AJ1312" s="31" t="n"/>
      <c r="AK1312" s="24" t="inlineStr">
        <is>
          <t>model_qualified</t>
        </is>
      </c>
      <c r="AL1312" s="26" t="n">
        <v>4</v>
      </c>
      <c r="AM1312" s="24" t="inlineStr">
        <is>
          <t>QUALIFIED_SHADOW_CALL</t>
        </is>
      </c>
      <c r="AN1312" s="24" t="inlineStr">
        <is>
          <t>CALL</t>
        </is>
      </c>
      <c r="AO1312" s="24" t="inlineStr">
        <is>
          <t>QUALIFIED</t>
        </is>
      </c>
      <c r="AP1312" s="24" t="inlineStr">
        <is>
          <t>Carlos Alcaraz</t>
        </is>
      </c>
      <c r="AQ1312" s="24" t="inlineStr">
        <is>
          <t>Carlos Alcaraz</t>
        </is>
      </c>
      <c r="AR1312" s="24" t="inlineStr">
        <is>
          <t>Carlos Alcaraz</t>
        </is>
      </c>
      <c r="AS1312" s="24" t="inlineStr">
        <is>
          <t>Zizou Bergs</t>
        </is>
      </c>
      <c r="AT1312" s="24" t="inlineStr">
        <is>
          <t>Zizou Bergs</t>
        </is>
      </c>
      <c r="AU1312" s="24" t="inlineStr">
        <is>
          <t>Zizou Bergs</t>
        </is>
      </c>
      <c r="AV1312" s="24" t="n"/>
      <c r="AW1312" s="24" t="n"/>
      <c r="AX1312" s="24" t="inlineStr">
        <is>
          <t>statistical_model</t>
        </is>
      </c>
      <c r="AY1312" s="24" t="n"/>
      <c r="AZ1312" s="24" t="inlineStr">
        <is>
          <t>shadow_qualified</t>
        </is>
      </c>
      <c r="BA1312" s="24" t="inlineStr">
        <is>
          <t>7443acc419841200d57e1edf36b77f1940cdd0c48dce3d43fcd05498a109440b</t>
        </is>
      </c>
      <c r="BB1312" s="24" t="inlineStr">
        <is>
          <t>learned_v3</t>
        </is>
      </c>
      <c r="BC1312" s="24" t="inlineStr">
        <is>
          <t>tennis-learned-v3</t>
        </is>
      </c>
      <c r="BD1312" s="24" t="inlineStr">
        <is>
          <t>7443acc419841200d57e1edf36b77f1940cdd0c48dce3d43fcd05498a109440b</t>
        </is>
      </c>
      <c r="BE1312" s="24" t="inlineStr">
        <is>
          <t>tennis-learned-v3</t>
        </is>
      </c>
      <c r="BF1312" s="24" t="inlineStr">
        <is>
          <t>1</t>
        </is>
      </c>
      <c r="BG1312" s="24" t="inlineStr">
        <is>
          <t>7443acc419841200d57e1edf36b77f1940cdd0c48dce3d43fcd05498a109440b</t>
        </is>
      </c>
      <c r="BH1312" s="24" t="inlineStr">
        <is>
          <t>2026-10-12T05:14:00.110249Z</t>
        </is>
      </c>
      <c r="BI1312" s="24" t="inlineStr">
        <is>
          <t>["same_event","same_team_same_day","same_league_same_day"]</t>
        </is>
      </c>
      <c r="BJ1312" s="25" t="n">
        <v>1.5</v>
      </c>
      <c r="BK1312" s="26" t="n">
        <v>335</v>
      </c>
      <c r="BL1312" s="27" t="n">
        <v>4.35</v>
      </c>
      <c r="BM1312" s="28" t="n">
        <v>0.229885</v>
      </c>
      <c r="BN1312" s="28" t="n"/>
      <c r="BO1312" s="28" t="n"/>
      <c r="BP1312" s="25" t="n"/>
      <c r="BQ1312" s="27" t="n"/>
      <c r="BR1312" s="28" t="n"/>
      <c r="BS1312" s="28" t="n"/>
      <c r="BT1312" s="28" t="n"/>
      <c r="BU1312" s="25" t="n"/>
      <c r="BV1312" s="29" t="n"/>
      <c r="BW1312" s="24" t="n"/>
      <c r="BX1312" s="30" t="n"/>
      <c r="BY1312" s="27" t="n"/>
      <c r="BZ1312" s="24" t="n"/>
      <c r="CA1312" s="31" t="n"/>
      <c r="CB1312" s="24" t="n"/>
      <c r="CC1312" s="24" t="n"/>
      <c r="CD1312" s="24" t="n"/>
      <c r="CE1312" s="24" t="n"/>
      <c r="CF1312" s="24" t="n"/>
      <c r="CG1312" s="24" t="n"/>
      <c r="CH1312" s="24" t="n"/>
      <c r="CI1312" s="24" t="n"/>
      <c r="CJ1312" s="24" t="n"/>
      <c r="CK1312" s="24" t="n"/>
      <c r="CL1312" s="24" t="n"/>
      <c r="CM1312" s="24" t="n"/>
      <c r="CN1312" s="24" t="n"/>
      <c r="CO1312" s="24" t="n"/>
      <c r="CP1312" s="24" t="n"/>
      <c r="CQ1312" s="24" t="n"/>
      <c r="CR1312" s="24" t="n"/>
      <c r="CS1312" s="24" t="inlineStr">
        <is>
          <t>True</t>
        </is>
      </c>
      <c r="CT1312" s="24" t="n"/>
      <c r="CU1312" s="24" t="n"/>
      <c r="CV1312" s="24" t="n"/>
      <c r="CW1312" s="24" t="n"/>
      <c r="CX1312" s="24" t="n"/>
      <c r="CY1312" s="24" t="n"/>
      <c r="CZ1312" s="24" t="n"/>
      <c r="DA1312" s="24" t="n"/>
      <c r="DB1312" s="24" t="n"/>
      <c r="DC1312" s="24" t="n"/>
      <c r="DD1312" s="24" t="inlineStr">
        <is>
          <t>9b71e7c79382d6d2948f47f64b5a828d445cd208743c7b2a8aeaef63d4093884</t>
        </is>
      </c>
      <c r="DE1312" s="24" t="inlineStr">
        <is>
          <t>E:\model-prediction\data\odds\tennis\2026-10-12\polymarket_snapshots.jsonl</t>
        </is>
      </c>
      <c r="DF1312" s="24" t="inlineStr">
        <is>
          <t>1351103:2026-10-12T05:14:00.110249Z</t>
        </is>
      </c>
      <c r="DG1312" s="24" t="n"/>
      <c r="DH1312" s="24" t="n"/>
      <c r="DI1312" s="24" t="n"/>
      <c r="DJ1312" s="24" t="n"/>
      <c r="DK1312" s="24" t="n"/>
      <c r="DL1312" s="24" t="n"/>
      <c r="DM1312" s="24" t="n"/>
      <c r="DN1312" s="24" t="n"/>
      <c r="DO1312" s="24" t="n"/>
      <c r="DP1312" s="24" t="n"/>
      <c r="DQ1312" s="24" t="n"/>
    </row>
    <row r="1313" ht="36" customHeight="1">
      <c r="A1313" s="24" t="inlineStr">
        <is>
          <t>a3893403dae7439e</t>
        </is>
      </c>
      <c r="B1313" s="24" t="inlineStr">
        <is>
          <t>2026-10-12T11:02:18.552284Z</t>
        </is>
      </c>
      <c r="C1313" s="24" t="inlineStr">
        <is>
          <t>2026-10-12T11:30Z</t>
        </is>
      </c>
      <c r="D1313" s="24" t="inlineStr">
        <is>
          <t>381-2026:185334</t>
        </is>
      </c>
      <c r="E1313" s="24" t="inlineStr">
        <is>
          <t>TENNIS</t>
        </is>
      </c>
      <c r="F1313" s="24" t="inlineStr">
        <is>
          <t>Wang Xinyu</t>
        </is>
      </c>
      <c r="G1313" s="24" t="inlineStr">
        <is>
          <t>Wang Xiyu</t>
        </is>
      </c>
      <c r="H1313" s="24" t="inlineStr">
        <is>
          <t>moneyline</t>
        </is>
      </c>
      <c r="I1313" s="24" t="inlineStr">
        <is>
          <t>away</t>
        </is>
      </c>
      <c r="J1313" s="25" t="n"/>
      <c r="K1313" s="24" t="inlineStr">
        <is>
          <t>polymarket_us</t>
        </is>
      </c>
      <c r="L1313" s="26" t="n">
        <v>104</v>
      </c>
      <c r="M1313" s="27" t="n">
        <v>2.04</v>
      </c>
      <c r="N1313" s="28" t="n">
        <v>0.490196</v>
      </c>
      <c r="O1313" s="28" t="n">
        <v>0.5415</v>
      </c>
      <c r="P1313" s="28" t="n">
        <v>0.05</v>
      </c>
      <c r="Q1313" s="28" t="n">
        <v>0.051304</v>
      </c>
      <c r="R1313" s="26" t="n">
        <v>46</v>
      </c>
      <c r="S1313" s="29" t="n">
        <v>1</v>
      </c>
      <c r="T1313" s="24" t="inlineStr">
        <is>
          <t>tennis-learned-v3</t>
        </is>
      </c>
      <c r="U1313" s="24" t="inlineStr">
        <is>
          <t>settled</t>
        </is>
      </c>
      <c r="V1313" s="24" t="inlineStr">
        <is>
          <t>loss</t>
        </is>
      </c>
      <c r="W1313" s="26" t="n">
        <v>0</v>
      </c>
      <c r="X1313" s="26" t="n">
        <v>1</v>
      </c>
      <c r="Y1313" s="25" t="n"/>
      <c r="Z1313" s="26" t="n"/>
      <c r="AA1313" s="28" t="n"/>
      <c r="AB1313" s="28" t="n"/>
      <c r="AC1313" s="30" t="n">
        <v>-1</v>
      </c>
      <c r="AD1313" s="24" t="inlineStr">
        <is>
          <t>2026-10-12T16:09:13.783835Z</t>
        </is>
      </c>
      <c r="AE1313" s="31" t="inlineStr">
        <is>
          <t>Tennis v3 Learned Fundamental on Hard (Bo3): Wang Xinyu p=0.542 vs Wang Xiyu. Executable ask 0.4900 (aec-wta-xiywan-xinwan-2026-10-11).</t>
        </is>
      </c>
      <c r="AF1313" s="31" t="inlineStr">
        <is>
          <t>Surface-blended Elo model; singles only, WTA+ATP market coverage, not yet locked-holdout qualified -- promoted by explicit operator directive, not genuine walk-forward validation.</t>
        </is>
      </c>
      <c r="AG1313" s="24" t="inlineStr">
        <is>
          <t>review_required</t>
        </is>
      </c>
      <c r="AH1313" s="24" t="n"/>
      <c r="AI1313" s="31" t="n"/>
      <c r="AJ1313" s="31" t="n"/>
      <c r="AK1313" s="24" t="inlineStr">
        <is>
          <t>model_qualified</t>
        </is>
      </c>
      <c r="AL1313" s="26" t="n">
        <v>4</v>
      </c>
      <c r="AM1313" s="24" t="inlineStr">
        <is>
          <t>QUALIFIED_SHADOW_CALL</t>
        </is>
      </c>
      <c r="AN1313" s="24" t="inlineStr">
        <is>
          <t>CALL</t>
        </is>
      </c>
      <c r="AO1313" s="24" t="inlineStr">
        <is>
          <t>QUALIFIED</t>
        </is>
      </c>
      <c r="AP1313" s="24" t="inlineStr">
        <is>
          <t>Wang Xinyu</t>
        </is>
      </c>
      <c r="AQ1313" s="24" t="inlineStr">
        <is>
          <t>Wang Xinyu</t>
        </is>
      </c>
      <c r="AR1313" s="24" t="inlineStr">
        <is>
          <t>Wang Xinyu</t>
        </is>
      </c>
      <c r="AS1313" s="24" t="inlineStr">
        <is>
          <t>Wang Xiyu</t>
        </is>
      </c>
      <c r="AT1313" s="24" t="inlineStr">
        <is>
          <t>Wang Xiyu</t>
        </is>
      </c>
      <c r="AU1313" s="24" t="inlineStr">
        <is>
          <t>Wang Xiyu</t>
        </is>
      </c>
      <c r="AV1313" s="24" t="n"/>
      <c r="AW1313" s="24" t="n"/>
      <c r="AX1313" s="24" t="inlineStr">
        <is>
          <t>statistical_model</t>
        </is>
      </c>
      <c r="AY1313" s="24" t="n"/>
      <c r="AZ1313" s="24" t="inlineStr">
        <is>
          <t>shadow_qualified</t>
        </is>
      </c>
      <c r="BA1313" s="24" t="inlineStr">
        <is>
          <t>7443acc419841200d57e1edf36b77f1940cdd0c48dce3d43fcd05498a109440b</t>
        </is>
      </c>
      <c r="BB1313" s="24" t="inlineStr">
        <is>
          <t>learned_v3</t>
        </is>
      </c>
      <c r="BC1313" s="24" t="inlineStr">
        <is>
          <t>tennis-learned-v3</t>
        </is>
      </c>
      <c r="BD1313" s="24" t="inlineStr">
        <is>
          <t>7443acc419841200d57e1edf36b77f1940cdd0c48dce3d43fcd05498a109440b</t>
        </is>
      </c>
      <c r="BE1313" s="24" t="inlineStr">
        <is>
          <t>tennis-learned-v3</t>
        </is>
      </c>
      <c r="BF1313" s="24" t="inlineStr">
        <is>
          <t>1</t>
        </is>
      </c>
      <c r="BG1313" s="24" t="inlineStr">
        <is>
          <t>7443acc419841200d57e1edf36b77f1940cdd0c48dce3d43fcd05498a109440b</t>
        </is>
      </c>
      <c r="BH1313" s="24" t="inlineStr">
        <is>
          <t>2026-10-12T10:26:31.579807Z</t>
        </is>
      </c>
      <c r="BI1313" s="24" t="inlineStr">
        <is>
          <t>["same_event","same_team_same_day","same_league_same_day"]</t>
        </is>
      </c>
      <c r="BJ1313" s="25" t="n"/>
      <c r="BK1313" s="26" t="n">
        <v>104</v>
      </c>
      <c r="BL1313" s="27" t="n">
        <v>2.04</v>
      </c>
      <c r="BM1313" s="28" t="n">
        <v>0.490196</v>
      </c>
      <c r="BN1313" s="28" t="n"/>
      <c r="BO1313" s="28" t="n"/>
      <c r="BP1313" s="25" t="n"/>
      <c r="BQ1313" s="27" t="n"/>
      <c r="BR1313" s="28" t="n"/>
      <c r="BS1313" s="28" t="n"/>
      <c r="BT1313" s="28" t="n"/>
      <c r="BU1313" s="25" t="n"/>
      <c r="BV1313" s="29" t="n"/>
      <c r="BW1313" s="24" t="n"/>
      <c r="BX1313" s="30" t="n"/>
      <c r="BY1313" s="27" t="n"/>
      <c r="BZ1313" s="24" t="n"/>
      <c r="CA1313" s="31" t="n"/>
      <c r="CB1313" s="24" t="n"/>
      <c r="CC1313" s="24" t="n"/>
      <c r="CD1313" s="24" t="n"/>
      <c r="CE1313" s="24" t="n"/>
      <c r="CF1313" s="24" t="n"/>
      <c r="CG1313" s="24" t="n"/>
      <c r="CH1313" s="24" t="n"/>
      <c r="CI1313" s="24" t="n"/>
      <c r="CJ1313" s="24" t="n"/>
      <c r="CK1313" s="24" t="n"/>
      <c r="CL1313" s="24" t="n"/>
      <c r="CM1313" s="24" t="n"/>
      <c r="CN1313" s="24" t="n"/>
      <c r="CO1313" s="24" t="n"/>
      <c r="CP1313" s="24" t="n"/>
      <c r="CQ1313" s="24" t="n"/>
      <c r="CR1313" s="24" t="n"/>
      <c r="CS1313" s="24" t="inlineStr">
        <is>
          <t>True</t>
        </is>
      </c>
      <c r="CT1313" s="24" t="n"/>
      <c r="CU1313" s="24" t="n"/>
      <c r="CV1313" s="24" t="n"/>
      <c r="CW1313" s="24" t="n"/>
      <c r="CX1313" s="24" t="n"/>
      <c r="CY1313" s="24" t="n"/>
      <c r="CZ1313" s="24" t="n"/>
      <c r="DA1313" s="24" t="n"/>
      <c r="DB1313" s="24" t="n"/>
      <c r="DC1313" s="24" t="n"/>
      <c r="DD1313" s="24" t="inlineStr">
        <is>
          <t>f9444a13734acace0f3e47d33dad56635117082355758a01f4bc75e90697f188</t>
        </is>
      </c>
      <c r="DE1313" s="24" t="inlineStr">
        <is>
          <t>E:\model-prediction\data\odds\tennis\2026-10-12\polymarket_snapshots.jsonl</t>
        </is>
      </c>
      <c r="DF1313" s="24" t="inlineStr">
        <is>
          <t>1333568:2026-10-12T10:26:31.579807Z</t>
        </is>
      </c>
      <c r="DG1313" s="24" t="n"/>
      <c r="DH1313" s="24" t="n"/>
      <c r="DI1313" s="24" t="n"/>
      <c r="DJ1313" s="24" t="n"/>
      <c r="DK1313" s="24" t="n"/>
      <c r="DL1313" s="24" t="n"/>
      <c r="DM1313" s="24" t="n"/>
      <c r="DN1313" s="24" t="n"/>
      <c r="DO1313" s="24" t="n"/>
      <c r="DP1313" s="24" t="n"/>
      <c r="DQ1313" s="24" t="inlineStr">
        <is>
          <t>{"artifact_hash": "7443acc419841200d57e1edf36b77f1940cdd0c48dce3d43fcd05498a109440b", "away_team": "Wang Xinyu", "event_id": "381-2026:185334", "event_start_utc": "2026-10-12T11:30Z", "features": {"elo_p1_surface": 1603.2, "elo_p2_surface": 1571.0, "expected_games_p1": 13.08, "expected_games_p2": 11.44, "expected_total_games": 24.52, "history_matches": 16708, "min_player_matches": 113, "surface": "Hard"}, "historical_source_observation_times_verified": false, "home_team": "Wang Xiyu", "inference_inputs": {"best_of": 3, "code_sha256": {"features/elo_ratings.py": "d6513e79d65448c06cc0f9b9eed0eaa091567835128e1f6647a310da8d78a872", "models/tennis.py": "7443acc419841200d57e1edf36b77f1940cdd0c48dce3d43fcd05498a109440b"}, "counts": [151, 113], "market_probability": null, "model_version": "tennis-learned-v3", "overall_ratings": [1651.7189477454501, 1677.984007461419], "p_serve_a": 0.6020501245808995, "p_serve_b": 0.5779498754191005, "players": ["Wang Xinyu", "Wang Xiyu"], "rest_days": [8.0, 41.0], "sport": "TENNIS", "surface": "Hard", "surface_counts": [114, 84], "surface_ratings": [1603.1612266476714, 1571.0082855113787], "tour": "WTA"}, "market_type": "moneyline", "model_version": "tennis-learned-v3", "observed_at_utc": "2026-10-12T11:02:15.203395+00:00", "probabilities": {"away": 0.5415, "home": 0.4585}, "replay_scope": "Exact full-precision serving state and rounding; upstream historical observation times are not certified.", "schema": "coded-moneyline-replay-v1", "snapshot_hash": "1314fbd3d49ea529b7a6226b43e43844af806fbf50a5cbd7b0c521a888eb6021", "sport": "TENNIS"}</t>
        </is>
      </c>
    </row>
    <row r="1314" ht="36" customHeight="1">
      <c r="A1314" s="24" t="inlineStr">
        <is>
          <t>6bcca031156f4293</t>
        </is>
      </c>
      <c r="B1314" s="24" t="inlineStr">
        <is>
          <t>2026-10-12T11:02:18.552284Z</t>
        </is>
      </c>
      <c r="C1314" s="24" t="inlineStr">
        <is>
          <t>2026-10-12T11:30Z</t>
        </is>
      </c>
      <c r="D1314" s="24" t="inlineStr">
        <is>
          <t>381-2026:185334</t>
        </is>
      </c>
      <c r="E1314" s="24" t="inlineStr">
        <is>
          <t>TENNIS</t>
        </is>
      </c>
      <c r="F1314" s="24" t="inlineStr">
        <is>
          <t>Wang Xinyu</t>
        </is>
      </c>
      <c r="G1314" s="24" t="inlineStr">
        <is>
          <t>Wang Xiyu</t>
        </is>
      </c>
      <c r="H1314" s="24" t="inlineStr">
        <is>
          <t>spread</t>
        </is>
      </c>
      <c r="I1314" s="24" t="inlineStr">
        <is>
          <t>away</t>
        </is>
      </c>
      <c r="J1314" s="25" t="n">
        <v>-1.5</v>
      </c>
      <c r="K1314" s="24" t="inlineStr">
        <is>
          <t>polymarket_us</t>
        </is>
      </c>
      <c r="L1314" s="26" t="n">
        <v>104</v>
      </c>
      <c r="M1314" s="27" t="n">
        <v>2.04</v>
      </c>
      <c r="N1314" s="28" t="n">
        <v>0.490196</v>
      </c>
      <c r="O1314" s="28" t="n">
        <v>0.7056</v>
      </c>
      <c r="P1314" s="28" t="n">
        <v>0.05</v>
      </c>
      <c r="Q1314" s="28" t="n">
        <v>0.215404</v>
      </c>
      <c r="R1314" s="26" t="n">
        <v>100</v>
      </c>
      <c r="S1314" s="29" t="n">
        <v>2</v>
      </c>
      <c r="T1314" s="24" t="inlineStr">
        <is>
          <t>tennis-learned-v3</t>
        </is>
      </c>
      <c r="U1314" s="24" t="inlineStr">
        <is>
          <t>settled</t>
        </is>
      </c>
      <c r="V1314" s="24" t="inlineStr">
        <is>
          <t>loss</t>
        </is>
      </c>
      <c r="W1314" s="26" t="n">
        <v>2</v>
      </c>
      <c r="X1314" s="26" t="n">
        <v>12</v>
      </c>
      <c r="Y1314" s="25" t="n"/>
      <c r="Z1314" s="26" t="n"/>
      <c r="AA1314" s="28" t="n"/>
      <c r="AB1314" s="28" t="n"/>
      <c r="AC1314" s="30" t="n">
        <v>-2</v>
      </c>
      <c r="AD1314" s="24" t="inlineStr">
        <is>
          <t>2026-10-12T16:09:20.382335Z</t>
        </is>
      </c>
      <c r="AE1314" s="31" t="inlineStr">
        <is>
          <t>Tennis Markov game spread -1.5 games: away cover p=0.706. Executable ask 0.4900 (asc-wta-xiywan-xinwan-2026-10-11-gs-neg-1pt5).</t>
        </is>
      </c>
      <c r="AF1314" s="31" t="inlineStr">
        <is>
          <t>Surface-blended Elo model; singles only, WTA+ATP market coverage, not yet locked-holdout qualified -- promoted by explicit operator directive, not genuine walk-forward validation.</t>
        </is>
      </c>
      <c r="AG1314" s="24" t="inlineStr">
        <is>
          <t>review_required</t>
        </is>
      </c>
      <c r="AH1314" s="24" t="n"/>
      <c r="AI1314" s="31" t="n"/>
      <c r="AJ1314" s="31" t="n"/>
      <c r="AK1314" s="24" t="inlineStr">
        <is>
          <t>model_qualified</t>
        </is>
      </c>
      <c r="AL1314" s="26" t="n">
        <v>4</v>
      </c>
      <c r="AM1314" s="24" t="inlineStr">
        <is>
          <t>QUALIFIED_SHADOW_CALL</t>
        </is>
      </c>
      <c r="AN1314" s="24" t="inlineStr">
        <is>
          <t>CALL</t>
        </is>
      </c>
      <c r="AO1314" s="24" t="inlineStr">
        <is>
          <t>QUALIFIED</t>
        </is>
      </c>
      <c r="AP1314" s="24" t="inlineStr">
        <is>
          <t>Wang Xinyu</t>
        </is>
      </c>
      <c r="AQ1314" s="24" t="inlineStr">
        <is>
          <t>Wang Xinyu</t>
        </is>
      </c>
      <c r="AR1314" s="24" t="inlineStr">
        <is>
          <t>Wang Xinyu</t>
        </is>
      </c>
      <c r="AS1314" s="24" t="inlineStr">
        <is>
          <t>Wang Xiyu</t>
        </is>
      </c>
      <c r="AT1314" s="24" t="inlineStr">
        <is>
          <t>Wang Xiyu</t>
        </is>
      </c>
      <c r="AU1314" s="24" t="inlineStr">
        <is>
          <t>Wang Xiyu</t>
        </is>
      </c>
      <c r="AV1314" s="24" t="n"/>
      <c r="AW1314" s="24" t="n"/>
      <c r="AX1314" s="24" t="inlineStr">
        <is>
          <t>statistical_model</t>
        </is>
      </c>
      <c r="AY1314" s="24" t="n"/>
      <c r="AZ1314" s="24" t="inlineStr">
        <is>
          <t>shadow_qualified</t>
        </is>
      </c>
      <c r="BA1314" s="24" t="inlineStr">
        <is>
          <t>7443acc419841200d57e1edf36b77f1940cdd0c48dce3d43fcd05498a109440b</t>
        </is>
      </c>
      <c r="BB1314" s="24" t="inlineStr">
        <is>
          <t>learned_v3</t>
        </is>
      </c>
      <c r="BC1314" s="24" t="inlineStr">
        <is>
          <t>tennis-learned-v3</t>
        </is>
      </c>
      <c r="BD1314" s="24" t="inlineStr">
        <is>
          <t>7443acc419841200d57e1edf36b77f1940cdd0c48dce3d43fcd05498a109440b</t>
        </is>
      </c>
      <c r="BE1314" s="24" t="inlineStr">
        <is>
          <t>tennis-learned-v3</t>
        </is>
      </c>
      <c r="BF1314" s="24" t="inlineStr">
        <is>
          <t>1</t>
        </is>
      </c>
      <c r="BG1314" s="24" t="inlineStr">
        <is>
          <t>7443acc419841200d57e1edf36b77f1940cdd0c48dce3d43fcd05498a109440b</t>
        </is>
      </c>
      <c r="BH1314" s="24" t="inlineStr">
        <is>
          <t>2026-10-12T05:01:16.126656Z</t>
        </is>
      </c>
      <c r="BI1314" s="24" t="inlineStr">
        <is>
          <t>["same_event","same_team_same_day","same_league_same_day"]</t>
        </is>
      </c>
      <c r="BJ1314" s="25" t="n">
        <v>-1.5</v>
      </c>
      <c r="BK1314" s="26" t="n">
        <v>104</v>
      </c>
      <c r="BL1314" s="27" t="n">
        <v>2.04</v>
      </c>
      <c r="BM1314" s="28" t="n">
        <v>0.490196</v>
      </c>
      <c r="BN1314" s="28" t="n"/>
      <c r="BO1314" s="28" t="n"/>
      <c r="BP1314" s="25" t="n"/>
      <c r="BQ1314" s="27" t="n"/>
      <c r="BR1314" s="28" t="n"/>
      <c r="BS1314" s="28" t="n"/>
      <c r="BT1314" s="28" t="n"/>
      <c r="BU1314" s="25" t="n"/>
      <c r="BV1314" s="29" t="n"/>
      <c r="BW1314" s="24" t="n"/>
      <c r="BX1314" s="30" t="n"/>
      <c r="BY1314" s="27" t="n"/>
      <c r="BZ1314" s="24" t="n"/>
      <c r="CA1314" s="31" t="n"/>
      <c r="CB1314" s="24" t="n"/>
      <c r="CC1314" s="24" t="n"/>
      <c r="CD1314" s="24" t="n"/>
      <c r="CE1314" s="24" t="n"/>
      <c r="CF1314" s="24" t="n"/>
      <c r="CG1314" s="24" t="n"/>
      <c r="CH1314" s="24" t="n"/>
      <c r="CI1314" s="24" t="n"/>
      <c r="CJ1314" s="24" t="n"/>
      <c r="CK1314" s="24" t="n"/>
      <c r="CL1314" s="24" t="n"/>
      <c r="CM1314" s="24" t="n"/>
      <c r="CN1314" s="24" t="n"/>
      <c r="CO1314" s="24" t="n"/>
      <c r="CP1314" s="24" t="n"/>
      <c r="CQ1314" s="24" t="n"/>
      <c r="CR1314" s="24" t="n"/>
      <c r="CS1314" s="24" t="inlineStr">
        <is>
          <t>True</t>
        </is>
      </c>
      <c r="CT1314" s="24" t="n"/>
      <c r="CU1314" s="24" t="n"/>
      <c r="CV1314" s="24" t="n"/>
      <c r="CW1314" s="24" t="n"/>
      <c r="CX1314" s="24" t="n"/>
      <c r="CY1314" s="24" t="n"/>
      <c r="CZ1314" s="24" t="n"/>
      <c r="DA1314" s="24" t="n"/>
      <c r="DB1314" s="24" t="n"/>
      <c r="DC1314" s="24" t="n"/>
      <c r="DD1314" s="24" t="inlineStr">
        <is>
          <t>3f9dbd265b2cb3d730b801345f56f47002c6ffec409b2e3adb194e5e7e20eebd</t>
        </is>
      </c>
      <c r="DE1314" s="24" t="inlineStr">
        <is>
          <t>E:\model-prediction\data\odds\tennis\2026-10-12\polymarket_snapshots.jsonl</t>
        </is>
      </c>
      <c r="DF1314" s="24" t="inlineStr">
        <is>
          <t>1353981:2026-10-12T05:01:16.126656Z</t>
        </is>
      </c>
      <c r="DG1314" s="24" t="n"/>
      <c r="DH1314" s="24" t="n"/>
      <c r="DI1314" s="24" t="n"/>
      <c r="DJ1314" s="24" t="n"/>
      <c r="DK1314" s="24" t="n"/>
      <c r="DL1314" s="24" t="n"/>
      <c r="DM1314" s="24" t="n"/>
      <c r="DN1314" s="24" t="n"/>
      <c r="DO1314" s="24" t="n"/>
      <c r="DP1314" s="24" t="n"/>
      <c r="DQ1314" s="24" t="n"/>
    </row>
    <row r="1315" ht="36" customHeight="1">
      <c r="A1315" s="24" t="inlineStr">
        <is>
          <t>0c51f07627064d7f</t>
        </is>
      </c>
      <c r="B1315" s="24" t="inlineStr">
        <is>
          <t>2026-10-12T11:02:18.552284Z</t>
        </is>
      </c>
      <c r="C1315" s="24" t="inlineStr">
        <is>
          <t>2026-10-12T11:30Z</t>
        </is>
      </c>
      <c r="D1315" s="24" t="inlineStr">
        <is>
          <t>381-2026:185334</t>
        </is>
      </c>
      <c r="E1315" s="24" t="inlineStr">
        <is>
          <t>TENNIS</t>
        </is>
      </c>
      <c r="F1315" s="24" t="inlineStr">
        <is>
          <t>Wang Xinyu</t>
        </is>
      </c>
      <c r="G1315" s="24" t="inlineStr">
        <is>
          <t>Wang Xiyu</t>
        </is>
      </c>
      <c r="H1315" s="24" t="inlineStr">
        <is>
          <t>total</t>
        </is>
      </c>
      <c r="I1315" s="24" t="inlineStr">
        <is>
          <t>over</t>
        </is>
      </c>
      <c r="J1315" s="25" t="n">
        <v>22.5</v>
      </c>
      <c r="K1315" s="24" t="inlineStr">
        <is>
          <t>polymarket_us</t>
        </is>
      </c>
      <c r="L1315" s="26" t="n">
        <v>113</v>
      </c>
      <c r="M1315" s="27" t="n">
        <v>2.13</v>
      </c>
      <c r="N1315" s="28" t="n">
        <v>0.469484</v>
      </c>
      <c r="O1315" s="28" t="n">
        <v>0.5586</v>
      </c>
      <c r="P1315" s="28" t="n">
        <v>0.05</v>
      </c>
      <c r="Q1315" s="28" t="n">
        <v>0.089116</v>
      </c>
      <c r="R1315" s="26" t="n">
        <v>65</v>
      </c>
      <c r="S1315" s="29" t="n">
        <v>1.25</v>
      </c>
      <c r="T1315" s="24" t="inlineStr">
        <is>
          <t>tennis-learned-v3</t>
        </is>
      </c>
      <c r="U1315" s="24" t="inlineStr">
        <is>
          <t>settled</t>
        </is>
      </c>
      <c r="V1315" s="24" t="inlineStr">
        <is>
          <t>loss</t>
        </is>
      </c>
      <c r="W1315" s="26" t="n">
        <v>2</v>
      </c>
      <c r="X1315" s="26" t="n">
        <v>12</v>
      </c>
      <c r="Y1315" s="25" t="n"/>
      <c r="Z1315" s="26" t="n"/>
      <c r="AA1315" s="28" t="n"/>
      <c r="AB1315" s="28" t="n"/>
      <c r="AC1315" s="30" t="n">
        <v>-1.25</v>
      </c>
      <c r="AD1315" s="24" t="inlineStr">
        <is>
          <t>2026-10-12T16:09:25.608700Z</t>
        </is>
      </c>
      <c r="AE1315" s="31" t="inlineStr">
        <is>
          <t>Tennis Markov total games line 22.5: over p=0.559. Executable ask 0.4700 (tsc-wta-xiywan-xinwan-2026-10-11-tg-22pt5).</t>
        </is>
      </c>
      <c r="AF1315" s="31" t="inlineStr">
        <is>
          <t>Surface-blended Elo model; singles only, WTA+ATP market coverage, not yet locked-holdout qualified -- promoted by explicit operator directive, not genuine walk-forward validation.</t>
        </is>
      </c>
      <c r="AG1315" s="24" t="inlineStr">
        <is>
          <t>review_required</t>
        </is>
      </c>
      <c r="AH1315" s="24" t="n"/>
      <c r="AI1315" s="31" t="n"/>
      <c r="AJ1315" s="31" t="n"/>
      <c r="AK1315" s="24" t="inlineStr">
        <is>
          <t>model_qualified</t>
        </is>
      </c>
      <c r="AL1315" s="26" t="n">
        <v>4</v>
      </c>
      <c r="AM1315" s="24" t="inlineStr">
        <is>
          <t>QUALIFIED_SHADOW_CALL</t>
        </is>
      </c>
      <c r="AN1315" s="24" t="inlineStr">
        <is>
          <t>CALL</t>
        </is>
      </c>
      <c r="AO1315" s="24" t="inlineStr">
        <is>
          <t>QUALIFIED</t>
        </is>
      </c>
      <c r="AP1315" s="24" t="inlineStr">
        <is>
          <t>Wang Xinyu</t>
        </is>
      </c>
      <c r="AQ1315" s="24" t="inlineStr">
        <is>
          <t>Wang Xinyu</t>
        </is>
      </c>
      <c r="AR1315" s="24" t="inlineStr">
        <is>
          <t>Wang Xinyu</t>
        </is>
      </c>
      <c r="AS1315" s="24" t="inlineStr">
        <is>
          <t>Wang Xiyu</t>
        </is>
      </c>
      <c r="AT1315" s="24" t="inlineStr">
        <is>
          <t>Wang Xiyu</t>
        </is>
      </c>
      <c r="AU1315" s="24" t="inlineStr">
        <is>
          <t>Wang Xiyu</t>
        </is>
      </c>
      <c r="AV1315" s="24" t="n"/>
      <c r="AW1315" s="24" t="n"/>
      <c r="AX1315" s="24" t="inlineStr">
        <is>
          <t>statistical_model</t>
        </is>
      </c>
      <c r="AY1315" s="24" t="n"/>
      <c r="AZ1315" s="24" t="inlineStr">
        <is>
          <t>shadow_qualified</t>
        </is>
      </c>
      <c r="BA1315" s="24" t="inlineStr">
        <is>
          <t>7443acc419841200d57e1edf36b77f1940cdd0c48dce3d43fcd05498a109440b</t>
        </is>
      </c>
      <c r="BB1315" s="24" t="inlineStr">
        <is>
          <t>learned_v3</t>
        </is>
      </c>
      <c r="BC1315" s="24" t="inlineStr">
        <is>
          <t>tennis-learned-v3</t>
        </is>
      </c>
      <c r="BD1315" s="24" t="inlineStr">
        <is>
          <t>7443acc419841200d57e1edf36b77f1940cdd0c48dce3d43fcd05498a109440b</t>
        </is>
      </c>
      <c r="BE1315" s="24" t="inlineStr">
        <is>
          <t>tennis-learned-v3</t>
        </is>
      </c>
      <c r="BF1315" s="24" t="inlineStr">
        <is>
          <t>1</t>
        </is>
      </c>
      <c r="BG1315" s="24" t="inlineStr">
        <is>
          <t>7443acc419841200d57e1edf36b77f1940cdd0c48dce3d43fcd05498a109440b</t>
        </is>
      </c>
      <c r="BH1315" s="24" t="inlineStr">
        <is>
          <t>2026-10-12T10:26:21.576155Z</t>
        </is>
      </c>
      <c r="BI1315" s="24" t="inlineStr">
        <is>
          <t>["same_event","same_team_same_day","same_league_same_day"]</t>
        </is>
      </c>
      <c r="BJ1315" s="25" t="n">
        <v>22.5</v>
      </c>
      <c r="BK1315" s="26" t="n">
        <v>113</v>
      </c>
      <c r="BL1315" s="27" t="n">
        <v>2.13</v>
      </c>
      <c r="BM1315" s="28" t="n">
        <v>0.469484</v>
      </c>
      <c r="BN1315" s="28" t="n"/>
      <c r="BO1315" s="28" t="n"/>
      <c r="BP1315" s="25" t="n"/>
      <c r="BQ1315" s="27" t="n"/>
      <c r="BR1315" s="28" t="n"/>
      <c r="BS1315" s="28" t="n"/>
      <c r="BT1315" s="28" t="n"/>
      <c r="BU1315" s="25" t="n"/>
      <c r="BV1315" s="29" t="n"/>
      <c r="BW1315" s="24" t="n"/>
      <c r="BX1315" s="30" t="n"/>
      <c r="BY1315" s="27" t="n"/>
      <c r="BZ1315" s="24" t="n"/>
      <c r="CA1315" s="31" t="n"/>
      <c r="CB1315" s="24" t="n"/>
      <c r="CC1315" s="24" t="n"/>
      <c r="CD1315" s="24" t="n"/>
      <c r="CE1315" s="24" t="n"/>
      <c r="CF1315" s="24" t="n"/>
      <c r="CG1315" s="24" t="n"/>
      <c r="CH1315" s="24" t="n"/>
      <c r="CI1315" s="24" t="n"/>
      <c r="CJ1315" s="24" t="n"/>
      <c r="CK1315" s="24" t="n"/>
      <c r="CL1315" s="24" t="n"/>
      <c r="CM1315" s="24" t="n"/>
      <c r="CN1315" s="24" t="n"/>
      <c r="CO1315" s="24" t="n"/>
      <c r="CP1315" s="24" t="n"/>
      <c r="CQ1315" s="24" t="n"/>
      <c r="CR1315" s="24" t="n"/>
      <c r="CS1315" s="24" t="inlineStr">
        <is>
          <t>True</t>
        </is>
      </c>
      <c r="CT1315" s="24" t="n"/>
      <c r="CU1315" s="24" t="n"/>
      <c r="CV1315" s="24" t="n"/>
      <c r="CW1315" s="24" t="n"/>
      <c r="CX1315" s="24" t="n"/>
      <c r="CY1315" s="24" t="n"/>
      <c r="CZ1315" s="24" t="n"/>
      <c r="DA1315" s="24" t="n"/>
      <c r="DB1315" s="24" t="n"/>
      <c r="DC1315" s="24" t="n"/>
      <c r="DD1315" s="24" t="inlineStr">
        <is>
          <t>5de7ea7d7506e221a810224949e7c87cff196bffcf86cf43df7355c98dc32bac</t>
        </is>
      </c>
      <c r="DE1315" s="24" t="inlineStr">
        <is>
          <t>E:\model-prediction\data\odds\tennis\2026-10-12\polymarket_snapshots.jsonl</t>
        </is>
      </c>
      <c r="DF1315" s="24" t="inlineStr">
        <is>
          <t>1353960:2026-10-12T10:26:21.576155Z</t>
        </is>
      </c>
      <c r="DG1315" s="24" t="n"/>
      <c r="DH1315" s="24" t="n"/>
      <c r="DI1315" s="24" t="n"/>
      <c r="DJ1315" s="24" t="n"/>
      <c r="DK1315" s="24" t="n"/>
      <c r="DL1315" s="24" t="n"/>
      <c r="DM1315" s="24" t="n"/>
      <c r="DN1315" s="24" t="n"/>
      <c r="DO1315" s="24" t="n"/>
      <c r="DP1315" s="24" t="n"/>
      <c r="DQ1315" s="24" t="n"/>
    </row>
    <row r="1316" ht="36" customHeight="1">
      <c r="A1316" s="24" t="inlineStr">
        <is>
          <t>ade321be642c4987</t>
        </is>
      </c>
      <c r="B1316" s="24" t="inlineStr">
        <is>
          <t>2026-10-12T11:02:18.552284Z</t>
        </is>
      </c>
      <c r="C1316" s="24" t="inlineStr">
        <is>
          <t>2026-10-12T13:00Z</t>
        </is>
      </c>
      <c r="D1316" s="24" t="inlineStr">
        <is>
          <t>381-2026:185325</t>
        </is>
      </c>
      <c r="E1316" s="24" t="inlineStr">
        <is>
          <t>TENNIS</t>
        </is>
      </c>
      <c r="F1316" s="24" t="inlineStr">
        <is>
          <t>Shi Han</t>
        </is>
      </c>
      <c r="G1316" s="24" t="inlineStr">
        <is>
          <t>Alexandra Eala</t>
        </is>
      </c>
      <c r="H1316" s="24" t="inlineStr">
        <is>
          <t>moneyline</t>
        </is>
      </c>
      <c r="I1316" s="24" t="inlineStr">
        <is>
          <t>home</t>
        </is>
      </c>
      <c r="J1316" s="25" t="n"/>
      <c r="K1316" s="24" t="inlineStr">
        <is>
          <t>polymarket_us</t>
        </is>
      </c>
      <c r="L1316" s="26" t="n">
        <v>-426</v>
      </c>
      <c r="M1316" s="27" t="n">
        <v>1.234742</v>
      </c>
      <c r="N1316" s="28" t="n">
        <v>0.809886</v>
      </c>
      <c r="O1316" s="28" t="n">
        <v>0.823</v>
      </c>
      <c r="P1316" s="28" t="n">
        <v>0.05</v>
      </c>
      <c r="Q1316" s="28" t="n">
        <v>0.013114</v>
      </c>
      <c r="R1316" s="26" t="n">
        <v>27</v>
      </c>
      <c r="S1316" s="29" t="n">
        <v>1</v>
      </c>
      <c r="T1316" s="24" t="inlineStr">
        <is>
          <t>tennis-learned-v3</t>
        </is>
      </c>
      <c r="U1316" s="24" t="inlineStr">
        <is>
          <t>settled</t>
        </is>
      </c>
      <c r="V1316" s="24" t="inlineStr">
        <is>
          <t>loss</t>
        </is>
      </c>
      <c r="W1316" s="26" t="n">
        <v>1</v>
      </c>
      <c r="X1316" s="26" t="n">
        <v>0</v>
      </c>
      <c r="Y1316" s="25" t="n"/>
      <c r="Z1316" s="26" t="n">
        <v>-426</v>
      </c>
      <c r="AA1316" s="28" t="n">
        <v>0.8100000000000001</v>
      </c>
      <c r="AB1316" s="28" t="n">
        <v>0.000114</v>
      </c>
      <c r="AC1316" s="30" t="n">
        <v>-1</v>
      </c>
      <c r="AD1316" s="24" t="inlineStr">
        <is>
          <t>2026-10-12T16:09:30.906343Z</t>
        </is>
      </c>
      <c r="AE1316" s="31" t="inlineStr">
        <is>
          <t>Tennis v3 Learned Fundamental on Hard (Bo3): Shi Han p=0.177 vs Alexandra Eala. Executable ask 0.8100 (aec-wta-aleeal-hanshi-2026-10-11).</t>
        </is>
      </c>
      <c r="AF1316" s="31" t="inlineStr">
        <is>
          <t>Surface-blended Elo model; singles only, WTA+ATP market coverage, not yet locked-holdout qualified -- promoted by explicit operator directive, not genuine walk-forward validation.</t>
        </is>
      </c>
      <c r="AG1316" s="24" t="inlineStr">
        <is>
          <t>review_required</t>
        </is>
      </c>
      <c r="AH1316" s="24" t="n"/>
      <c r="AI1316" s="31" t="n"/>
      <c r="AJ1316" s="31" t="n"/>
      <c r="AK1316" s="24" t="inlineStr">
        <is>
          <t>paper_call</t>
        </is>
      </c>
      <c r="AL1316" s="26" t="n">
        <v>4</v>
      </c>
      <c r="AM1316" s="24" t="inlineStr">
        <is>
          <t>RESEARCH_OBSERVATION</t>
        </is>
      </c>
      <c r="AN1316" s="24" t="inlineStr">
        <is>
          <t>CALL</t>
        </is>
      </c>
      <c r="AO1316" s="24" t="inlineStr">
        <is>
          <t>PAPER_CALL_LOW_EDGE</t>
        </is>
      </c>
      <c r="AP1316" s="24" t="inlineStr">
        <is>
          <t>Shi Han</t>
        </is>
      </c>
      <c r="AQ1316" s="24" t="inlineStr">
        <is>
          <t>Shi Han</t>
        </is>
      </c>
      <c r="AR1316" s="24" t="inlineStr">
        <is>
          <t>Shi Han</t>
        </is>
      </c>
      <c r="AS1316" s="24" t="inlineStr">
        <is>
          <t>Alexandra Eala</t>
        </is>
      </c>
      <c r="AT1316" s="24" t="inlineStr">
        <is>
          <t>Alexandra Eala</t>
        </is>
      </c>
      <c r="AU1316" s="24" t="inlineStr">
        <is>
          <t>Alexandra Eala</t>
        </is>
      </c>
      <c r="AV1316" s="24" t="n"/>
      <c r="AW1316" s="24" t="n"/>
      <c r="AX1316" s="24" t="inlineStr">
        <is>
          <t>statistical_model</t>
        </is>
      </c>
      <c r="AY1316" s="24" t="n"/>
      <c r="AZ1316" s="24" t="inlineStr">
        <is>
          <t>shadow_qualified</t>
        </is>
      </c>
      <c r="BA1316" s="24" t="inlineStr">
        <is>
          <t>7443acc419841200d57e1edf36b77f1940cdd0c48dce3d43fcd05498a109440b</t>
        </is>
      </c>
      <c r="BB1316" s="24" t="inlineStr">
        <is>
          <t>learned_v3</t>
        </is>
      </c>
      <c r="BC1316" s="24" t="inlineStr">
        <is>
          <t>tennis-learned-v3</t>
        </is>
      </c>
      <c r="BD1316" s="24" t="inlineStr">
        <is>
          <t>7443acc419841200d57e1edf36b77f1940cdd0c48dce3d43fcd05498a109440b</t>
        </is>
      </c>
      <c r="BE1316" s="24" t="inlineStr">
        <is>
          <t>tennis-learned-v3</t>
        </is>
      </c>
      <c r="BF1316" s="24" t="inlineStr">
        <is>
          <t>1</t>
        </is>
      </c>
      <c r="BG1316" s="24" t="inlineStr">
        <is>
          <t>7443acc419841200d57e1edf36b77f1940cdd0c48dce3d43fcd05498a109440b</t>
        </is>
      </c>
      <c r="BH1316" s="24" t="inlineStr">
        <is>
          <t>2026-10-12T10:27:22.000977Z</t>
        </is>
      </c>
      <c r="BI1316" s="24" t="inlineStr">
        <is>
          <t>["same_event","same_team_same_day","same_league_same_day"]</t>
        </is>
      </c>
      <c r="BJ1316" s="25" t="n"/>
      <c r="BK1316" s="26" t="n">
        <v>-426</v>
      </c>
      <c r="BL1316" s="27" t="n">
        <v>1.234742</v>
      </c>
      <c r="BM1316" s="28" t="n">
        <v>0.809886</v>
      </c>
      <c r="BN1316" s="28" t="n"/>
      <c r="BO1316" s="28" t="n"/>
      <c r="BP1316" s="25" t="n"/>
      <c r="BQ1316" s="27" t="n">
        <v>1.234742</v>
      </c>
      <c r="BR1316" s="28" t="n">
        <v>0.8100000000000001</v>
      </c>
      <c r="BS1316" s="28" t="n"/>
      <c r="BT1316" s="28" t="n"/>
      <c r="BU1316" s="25" t="n"/>
      <c r="BV1316" s="29" t="n"/>
      <c r="BW1316" s="24" t="n"/>
      <c r="BX1316" s="30" t="n"/>
      <c r="BY1316" s="27" t="n"/>
      <c r="BZ1316" s="24" t="n"/>
      <c r="CA1316" s="31" t="n"/>
      <c r="CB1316" s="24" t="n"/>
      <c r="CC1316" s="24" t="n"/>
      <c r="CD1316" s="24" t="n"/>
      <c r="CE1316" s="24" t="n"/>
      <c r="CF1316" s="24" t="n"/>
      <c r="CG1316" s="24" t="n"/>
      <c r="CH1316" s="24" t="n"/>
      <c r="CI1316" s="24" t="n"/>
      <c r="CJ1316" s="24" t="n"/>
      <c r="CK1316" s="24" t="n"/>
      <c r="CL1316" s="24" t="n"/>
      <c r="CM1316" s="24" t="n"/>
      <c r="CN1316" s="24" t="n"/>
      <c r="CO1316" s="24" t="n"/>
      <c r="CP1316" s="24" t="n"/>
      <c r="CQ1316" s="24" t="n"/>
      <c r="CR1316" s="24" t="n"/>
      <c r="CS1316" s="24" t="inlineStr">
        <is>
          <t>True</t>
        </is>
      </c>
      <c r="CT1316" s="24" t="n"/>
      <c r="CU1316" s="24" t="n"/>
      <c r="CV1316" s="24" t="n"/>
      <c r="CW1316" s="24" t="n"/>
      <c r="CX1316" s="24" t="n"/>
      <c r="CY1316" s="24" t="n"/>
      <c r="CZ1316" s="24" t="n"/>
      <c r="DA1316" s="24" t="n"/>
      <c r="DB1316" s="24" t="n"/>
      <c r="DC1316" s="24" t="n"/>
      <c r="DD1316" s="24" t="inlineStr">
        <is>
          <t>6ec25a2c03a5d4b0e64cfd0714c4b580a3e1865b63256d04191e21f48082ff0e</t>
        </is>
      </c>
      <c r="DE1316" s="24" t="inlineStr">
        <is>
          <t>E:\model-prediction\data\odds\tennis\2026-10-12\polymarket_snapshots.jsonl</t>
        </is>
      </c>
      <c r="DF1316" s="24" t="inlineStr">
        <is>
          <t>1364412:2026-10-12T10:27:22.000977Z</t>
        </is>
      </c>
      <c r="DG1316" s="24" t="n"/>
      <c r="DH1316" s="24" t="n"/>
      <c r="DI1316" s="24" t="n"/>
      <c r="DJ1316" s="24" t="n"/>
      <c r="DK1316" s="24" t="n"/>
      <c r="DL1316" s="24" t="n"/>
      <c r="DM1316" s="24" t="n"/>
      <c r="DN1316" s="24" t="n"/>
      <c r="DO1316" s="24" t="n"/>
      <c r="DP1316" s="24" t="n"/>
      <c r="DQ1316" s="24" t="inlineStr">
        <is>
          <t>{"artifact_hash": "7443acc419841200d57e1edf36b77f1940cdd0c48dce3d43fcd05498a109440b", "away_team": "Shi Han", "event_id": "381-2026:185325", "event_start_utc": "2026-10-12T13:00Z", "features": {"elo_p1_surface": 1506.1, "elo_p2_surface": 1621.1, "expected_games_p1": 4.77, "expected_games_p2": 12.32, "expected_total_games": 17.09, "history_matches": 16708, "min_player_matches": 35, "surface": "Hard"}, "historical_source_observation_times_verified": false, "home_team": "Alexandra Eala", "inference_inputs": {"best_of": 3, "code_sha256": {"features/elo_ratings.py": "d6513e79d65448c06cc0f9b9eed0eaa091567835128e1f6647a310da8d78a872", "models/tennis.py": "7443acc419841200d57e1edf36b77f1940cdd0c48dce3d43fcd05498a109440b"}, "counts": [35, 150], "market_probability": null, "model_version": "tennis-learned-v3", "overall_ratings": [1508.9103435685836, 1758.3109539118839], "p_serve_a": 0.4787852302423182, "p_serve_b": 0.7012147697576817, "players": ["Shi Han", "Alexandra Eala"], "rest_days": [1.0, 18.0], "sport": "TENNIS", "surface": "Hard", "surface_counts": [34, 106], "surface_ratings": [1506.1159374745703, 1621.0722101180322], "tour": "WTA"}, "market_type": "moneyline", "model_version": "tennis-learned-v3", "observed_at_utc": "2026-10-12T11:02:15.203395+00:00", "probabilities": {"away": 0.177, "home": 0.823}, "replay_scope": "Exact full-precision serving state and rounding; upstream historical observation times are not certified.", "schema": "coded-moneyline-replay-v1", "snapshot_hash": "8d31073fac0cc4377cc5cc0162c9bed08d07c261b6c85772f24b45fef9d5ea8b", "sport": "TENNIS"}</t>
        </is>
      </c>
    </row>
    <row r="1317" ht="36" customHeight="1">
      <c r="A1317" s="24" t="inlineStr">
        <is>
          <t>614486473941427a</t>
        </is>
      </c>
      <c r="B1317" s="24" t="inlineStr">
        <is>
          <t>2026-10-12T11:02:18.552284Z</t>
        </is>
      </c>
      <c r="C1317" s="24" t="inlineStr">
        <is>
          <t>2026-10-12T13:00Z</t>
        </is>
      </c>
      <c r="D1317" s="24" t="inlineStr">
        <is>
          <t>381-2026:185325</t>
        </is>
      </c>
      <c r="E1317" s="24" t="inlineStr">
        <is>
          <t>TENNIS</t>
        </is>
      </c>
      <c r="F1317" s="24" t="inlineStr">
        <is>
          <t>Shi Han</t>
        </is>
      </c>
      <c r="G1317" s="24" t="inlineStr">
        <is>
          <t>Alexandra Eala</t>
        </is>
      </c>
      <c r="H1317" s="24" t="inlineStr">
        <is>
          <t>spread</t>
        </is>
      </c>
      <c r="I1317" s="24" t="inlineStr">
        <is>
          <t>home</t>
        </is>
      </c>
      <c r="J1317" s="25" t="n">
        <v>-4.5</v>
      </c>
      <c r="K1317" s="24" t="inlineStr">
        <is>
          <t>polymarket_us</t>
        </is>
      </c>
      <c r="L1317" s="26" t="n">
        <v>-150</v>
      </c>
      <c r="M1317" s="27" t="n">
        <v>1.666667</v>
      </c>
      <c r="N1317" s="28" t="n">
        <v>0.6</v>
      </c>
      <c r="O1317" s="28" t="n">
        <v>0.9281</v>
      </c>
      <c r="P1317" s="28" t="n">
        <v>0.05</v>
      </c>
      <c r="Q1317" s="28" t="n">
        <v>0.3281</v>
      </c>
      <c r="R1317" s="26" t="n">
        <v>100</v>
      </c>
      <c r="S1317" s="29" t="n">
        <v>2</v>
      </c>
      <c r="T1317" s="24" t="inlineStr">
        <is>
          <t>tennis-learned-v3</t>
        </is>
      </c>
      <c r="U1317" s="24" t="inlineStr">
        <is>
          <t>settled</t>
        </is>
      </c>
      <c r="V1317" s="24" t="inlineStr">
        <is>
          <t>loss</t>
        </is>
      </c>
      <c r="W1317" s="26" t="n">
        <v>16</v>
      </c>
      <c r="X1317" s="26" t="n">
        <v>12</v>
      </c>
      <c r="Y1317" s="25" t="n"/>
      <c r="Z1317" s="26" t="n"/>
      <c r="AA1317" s="28" t="n"/>
      <c r="AB1317" s="28" t="n"/>
      <c r="AC1317" s="30" t="n">
        <v>-2</v>
      </c>
      <c r="AD1317" s="24" t="inlineStr">
        <is>
          <t>2026-10-12T16:09:38.726530Z</t>
        </is>
      </c>
      <c r="AE1317" s="31" t="inlineStr">
        <is>
          <t>Tennis Markov game spread -4.5 games: home cover p=0.928. Executable ask 0.6000 (asc-wta-aleeal-hanshi-2026-10-11-gs-neg-4pt5).</t>
        </is>
      </c>
      <c r="AF1317" s="31" t="inlineStr">
        <is>
          <t>Surface-blended Elo model; singles only, WTA+ATP market coverage, not yet locked-holdout qualified -- promoted by explicit operator directive, not genuine walk-forward validation.</t>
        </is>
      </c>
      <c r="AG1317" s="24" t="inlineStr">
        <is>
          <t>review_required</t>
        </is>
      </c>
      <c r="AH1317" s="24" t="n"/>
      <c r="AI1317" s="31" t="n"/>
      <c r="AJ1317" s="31" t="n"/>
      <c r="AK1317" s="24" t="inlineStr">
        <is>
          <t>model_qualified</t>
        </is>
      </c>
      <c r="AL1317" s="26" t="n">
        <v>4</v>
      </c>
      <c r="AM1317" s="24" t="inlineStr">
        <is>
          <t>QUALIFIED_SHADOW_CALL</t>
        </is>
      </c>
      <c r="AN1317" s="24" t="inlineStr">
        <is>
          <t>CALL</t>
        </is>
      </c>
      <c r="AO1317" s="24" t="inlineStr">
        <is>
          <t>QUALIFIED</t>
        </is>
      </c>
      <c r="AP1317" s="24" t="inlineStr">
        <is>
          <t>Shi Han</t>
        </is>
      </c>
      <c r="AQ1317" s="24" t="inlineStr">
        <is>
          <t>Shi Han</t>
        </is>
      </c>
      <c r="AR1317" s="24" t="inlineStr">
        <is>
          <t>Shi Han</t>
        </is>
      </c>
      <c r="AS1317" s="24" t="inlineStr">
        <is>
          <t>Alexandra Eala</t>
        </is>
      </c>
      <c r="AT1317" s="24" t="inlineStr">
        <is>
          <t>Alexandra Eala</t>
        </is>
      </c>
      <c r="AU1317" s="24" t="inlineStr">
        <is>
          <t>Alexandra Eala</t>
        </is>
      </c>
      <c r="AV1317" s="24" t="n"/>
      <c r="AW1317" s="24" t="n"/>
      <c r="AX1317" s="24" t="inlineStr">
        <is>
          <t>statistical_model</t>
        </is>
      </c>
      <c r="AY1317" s="24" t="n"/>
      <c r="AZ1317" s="24" t="inlineStr">
        <is>
          <t>shadow_qualified</t>
        </is>
      </c>
      <c r="BA1317" s="24" t="inlineStr">
        <is>
          <t>7443acc419841200d57e1edf36b77f1940cdd0c48dce3d43fcd05498a109440b</t>
        </is>
      </c>
      <c r="BB1317" s="24" t="inlineStr">
        <is>
          <t>learned_v3</t>
        </is>
      </c>
      <c r="BC1317" s="24" t="inlineStr">
        <is>
          <t>tennis-learned-v3</t>
        </is>
      </c>
      <c r="BD1317" s="24" t="inlineStr">
        <is>
          <t>7443acc419841200d57e1edf36b77f1940cdd0c48dce3d43fcd05498a109440b</t>
        </is>
      </c>
      <c r="BE1317" s="24" t="inlineStr">
        <is>
          <t>tennis-learned-v3</t>
        </is>
      </c>
      <c r="BF1317" s="24" t="inlineStr">
        <is>
          <t>1</t>
        </is>
      </c>
      <c r="BG1317" s="24" t="inlineStr">
        <is>
          <t>7443acc419841200d57e1edf36b77f1940cdd0c48dce3d43fcd05498a109440b</t>
        </is>
      </c>
      <c r="BH1317" s="24" t="inlineStr">
        <is>
          <t>2026-10-12T10:27:32.068827Z</t>
        </is>
      </c>
      <c r="BI1317" s="24" t="inlineStr">
        <is>
          <t>["same_event","same_team_same_day","same_league_same_day"]</t>
        </is>
      </c>
      <c r="BJ1317" s="25" t="n">
        <v>-4.5</v>
      </c>
      <c r="BK1317" s="26" t="n">
        <v>-150</v>
      </c>
      <c r="BL1317" s="27" t="n">
        <v>1.666667</v>
      </c>
      <c r="BM1317" s="28" t="n">
        <v>0.6</v>
      </c>
      <c r="BN1317" s="28" t="n"/>
      <c r="BO1317" s="28" t="n"/>
      <c r="BP1317" s="25" t="n"/>
      <c r="BQ1317" s="27" t="n"/>
      <c r="BR1317" s="28" t="n"/>
      <c r="BS1317" s="28" t="n"/>
      <c r="BT1317" s="28" t="n"/>
      <c r="BU1317" s="25" t="n"/>
      <c r="BV1317" s="29" t="n"/>
      <c r="BW1317" s="24" t="n"/>
      <c r="BX1317" s="30" t="n"/>
      <c r="BY1317" s="27" t="n"/>
      <c r="BZ1317" s="24" t="n"/>
      <c r="CA1317" s="31" t="n"/>
      <c r="CB1317" s="24" t="n"/>
      <c r="CC1317" s="24" t="n"/>
      <c r="CD1317" s="24" t="n"/>
      <c r="CE1317" s="24" t="n"/>
      <c r="CF1317" s="24" t="n"/>
      <c r="CG1317" s="24" t="n"/>
      <c r="CH1317" s="24" t="n"/>
      <c r="CI1317" s="24" t="n"/>
      <c r="CJ1317" s="24" t="n"/>
      <c r="CK1317" s="24" t="n"/>
      <c r="CL1317" s="24" t="n"/>
      <c r="CM1317" s="24" t="n"/>
      <c r="CN1317" s="24" t="n"/>
      <c r="CO1317" s="24" t="n"/>
      <c r="CP1317" s="24" t="n"/>
      <c r="CQ1317" s="24" t="n"/>
      <c r="CR1317" s="24" t="n"/>
      <c r="CS1317" s="24" t="inlineStr">
        <is>
          <t>True</t>
        </is>
      </c>
      <c r="CT1317" s="24" t="n"/>
      <c r="CU1317" s="24" t="n"/>
      <c r="CV1317" s="24" t="n"/>
      <c r="CW1317" s="24" t="n"/>
      <c r="CX1317" s="24" t="n"/>
      <c r="CY1317" s="24" t="n"/>
      <c r="CZ1317" s="24" t="n"/>
      <c r="DA1317" s="24" t="n"/>
      <c r="DB1317" s="24" t="n"/>
      <c r="DC1317" s="24" t="n"/>
      <c r="DD1317" s="24" t="inlineStr">
        <is>
          <t>eb72e8fd71b5500d4ae2b8a54d19ba29c59cbff228b8659e96f4516de63ee344</t>
        </is>
      </c>
      <c r="DE1317" s="24" t="inlineStr">
        <is>
          <t>E:\model-prediction\data\odds\tennis\2026-10-12\polymarket_snapshots.jsonl</t>
        </is>
      </c>
      <c r="DF1317" s="24" t="inlineStr">
        <is>
          <t>1365343:2026-10-12T10:27:32.068827Z</t>
        </is>
      </c>
      <c r="DG1317" s="24" t="n"/>
      <c r="DH1317" s="24" t="n"/>
      <c r="DI1317" s="24" t="n"/>
      <c r="DJ1317" s="24" t="n"/>
      <c r="DK1317" s="24" t="n"/>
      <c r="DL1317" s="24" t="n"/>
      <c r="DM1317" s="24" t="n"/>
      <c r="DN1317" s="24" t="n"/>
      <c r="DO1317" s="24" t="n"/>
      <c r="DP1317" s="24" t="n"/>
      <c r="DQ1317" s="24" t="n"/>
    </row>
    <row r="1318" ht="36" customHeight="1">
      <c r="A1318" s="24" t="inlineStr">
        <is>
          <t>aefdbe322b8942c0</t>
        </is>
      </c>
      <c r="B1318" s="24" t="inlineStr">
        <is>
          <t>2026-10-12T11:02:18.552284Z</t>
        </is>
      </c>
      <c r="C1318" s="24" t="inlineStr">
        <is>
          <t>2026-10-12T13:00Z</t>
        </is>
      </c>
      <c r="D1318" s="24" t="inlineStr">
        <is>
          <t>381-2026:185325</t>
        </is>
      </c>
      <c r="E1318" s="24" t="inlineStr">
        <is>
          <t>TENNIS</t>
        </is>
      </c>
      <c r="F1318" s="24" t="inlineStr">
        <is>
          <t>Shi Han</t>
        </is>
      </c>
      <c r="G1318" s="24" t="inlineStr">
        <is>
          <t>Alexandra Eala</t>
        </is>
      </c>
      <c r="H1318" s="24" t="inlineStr">
        <is>
          <t>total</t>
        </is>
      </c>
      <c r="I1318" s="24" t="inlineStr">
        <is>
          <t>under</t>
        </is>
      </c>
      <c r="J1318" s="25" t="n">
        <v>22.5</v>
      </c>
      <c r="K1318" s="24" t="inlineStr">
        <is>
          <t>polymarket_us</t>
        </is>
      </c>
      <c r="L1318" s="26" t="n">
        <v>-9900</v>
      </c>
      <c r="M1318" s="27" t="n">
        <v>1.010101</v>
      </c>
      <c r="N1318" s="28" t="n">
        <v>0.99</v>
      </c>
      <c r="O1318" s="28" t="n">
        <v>0.9389999999999999</v>
      </c>
      <c r="P1318" s="28" t="n">
        <v>0.05</v>
      </c>
      <c r="Q1318" s="28" t="n">
        <v>-0.051</v>
      </c>
      <c r="R1318" s="26" t="n">
        <v>0</v>
      </c>
      <c r="S1318" s="29" t="n">
        <v>1</v>
      </c>
      <c r="T1318" s="24" t="inlineStr">
        <is>
          <t>tennis-learned-v3</t>
        </is>
      </c>
      <c r="U1318" s="24" t="inlineStr">
        <is>
          <t>settled</t>
        </is>
      </c>
      <c r="V1318" s="24" t="inlineStr">
        <is>
          <t>loss</t>
        </is>
      </c>
      <c r="W1318" s="26" t="n">
        <v>16</v>
      </c>
      <c r="X1318" s="26" t="n">
        <v>12</v>
      </c>
      <c r="Y1318" s="25" t="n"/>
      <c r="Z1318" s="26" t="n"/>
      <c r="AA1318" s="28" t="n"/>
      <c r="AB1318" s="28" t="n"/>
      <c r="AC1318" s="30" t="n">
        <v>-1</v>
      </c>
      <c r="AD1318" s="24" t="inlineStr">
        <is>
          <t>2026-10-12T16:09:53.645746Z</t>
        </is>
      </c>
      <c r="AE1318" s="31" t="inlineStr">
        <is>
          <t>Tennis Markov total games line 22.5: under p=0.939. Executable ask 0.9900 (tsc-wta-aleeal-hanshi-2026-10-11-tg-22pt5).</t>
        </is>
      </c>
      <c r="AF1318" s="31" t="inlineStr">
        <is>
          <t>Surface-blended Elo model; singles only, WTA+ATP market coverage, not yet locked-holdout qualified -- promoted by explicit operator directive, not genuine walk-forward validation.</t>
        </is>
      </c>
      <c r="AG1318" s="24" t="inlineStr">
        <is>
          <t>review_required</t>
        </is>
      </c>
      <c r="AH1318" s="24" t="n"/>
      <c r="AI1318" s="31" t="n"/>
      <c r="AJ1318" s="31" t="n"/>
      <c r="AK1318" s="24" t="inlineStr">
        <is>
          <t>paper_call</t>
        </is>
      </c>
      <c r="AL1318" s="26" t="n">
        <v>4</v>
      </c>
      <c r="AM1318" s="24" t="inlineStr">
        <is>
          <t>RESEARCH_OBSERVATION</t>
        </is>
      </c>
      <c r="AN1318" s="24" t="inlineStr">
        <is>
          <t>CALL</t>
        </is>
      </c>
      <c r="AO1318" s="24" t="inlineStr">
        <is>
          <t>PAPER_CALL_LOW_EDGE</t>
        </is>
      </c>
      <c r="AP1318" s="24" t="inlineStr">
        <is>
          <t>Shi Han</t>
        </is>
      </c>
      <c r="AQ1318" s="24" t="inlineStr">
        <is>
          <t>Shi Han</t>
        </is>
      </c>
      <c r="AR1318" s="24" t="inlineStr">
        <is>
          <t>Shi Han</t>
        </is>
      </c>
      <c r="AS1318" s="24" t="inlineStr">
        <is>
          <t>Alexandra Eala</t>
        </is>
      </c>
      <c r="AT1318" s="24" t="inlineStr">
        <is>
          <t>Alexandra Eala</t>
        </is>
      </c>
      <c r="AU1318" s="24" t="inlineStr">
        <is>
          <t>Alexandra Eala</t>
        </is>
      </c>
      <c r="AV1318" s="24" t="n"/>
      <c r="AW1318" s="24" t="n"/>
      <c r="AX1318" s="24" t="inlineStr">
        <is>
          <t>statistical_model</t>
        </is>
      </c>
      <c r="AY1318" s="24" t="n"/>
      <c r="AZ1318" s="24" t="inlineStr">
        <is>
          <t>shadow_qualified</t>
        </is>
      </c>
      <c r="BA1318" s="24" t="inlineStr">
        <is>
          <t>7443acc419841200d57e1edf36b77f1940cdd0c48dce3d43fcd05498a109440b</t>
        </is>
      </c>
      <c r="BB1318" s="24" t="inlineStr">
        <is>
          <t>learned_v3</t>
        </is>
      </c>
      <c r="BC1318" s="24" t="inlineStr">
        <is>
          <t>tennis-learned-v3</t>
        </is>
      </c>
      <c r="BD1318" s="24" t="inlineStr">
        <is>
          <t>7443acc419841200d57e1edf36b77f1940cdd0c48dce3d43fcd05498a109440b</t>
        </is>
      </c>
      <c r="BE1318" s="24" t="inlineStr">
        <is>
          <t>tennis-learned-v3</t>
        </is>
      </c>
      <c r="BF1318" s="24" t="inlineStr">
        <is>
          <t>1</t>
        </is>
      </c>
      <c r="BG1318" s="24" t="inlineStr">
        <is>
          <t>7443acc419841200d57e1edf36b77f1940cdd0c48dce3d43fcd05498a109440b</t>
        </is>
      </c>
      <c r="BH1318" s="24" t="inlineStr">
        <is>
          <t>2026-10-12T10:27:22.006306Z</t>
        </is>
      </c>
      <c r="BI1318" s="24" t="inlineStr">
        <is>
          <t>["same_event","same_team_same_day","same_league_same_day"]</t>
        </is>
      </c>
      <c r="BJ1318" s="25" t="n">
        <v>22.5</v>
      </c>
      <c r="BK1318" s="26" t="n">
        <v>-9900</v>
      </c>
      <c r="BL1318" s="27" t="n">
        <v>1.010101</v>
      </c>
      <c r="BM1318" s="28" t="n">
        <v>0.99</v>
      </c>
      <c r="BN1318" s="28" t="n"/>
      <c r="BO1318" s="28" t="n"/>
      <c r="BP1318" s="25" t="n"/>
      <c r="BQ1318" s="27" t="n"/>
      <c r="BR1318" s="28" t="n"/>
      <c r="BS1318" s="28" t="n"/>
      <c r="BT1318" s="28" t="n"/>
      <c r="BU1318" s="25" t="n"/>
      <c r="BV1318" s="29" t="n"/>
      <c r="BW1318" s="24" t="n"/>
      <c r="BX1318" s="30" t="n"/>
      <c r="BY1318" s="27" t="n"/>
      <c r="BZ1318" s="24" t="n"/>
      <c r="CA1318" s="31" t="n"/>
      <c r="CB1318" s="24" t="n"/>
      <c r="CC1318" s="24" t="n"/>
      <c r="CD1318" s="24" t="n"/>
      <c r="CE1318" s="24" t="n"/>
      <c r="CF1318" s="24" t="n"/>
      <c r="CG1318" s="24" t="n"/>
      <c r="CH1318" s="24" t="n"/>
      <c r="CI1318" s="24" t="n"/>
      <c r="CJ1318" s="24" t="n"/>
      <c r="CK1318" s="24" t="n"/>
      <c r="CL1318" s="24" t="n"/>
      <c r="CM1318" s="24" t="n"/>
      <c r="CN1318" s="24" t="n"/>
      <c r="CO1318" s="24" t="n"/>
      <c r="CP1318" s="24" t="n"/>
      <c r="CQ1318" s="24" t="n"/>
      <c r="CR1318" s="24" t="n"/>
      <c r="CS1318" s="24" t="inlineStr">
        <is>
          <t>False</t>
        </is>
      </c>
      <c r="CT1318" s="24" t="n"/>
      <c r="CU1318" s="24" t="n"/>
      <c r="CV1318" s="24" t="n"/>
      <c r="CW1318" s="24" t="n"/>
      <c r="CX1318" s="24" t="n"/>
      <c r="CY1318" s="24" t="n"/>
      <c r="CZ1318" s="24" t="n"/>
      <c r="DA1318" s="24" t="n"/>
      <c r="DB1318" s="24" t="n"/>
      <c r="DC1318" s="24" t="n"/>
      <c r="DD1318" s="24" t="inlineStr">
        <is>
          <t>8cf646bd696cc4adaa6ac7e6360be9d524cc79a325efb6c9db9a6a9830d1e88a</t>
        </is>
      </c>
      <c r="DE1318" s="24" t="inlineStr">
        <is>
          <t>E:\model-prediction\data\odds\tennis\2026-10-12\polymarket_snapshots.jsonl</t>
        </is>
      </c>
      <c r="DF1318" s="24" t="inlineStr">
        <is>
          <t>1365336:2026-10-12T10:27:22.006306Z</t>
        </is>
      </c>
      <c r="DG1318" s="24" t="n"/>
      <c r="DH1318" s="24" t="n"/>
      <c r="DI1318" s="24" t="n"/>
      <c r="DJ1318" s="24" t="n"/>
      <c r="DK1318" s="24" t="n"/>
      <c r="DL1318" s="24" t="n"/>
      <c r="DM1318" s="24" t="n"/>
      <c r="DN1318" s="24" t="n"/>
      <c r="DO1318" s="24" t="n"/>
      <c r="DP1318" s="24" t="n"/>
      <c r="DQ1318" s="24" t="n"/>
    </row>
    <row r="1319" ht="36" customHeight="1">
      <c r="A1319" s="24" t="inlineStr">
        <is>
          <t>97709ffb1a4a4348</t>
        </is>
      </c>
      <c r="B1319" s="24" t="inlineStr">
        <is>
          <t>2026-10-12T11:02:18.552284Z</t>
        </is>
      </c>
      <c r="C1319" s="24" t="inlineStr">
        <is>
          <t>2026-10-12T11:20Z</t>
        </is>
      </c>
      <c r="D1319" s="24" t="inlineStr">
        <is>
          <t>1020-2026:185493</t>
        </is>
      </c>
      <c r="E1319" s="24" t="inlineStr">
        <is>
          <t>TENNIS</t>
        </is>
      </c>
      <c r="F1319" s="24" t="inlineStr">
        <is>
          <t>Deborah Chiesa</t>
        </is>
      </c>
      <c r="G1319" s="24" t="inlineStr">
        <is>
          <t>Julia Grabher</t>
        </is>
      </c>
      <c r="H1319" s="24" t="inlineStr">
        <is>
          <t>moneyline</t>
        </is>
      </c>
      <c r="I1319" s="24" t="inlineStr">
        <is>
          <t>home</t>
        </is>
      </c>
      <c r="J1319" s="25" t="n"/>
      <c r="K1319" s="24" t="inlineStr">
        <is>
          <t>polymarket_us</t>
        </is>
      </c>
      <c r="L1319" s="26" t="n">
        <v>-300</v>
      </c>
      <c r="M1319" s="27" t="n">
        <v>1.333333</v>
      </c>
      <c r="N1319" s="28" t="n">
        <v>0.75</v>
      </c>
      <c r="O1319" s="28" t="n">
        <v>0.7675999999999999</v>
      </c>
      <c r="P1319" s="28" t="n">
        <v>0.05</v>
      </c>
      <c r="Q1319" s="28" t="n">
        <v>0.0176</v>
      </c>
      <c r="R1319" s="26" t="n">
        <v>29</v>
      </c>
      <c r="S1319" s="29" t="n">
        <v>1</v>
      </c>
      <c r="T1319" s="24" t="inlineStr">
        <is>
          <t>tennis-learned-v3</t>
        </is>
      </c>
      <c r="U1319" s="24" t="inlineStr">
        <is>
          <t>settled</t>
        </is>
      </c>
      <c r="V1319" s="24" t="inlineStr">
        <is>
          <t>win</t>
        </is>
      </c>
      <c r="W1319" s="26" t="n">
        <v>0</v>
      </c>
      <c r="X1319" s="26" t="n">
        <v>1</v>
      </c>
      <c r="Y1319" s="25" t="n"/>
      <c r="Z1319" s="26" t="n">
        <v>-300</v>
      </c>
      <c r="AA1319" s="28" t="n">
        <v>0.75</v>
      </c>
      <c r="AB1319" s="28" t="n">
        <v>0</v>
      </c>
      <c r="AC1319" s="30" t="n">
        <v>0.3333</v>
      </c>
      <c r="AD1319" s="24" t="inlineStr">
        <is>
          <t>2026-10-12T16:10:13.192694Z</t>
        </is>
      </c>
      <c r="AE1319" s="31" t="inlineStr">
        <is>
          <t>Tennis v3 Learned Fundamental on Grass (Bo3): Deborah Chiesa p=0.232 vs Julia Grabher. Executable ask 0.7500 (aec-wta-julgra-debchi-2026-10-12).</t>
        </is>
      </c>
      <c r="AF1319" s="31" t="inlineStr">
        <is>
          <t>Surface-blended Elo model; singles only, WTA+ATP market coverage, not yet locked-holdout qualified -- promoted by explicit operator directive, not genuine walk-forward validation.</t>
        </is>
      </c>
      <c r="AG1319" s="24" t="inlineStr">
        <is>
          <t>not_applicable</t>
        </is>
      </c>
      <c r="AH1319" s="24" t="n"/>
      <c r="AI1319" s="31" t="n"/>
      <c r="AJ1319" s="31" t="n"/>
      <c r="AK1319" s="24" t="inlineStr">
        <is>
          <t>paper_call</t>
        </is>
      </c>
      <c r="AL1319" s="26" t="n">
        <v>4</v>
      </c>
      <c r="AM1319" s="24" t="inlineStr">
        <is>
          <t>RESEARCH_OBSERVATION</t>
        </is>
      </c>
      <c r="AN1319" s="24" t="inlineStr">
        <is>
          <t>CALL</t>
        </is>
      </c>
      <c r="AO1319" s="24" t="inlineStr">
        <is>
          <t>PAPER_CALL_LOW_EDGE</t>
        </is>
      </c>
      <c r="AP1319" s="24" t="inlineStr">
        <is>
          <t>Deborah Chiesa</t>
        </is>
      </c>
      <c r="AQ1319" s="24" t="inlineStr">
        <is>
          <t>Deborah Chiesa</t>
        </is>
      </c>
      <c r="AR1319" s="24" t="inlineStr">
        <is>
          <t>Deborah Chiesa</t>
        </is>
      </c>
      <c r="AS1319" s="24" t="inlineStr">
        <is>
          <t>Julia Grabher</t>
        </is>
      </c>
      <c r="AT1319" s="24" t="inlineStr">
        <is>
          <t>Julia Grabher</t>
        </is>
      </c>
      <c r="AU1319" s="24" t="inlineStr">
        <is>
          <t>Julia Grabher</t>
        </is>
      </c>
      <c r="AV1319" s="24" t="n"/>
      <c r="AW1319" s="24" t="n"/>
      <c r="AX1319" s="24" t="inlineStr">
        <is>
          <t>statistical_model</t>
        </is>
      </c>
      <c r="AY1319" s="24" t="n"/>
      <c r="AZ1319" s="24" t="inlineStr">
        <is>
          <t>shadow_qualified</t>
        </is>
      </c>
      <c r="BA1319" s="24" t="inlineStr">
        <is>
          <t>7443acc419841200d57e1edf36b77f1940cdd0c48dce3d43fcd05498a109440b</t>
        </is>
      </c>
      <c r="BB1319" s="24" t="inlineStr">
        <is>
          <t>learned_v3</t>
        </is>
      </c>
      <c r="BC1319" s="24" t="inlineStr">
        <is>
          <t>tennis-learned-v3</t>
        </is>
      </c>
      <c r="BD1319" s="24" t="inlineStr">
        <is>
          <t>7443acc419841200d57e1edf36b77f1940cdd0c48dce3d43fcd05498a109440b</t>
        </is>
      </c>
      <c r="BE1319" s="24" t="inlineStr">
        <is>
          <t>tennis-learned-v3</t>
        </is>
      </c>
      <c r="BF1319" s="24" t="inlineStr">
        <is>
          <t>1</t>
        </is>
      </c>
      <c r="BG1319" s="24" t="inlineStr">
        <is>
          <t>7443acc419841200d57e1edf36b77f1940cdd0c48dce3d43fcd05498a109440b</t>
        </is>
      </c>
      <c r="BH1319" s="24" t="inlineStr">
        <is>
          <t>2026-10-12T10:26:21.592345Z</t>
        </is>
      </c>
      <c r="BI1319" s="24" t="inlineStr">
        <is>
          <t>["same_event","same_team_same_day","same_league_same_day"]</t>
        </is>
      </c>
      <c r="BJ1319" s="25" t="n"/>
      <c r="BK1319" s="26" t="n">
        <v>-300</v>
      </c>
      <c r="BL1319" s="27" t="n">
        <v>1.333333</v>
      </c>
      <c r="BM1319" s="28" t="n">
        <v>0.75</v>
      </c>
      <c r="BN1319" s="28" t="n"/>
      <c r="BO1319" s="28" t="n"/>
      <c r="BP1319" s="25" t="n"/>
      <c r="BQ1319" s="27" t="n">
        <v>1.333333</v>
      </c>
      <c r="BR1319" s="28" t="n">
        <v>0.75</v>
      </c>
      <c r="BS1319" s="28" t="n"/>
      <c r="BT1319" s="28" t="n"/>
      <c r="BU1319" s="25" t="n"/>
      <c r="BV1319" s="29" t="n"/>
      <c r="BW1319" s="24" t="n"/>
      <c r="BX1319" s="30" t="n"/>
      <c r="BY1319" s="27" t="n"/>
      <c r="BZ1319" s="24" t="n"/>
      <c r="CA1319" s="31" t="n"/>
      <c r="CB1319" s="24" t="n"/>
      <c r="CC1319" s="24" t="n"/>
      <c r="CD1319" s="24" t="n"/>
      <c r="CE1319" s="24" t="n"/>
      <c r="CF1319" s="24" t="n"/>
      <c r="CG1319" s="24" t="n"/>
      <c r="CH1319" s="24" t="n"/>
      <c r="CI1319" s="24" t="n"/>
      <c r="CJ1319" s="24" t="n"/>
      <c r="CK1319" s="24" t="n"/>
      <c r="CL1319" s="24" t="n"/>
      <c r="CM1319" s="24" t="n"/>
      <c r="CN1319" s="24" t="n"/>
      <c r="CO1319" s="24" t="n"/>
      <c r="CP1319" s="24" t="n"/>
      <c r="CQ1319" s="24" t="n"/>
      <c r="CR1319" s="24" t="n"/>
      <c r="CS1319" s="24" t="inlineStr">
        <is>
          <t>True</t>
        </is>
      </c>
      <c r="CT1319" s="24" t="n"/>
      <c r="CU1319" s="24" t="n"/>
      <c r="CV1319" s="24" t="n"/>
      <c r="CW1319" s="24" t="n"/>
      <c r="CX1319" s="24" t="n"/>
      <c r="CY1319" s="24" t="n"/>
      <c r="CZ1319" s="24" t="n"/>
      <c r="DA1319" s="24" t="n"/>
      <c r="DB1319" s="24" t="n"/>
      <c r="DC1319" s="24" t="n"/>
      <c r="DD1319" s="24" t="inlineStr">
        <is>
          <t>7530497d8e1c6358e1410cbb6e204c161efde9457c2a7e3dc472e64461339e9a</t>
        </is>
      </c>
      <c r="DE1319" s="24" t="inlineStr">
        <is>
          <t>E:\model-prediction\data\odds\tennis\2026-10-12\polymarket_snapshots.jsonl</t>
        </is>
      </c>
      <c r="DF1319" s="24" t="inlineStr">
        <is>
          <t>1366672:2026-10-12T10:26:21.592345Z</t>
        </is>
      </c>
      <c r="DG1319" s="24" t="n"/>
      <c r="DH1319" s="24" t="n"/>
      <c r="DI1319" s="24" t="n"/>
      <c r="DJ1319" s="24" t="n"/>
      <c r="DK1319" s="24" t="n"/>
      <c r="DL1319" s="24" t="n"/>
      <c r="DM1319" s="24" t="n"/>
      <c r="DN1319" s="24" t="n"/>
      <c r="DO1319" s="24" t="n"/>
      <c r="DP1319" s="24" t="n"/>
      <c r="DQ1319" s="24" t="inlineStr">
        <is>
          <t>{"artifact_hash": "7443acc419841200d57e1edf36b77f1940cdd0c48dce3d43fcd05498a109440b", "away_team": "Deborah Chiesa", "event_id": "1020-2026:185493", "event_start_utc": "2026-10-12T11:20Z", "features": {"elo_p1_surface": 1500.0, "elo_p2_surface": 1416.2, "expected_games_p1": 6.1, "expected_games_p2": 12.66, "expected_total_games": 18.76, "history_matches": 16708, "min_player_matches": 17, "surface": "Grass"}, "historical_source_observation_times_verified": false, "home_team": "Julia Grabher", "inference_inputs": {"best_of": 3, "code_sha256": {"features/elo_ratings.py": "d6513e79d65448c06cc0f9b9eed0eaa091567835128e1f6647a310da8d78a872", "models/tennis.py": "7443acc419841200d57e1edf36b77f1940cdd0c48dce3d43fcd05498a109440b"}, "counts": [17, 87], "market_probability": null, "model_version": "tennis-learned-v3", "overall_ratings": [1470.3901881511974, 1595.4401567312793], "p_serve_a": 0.5035020103263235, "p_serve_b": 0.6764979896736765, "players": ["Deborah Chiesa", "Julia Grabher"], "rest_days": [27.0, 7.0], "sport": "TENNIS", "surface": "Grass", "surface_counts": [0, 2], "surface_ratings": [1470.3901881511974, 1416.1899658495645], "tour": "WTA"}, "market_type": "moneyline", "model_version": "tennis-learned-v3", "observed_at_utc": "2026-10-12T11:02:15.203395+00:00", "probabilities": {"away": 0.2324, "home": 0.7676}, "replay_scope": "Exact full-precision serving state and rounding; upstream historical observation times are not certified.", "schema": "coded-moneyline-replay-v1", "snapshot_hash": "33f810ccc5e4bed76307ef999f70aa77a3af66f15cfe03a69acbf382ee0152c0", "sport": "TENNIS"}</t>
        </is>
      </c>
    </row>
    <row r="1320" ht="36" customHeight="1">
      <c r="A1320" s="24" t="inlineStr">
        <is>
          <t>7f244eb7f41242c3</t>
        </is>
      </c>
      <c r="B1320" s="24" t="inlineStr">
        <is>
          <t>2026-10-12T11:02:18.552284Z</t>
        </is>
      </c>
      <c r="C1320" s="24" t="inlineStr">
        <is>
          <t>2026-10-12T11:20Z</t>
        </is>
      </c>
      <c r="D1320" s="24" t="inlineStr">
        <is>
          <t>1020-2026:185493</t>
        </is>
      </c>
      <c r="E1320" s="24" t="inlineStr">
        <is>
          <t>TENNIS</t>
        </is>
      </c>
      <c r="F1320" s="24" t="inlineStr">
        <is>
          <t>Deborah Chiesa</t>
        </is>
      </c>
      <c r="G1320" s="24" t="inlineStr">
        <is>
          <t>Julia Grabher</t>
        </is>
      </c>
      <c r="H1320" s="24" t="inlineStr">
        <is>
          <t>spread</t>
        </is>
      </c>
      <c r="I1320" s="24" t="inlineStr">
        <is>
          <t>home</t>
        </is>
      </c>
      <c r="J1320" s="25" t="n">
        <v>-4.5</v>
      </c>
      <c r="K1320" s="24" t="inlineStr">
        <is>
          <t>polymarket_us</t>
        </is>
      </c>
      <c r="L1320" s="26" t="n">
        <v>-117</v>
      </c>
      <c r="M1320" s="27" t="n">
        <v>1.854701</v>
      </c>
      <c r="N1320" s="28" t="n">
        <v>0.539171</v>
      </c>
      <c r="O1320" s="28" t="n">
        <v>0.8300999999999999</v>
      </c>
      <c r="P1320" s="28" t="n">
        <v>0.05</v>
      </c>
      <c r="Q1320" s="28" t="n">
        <v>0.290929</v>
      </c>
      <c r="R1320" s="26" t="n">
        <v>100</v>
      </c>
      <c r="S1320" s="29" t="n">
        <v>2</v>
      </c>
      <c r="T1320" s="24" t="inlineStr">
        <is>
          <t>tennis-learned-v3</t>
        </is>
      </c>
      <c r="U1320" s="24" t="inlineStr">
        <is>
          <t>settled</t>
        </is>
      </c>
      <c r="V1320" s="24" t="inlineStr">
        <is>
          <t>loss</t>
        </is>
      </c>
      <c r="W1320" s="26" t="n">
        <v>14</v>
      </c>
      <c r="X1320" s="26" t="n">
        <v>15</v>
      </c>
      <c r="Y1320" s="25" t="n"/>
      <c r="Z1320" s="26" t="n"/>
      <c r="AA1320" s="28" t="n"/>
      <c r="AB1320" s="28" t="n"/>
      <c r="AC1320" s="30" t="n">
        <v>-2</v>
      </c>
      <c r="AD1320" s="24" t="inlineStr">
        <is>
          <t>2026-10-12T16:10:19.518058Z</t>
        </is>
      </c>
      <c r="AE1320" s="31" t="inlineStr">
        <is>
          <t>Tennis Markov game spread -4.5 games: home cover p=0.830. Executable ask 0.5400 (asc-wta-julgra-debchi-2026-10-12-gs-neg-4pt5).</t>
        </is>
      </c>
      <c r="AF1320" s="31" t="inlineStr">
        <is>
          <t>Surface-blended Elo model; singles only, WTA+ATP market coverage, not yet locked-holdout qualified -- promoted by explicit operator directive, not genuine walk-forward validation.</t>
        </is>
      </c>
      <c r="AG1320" s="24" t="inlineStr">
        <is>
          <t>review_required</t>
        </is>
      </c>
      <c r="AH1320" s="24" t="n"/>
      <c r="AI1320" s="31" t="n"/>
      <c r="AJ1320" s="31" t="n"/>
      <c r="AK1320" s="24" t="inlineStr">
        <is>
          <t>model_qualified</t>
        </is>
      </c>
      <c r="AL1320" s="26" t="n">
        <v>4</v>
      </c>
      <c r="AM1320" s="24" t="inlineStr">
        <is>
          <t>QUALIFIED_SHADOW_CALL</t>
        </is>
      </c>
      <c r="AN1320" s="24" t="inlineStr">
        <is>
          <t>CALL</t>
        </is>
      </c>
      <c r="AO1320" s="24" t="inlineStr">
        <is>
          <t>QUALIFIED</t>
        </is>
      </c>
      <c r="AP1320" s="24" t="inlineStr">
        <is>
          <t>Deborah Chiesa</t>
        </is>
      </c>
      <c r="AQ1320" s="24" t="inlineStr">
        <is>
          <t>Deborah Chiesa</t>
        </is>
      </c>
      <c r="AR1320" s="24" t="inlineStr">
        <is>
          <t>Deborah Chiesa</t>
        </is>
      </c>
      <c r="AS1320" s="24" t="inlineStr">
        <is>
          <t>Julia Grabher</t>
        </is>
      </c>
      <c r="AT1320" s="24" t="inlineStr">
        <is>
          <t>Julia Grabher</t>
        </is>
      </c>
      <c r="AU1320" s="24" t="inlineStr">
        <is>
          <t>Julia Grabher</t>
        </is>
      </c>
      <c r="AV1320" s="24" t="n"/>
      <c r="AW1320" s="24" t="n"/>
      <c r="AX1320" s="24" t="inlineStr">
        <is>
          <t>statistical_model</t>
        </is>
      </c>
      <c r="AY1320" s="24" t="n"/>
      <c r="AZ1320" s="24" t="inlineStr">
        <is>
          <t>shadow_qualified</t>
        </is>
      </c>
      <c r="BA1320" s="24" t="inlineStr">
        <is>
          <t>7443acc419841200d57e1edf36b77f1940cdd0c48dce3d43fcd05498a109440b</t>
        </is>
      </c>
      <c r="BB1320" s="24" t="inlineStr">
        <is>
          <t>learned_v3</t>
        </is>
      </c>
      <c r="BC1320" s="24" t="inlineStr">
        <is>
          <t>tennis-learned-v3</t>
        </is>
      </c>
      <c r="BD1320" s="24" t="inlineStr">
        <is>
          <t>7443acc419841200d57e1edf36b77f1940cdd0c48dce3d43fcd05498a109440b</t>
        </is>
      </c>
      <c r="BE1320" s="24" t="inlineStr">
        <is>
          <t>tennis-learned-v3</t>
        </is>
      </c>
      <c r="BF1320" s="24" t="inlineStr">
        <is>
          <t>1</t>
        </is>
      </c>
      <c r="BG1320" s="24" t="inlineStr">
        <is>
          <t>7443acc419841200d57e1edf36b77f1940cdd0c48dce3d43fcd05498a109440b</t>
        </is>
      </c>
      <c r="BH1320" s="24" t="inlineStr">
        <is>
          <t>2026-10-12T05:01:16.069907Z</t>
        </is>
      </c>
      <c r="BI1320" s="24" t="inlineStr">
        <is>
          <t>["same_event","same_team_same_day","same_league_same_day"]</t>
        </is>
      </c>
      <c r="BJ1320" s="25" t="n">
        <v>-4.5</v>
      </c>
      <c r="BK1320" s="26" t="n">
        <v>-117</v>
      </c>
      <c r="BL1320" s="27" t="n">
        <v>1.854701</v>
      </c>
      <c r="BM1320" s="28" t="n">
        <v>0.539171</v>
      </c>
      <c r="BN1320" s="28" t="n"/>
      <c r="BO1320" s="28" t="n"/>
      <c r="BP1320" s="25" t="n"/>
      <c r="BQ1320" s="27" t="n"/>
      <c r="BR1320" s="28" t="n"/>
      <c r="BS1320" s="28" t="n"/>
      <c r="BT1320" s="28" t="n"/>
      <c r="BU1320" s="25" t="n"/>
      <c r="BV1320" s="29" t="n"/>
      <c r="BW1320" s="24" t="n"/>
      <c r="BX1320" s="30" t="n"/>
      <c r="BY1320" s="27" t="n"/>
      <c r="BZ1320" s="24" t="n"/>
      <c r="CA1320" s="31" t="n"/>
      <c r="CB1320" s="24" t="n"/>
      <c r="CC1320" s="24" t="n"/>
      <c r="CD1320" s="24" t="n"/>
      <c r="CE1320" s="24" t="n"/>
      <c r="CF1320" s="24" t="n"/>
      <c r="CG1320" s="24" t="n"/>
      <c r="CH1320" s="24" t="n"/>
      <c r="CI1320" s="24" t="n"/>
      <c r="CJ1320" s="24" t="n"/>
      <c r="CK1320" s="24" t="n"/>
      <c r="CL1320" s="24" t="n"/>
      <c r="CM1320" s="24" t="n"/>
      <c r="CN1320" s="24" t="n"/>
      <c r="CO1320" s="24" t="n"/>
      <c r="CP1320" s="24" t="n"/>
      <c r="CQ1320" s="24" t="n"/>
      <c r="CR1320" s="24" t="n"/>
      <c r="CS1320" s="24" t="inlineStr">
        <is>
          <t>True</t>
        </is>
      </c>
      <c r="CT1320" s="24" t="n"/>
      <c r="CU1320" s="24" t="n"/>
      <c r="CV1320" s="24" t="n"/>
      <c r="CW1320" s="24" t="n"/>
      <c r="CX1320" s="24" t="n"/>
      <c r="CY1320" s="24" t="n"/>
      <c r="CZ1320" s="24" t="n"/>
      <c r="DA1320" s="24" t="n"/>
      <c r="DB1320" s="24" t="n"/>
      <c r="DC1320" s="24" t="n"/>
      <c r="DD1320" s="24" t="inlineStr">
        <is>
          <t>7ca28bd55f22d37c8625fc2e56bd0ab8302464187eb357b013d4cd9cb7bd704f</t>
        </is>
      </c>
      <c r="DE1320" s="24" t="inlineStr">
        <is>
          <t>E:\model-prediction\data\odds\tennis\2026-10-12\polymarket_snapshots.jsonl</t>
        </is>
      </c>
      <c r="DF1320" s="24" t="inlineStr">
        <is>
          <t>1367455:2026-10-12T05:01:16.069907Z</t>
        </is>
      </c>
      <c r="DG1320" s="24" t="n"/>
      <c r="DH1320" s="24" t="n"/>
      <c r="DI1320" s="24" t="n"/>
      <c r="DJ1320" s="24" t="n"/>
      <c r="DK1320" s="24" t="n"/>
      <c r="DL1320" s="24" t="n"/>
      <c r="DM1320" s="24" t="n"/>
      <c r="DN1320" s="24" t="n"/>
      <c r="DO1320" s="24" t="n"/>
      <c r="DP1320" s="24" t="n"/>
      <c r="DQ1320" s="24" t="n"/>
    </row>
    <row r="1321" ht="36" customHeight="1">
      <c r="A1321" s="24" t="inlineStr">
        <is>
          <t>8b920b4c75c84059</t>
        </is>
      </c>
      <c r="B1321" s="24" t="inlineStr">
        <is>
          <t>2026-10-12T11:02:18.552284Z</t>
        </is>
      </c>
      <c r="C1321" s="24" t="inlineStr">
        <is>
          <t>2026-10-12T11:20Z</t>
        </is>
      </c>
      <c r="D1321" s="24" t="inlineStr">
        <is>
          <t>1020-2026:185493</t>
        </is>
      </c>
      <c r="E1321" s="24" t="inlineStr">
        <is>
          <t>TENNIS</t>
        </is>
      </c>
      <c r="F1321" s="24" t="inlineStr">
        <is>
          <t>Deborah Chiesa</t>
        </is>
      </c>
      <c r="G1321" s="24" t="inlineStr">
        <is>
          <t>Julia Grabher</t>
        </is>
      </c>
      <c r="H1321" s="24" t="inlineStr">
        <is>
          <t>total</t>
        </is>
      </c>
      <c r="I1321" s="24" t="inlineStr">
        <is>
          <t>under</t>
        </is>
      </c>
      <c r="J1321" s="25" t="n">
        <v>27.5</v>
      </c>
      <c r="K1321" s="24" t="inlineStr">
        <is>
          <t>polymarket_us</t>
        </is>
      </c>
      <c r="L1321" s="26" t="n">
        <v>-9900</v>
      </c>
      <c r="M1321" s="27" t="n">
        <v>1.010101</v>
      </c>
      <c r="N1321" s="28" t="n">
        <v>0.99</v>
      </c>
      <c r="O1321" s="28" t="n">
        <v>0.9360000000000001</v>
      </c>
      <c r="P1321" s="28" t="n">
        <v>0.05</v>
      </c>
      <c r="Q1321" s="28" t="n">
        <v>-0.054</v>
      </c>
      <c r="R1321" s="26" t="n">
        <v>0</v>
      </c>
      <c r="S1321" s="29" t="n">
        <v>1</v>
      </c>
      <c r="T1321" s="24" t="inlineStr">
        <is>
          <t>tennis-learned-v3</t>
        </is>
      </c>
      <c r="U1321" s="24" t="inlineStr">
        <is>
          <t>settled</t>
        </is>
      </c>
      <c r="V1321" s="24" t="inlineStr">
        <is>
          <t>loss</t>
        </is>
      </c>
      <c r="W1321" s="26" t="n">
        <v>14</v>
      </c>
      <c r="X1321" s="26" t="n">
        <v>15</v>
      </c>
      <c r="Y1321" s="25" t="n"/>
      <c r="Z1321" s="26" t="n"/>
      <c r="AA1321" s="28" t="n"/>
      <c r="AB1321" s="28" t="n"/>
      <c r="AC1321" s="30" t="n">
        <v>-1</v>
      </c>
      <c r="AD1321" s="24" t="inlineStr">
        <is>
          <t>2026-10-12T16:10:24.520183Z</t>
        </is>
      </c>
      <c r="AE1321" s="31" t="inlineStr">
        <is>
          <t>Tennis Markov total games line 27.5: under p=0.936. Executable ask 0.9900 (tsc-wta-julgra-debchi-2026-10-12-tg-27pt5).</t>
        </is>
      </c>
      <c r="AF1321" s="31" t="inlineStr">
        <is>
          <t>Surface-blended Elo model; singles only, WTA+ATP market coverage, not yet locked-holdout qualified -- promoted by explicit operator directive, not genuine walk-forward validation.</t>
        </is>
      </c>
      <c r="AG1321" s="24" t="inlineStr">
        <is>
          <t>review_required</t>
        </is>
      </c>
      <c r="AH1321" s="24" t="n"/>
      <c r="AI1321" s="31" t="n"/>
      <c r="AJ1321" s="31" t="n"/>
      <c r="AK1321" s="24" t="inlineStr">
        <is>
          <t>paper_call</t>
        </is>
      </c>
      <c r="AL1321" s="26" t="n">
        <v>4</v>
      </c>
      <c r="AM1321" s="24" t="inlineStr">
        <is>
          <t>RESEARCH_OBSERVATION</t>
        </is>
      </c>
      <c r="AN1321" s="24" t="inlineStr">
        <is>
          <t>CALL</t>
        </is>
      </c>
      <c r="AO1321" s="24" t="inlineStr">
        <is>
          <t>PAPER_CALL_LOW_EDGE</t>
        </is>
      </c>
      <c r="AP1321" s="24" t="inlineStr">
        <is>
          <t>Deborah Chiesa</t>
        </is>
      </c>
      <c r="AQ1321" s="24" t="inlineStr">
        <is>
          <t>Deborah Chiesa</t>
        </is>
      </c>
      <c r="AR1321" s="24" t="inlineStr">
        <is>
          <t>Deborah Chiesa</t>
        </is>
      </c>
      <c r="AS1321" s="24" t="inlineStr">
        <is>
          <t>Julia Grabher</t>
        </is>
      </c>
      <c r="AT1321" s="24" t="inlineStr">
        <is>
          <t>Julia Grabher</t>
        </is>
      </c>
      <c r="AU1321" s="24" t="inlineStr">
        <is>
          <t>Julia Grabher</t>
        </is>
      </c>
      <c r="AV1321" s="24" t="n"/>
      <c r="AW1321" s="24" t="n"/>
      <c r="AX1321" s="24" t="inlineStr">
        <is>
          <t>statistical_model</t>
        </is>
      </c>
      <c r="AY1321" s="24" t="n"/>
      <c r="AZ1321" s="24" t="inlineStr">
        <is>
          <t>shadow_qualified</t>
        </is>
      </c>
      <c r="BA1321" s="24" t="inlineStr">
        <is>
          <t>7443acc419841200d57e1edf36b77f1940cdd0c48dce3d43fcd05498a109440b</t>
        </is>
      </c>
      <c r="BB1321" s="24" t="inlineStr">
        <is>
          <t>learned_v3</t>
        </is>
      </c>
      <c r="BC1321" s="24" t="inlineStr">
        <is>
          <t>tennis-learned-v3</t>
        </is>
      </c>
      <c r="BD1321" s="24" t="inlineStr">
        <is>
          <t>7443acc419841200d57e1edf36b77f1940cdd0c48dce3d43fcd05498a109440b</t>
        </is>
      </c>
      <c r="BE1321" s="24" t="inlineStr">
        <is>
          <t>tennis-learned-v3</t>
        </is>
      </c>
      <c r="BF1321" s="24" t="inlineStr">
        <is>
          <t>1</t>
        </is>
      </c>
      <c r="BG1321" s="24" t="inlineStr">
        <is>
          <t>7443acc419841200d57e1edf36b77f1940cdd0c48dce3d43fcd05498a109440b</t>
        </is>
      </c>
      <c r="BH1321" s="24" t="inlineStr">
        <is>
          <t>2026-10-12T10:26:11.519521Z</t>
        </is>
      </c>
      <c r="BI1321" s="24" t="inlineStr">
        <is>
          <t>["same_event","same_team_same_day","same_league_same_day"]</t>
        </is>
      </c>
      <c r="BJ1321" s="25" t="n">
        <v>27.5</v>
      </c>
      <c r="BK1321" s="26" t="n">
        <v>-9900</v>
      </c>
      <c r="BL1321" s="27" t="n">
        <v>1.010101</v>
      </c>
      <c r="BM1321" s="28" t="n">
        <v>0.99</v>
      </c>
      <c r="BN1321" s="28" t="n"/>
      <c r="BO1321" s="28" t="n"/>
      <c r="BP1321" s="25" t="n"/>
      <c r="BQ1321" s="27" t="n"/>
      <c r="BR1321" s="28" t="n"/>
      <c r="BS1321" s="28" t="n"/>
      <c r="BT1321" s="28" t="n"/>
      <c r="BU1321" s="25" t="n"/>
      <c r="BV1321" s="29" t="n"/>
      <c r="BW1321" s="24" t="n"/>
      <c r="BX1321" s="30" t="n"/>
      <c r="BY1321" s="27" t="n"/>
      <c r="BZ1321" s="24" t="n"/>
      <c r="CA1321" s="31" t="n"/>
      <c r="CB1321" s="24" t="n"/>
      <c r="CC1321" s="24" t="n"/>
      <c r="CD1321" s="24" t="n"/>
      <c r="CE1321" s="24" t="n"/>
      <c r="CF1321" s="24" t="n"/>
      <c r="CG1321" s="24" t="n"/>
      <c r="CH1321" s="24" t="n"/>
      <c r="CI1321" s="24" t="n"/>
      <c r="CJ1321" s="24" t="n"/>
      <c r="CK1321" s="24" t="n"/>
      <c r="CL1321" s="24" t="n"/>
      <c r="CM1321" s="24" t="n"/>
      <c r="CN1321" s="24" t="n"/>
      <c r="CO1321" s="24" t="n"/>
      <c r="CP1321" s="24" t="n"/>
      <c r="CQ1321" s="24" t="n"/>
      <c r="CR1321" s="24" t="n"/>
      <c r="CS1321" s="24" t="inlineStr">
        <is>
          <t>False</t>
        </is>
      </c>
      <c r="CT1321" s="24" t="n"/>
      <c r="CU1321" s="24" t="n"/>
      <c r="CV1321" s="24" t="n"/>
      <c r="CW1321" s="24" t="n"/>
      <c r="CX1321" s="24" t="n"/>
      <c r="CY1321" s="24" t="n"/>
      <c r="CZ1321" s="24" t="n"/>
      <c r="DA1321" s="24" t="n"/>
      <c r="DB1321" s="24" t="n"/>
      <c r="DC1321" s="24" t="n"/>
      <c r="DD1321" s="24" t="inlineStr">
        <is>
          <t>ce2b5335ddcfba943ba1fb89c9fec592f64da66a2ab3e0e00ffcae533a6e29ea</t>
        </is>
      </c>
      <c r="DE1321" s="24" t="inlineStr">
        <is>
          <t>E:\model-prediction\data\odds\tennis\2026-10-12\polymarket_snapshots.jsonl</t>
        </is>
      </c>
      <c r="DF1321" s="24" t="inlineStr">
        <is>
          <t>1367440:2026-10-12T10:26:11.519521Z</t>
        </is>
      </c>
      <c r="DG1321" s="24" t="n"/>
      <c r="DH1321" s="24" t="n"/>
      <c r="DI1321" s="24" t="n"/>
      <c r="DJ1321" s="24" t="n"/>
      <c r="DK1321" s="24" t="n"/>
      <c r="DL1321" s="24" t="n"/>
      <c r="DM1321" s="24" t="n"/>
      <c r="DN1321" s="24" t="n"/>
      <c r="DO1321" s="24" t="n"/>
      <c r="DP1321" s="24" t="n"/>
      <c r="DQ1321" s="24" t="n"/>
    </row>
    <row r="1322" ht="36" customHeight="1">
      <c r="A1322" s="24" t="inlineStr">
        <is>
          <t>216b5d5f82144777</t>
        </is>
      </c>
      <c r="B1322" s="24" t="inlineStr">
        <is>
          <t>2026-10-12T11:02:18.552284Z</t>
        </is>
      </c>
      <c r="C1322" s="24" t="inlineStr">
        <is>
          <t>2026-10-12T11:30Z</t>
        </is>
      </c>
      <c r="D1322" s="24" t="inlineStr">
        <is>
          <t>1020-2026:185497</t>
        </is>
      </c>
      <c r="E1322" s="24" t="inlineStr">
        <is>
          <t>TENNIS</t>
        </is>
      </c>
      <c r="F1322" s="24" t="inlineStr">
        <is>
          <t>Elizara Yaneva</t>
        </is>
      </c>
      <c r="G1322" s="24" t="inlineStr">
        <is>
          <t>Jennifer Ruggeri</t>
        </is>
      </c>
      <c r="H1322" s="24" t="inlineStr">
        <is>
          <t>spread</t>
        </is>
      </c>
      <c r="I1322" s="24" t="inlineStr">
        <is>
          <t>away</t>
        </is>
      </c>
      <c r="J1322" s="25" t="n">
        <v>1.5</v>
      </c>
      <c r="K1322" s="24" t="inlineStr">
        <is>
          <t>polymarket_us</t>
        </is>
      </c>
      <c r="L1322" s="26" t="n">
        <v>117</v>
      </c>
      <c r="M1322" s="27" t="n">
        <v>2.17</v>
      </c>
      <c r="N1322" s="28" t="n">
        <v>0.460829</v>
      </c>
      <c r="O1322" s="28" t="n">
        <v>0.6552</v>
      </c>
      <c r="P1322" s="28" t="n">
        <v>0.05</v>
      </c>
      <c r="Q1322" s="28" t="n">
        <v>0.194371</v>
      </c>
      <c r="R1322" s="26" t="n">
        <v>100</v>
      </c>
      <c r="S1322" s="29" t="n">
        <v>2</v>
      </c>
      <c r="T1322" s="24" t="inlineStr">
        <is>
          <t>tennis-learned-v3</t>
        </is>
      </c>
      <c r="U1322" s="24" t="inlineStr">
        <is>
          <t>settled</t>
        </is>
      </c>
      <c r="V1322" s="24" t="inlineStr">
        <is>
          <t>win</t>
        </is>
      </c>
      <c r="W1322" s="26" t="n">
        <v>14</v>
      </c>
      <c r="X1322" s="26" t="n">
        <v>13</v>
      </c>
      <c r="Y1322" s="25" t="n"/>
      <c r="Z1322" s="26" t="n"/>
      <c r="AA1322" s="28" t="n"/>
      <c r="AB1322" s="28" t="n"/>
      <c r="AC1322" s="30" t="n">
        <v>2.34</v>
      </c>
      <c r="AD1322" s="24" t="inlineStr">
        <is>
          <t>2026-10-12T16:10:29.931017Z</t>
        </is>
      </c>
      <c r="AE1322" s="31" t="inlineStr">
        <is>
          <t>Tennis Markov game spread +1.5 games: away cover p=0.655. Executable ask 0.4600 (asc-wta-jenrug-eliyan-2026-10-12-gs-pos-1pt5).</t>
        </is>
      </c>
      <c r="AF1322" s="31" t="inlineStr">
        <is>
          <t>Surface-blended Elo model; singles only, WTA+ATP market coverage, not yet locked-holdout qualified -- promoted by explicit operator directive, not genuine walk-forward validation.</t>
        </is>
      </c>
      <c r="AG1322" s="24" t="inlineStr">
        <is>
          <t>not_applicable</t>
        </is>
      </c>
      <c r="AH1322" s="24" t="n"/>
      <c r="AI1322" s="31" t="n"/>
      <c r="AJ1322" s="31" t="n"/>
      <c r="AK1322" s="24" t="inlineStr">
        <is>
          <t>model_qualified</t>
        </is>
      </c>
      <c r="AL1322" s="26" t="n">
        <v>4</v>
      </c>
      <c r="AM1322" s="24" t="inlineStr">
        <is>
          <t>QUALIFIED_SHADOW_CALL</t>
        </is>
      </c>
      <c r="AN1322" s="24" t="inlineStr">
        <is>
          <t>CALL</t>
        </is>
      </c>
      <c r="AO1322" s="24" t="inlineStr">
        <is>
          <t>QUALIFIED</t>
        </is>
      </c>
      <c r="AP1322" s="24" t="inlineStr">
        <is>
          <t>Elizara Yaneva</t>
        </is>
      </c>
      <c r="AQ1322" s="24" t="inlineStr">
        <is>
          <t>Elizara Yaneva</t>
        </is>
      </c>
      <c r="AR1322" s="24" t="inlineStr">
        <is>
          <t>Elizara Yaneva</t>
        </is>
      </c>
      <c r="AS1322" s="24" t="inlineStr">
        <is>
          <t>Jennifer Ruggeri</t>
        </is>
      </c>
      <c r="AT1322" s="24" t="inlineStr">
        <is>
          <t>Jennifer Ruggeri</t>
        </is>
      </c>
      <c r="AU1322" s="24" t="inlineStr">
        <is>
          <t>Jennifer Ruggeri</t>
        </is>
      </c>
      <c r="AV1322" s="24" t="n"/>
      <c r="AW1322" s="24" t="n"/>
      <c r="AX1322" s="24" t="inlineStr">
        <is>
          <t>statistical_model</t>
        </is>
      </c>
      <c r="AY1322" s="24" t="n"/>
      <c r="AZ1322" s="24" t="inlineStr">
        <is>
          <t>shadow_qualified</t>
        </is>
      </c>
      <c r="BA1322" s="24" t="inlineStr">
        <is>
          <t>7443acc419841200d57e1edf36b77f1940cdd0c48dce3d43fcd05498a109440b</t>
        </is>
      </c>
      <c r="BB1322" s="24" t="inlineStr">
        <is>
          <t>learned_v3</t>
        </is>
      </c>
      <c r="BC1322" s="24" t="inlineStr">
        <is>
          <t>tennis-learned-v3</t>
        </is>
      </c>
      <c r="BD1322" s="24" t="inlineStr">
        <is>
          <t>7443acc419841200d57e1edf36b77f1940cdd0c48dce3d43fcd05498a109440b</t>
        </is>
      </c>
      <c r="BE1322" s="24" t="inlineStr">
        <is>
          <t>tennis-learned-v3</t>
        </is>
      </c>
      <c r="BF1322" s="24" t="inlineStr">
        <is>
          <t>1</t>
        </is>
      </c>
      <c r="BG1322" s="24" t="inlineStr">
        <is>
          <t>7443acc419841200d57e1edf36b77f1940cdd0c48dce3d43fcd05498a109440b</t>
        </is>
      </c>
      <c r="BH1322" s="24" t="inlineStr">
        <is>
          <t>2026-10-12T05:00:35.520290Z</t>
        </is>
      </c>
      <c r="BI1322" s="24" t="inlineStr">
        <is>
          <t>["same_event","same_team_same_day","same_league_same_day"]</t>
        </is>
      </c>
      <c r="BJ1322" s="25" t="n">
        <v>1.5</v>
      </c>
      <c r="BK1322" s="26" t="n">
        <v>117</v>
      </c>
      <c r="BL1322" s="27" t="n">
        <v>2.17</v>
      </c>
      <c r="BM1322" s="28" t="n">
        <v>0.460829</v>
      </c>
      <c r="BN1322" s="28" t="n"/>
      <c r="BO1322" s="28" t="n"/>
      <c r="BP1322" s="25" t="n"/>
      <c r="BQ1322" s="27" t="n"/>
      <c r="BR1322" s="28" t="n"/>
      <c r="BS1322" s="28" t="n"/>
      <c r="BT1322" s="28" t="n"/>
      <c r="BU1322" s="25" t="n"/>
      <c r="BV1322" s="29" t="n"/>
      <c r="BW1322" s="24" t="n"/>
      <c r="BX1322" s="30" t="n"/>
      <c r="BY1322" s="27" t="n"/>
      <c r="BZ1322" s="24" t="n"/>
      <c r="CA1322" s="31" t="n"/>
      <c r="CB1322" s="24" t="n"/>
      <c r="CC1322" s="24" t="n"/>
      <c r="CD1322" s="24" t="n"/>
      <c r="CE1322" s="24" t="n"/>
      <c r="CF1322" s="24" t="n"/>
      <c r="CG1322" s="24" t="n"/>
      <c r="CH1322" s="24" t="n"/>
      <c r="CI1322" s="24" t="n"/>
      <c r="CJ1322" s="24" t="n"/>
      <c r="CK1322" s="24" t="n"/>
      <c r="CL1322" s="24" t="n"/>
      <c r="CM1322" s="24" t="n"/>
      <c r="CN1322" s="24" t="n"/>
      <c r="CO1322" s="24" t="n"/>
      <c r="CP1322" s="24" t="n"/>
      <c r="CQ1322" s="24" t="n"/>
      <c r="CR1322" s="24" t="n"/>
      <c r="CS1322" s="24" t="inlineStr">
        <is>
          <t>True</t>
        </is>
      </c>
      <c r="CT1322" s="24" t="n"/>
      <c r="CU1322" s="24" t="n"/>
      <c r="CV1322" s="24" t="n"/>
      <c r="CW1322" s="24" t="n"/>
      <c r="CX1322" s="24" t="n"/>
      <c r="CY1322" s="24" t="n"/>
      <c r="CZ1322" s="24" t="n"/>
      <c r="DA1322" s="24" t="n"/>
      <c r="DB1322" s="24" t="n"/>
      <c r="DC1322" s="24" t="n"/>
      <c r="DD1322" s="24" t="inlineStr">
        <is>
          <t>66c7aabb829c56aa263626f64d0997dc03befe9987ca6c05386102bfb85b31c4</t>
        </is>
      </c>
      <c r="DE1322" s="24" t="inlineStr">
        <is>
          <t>E:\model-prediction\data\odds\tennis\2026-10-12\polymarket_snapshots.jsonl</t>
        </is>
      </c>
      <c r="DF1322" s="24" t="inlineStr">
        <is>
          <t>1367570:2026-10-12T05:00:35.520290Z</t>
        </is>
      </c>
      <c r="DG1322" s="24" t="n"/>
      <c r="DH1322" s="24" t="n"/>
      <c r="DI1322" s="24" t="n"/>
      <c r="DJ1322" s="24" t="n"/>
      <c r="DK1322" s="24" t="n"/>
      <c r="DL1322" s="24" t="n"/>
      <c r="DM1322" s="24" t="n"/>
      <c r="DN1322" s="24" t="n"/>
      <c r="DO1322" s="24" t="n"/>
      <c r="DP1322" s="24" t="n"/>
      <c r="DQ1322" s="24" t="n"/>
    </row>
    <row r="1323" ht="36" customHeight="1">
      <c r="A1323" s="24" t="inlineStr">
        <is>
          <t>4064396dd1dc4eda</t>
        </is>
      </c>
      <c r="B1323" s="24" t="inlineStr">
        <is>
          <t>2026-10-12T11:02:18.552284Z</t>
        </is>
      </c>
      <c r="C1323" s="24" t="inlineStr">
        <is>
          <t>2026-10-12T11:30Z</t>
        </is>
      </c>
      <c r="D1323" s="24" t="inlineStr">
        <is>
          <t>1020-2026:185497</t>
        </is>
      </c>
      <c r="E1323" s="24" t="inlineStr">
        <is>
          <t>TENNIS</t>
        </is>
      </c>
      <c r="F1323" s="24" t="inlineStr">
        <is>
          <t>Elizara Yaneva</t>
        </is>
      </c>
      <c r="G1323" s="24" t="inlineStr">
        <is>
          <t>Jennifer Ruggeri</t>
        </is>
      </c>
      <c r="H1323" s="24" t="inlineStr">
        <is>
          <t>moneyline</t>
        </is>
      </c>
      <c r="I1323" s="24" t="inlineStr">
        <is>
          <t>away</t>
        </is>
      </c>
      <c r="J1323" s="25" t="n"/>
      <c r="K1323" s="24" t="inlineStr">
        <is>
          <t>polymarket_us</t>
        </is>
      </c>
      <c r="L1323" s="26" t="n">
        <v>-156</v>
      </c>
      <c r="M1323" s="27" t="n">
        <v>1.641026</v>
      </c>
      <c r="N1323" s="28" t="n">
        <v>0.609375</v>
      </c>
      <c r="O1323" s="28" t="n">
        <v>0.5687</v>
      </c>
      <c r="P1323" s="28" t="n">
        <v>0.05</v>
      </c>
      <c r="Q1323" s="28" t="n">
        <v>-0.040675</v>
      </c>
      <c r="R1323" s="26" t="n">
        <v>0</v>
      </c>
      <c r="S1323" s="29" t="n">
        <v>1</v>
      </c>
      <c r="T1323" s="24" t="inlineStr">
        <is>
          <t>tennis-learned-v3</t>
        </is>
      </c>
      <c r="U1323" s="24" t="inlineStr">
        <is>
          <t>settled</t>
        </is>
      </c>
      <c r="V1323" s="24" t="inlineStr">
        <is>
          <t>win</t>
        </is>
      </c>
      <c r="W1323" s="26" t="n">
        <v>1</v>
      </c>
      <c r="X1323" s="26" t="n">
        <v>0</v>
      </c>
      <c r="Y1323" s="25" t="n"/>
      <c r="Z1323" s="26" t="n">
        <v>-156</v>
      </c>
      <c r="AA1323" s="28" t="n">
        <v>0.61</v>
      </c>
      <c r="AB1323" s="28" t="n">
        <v>0.000625</v>
      </c>
      <c r="AC1323" s="30" t="n">
        <v>0.641</v>
      </c>
      <c r="AD1323" s="24" t="inlineStr">
        <is>
          <t>2026-10-12T16:10:36.595161Z</t>
        </is>
      </c>
      <c r="AE1323" s="31" t="inlineStr">
        <is>
          <t>Tennis v3 Learned Fundamental on Grass (Bo3): Elizara Yaneva p=0.569 vs Jennifer Ruggeri. Executable ask 0.6100 (aec-wta-jenrug-eliyan-2026-10-12).</t>
        </is>
      </c>
      <c r="AF1323" s="31" t="inlineStr">
        <is>
          <t>Surface-blended Elo model; singles only, WTA+ATP market coverage, not yet locked-holdout qualified -- promoted by explicit operator directive, not genuine walk-forward validation.</t>
        </is>
      </c>
      <c r="AG1323" s="24" t="inlineStr">
        <is>
          <t>not_applicable</t>
        </is>
      </c>
      <c r="AH1323" s="24" t="n"/>
      <c r="AI1323" s="31" t="n"/>
      <c r="AJ1323" s="31" t="n"/>
      <c r="AK1323" s="24" t="inlineStr">
        <is>
          <t>paper_call</t>
        </is>
      </c>
      <c r="AL1323" s="26" t="n">
        <v>4</v>
      </c>
      <c r="AM1323" s="24" t="inlineStr">
        <is>
          <t>RESEARCH_OBSERVATION</t>
        </is>
      </c>
      <c r="AN1323" s="24" t="inlineStr">
        <is>
          <t>CALL</t>
        </is>
      </c>
      <c r="AO1323" s="24" t="inlineStr">
        <is>
          <t>PAPER_CALL_LOW_EDGE</t>
        </is>
      </c>
      <c r="AP1323" s="24" t="inlineStr">
        <is>
          <t>Elizara Yaneva</t>
        </is>
      </c>
      <c r="AQ1323" s="24" t="inlineStr">
        <is>
          <t>Elizara Yaneva</t>
        </is>
      </c>
      <c r="AR1323" s="24" t="inlineStr">
        <is>
          <t>Elizara Yaneva</t>
        </is>
      </c>
      <c r="AS1323" s="24" t="inlineStr">
        <is>
          <t>Jennifer Ruggeri</t>
        </is>
      </c>
      <c r="AT1323" s="24" t="inlineStr">
        <is>
          <t>Jennifer Ruggeri</t>
        </is>
      </c>
      <c r="AU1323" s="24" t="inlineStr">
        <is>
          <t>Jennifer Ruggeri</t>
        </is>
      </c>
      <c r="AV1323" s="24" t="n"/>
      <c r="AW1323" s="24" t="n"/>
      <c r="AX1323" s="24" t="inlineStr">
        <is>
          <t>statistical_model</t>
        </is>
      </c>
      <c r="AY1323" s="24" t="n"/>
      <c r="AZ1323" s="24" t="inlineStr">
        <is>
          <t>shadow_qualified</t>
        </is>
      </c>
      <c r="BA1323" s="24" t="inlineStr">
        <is>
          <t>7443acc419841200d57e1edf36b77f1940cdd0c48dce3d43fcd05498a109440b</t>
        </is>
      </c>
      <c r="BB1323" s="24" t="inlineStr">
        <is>
          <t>learned_v3</t>
        </is>
      </c>
      <c r="BC1323" s="24" t="inlineStr">
        <is>
          <t>tennis-learned-v3</t>
        </is>
      </c>
      <c r="BD1323" s="24" t="inlineStr">
        <is>
          <t>7443acc419841200d57e1edf36b77f1940cdd0c48dce3d43fcd05498a109440b</t>
        </is>
      </c>
      <c r="BE1323" s="24" t="inlineStr">
        <is>
          <t>tennis-learned-v3</t>
        </is>
      </c>
      <c r="BF1323" s="24" t="inlineStr">
        <is>
          <t>1</t>
        </is>
      </c>
      <c r="BG1323" s="24" t="inlineStr">
        <is>
          <t>7443acc419841200d57e1edf36b77f1940cdd0c48dce3d43fcd05498a109440b</t>
        </is>
      </c>
      <c r="BH1323" s="24" t="inlineStr">
        <is>
          <t>2026-10-12T05:01:05.996510Z</t>
        </is>
      </c>
      <c r="BI1323" s="24" t="inlineStr">
        <is>
          <t>["same_event","same_team_same_day","same_league_same_day"]</t>
        </is>
      </c>
      <c r="BJ1323" s="25" t="n"/>
      <c r="BK1323" s="26" t="n">
        <v>-156</v>
      </c>
      <c r="BL1323" s="27" t="n">
        <v>1.641026</v>
      </c>
      <c r="BM1323" s="28" t="n">
        <v>0.609375</v>
      </c>
      <c r="BN1323" s="28" t="n"/>
      <c r="BO1323" s="28" t="n"/>
      <c r="BP1323" s="25" t="n"/>
      <c r="BQ1323" s="27" t="n">
        <v>1.641026</v>
      </c>
      <c r="BR1323" s="28" t="n">
        <v>0.61</v>
      </c>
      <c r="BS1323" s="28" t="n"/>
      <c r="BT1323" s="28" t="n"/>
      <c r="BU1323" s="25" t="n"/>
      <c r="BV1323" s="29" t="n"/>
      <c r="BW1323" s="24" t="n"/>
      <c r="BX1323" s="30" t="n"/>
      <c r="BY1323" s="27" t="n"/>
      <c r="BZ1323" s="24" t="n"/>
      <c r="CA1323" s="31" t="n"/>
      <c r="CB1323" s="24" t="n"/>
      <c r="CC1323" s="24" t="n"/>
      <c r="CD1323" s="24" t="n"/>
      <c r="CE1323" s="24" t="n"/>
      <c r="CF1323" s="24" t="n"/>
      <c r="CG1323" s="24" t="n"/>
      <c r="CH1323" s="24" t="n"/>
      <c r="CI1323" s="24" t="n"/>
      <c r="CJ1323" s="24" t="n"/>
      <c r="CK1323" s="24" t="n"/>
      <c r="CL1323" s="24" t="n"/>
      <c r="CM1323" s="24" t="n"/>
      <c r="CN1323" s="24" t="n"/>
      <c r="CO1323" s="24" t="n"/>
      <c r="CP1323" s="24" t="n"/>
      <c r="CQ1323" s="24" t="n"/>
      <c r="CR1323" s="24" t="n"/>
      <c r="CS1323" s="24" t="inlineStr">
        <is>
          <t>False</t>
        </is>
      </c>
      <c r="CT1323" s="24" t="n"/>
      <c r="CU1323" s="24" t="n"/>
      <c r="CV1323" s="24" t="n"/>
      <c r="CW1323" s="24" t="n"/>
      <c r="CX1323" s="24" t="n"/>
      <c r="CY1323" s="24" t="n"/>
      <c r="CZ1323" s="24" t="n"/>
      <c r="DA1323" s="24" t="n"/>
      <c r="DB1323" s="24" t="n"/>
      <c r="DC1323" s="24" t="n"/>
      <c r="DD1323" s="24" t="inlineStr">
        <is>
          <t>e68140ac00f0e6f4130143ba550ae9c6c6227bbbf80b7dec29d393e570f4bfe0</t>
        </is>
      </c>
      <c r="DE1323" s="24" t="inlineStr">
        <is>
          <t>E:\model-prediction\data\odds\tennis\2026-10-12\polymarket_snapshots.jsonl</t>
        </is>
      </c>
      <c r="DF1323" s="24" t="inlineStr">
        <is>
          <t>1366669:2026-10-12T05:01:05.996510Z</t>
        </is>
      </c>
      <c r="DG1323" s="24" t="n"/>
      <c r="DH1323" s="24" t="n"/>
      <c r="DI1323" s="24" t="n"/>
      <c r="DJ1323" s="24" t="n"/>
      <c r="DK1323" s="24" t="n"/>
      <c r="DL1323" s="24" t="n"/>
      <c r="DM1323" s="24" t="n"/>
      <c r="DN1323" s="24" t="n"/>
      <c r="DO1323" s="24" t="n"/>
      <c r="DP1323" s="24" t="n"/>
      <c r="DQ1323" s="24" t="inlineStr">
        <is>
          <t>{"artifact_hash": "7443acc419841200d57e1edf36b77f1940cdd0c48dce3d43fcd05498a109440b", "away_team": "Elizara Yaneva", "event_id": "1020-2026:185497", "event_start_utc": "2026-10-12T11:30Z", "features": {"elo_p1_surface": 1492.7, "elo_p2_surface": 1500.0, "expected_games_p1": 13.3, "expected_games_p2": 10.84, "expected_total_games": 24.13, "history_matches": 16708, "min_player_matches": 19, "surface": "Grass"}, "historical_source_observation_times_verified": false, "home_team": "Jennifer Ruggeri", "inference_inputs": {"best_of": 3, "code_sha256": {"features/elo_ratings.py": "d6513e79d65448c06cc0f9b9eed0eaa091567835128e1f6647a310da8d78a872", "models/tennis.py": "7443acc419841200d57e1edf36b77f1940cdd0c48dce3d43fcd05498a109440b"}, "counts": [19, 19], "market_probability": null, "model_version": "tennis-learned-v3", "overall_ratings": [1486.982452025576, 1435.4342937508147], "p_serve_a": 0.6100088020106065, "p_serve_b": 0.5699911979893935, "players": ["Elizara Yaneva", "Jennifer Ruggeri"], "rest_days": [31.0, 19.0], "sport": "TENNIS", "surface": "Grass", "surface_counts": [2, 0], "surface_ratings": [1492.6594410595321, 1435.4342937508147], "tour": "WTA"}, "market_type": "moneyline", "model_version": "tennis-learned-v3", "observed_at_utc": "2026-10-12T11:02:15.203395+00:00", "probabilities": {"away": 0.5687, "home": 0.4313}, "replay_scope": "Exact full-precision serving state and rounding; upstream historical observation times are not certified.", "schema": "coded-moneyline-replay-v1", "snapshot_hash": "79c6d2d083be90b384588a2cd2752b2b4994c3cf578005808125d885cadbdf54", "sport": "TENNIS"}</t>
        </is>
      </c>
    </row>
    <row r="1324" ht="36" customHeight="1">
      <c r="A1324" s="24" t="inlineStr">
        <is>
          <t>e63b730128eb4620</t>
        </is>
      </c>
      <c r="B1324" s="24" t="inlineStr">
        <is>
          <t>2026-10-12T11:02:18.552284Z</t>
        </is>
      </c>
      <c r="C1324" s="24" t="inlineStr">
        <is>
          <t>2026-10-12T11:30Z</t>
        </is>
      </c>
      <c r="D1324" s="24" t="inlineStr">
        <is>
          <t>1020-2026:185497</t>
        </is>
      </c>
      <c r="E1324" s="24" t="inlineStr">
        <is>
          <t>TENNIS</t>
        </is>
      </c>
      <c r="F1324" s="24" t="inlineStr">
        <is>
          <t>Elizara Yaneva</t>
        </is>
      </c>
      <c r="G1324" s="24" t="inlineStr">
        <is>
          <t>Jennifer Ruggeri</t>
        </is>
      </c>
      <c r="H1324" s="24" t="inlineStr">
        <is>
          <t>total</t>
        </is>
      </c>
      <c r="I1324" s="24" t="inlineStr">
        <is>
          <t>over</t>
        </is>
      </c>
      <c r="J1324" s="25" t="n">
        <v>22.5</v>
      </c>
      <c r="K1324" s="24" t="inlineStr">
        <is>
          <t>polymarket_us</t>
        </is>
      </c>
      <c r="L1324" s="26" t="n">
        <v>-133</v>
      </c>
      <c r="M1324" s="27" t="n">
        <v>1.75188</v>
      </c>
      <c r="N1324" s="28" t="n">
        <v>0.570815</v>
      </c>
      <c r="O1324" s="28" t="n">
        <v>0.5306</v>
      </c>
      <c r="P1324" s="28" t="n">
        <v>0.05</v>
      </c>
      <c r="Q1324" s="28" t="n">
        <v>-0.040215</v>
      </c>
      <c r="R1324" s="26" t="n">
        <v>0</v>
      </c>
      <c r="S1324" s="29" t="n">
        <v>1</v>
      </c>
      <c r="T1324" s="24" t="inlineStr">
        <is>
          <t>tennis-learned-v3</t>
        </is>
      </c>
      <c r="U1324" s="24" t="inlineStr">
        <is>
          <t>settled</t>
        </is>
      </c>
      <c r="V1324" s="24" t="inlineStr">
        <is>
          <t>win</t>
        </is>
      </c>
      <c r="W1324" s="26" t="n">
        <v>14</v>
      </c>
      <c r="X1324" s="26" t="n">
        <v>13</v>
      </c>
      <c r="Y1324" s="25" t="n"/>
      <c r="Z1324" s="26" t="n"/>
      <c r="AA1324" s="28" t="n"/>
      <c r="AB1324" s="28" t="n"/>
      <c r="AC1324" s="30" t="n">
        <v>0.7519</v>
      </c>
      <c r="AD1324" s="24" t="inlineStr">
        <is>
          <t>2026-10-12T16:10:56.326255Z</t>
        </is>
      </c>
      <c r="AE1324" s="31" t="inlineStr">
        <is>
          <t>Tennis Markov total games line 22.5: over p=0.531. Executable ask 0.5700 (tsc-wta-jenrug-eliyan-2026-10-12-tg-22pt5).</t>
        </is>
      </c>
      <c r="AF1324" s="31" t="inlineStr">
        <is>
          <t>Surface-blended Elo model; singles only, WTA+ATP market coverage, not yet locked-holdout qualified -- promoted by explicit operator directive, not genuine walk-forward validation.</t>
        </is>
      </c>
      <c r="AG1324" s="24" t="inlineStr">
        <is>
          <t>not_applicable</t>
        </is>
      </c>
      <c r="AH1324" s="24" t="n"/>
      <c r="AI1324" s="31" t="n"/>
      <c r="AJ1324" s="31" t="n"/>
      <c r="AK1324" s="24" t="inlineStr">
        <is>
          <t>paper_call</t>
        </is>
      </c>
      <c r="AL1324" s="26" t="n">
        <v>4</v>
      </c>
      <c r="AM1324" s="24" t="inlineStr">
        <is>
          <t>RESEARCH_OBSERVATION</t>
        </is>
      </c>
      <c r="AN1324" s="24" t="inlineStr">
        <is>
          <t>CALL</t>
        </is>
      </c>
      <c r="AO1324" s="24" t="inlineStr">
        <is>
          <t>PAPER_CALL_LOW_EDGE</t>
        </is>
      </c>
      <c r="AP1324" s="24" t="inlineStr">
        <is>
          <t>Elizara Yaneva</t>
        </is>
      </c>
      <c r="AQ1324" s="24" t="inlineStr">
        <is>
          <t>Elizara Yaneva</t>
        </is>
      </c>
      <c r="AR1324" s="24" t="inlineStr">
        <is>
          <t>Elizara Yaneva</t>
        </is>
      </c>
      <c r="AS1324" s="24" t="inlineStr">
        <is>
          <t>Jennifer Ruggeri</t>
        </is>
      </c>
      <c r="AT1324" s="24" t="inlineStr">
        <is>
          <t>Jennifer Ruggeri</t>
        </is>
      </c>
      <c r="AU1324" s="24" t="inlineStr">
        <is>
          <t>Jennifer Ruggeri</t>
        </is>
      </c>
      <c r="AV1324" s="24" t="n"/>
      <c r="AW1324" s="24" t="n"/>
      <c r="AX1324" s="24" t="inlineStr">
        <is>
          <t>statistical_model</t>
        </is>
      </c>
      <c r="AY1324" s="24" t="n"/>
      <c r="AZ1324" s="24" t="inlineStr">
        <is>
          <t>shadow_qualified</t>
        </is>
      </c>
      <c r="BA1324" s="24" t="inlineStr">
        <is>
          <t>7443acc419841200d57e1edf36b77f1940cdd0c48dce3d43fcd05498a109440b</t>
        </is>
      </c>
      <c r="BB1324" s="24" t="inlineStr">
        <is>
          <t>learned_v3</t>
        </is>
      </c>
      <c r="BC1324" s="24" t="inlineStr">
        <is>
          <t>tennis-learned-v3</t>
        </is>
      </c>
      <c r="BD1324" s="24" t="inlineStr">
        <is>
          <t>7443acc419841200d57e1edf36b77f1940cdd0c48dce3d43fcd05498a109440b</t>
        </is>
      </c>
      <c r="BE1324" s="24" t="inlineStr">
        <is>
          <t>tennis-learned-v3</t>
        </is>
      </c>
      <c r="BF1324" s="24" t="inlineStr">
        <is>
          <t>1</t>
        </is>
      </c>
      <c r="BG1324" s="24" t="inlineStr">
        <is>
          <t>7443acc419841200d57e1edf36b77f1940cdd0c48dce3d43fcd05498a109440b</t>
        </is>
      </c>
      <c r="BH1324" s="24" t="inlineStr">
        <is>
          <t>2026-10-12T05:00:55.911802Z</t>
        </is>
      </c>
      <c r="BI1324" s="24" t="inlineStr">
        <is>
          <t>["same_event","same_team_same_day","same_league_same_day"]</t>
        </is>
      </c>
      <c r="BJ1324" s="25" t="n">
        <v>22.5</v>
      </c>
      <c r="BK1324" s="26" t="n">
        <v>-133</v>
      </c>
      <c r="BL1324" s="27" t="n">
        <v>1.75188</v>
      </c>
      <c r="BM1324" s="28" t="n">
        <v>0.570815</v>
      </c>
      <c r="BN1324" s="28" t="n"/>
      <c r="BO1324" s="28" t="n"/>
      <c r="BP1324" s="25" t="n"/>
      <c r="BQ1324" s="27" t="n"/>
      <c r="BR1324" s="28" t="n"/>
      <c r="BS1324" s="28" t="n"/>
      <c r="BT1324" s="28" t="n"/>
      <c r="BU1324" s="25" t="n"/>
      <c r="BV1324" s="29" t="n"/>
      <c r="BW1324" s="24" t="n"/>
      <c r="BX1324" s="30" t="n"/>
      <c r="BY1324" s="27" t="n"/>
      <c r="BZ1324" s="24" t="n"/>
      <c r="CA1324" s="31" t="n"/>
      <c r="CB1324" s="24" t="n"/>
      <c r="CC1324" s="24" t="n"/>
      <c r="CD1324" s="24" t="n"/>
      <c r="CE1324" s="24" t="n"/>
      <c r="CF1324" s="24" t="n"/>
      <c r="CG1324" s="24" t="n"/>
      <c r="CH1324" s="24" t="n"/>
      <c r="CI1324" s="24" t="n"/>
      <c r="CJ1324" s="24" t="n"/>
      <c r="CK1324" s="24" t="n"/>
      <c r="CL1324" s="24" t="n"/>
      <c r="CM1324" s="24" t="n"/>
      <c r="CN1324" s="24" t="n"/>
      <c r="CO1324" s="24" t="n"/>
      <c r="CP1324" s="24" t="n"/>
      <c r="CQ1324" s="24" t="n"/>
      <c r="CR1324" s="24" t="n"/>
      <c r="CS1324" s="24" t="inlineStr">
        <is>
          <t>False</t>
        </is>
      </c>
      <c r="CT1324" s="24" t="n"/>
      <c r="CU1324" s="24" t="n"/>
      <c r="CV1324" s="24" t="n"/>
      <c r="CW1324" s="24" t="n"/>
      <c r="CX1324" s="24" t="n"/>
      <c r="CY1324" s="24" t="n"/>
      <c r="CZ1324" s="24" t="n"/>
      <c r="DA1324" s="24" t="n"/>
      <c r="DB1324" s="24" t="n"/>
      <c r="DC1324" s="24" t="n"/>
      <c r="DD1324" s="24" t="inlineStr">
        <is>
          <t>c53f9a252ed8fe920a627898b9a89daaf6a0d6f5b3f6d66130b62f58804b21a3</t>
        </is>
      </c>
      <c r="DE1324" s="24" t="inlineStr">
        <is>
          <t>E:\model-prediction\data\odds\tennis\2026-10-12\polymarket_snapshots.jsonl</t>
        </is>
      </c>
      <c r="DF1324" s="24" t="inlineStr">
        <is>
          <t>1367546:2026-10-12T05:00:55.911802Z</t>
        </is>
      </c>
      <c r="DG1324" s="24" t="n"/>
      <c r="DH1324" s="24" t="n"/>
      <c r="DI1324" s="24" t="n"/>
      <c r="DJ1324" s="24" t="n"/>
      <c r="DK1324" s="24" t="n"/>
      <c r="DL1324" s="24" t="n"/>
      <c r="DM1324" s="24" t="n"/>
      <c r="DN1324" s="24" t="n"/>
      <c r="DO1324" s="24" t="n"/>
      <c r="DP1324" s="24" t="n"/>
      <c r="DQ1324" s="24" t="n"/>
    </row>
    <row r="1325" ht="36" customHeight="1">
      <c r="A1325" s="24" t="inlineStr">
        <is>
          <t>f777194c549540e7</t>
        </is>
      </c>
      <c r="B1325" s="24" t="inlineStr">
        <is>
          <t>2026-10-12T11:02:18.552284Z</t>
        </is>
      </c>
      <c r="C1325" s="24" t="inlineStr">
        <is>
          <t>2026-10-12T12:30Z</t>
        </is>
      </c>
      <c r="D1325" s="24" t="inlineStr">
        <is>
          <t>1020-2026:185484</t>
        </is>
      </c>
      <c r="E1325" s="24" t="inlineStr">
        <is>
          <t>TENNIS</t>
        </is>
      </c>
      <c r="F1325" s="24" t="inlineStr">
        <is>
          <t>Yasmine Kabbaj</t>
        </is>
      </c>
      <c r="G1325" s="24" t="inlineStr">
        <is>
          <t>Andrea Lazaro Garcia</t>
        </is>
      </c>
      <c r="H1325" s="24" t="inlineStr">
        <is>
          <t>moneyline</t>
        </is>
      </c>
      <c r="I1325" s="24" t="inlineStr">
        <is>
          <t>home</t>
        </is>
      </c>
      <c r="J1325" s="25" t="n"/>
      <c r="K1325" s="24" t="inlineStr">
        <is>
          <t>polymarket_us</t>
        </is>
      </c>
      <c r="L1325" s="26" t="n">
        <v>-257</v>
      </c>
      <c r="M1325" s="27" t="n">
        <v>1.389105</v>
      </c>
      <c r="N1325" s="28" t="n">
        <v>0.719888</v>
      </c>
      <c r="O1325" s="28" t="n">
        <v>0.5863</v>
      </c>
      <c r="P1325" s="28" t="n">
        <v>0.05</v>
      </c>
      <c r="Q1325" s="28" t="n">
        <v>-0.133588</v>
      </c>
      <c r="R1325" s="26" t="n">
        <v>0</v>
      </c>
      <c r="S1325" s="29" t="n">
        <v>1</v>
      </c>
      <c r="T1325" s="24" t="inlineStr">
        <is>
          <t>tennis-learned-v3</t>
        </is>
      </c>
      <c r="U1325" s="24" t="inlineStr">
        <is>
          <t>settled</t>
        </is>
      </c>
      <c r="V1325" s="24" t="inlineStr">
        <is>
          <t>win</t>
        </is>
      </c>
      <c r="W1325" s="26" t="n">
        <v>0</v>
      </c>
      <c r="X1325" s="26" t="n">
        <v>1</v>
      </c>
      <c r="Y1325" s="25" t="n"/>
      <c r="Z1325" s="26" t="n">
        <v>-257</v>
      </c>
      <c r="AA1325" s="28" t="n">
        <v>0.72</v>
      </c>
      <c r="AB1325" s="28" t="n">
        <v>0.000112</v>
      </c>
      <c r="AC1325" s="30" t="n">
        <v>0.3891</v>
      </c>
      <c r="AD1325" s="24" t="inlineStr">
        <is>
          <t>2026-10-12T22:01:41.414852Z</t>
        </is>
      </c>
      <c r="AE1325" s="31" t="inlineStr">
        <is>
          <t>Tennis v3 Learned Fundamental on Grass (Bo3): Yasmine Kabbaj p=0.414 vs Andrea Lazaro Garcia. Executable ask 0.7200 (aec-wta-andgar-yaskab-2026-10-12).</t>
        </is>
      </c>
      <c r="AF1325" s="31" t="inlineStr">
        <is>
          <t>Surface-blended Elo model; singles only, WTA+ATP market coverage, not yet locked-holdout qualified -- promoted by explicit operator directive, not genuine walk-forward validation.</t>
        </is>
      </c>
      <c r="AG1325" s="24" t="inlineStr">
        <is>
          <t>not_applicable</t>
        </is>
      </c>
      <c r="AH1325" s="24" t="n"/>
      <c r="AI1325" s="31" t="n"/>
      <c r="AJ1325" s="31" t="n"/>
      <c r="AK1325" s="24" t="inlineStr">
        <is>
          <t>paper_call</t>
        </is>
      </c>
      <c r="AL1325" s="26" t="n">
        <v>4</v>
      </c>
      <c r="AM1325" s="24" t="inlineStr">
        <is>
          <t>RESEARCH_OBSERVATION</t>
        </is>
      </c>
      <c r="AN1325" s="24" t="inlineStr">
        <is>
          <t>CALL</t>
        </is>
      </c>
      <c r="AO1325" s="24" t="inlineStr">
        <is>
          <t>PAPER_CALL_LOW_EDGE</t>
        </is>
      </c>
      <c r="AP1325" s="24" t="inlineStr">
        <is>
          <t>Yasmine Kabbaj</t>
        </is>
      </c>
      <c r="AQ1325" s="24" t="inlineStr">
        <is>
          <t>Yasmine Kabbaj</t>
        </is>
      </c>
      <c r="AR1325" s="24" t="inlineStr">
        <is>
          <t>Yasmine Kabbaj</t>
        </is>
      </c>
      <c r="AS1325" s="24" t="inlineStr">
        <is>
          <t>Andrea Lazaro Garcia</t>
        </is>
      </c>
      <c r="AT1325" s="24" t="inlineStr">
        <is>
          <t>Andrea Lazaro Garcia</t>
        </is>
      </c>
      <c r="AU1325" s="24" t="inlineStr">
        <is>
          <t>Andrea Lazaro Garcia</t>
        </is>
      </c>
      <c r="AV1325" s="24" t="n"/>
      <c r="AW1325" s="24" t="n"/>
      <c r="AX1325" s="24" t="inlineStr">
        <is>
          <t>statistical_model</t>
        </is>
      </c>
      <c r="AY1325" s="24" t="n"/>
      <c r="AZ1325" s="24" t="inlineStr">
        <is>
          <t>shadow_qualified</t>
        </is>
      </c>
      <c r="BA1325" s="24" t="inlineStr">
        <is>
          <t>7443acc419841200d57e1edf36b77f1940cdd0c48dce3d43fcd05498a109440b</t>
        </is>
      </c>
      <c r="BB1325" s="24" t="inlineStr">
        <is>
          <t>learned_v3</t>
        </is>
      </c>
      <c r="BC1325" s="24" t="inlineStr">
        <is>
          <t>tennis-learned-v3</t>
        </is>
      </c>
      <c r="BD1325" s="24" t="inlineStr">
        <is>
          <t>7443acc419841200d57e1edf36b77f1940cdd0c48dce3d43fcd05498a109440b</t>
        </is>
      </c>
      <c r="BE1325" s="24" t="inlineStr">
        <is>
          <t>tennis-learned-v3</t>
        </is>
      </c>
      <c r="BF1325" s="24" t="inlineStr">
        <is>
          <t>1</t>
        </is>
      </c>
      <c r="BG1325" s="24" t="inlineStr">
        <is>
          <t>7443acc419841200d57e1edf36b77f1940cdd0c48dce3d43fcd05498a109440b</t>
        </is>
      </c>
      <c r="BH1325" s="24" t="inlineStr">
        <is>
          <t>2026-10-12T10:27:21.995324Z</t>
        </is>
      </c>
      <c r="BI1325" s="24" t="inlineStr">
        <is>
          <t>["same_event","same_team_same_day","same_league_same_day"]</t>
        </is>
      </c>
      <c r="BJ1325" s="25" t="n"/>
      <c r="BK1325" s="26" t="n">
        <v>-257</v>
      </c>
      <c r="BL1325" s="27" t="n">
        <v>1.389105</v>
      </c>
      <c r="BM1325" s="28" t="n">
        <v>0.719888</v>
      </c>
      <c r="BN1325" s="28" t="n"/>
      <c r="BO1325" s="28" t="n"/>
      <c r="BP1325" s="25" t="n"/>
      <c r="BQ1325" s="27" t="n">
        <v>1.389105</v>
      </c>
      <c r="BR1325" s="28" t="n">
        <v>0.72</v>
      </c>
      <c r="BS1325" s="28" t="n"/>
      <c r="BT1325" s="28" t="n"/>
      <c r="BU1325" s="25" t="n"/>
      <c r="BV1325" s="29" t="n"/>
      <c r="BW1325" s="24" t="n"/>
      <c r="BX1325" s="30" t="n"/>
      <c r="BY1325" s="27" t="n"/>
      <c r="BZ1325" s="24" t="n"/>
      <c r="CA1325" s="31" t="n"/>
      <c r="CB1325" s="24" t="n"/>
      <c r="CC1325" s="24" t="n"/>
      <c r="CD1325" s="24" t="n"/>
      <c r="CE1325" s="24" t="n"/>
      <c r="CF1325" s="24" t="n"/>
      <c r="CG1325" s="24" t="n"/>
      <c r="CH1325" s="24" t="n"/>
      <c r="CI1325" s="24" t="n"/>
      <c r="CJ1325" s="24" t="n"/>
      <c r="CK1325" s="24" t="n"/>
      <c r="CL1325" s="24" t="n"/>
      <c r="CM1325" s="24" t="n"/>
      <c r="CN1325" s="24" t="n"/>
      <c r="CO1325" s="24" t="n"/>
      <c r="CP1325" s="24" t="n"/>
      <c r="CQ1325" s="24" t="n"/>
      <c r="CR1325" s="24" t="n"/>
      <c r="CS1325" s="24" t="inlineStr">
        <is>
          <t>False</t>
        </is>
      </c>
      <c r="CT1325" s="24" t="n"/>
      <c r="CU1325" s="24" t="n"/>
      <c r="CV1325" s="24" t="n"/>
      <c r="CW1325" s="24" t="n"/>
      <c r="CX1325" s="24" t="n"/>
      <c r="CY1325" s="24" t="n"/>
      <c r="CZ1325" s="24" t="n"/>
      <c r="DA1325" s="24" t="n"/>
      <c r="DB1325" s="24" t="n"/>
      <c r="DC1325" s="24" t="n"/>
      <c r="DD1325" s="24" t="inlineStr">
        <is>
          <t>5d967a8633a11e5417aeaaf86dc88c08bc7ad326eba784298f8573db70b1ba37</t>
        </is>
      </c>
      <c r="DE1325" s="24" t="inlineStr">
        <is>
          <t>E:\model-prediction\data\odds\tennis\2026-10-12\polymarket_snapshots.jsonl</t>
        </is>
      </c>
      <c r="DF1325" s="24" t="inlineStr">
        <is>
          <t>1366664:2026-10-12T10:27:21.995324Z</t>
        </is>
      </c>
      <c r="DG1325" s="24" t="n"/>
      <c r="DH1325" s="24" t="n"/>
      <c r="DI1325" s="24" t="n"/>
      <c r="DJ1325" s="24" t="n"/>
      <c r="DK1325" s="24" t="n"/>
      <c r="DL1325" s="24" t="n"/>
      <c r="DM1325" s="24" t="n"/>
      <c r="DN1325" s="24" t="n"/>
      <c r="DO1325" s="24" t="n"/>
      <c r="DP1325" s="24" t="n"/>
      <c r="DQ1325" s="24" t="inlineStr">
        <is>
          <t>{"artifact_hash": "7443acc419841200d57e1edf36b77f1940cdd0c48dce3d43fcd05498a109440b", "away_team": "Yasmine Kabbaj", "event_id": "1020-2026:185484", "event_start_utc": "2026-10-12T12:30Z", "features": {"elo_p1_surface": 1500.0, "elo_p2_surface": 1459.5, "expected_games_p1": 10.83, "expected_games_p2": 13.17, "expected_total_games": 24.0, "history_matches": 16708, "min_player_matches": 28, "surface": "Grass"}, "historical_source_observation_times_verified": false, "home_team": "Andrea Lazaro Garcia", "inference_inputs": {"best_of": 3, "code_sha256": {"features/elo_ratings.py": "d6513e79d65448c06cc0f9b9eed0eaa091567835128e1f6647a310da8d78a872", "models/tennis.py": "7443acc419841200d57e1edf36b77f1940cdd0c48dce3d43fcd05498a109440b"}, "counts": [28, 50], "market_probability": null, "model_version": "tennis-learned-v3", "overall_ratings": [1518.1240025233826, 1560.1531021985993], "p_serve_a": 0.5647474680545519, "p_serve_b": 0.615252531945448, "players": ["Yasmine Kabbaj", "Andrea Lazaro Garcia"], "rest_days": [22.0, 11.0], "sport": "TENNIS", "surface": "Grass", "surface_counts": [0, 7], "surface_ratings": [1518.1240025233826, 1459.450755748284], "tour": "WTA"}, "market_type": "moneyline", "model_version": "tennis-learned-v3", "observed_at_utc": "2026-10-12T11:02:15.203395+00:00", "probabilities": {"away": 0.4137, "home": 0.5863}, "replay_scope": "Exact full-precision serving state and rounding; upstream historical observation times are not certified.", "schema": "coded-moneyline-replay-v1", "snapshot_hash": "fc8b6ef1482d4f0c856cbae167b18f4f3bc997408c4afc98d04c47dedcec70e2", "sport": "TENNIS"}</t>
        </is>
      </c>
    </row>
    <row r="1326" ht="36" customHeight="1">
      <c r="A1326" s="24" t="inlineStr">
        <is>
          <t>8aaa5d697e1b4a67</t>
        </is>
      </c>
      <c r="B1326" s="24" t="inlineStr">
        <is>
          <t>2026-10-12T11:02:18.552284Z</t>
        </is>
      </c>
      <c r="C1326" s="24" t="inlineStr">
        <is>
          <t>2026-10-12T12:30Z</t>
        </is>
      </c>
      <c r="D1326" s="24" t="inlineStr">
        <is>
          <t>1020-2026:185484</t>
        </is>
      </c>
      <c r="E1326" s="24" t="inlineStr">
        <is>
          <t>TENNIS</t>
        </is>
      </c>
      <c r="F1326" s="24" t="inlineStr">
        <is>
          <t>Yasmine Kabbaj</t>
        </is>
      </c>
      <c r="G1326" s="24" t="inlineStr">
        <is>
          <t>Andrea Lazaro Garcia</t>
        </is>
      </c>
      <c r="H1326" s="24" t="inlineStr">
        <is>
          <t>spread</t>
        </is>
      </c>
      <c r="I1326" s="24" t="inlineStr">
        <is>
          <t>away</t>
        </is>
      </c>
      <c r="J1326" s="25" t="n">
        <v>-4.5</v>
      </c>
      <c r="K1326" s="24" t="inlineStr">
        <is>
          <t>polymarket_us</t>
        </is>
      </c>
      <c r="L1326" s="26" t="n">
        <v>100</v>
      </c>
      <c r="M1326" s="27" t="n">
        <v>2</v>
      </c>
      <c r="N1326" s="28" t="n">
        <v>0.5</v>
      </c>
      <c r="O1326" s="28" t="n">
        <v>0.644</v>
      </c>
      <c r="P1326" s="28" t="n">
        <v>0.05</v>
      </c>
      <c r="Q1326" s="28" t="n">
        <v>0.144</v>
      </c>
      <c r="R1326" s="26" t="n">
        <v>92</v>
      </c>
      <c r="S1326" s="29" t="n">
        <v>1.75</v>
      </c>
      <c r="T1326" s="24" t="inlineStr">
        <is>
          <t>tennis-learned-v3</t>
        </is>
      </c>
      <c r="U1326" s="24" t="inlineStr">
        <is>
          <t>settled</t>
        </is>
      </c>
      <c r="V1326" s="24" t="inlineStr">
        <is>
          <t>loss</t>
        </is>
      </c>
      <c r="W1326" s="26" t="n">
        <v>6</v>
      </c>
      <c r="X1326" s="26" t="n">
        <v>13</v>
      </c>
      <c r="Y1326" s="25" t="n"/>
      <c r="Z1326" s="26" t="n"/>
      <c r="AA1326" s="28" t="n"/>
      <c r="AB1326" s="28" t="n"/>
      <c r="AC1326" s="30" t="n">
        <v>-1.75</v>
      </c>
      <c r="AD1326" s="24" t="inlineStr">
        <is>
          <t>2026-10-12T22:01:47.564855Z</t>
        </is>
      </c>
      <c r="AE1326" s="31" t="inlineStr">
        <is>
          <t>Tennis Markov game spread -4.5 games: away cover p=0.644. Executable ask 0.5000 (asc-wta-andgar-yaskab-2026-10-12-gs-neg-4pt5).</t>
        </is>
      </c>
      <c r="AF1326" s="31" t="inlineStr">
        <is>
          <t>Surface-blended Elo model; singles only, WTA+ATP market coverage, not yet locked-holdout qualified -- promoted by explicit operator directive, not genuine walk-forward validation.</t>
        </is>
      </c>
      <c r="AG1326" s="24" t="inlineStr">
        <is>
          <t>review_required</t>
        </is>
      </c>
      <c r="AH1326" s="24" t="n"/>
      <c r="AI1326" s="31" t="n"/>
      <c r="AJ1326" s="31" t="n"/>
      <c r="AK1326" s="24" t="inlineStr">
        <is>
          <t>model_qualified</t>
        </is>
      </c>
      <c r="AL1326" s="26" t="n">
        <v>4</v>
      </c>
      <c r="AM1326" s="24" t="inlineStr">
        <is>
          <t>QUALIFIED_SHADOW_CALL</t>
        </is>
      </c>
      <c r="AN1326" s="24" t="inlineStr">
        <is>
          <t>CALL</t>
        </is>
      </c>
      <c r="AO1326" s="24" t="inlineStr">
        <is>
          <t>QUALIFIED</t>
        </is>
      </c>
      <c r="AP1326" s="24" t="inlineStr">
        <is>
          <t>Yasmine Kabbaj</t>
        </is>
      </c>
      <c r="AQ1326" s="24" t="inlineStr">
        <is>
          <t>Yasmine Kabbaj</t>
        </is>
      </c>
      <c r="AR1326" s="24" t="inlineStr">
        <is>
          <t>Yasmine Kabbaj</t>
        </is>
      </c>
      <c r="AS1326" s="24" t="inlineStr">
        <is>
          <t>Andrea Lazaro Garcia</t>
        </is>
      </c>
      <c r="AT1326" s="24" t="inlineStr">
        <is>
          <t>Andrea Lazaro Garcia</t>
        </is>
      </c>
      <c r="AU1326" s="24" t="inlineStr">
        <is>
          <t>Andrea Lazaro Garcia</t>
        </is>
      </c>
      <c r="AV1326" s="24" t="n"/>
      <c r="AW1326" s="24" t="n"/>
      <c r="AX1326" s="24" t="inlineStr">
        <is>
          <t>statistical_model</t>
        </is>
      </c>
      <c r="AY1326" s="24" t="n"/>
      <c r="AZ1326" s="24" t="inlineStr">
        <is>
          <t>shadow_qualified</t>
        </is>
      </c>
      <c r="BA1326" s="24" t="inlineStr">
        <is>
          <t>7443acc419841200d57e1edf36b77f1940cdd0c48dce3d43fcd05498a109440b</t>
        </is>
      </c>
      <c r="BB1326" s="24" t="inlineStr">
        <is>
          <t>learned_v3</t>
        </is>
      </c>
      <c r="BC1326" s="24" t="inlineStr">
        <is>
          <t>tennis-learned-v3</t>
        </is>
      </c>
      <c r="BD1326" s="24" t="inlineStr">
        <is>
          <t>7443acc419841200d57e1edf36b77f1940cdd0c48dce3d43fcd05498a109440b</t>
        </is>
      </c>
      <c r="BE1326" s="24" t="inlineStr">
        <is>
          <t>tennis-learned-v3</t>
        </is>
      </c>
      <c r="BF1326" s="24" t="inlineStr">
        <is>
          <t>1</t>
        </is>
      </c>
      <c r="BG1326" s="24" t="inlineStr">
        <is>
          <t>7443acc419841200d57e1edf36b77f1940cdd0c48dce3d43fcd05498a109440b</t>
        </is>
      </c>
      <c r="BH1326" s="24" t="inlineStr">
        <is>
          <t>2026-10-12T05:01:36.229948Z</t>
        </is>
      </c>
      <c r="BI1326" s="24" t="inlineStr">
        <is>
          <t>["same_event","same_team_same_day","same_league_same_day"]</t>
        </is>
      </c>
      <c r="BJ1326" s="25" t="n">
        <v>-4.5</v>
      </c>
      <c r="BK1326" s="26" t="n">
        <v>100</v>
      </c>
      <c r="BL1326" s="27" t="n">
        <v>2</v>
      </c>
      <c r="BM1326" s="28" t="n">
        <v>0.5</v>
      </c>
      <c r="BN1326" s="28" t="n"/>
      <c r="BO1326" s="28" t="n"/>
      <c r="BP1326" s="25" t="n"/>
      <c r="BQ1326" s="27" t="n"/>
      <c r="BR1326" s="28" t="n"/>
      <c r="BS1326" s="28" t="n"/>
      <c r="BT1326" s="28" t="n"/>
      <c r="BU1326" s="25" t="n"/>
      <c r="BV1326" s="29" t="n"/>
      <c r="BW1326" s="24" t="n"/>
      <c r="BX1326" s="30" t="n"/>
      <c r="BY1326" s="27" t="n"/>
      <c r="BZ1326" s="24" t="n"/>
      <c r="CA1326" s="31" t="n"/>
      <c r="CB1326" s="24" t="n"/>
      <c r="CC1326" s="24" t="n"/>
      <c r="CD1326" s="24" t="n"/>
      <c r="CE1326" s="24" t="n"/>
      <c r="CF1326" s="24" t="n"/>
      <c r="CG1326" s="24" t="n"/>
      <c r="CH1326" s="24" t="n"/>
      <c r="CI1326" s="24" t="n"/>
      <c r="CJ1326" s="24" t="n"/>
      <c r="CK1326" s="24" t="n"/>
      <c r="CL1326" s="24" t="n"/>
      <c r="CM1326" s="24" t="n"/>
      <c r="CN1326" s="24" t="n"/>
      <c r="CO1326" s="24" t="n"/>
      <c r="CP1326" s="24" t="n"/>
      <c r="CQ1326" s="24" t="n"/>
      <c r="CR1326" s="24" t="n"/>
      <c r="CS1326" s="24" t="inlineStr">
        <is>
          <t>True</t>
        </is>
      </c>
      <c r="CT1326" s="24" t="n"/>
      <c r="CU1326" s="24" t="n"/>
      <c r="CV1326" s="24" t="n"/>
      <c r="CW1326" s="24" t="n"/>
      <c r="CX1326" s="24" t="n"/>
      <c r="CY1326" s="24" t="n"/>
      <c r="CZ1326" s="24" t="n"/>
      <c r="DA1326" s="24" t="n"/>
      <c r="DB1326" s="24" t="n"/>
      <c r="DC1326" s="24" t="n"/>
      <c r="DD1326" s="24" t="inlineStr">
        <is>
          <t>f258e13af277c02ea687787ca914d0f62d32cbf2b29e013b8af1f6f3639d113d</t>
        </is>
      </c>
      <c r="DE1326" s="24" t="inlineStr">
        <is>
          <t>E:\model-prediction\data\odds\tennis\2026-10-12\polymarket_snapshots.jsonl</t>
        </is>
      </c>
      <c r="DF1326" s="24" t="inlineStr">
        <is>
          <t>1367657:2026-10-12T05:01:36.229948Z</t>
        </is>
      </c>
      <c r="DG1326" s="24" t="n"/>
      <c r="DH1326" s="24" t="n"/>
      <c r="DI1326" s="24" t="n"/>
      <c r="DJ1326" s="24" t="n"/>
      <c r="DK1326" s="24" t="n"/>
      <c r="DL1326" s="24" t="n"/>
      <c r="DM1326" s="24" t="n"/>
      <c r="DN1326" s="24" t="n"/>
      <c r="DO1326" s="24" t="n"/>
      <c r="DP1326" s="24" t="n"/>
      <c r="DQ1326" s="24" t="n"/>
    </row>
    <row r="1327" ht="36" customHeight="1">
      <c r="A1327" s="24" t="inlineStr">
        <is>
          <t>3f66e665c52e419f</t>
        </is>
      </c>
      <c r="B1327" s="24" t="inlineStr">
        <is>
          <t>2026-10-12T11:02:18.552284Z</t>
        </is>
      </c>
      <c r="C1327" s="24" t="inlineStr">
        <is>
          <t>2026-10-12T12:00Z</t>
        </is>
      </c>
      <c r="D1327" s="24" t="inlineStr">
        <is>
          <t>1025-2026:185456</t>
        </is>
      </c>
      <c r="E1327" s="24" t="inlineStr">
        <is>
          <t>TENNIS</t>
        </is>
      </c>
      <c r="F1327" s="24" t="inlineStr">
        <is>
          <t>Gabriela Knutson</t>
        </is>
      </c>
      <c r="G1327" s="24" t="inlineStr">
        <is>
          <t>Emiliana Arango</t>
        </is>
      </c>
      <c r="H1327" s="24" t="inlineStr">
        <is>
          <t>spread</t>
        </is>
      </c>
      <c r="I1327" s="24" t="inlineStr">
        <is>
          <t>away</t>
        </is>
      </c>
      <c r="J1327" s="25" t="n">
        <v>1.5</v>
      </c>
      <c r="K1327" s="24" t="inlineStr">
        <is>
          <t>polymarket_us</t>
        </is>
      </c>
      <c r="L1327" s="26" t="n">
        <v>108</v>
      </c>
      <c r="M1327" s="27" t="n">
        <v>2.08</v>
      </c>
      <c r="N1327" s="28" t="n">
        <v>0.480769</v>
      </c>
      <c r="O1327" s="28" t="n">
        <v>0.6663</v>
      </c>
      <c r="P1327" s="28" t="n">
        <v>0.05</v>
      </c>
      <c r="Q1327" s="28" t="n">
        <v>0.185531</v>
      </c>
      <c r="R1327" s="26" t="n">
        <v>100</v>
      </c>
      <c r="S1327" s="29" t="n">
        <v>2</v>
      </c>
      <c r="T1327" s="24" t="inlineStr">
        <is>
          <t>tennis-learned-v3</t>
        </is>
      </c>
      <c r="U1327" s="24" t="inlineStr">
        <is>
          <t>settled</t>
        </is>
      </c>
      <c r="V1327" s="24" t="inlineStr">
        <is>
          <t>win</t>
        </is>
      </c>
      <c r="W1327" s="26" t="n">
        <v>12</v>
      </c>
      <c r="X1327" s="26" t="n">
        <v>7</v>
      </c>
      <c r="Y1327" s="25" t="n"/>
      <c r="Z1327" s="26" t="n"/>
      <c r="AA1327" s="28" t="n"/>
      <c r="AB1327" s="28" t="n"/>
      <c r="AC1327" s="30" t="n">
        <v>2.16</v>
      </c>
      <c r="AD1327" s="24" t="inlineStr">
        <is>
          <t>2026-10-12T16:11:10.897422Z</t>
        </is>
      </c>
      <c r="AE1327" s="31" t="inlineStr">
        <is>
          <t>Tennis Markov game spread +1.5 games: away cover p=0.666. Executable ask 0.4800 (asc-wta-emiara-gabknu-2026-10-12-gs-pos-1pt5).</t>
        </is>
      </c>
      <c r="AF1327" s="31" t="inlineStr">
        <is>
          <t>Surface-blended Elo model; singles only, WTA+ATP market coverage, not yet locked-holdout qualified -- promoted by explicit operator directive, not genuine walk-forward validation.</t>
        </is>
      </c>
      <c r="AG1327" s="24" t="inlineStr">
        <is>
          <t>not_applicable</t>
        </is>
      </c>
      <c r="AH1327" s="24" t="n"/>
      <c r="AI1327" s="31" t="n"/>
      <c r="AJ1327" s="31" t="n"/>
      <c r="AK1327" s="24" t="inlineStr">
        <is>
          <t>model_qualified</t>
        </is>
      </c>
      <c r="AL1327" s="26" t="n">
        <v>4</v>
      </c>
      <c r="AM1327" s="24" t="inlineStr">
        <is>
          <t>QUALIFIED_SHADOW_CALL</t>
        </is>
      </c>
      <c r="AN1327" s="24" t="inlineStr">
        <is>
          <t>CALL</t>
        </is>
      </c>
      <c r="AO1327" s="24" t="inlineStr">
        <is>
          <t>QUALIFIED</t>
        </is>
      </c>
      <c r="AP1327" s="24" t="inlineStr">
        <is>
          <t>Gabriela Knutson</t>
        </is>
      </c>
      <c r="AQ1327" s="24" t="inlineStr">
        <is>
          <t>Gabriela Knutson</t>
        </is>
      </c>
      <c r="AR1327" s="24" t="inlineStr">
        <is>
          <t>Gabriela Knutson</t>
        </is>
      </c>
      <c r="AS1327" s="24" t="inlineStr">
        <is>
          <t>Emiliana Arango</t>
        </is>
      </c>
      <c r="AT1327" s="24" t="inlineStr">
        <is>
          <t>Emiliana Arango</t>
        </is>
      </c>
      <c r="AU1327" s="24" t="inlineStr">
        <is>
          <t>Emiliana Arango</t>
        </is>
      </c>
      <c r="AV1327" s="24" t="n"/>
      <c r="AW1327" s="24" t="n"/>
      <c r="AX1327" s="24" t="inlineStr">
        <is>
          <t>statistical_model</t>
        </is>
      </c>
      <c r="AY1327" s="24" t="n"/>
      <c r="AZ1327" s="24" t="inlineStr">
        <is>
          <t>shadow_qualified</t>
        </is>
      </c>
      <c r="BA1327" s="24" t="inlineStr">
        <is>
          <t>7443acc419841200d57e1edf36b77f1940cdd0c48dce3d43fcd05498a109440b</t>
        </is>
      </c>
      <c r="BB1327" s="24" t="inlineStr">
        <is>
          <t>learned_v3</t>
        </is>
      </c>
      <c r="BC1327" s="24" t="inlineStr">
        <is>
          <t>tennis-learned-v3</t>
        </is>
      </c>
      <c r="BD1327" s="24" t="inlineStr">
        <is>
          <t>7443acc419841200d57e1edf36b77f1940cdd0c48dce3d43fcd05498a109440b</t>
        </is>
      </c>
      <c r="BE1327" s="24" t="inlineStr">
        <is>
          <t>tennis-learned-v3</t>
        </is>
      </c>
      <c r="BF1327" s="24" t="inlineStr">
        <is>
          <t>1</t>
        </is>
      </c>
      <c r="BG1327" s="24" t="inlineStr">
        <is>
          <t>7443acc419841200d57e1edf36b77f1940cdd0c48dce3d43fcd05498a109440b</t>
        </is>
      </c>
      <c r="BH1327" s="24" t="inlineStr">
        <is>
          <t>2026-10-12T05:01:06.006847Z</t>
        </is>
      </c>
      <c r="BI1327" s="24" t="inlineStr">
        <is>
          <t>["same_event","same_team_same_day","same_league_same_day"]</t>
        </is>
      </c>
      <c r="BJ1327" s="25" t="n">
        <v>1.5</v>
      </c>
      <c r="BK1327" s="26" t="n">
        <v>108</v>
      </c>
      <c r="BL1327" s="27" t="n">
        <v>2.08</v>
      </c>
      <c r="BM1327" s="28" t="n">
        <v>0.480769</v>
      </c>
      <c r="BN1327" s="28" t="n"/>
      <c r="BO1327" s="28" t="n"/>
      <c r="BP1327" s="25" t="n"/>
      <c r="BQ1327" s="27" t="n"/>
      <c r="BR1327" s="28" t="n"/>
      <c r="BS1327" s="28" t="n"/>
      <c r="BT1327" s="28" t="n"/>
      <c r="BU1327" s="25" t="n"/>
      <c r="BV1327" s="29" t="n"/>
      <c r="BW1327" s="24" t="n"/>
      <c r="BX1327" s="30" t="n"/>
      <c r="BY1327" s="27" t="n"/>
      <c r="BZ1327" s="24" t="n"/>
      <c r="CA1327" s="31" t="n"/>
      <c r="CB1327" s="24" t="n"/>
      <c r="CC1327" s="24" t="n"/>
      <c r="CD1327" s="24" t="n"/>
      <c r="CE1327" s="24" t="n"/>
      <c r="CF1327" s="24" t="n"/>
      <c r="CG1327" s="24" t="n"/>
      <c r="CH1327" s="24" t="n"/>
      <c r="CI1327" s="24" t="n"/>
      <c r="CJ1327" s="24" t="n"/>
      <c r="CK1327" s="24" t="n"/>
      <c r="CL1327" s="24" t="n"/>
      <c r="CM1327" s="24" t="n"/>
      <c r="CN1327" s="24" t="n"/>
      <c r="CO1327" s="24" t="n"/>
      <c r="CP1327" s="24" t="n"/>
      <c r="CQ1327" s="24" t="n"/>
      <c r="CR1327" s="24" t="n"/>
      <c r="CS1327" s="24" t="inlineStr">
        <is>
          <t>True</t>
        </is>
      </c>
      <c r="CT1327" s="24" t="n"/>
      <c r="CU1327" s="24" t="n"/>
      <c r="CV1327" s="24" t="n"/>
      <c r="CW1327" s="24" t="n"/>
      <c r="CX1327" s="24" t="n"/>
      <c r="CY1327" s="24" t="n"/>
      <c r="CZ1327" s="24" t="n"/>
      <c r="DA1327" s="24" t="n"/>
      <c r="DB1327" s="24" t="n"/>
      <c r="DC1327" s="24" t="n"/>
      <c r="DD1327" s="24" t="inlineStr">
        <is>
          <t>df79a4281ba23491438f0495abb8aae1a81eedc94d180ee790f4950fe3018447</t>
        </is>
      </c>
      <c r="DE1327" s="24" t="inlineStr">
        <is>
          <t>E:\model-prediction\data\odds\tennis\2026-10-12\polymarket_snapshots.jsonl</t>
        </is>
      </c>
      <c r="DF1327" s="24" t="inlineStr">
        <is>
          <t>1353711:2026-10-12T05:01:06.006847Z</t>
        </is>
      </c>
      <c r="DG1327" s="24" t="n"/>
      <c r="DH1327" s="24" t="n"/>
      <c r="DI1327" s="24" t="n"/>
      <c r="DJ1327" s="24" t="n"/>
      <c r="DK1327" s="24" t="n"/>
      <c r="DL1327" s="24" t="n"/>
      <c r="DM1327" s="24" t="n"/>
      <c r="DN1327" s="24" t="n"/>
      <c r="DO1327" s="24" t="n"/>
      <c r="DP1327" s="24" t="n"/>
      <c r="DQ1327" s="24" t="n"/>
    </row>
    <row r="1328" ht="36" customHeight="1">
      <c r="A1328" s="24" t="inlineStr">
        <is>
          <t>73d75387e0fd481f</t>
        </is>
      </c>
      <c r="B1328" s="24" t="inlineStr">
        <is>
          <t>2026-10-12T11:02:18.552284Z</t>
        </is>
      </c>
      <c r="C1328" s="24" t="inlineStr">
        <is>
          <t>2026-10-12T12:00Z</t>
        </is>
      </c>
      <c r="D1328" s="24" t="inlineStr">
        <is>
          <t>1025-2026:185456</t>
        </is>
      </c>
      <c r="E1328" s="24" t="inlineStr">
        <is>
          <t>TENNIS</t>
        </is>
      </c>
      <c r="F1328" s="24" t="inlineStr">
        <is>
          <t>Gabriela Knutson</t>
        </is>
      </c>
      <c r="G1328" s="24" t="inlineStr">
        <is>
          <t>Emiliana Arango</t>
        </is>
      </c>
      <c r="H1328" s="24" t="inlineStr">
        <is>
          <t>total</t>
        </is>
      </c>
      <c r="I1328" s="24" t="inlineStr">
        <is>
          <t>over</t>
        </is>
      </c>
      <c r="J1328" s="25" t="n">
        <v>22.5</v>
      </c>
      <c r="K1328" s="24" t="inlineStr">
        <is>
          <t>polymarket_us</t>
        </is>
      </c>
      <c r="L1328" s="26" t="n">
        <v>-104</v>
      </c>
      <c r="M1328" s="27" t="n">
        <v>1.961538</v>
      </c>
      <c r="N1328" s="28" t="n">
        <v>0.509804</v>
      </c>
      <c r="O1328" s="28" t="n">
        <v>0.5256999999999999</v>
      </c>
      <c r="P1328" s="28" t="n">
        <v>0.05</v>
      </c>
      <c r="Q1328" s="28" t="n">
        <v>0.015896</v>
      </c>
      <c r="R1328" s="26" t="n">
        <v>28</v>
      </c>
      <c r="S1328" s="29" t="n">
        <v>1</v>
      </c>
      <c r="T1328" s="24" t="inlineStr">
        <is>
          <t>tennis-learned-v3</t>
        </is>
      </c>
      <c r="U1328" s="24" t="inlineStr">
        <is>
          <t>settled</t>
        </is>
      </c>
      <c r="V1328" s="24" t="inlineStr">
        <is>
          <t>loss</t>
        </is>
      </c>
      <c r="W1328" s="26" t="n">
        <v>12</v>
      </c>
      <c r="X1328" s="26" t="n">
        <v>7</v>
      </c>
      <c r="Y1328" s="25" t="n"/>
      <c r="Z1328" s="26" t="n"/>
      <c r="AA1328" s="28" t="n"/>
      <c r="AB1328" s="28" t="n"/>
      <c r="AC1328" s="30" t="n">
        <v>-1</v>
      </c>
      <c r="AD1328" s="24" t="inlineStr">
        <is>
          <t>2026-10-12T16:11:17.559660Z</t>
        </is>
      </c>
      <c r="AE1328" s="31" t="inlineStr">
        <is>
          <t>Tennis Markov total games line 22.5: over p=0.526. Executable ask 0.5100 (tsc-wta-emiara-gabknu-2026-10-12-tg-22pt5).</t>
        </is>
      </c>
      <c r="AF1328" s="31" t="inlineStr">
        <is>
          <t>Surface-blended Elo model; singles only, WTA+ATP market coverage, not yet locked-holdout qualified -- promoted by explicit operator directive, not genuine walk-forward validation.</t>
        </is>
      </c>
      <c r="AG1328" s="24" t="inlineStr">
        <is>
          <t>review_required</t>
        </is>
      </c>
      <c r="AH1328" s="24" t="n"/>
      <c r="AI1328" s="31" t="n"/>
      <c r="AJ1328" s="31" t="n"/>
      <c r="AK1328" s="24" t="inlineStr">
        <is>
          <t>paper_call</t>
        </is>
      </c>
      <c r="AL1328" s="26" t="n">
        <v>4</v>
      </c>
      <c r="AM1328" s="24" t="inlineStr">
        <is>
          <t>RESEARCH_OBSERVATION</t>
        </is>
      </c>
      <c r="AN1328" s="24" t="inlineStr">
        <is>
          <t>CALL</t>
        </is>
      </c>
      <c r="AO1328" s="24" t="inlineStr">
        <is>
          <t>PAPER_CALL_LOW_EDGE</t>
        </is>
      </c>
      <c r="AP1328" s="24" t="inlineStr">
        <is>
          <t>Gabriela Knutson</t>
        </is>
      </c>
      <c r="AQ1328" s="24" t="inlineStr">
        <is>
          <t>Gabriela Knutson</t>
        </is>
      </c>
      <c r="AR1328" s="24" t="inlineStr">
        <is>
          <t>Gabriela Knutson</t>
        </is>
      </c>
      <c r="AS1328" s="24" t="inlineStr">
        <is>
          <t>Emiliana Arango</t>
        </is>
      </c>
      <c r="AT1328" s="24" t="inlineStr">
        <is>
          <t>Emiliana Arango</t>
        </is>
      </c>
      <c r="AU1328" s="24" t="inlineStr">
        <is>
          <t>Emiliana Arango</t>
        </is>
      </c>
      <c r="AV1328" s="24" t="n"/>
      <c r="AW1328" s="24" t="n"/>
      <c r="AX1328" s="24" t="inlineStr">
        <is>
          <t>statistical_model</t>
        </is>
      </c>
      <c r="AY1328" s="24" t="n"/>
      <c r="AZ1328" s="24" t="inlineStr">
        <is>
          <t>shadow_qualified</t>
        </is>
      </c>
      <c r="BA1328" s="24" t="inlineStr">
        <is>
          <t>7443acc419841200d57e1edf36b77f1940cdd0c48dce3d43fcd05498a109440b</t>
        </is>
      </c>
      <c r="BB1328" s="24" t="inlineStr">
        <is>
          <t>learned_v3</t>
        </is>
      </c>
      <c r="BC1328" s="24" t="inlineStr">
        <is>
          <t>tennis-learned-v3</t>
        </is>
      </c>
      <c r="BD1328" s="24" t="inlineStr">
        <is>
          <t>7443acc419841200d57e1edf36b77f1940cdd0c48dce3d43fcd05498a109440b</t>
        </is>
      </c>
      <c r="BE1328" s="24" t="inlineStr">
        <is>
          <t>tennis-learned-v3</t>
        </is>
      </c>
      <c r="BF1328" s="24" t="inlineStr">
        <is>
          <t>1</t>
        </is>
      </c>
      <c r="BG1328" s="24" t="inlineStr">
        <is>
          <t>7443acc419841200d57e1edf36b77f1940cdd0c48dce3d43fcd05498a109440b</t>
        </is>
      </c>
      <c r="BH1328" s="24" t="inlineStr">
        <is>
          <t>2026-10-12T10:27:01.809785Z</t>
        </is>
      </c>
      <c r="BI1328" s="24" t="inlineStr">
        <is>
          <t>["same_event","same_team_same_day","same_league_same_day"]</t>
        </is>
      </c>
      <c r="BJ1328" s="25" t="n">
        <v>22.5</v>
      </c>
      <c r="BK1328" s="26" t="n">
        <v>-104</v>
      </c>
      <c r="BL1328" s="27" t="n">
        <v>1.961538</v>
      </c>
      <c r="BM1328" s="28" t="n">
        <v>0.509804</v>
      </c>
      <c r="BN1328" s="28" t="n"/>
      <c r="BO1328" s="28" t="n"/>
      <c r="BP1328" s="25" t="n"/>
      <c r="BQ1328" s="27" t="n"/>
      <c r="BR1328" s="28" t="n"/>
      <c r="BS1328" s="28" t="n"/>
      <c r="BT1328" s="28" t="n"/>
      <c r="BU1328" s="25" t="n"/>
      <c r="BV1328" s="29" t="n"/>
      <c r="BW1328" s="24" t="n"/>
      <c r="BX1328" s="30" t="n"/>
      <c r="BY1328" s="27" t="n"/>
      <c r="BZ1328" s="24" t="n"/>
      <c r="CA1328" s="31" t="n"/>
      <c r="CB1328" s="24" t="n"/>
      <c r="CC1328" s="24" t="n"/>
      <c r="CD1328" s="24" t="n"/>
      <c r="CE1328" s="24" t="n"/>
      <c r="CF1328" s="24" t="n"/>
      <c r="CG1328" s="24" t="n"/>
      <c r="CH1328" s="24" t="n"/>
      <c r="CI1328" s="24" t="n"/>
      <c r="CJ1328" s="24" t="n"/>
      <c r="CK1328" s="24" t="n"/>
      <c r="CL1328" s="24" t="n"/>
      <c r="CM1328" s="24" t="n"/>
      <c r="CN1328" s="24" t="n"/>
      <c r="CO1328" s="24" t="n"/>
      <c r="CP1328" s="24" t="n"/>
      <c r="CQ1328" s="24" t="n"/>
      <c r="CR1328" s="24" t="n"/>
      <c r="CS1328" s="24" t="inlineStr">
        <is>
          <t>True</t>
        </is>
      </c>
      <c r="CT1328" s="24" t="n"/>
      <c r="CU1328" s="24" t="n"/>
      <c r="CV1328" s="24" t="n"/>
      <c r="CW1328" s="24" t="n"/>
      <c r="CX1328" s="24" t="n"/>
      <c r="CY1328" s="24" t="n"/>
      <c r="CZ1328" s="24" t="n"/>
      <c r="DA1328" s="24" t="n"/>
      <c r="DB1328" s="24" t="n"/>
      <c r="DC1328" s="24" t="n"/>
      <c r="DD1328" s="24" t="inlineStr">
        <is>
          <t>7014527056b4c3ff5f28aa2bd11592da544d8978a954b940832b3ae6044dc6db</t>
        </is>
      </c>
      <c r="DE1328" s="24" t="inlineStr">
        <is>
          <t>E:\model-prediction\data\odds\tennis\2026-10-12\polymarket_snapshots.jsonl</t>
        </is>
      </c>
      <c r="DF1328" s="24" t="inlineStr">
        <is>
          <t>1353579:2026-10-12T10:27:01.809785Z</t>
        </is>
      </c>
      <c r="DG1328" s="24" t="n"/>
      <c r="DH1328" s="24" t="n"/>
      <c r="DI1328" s="24" t="n"/>
      <c r="DJ1328" s="24" t="n"/>
      <c r="DK1328" s="24" t="n"/>
      <c r="DL1328" s="24" t="n"/>
      <c r="DM1328" s="24" t="n"/>
      <c r="DN1328" s="24" t="n"/>
      <c r="DO1328" s="24" t="n"/>
      <c r="DP1328" s="24" t="n"/>
      <c r="DQ1328" s="24" t="n"/>
    </row>
    <row r="1329" ht="36" customHeight="1">
      <c r="A1329" s="24" t="inlineStr">
        <is>
          <t>19213ba1e8164fe9</t>
        </is>
      </c>
      <c r="B1329" s="24" t="inlineStr">
        <is>
          <t>2026-10-12T11:02:18.552284Z</t>
        </is>
      </c>
      <c r="C1329" s="24" t="inlineStr">
        <is>
          <t>2026-10-12T13:30Z</t>
        </is>
      </c>
      <c r="D1329" s="24" t="inlineStr">
        <is>
          <t>1025-2026:185449</t>
        </is>
      </c>
      <c r="E1329" s="24" t="inlineStr">
        <is>
          <t>TENNIS</t>
        </is>
      </c>
      <c r="F1329" s="24" t="inlineStr">
        <is>
          <t>Harmony Tan</t>
        </is>
      </c>
      <c r="G1329" s="24" t="inlineStr">
        <is>
          <t>Polina Iatcenko</t>
        </is>
      </c>
      <c r="H1329" s="24" t="inlineStr">
        <is>
          <t>total</t>
        </is>
      </c>
      <c r="I1329" s="24" t="inlineStr">
        <is>
          <t>over</t>
        </is>
      </c>
      <c r="J1329" s="25" t="n">
        <v>22.5</v>
      </c>
      <c r="K1329" s="24" t="inlineStr">
        <is>
          <t>polymarket_us</t>
        </is>
      </c>
      <c r="L1329" s="26" t="n">
        <v>-133</v>
      </c>
      <c r="M1329" s="27" t="n">
        <v>1.75188</v>
      </c>
      <c r="N1329" s="28" t="n">
        <v>0.570815</v>
      </c>
      <c r="O1329" s="28" t="n">
        <v>0.5084</v>
      </c>
      <c r="P1329" s="28" t="n">
        <v>0.05</v>
      </c>
      <c r="Q1329" s="28" t="n">
        <v>-0.062415</v>
      </c>
      <c r="R1329" s="26" t="n">
        <v>0</v>
      </c>
      <c r="S1329" s="29" t="n">
        <v>1</v>
      </c>
      <c r="T1329" s="24" t="inlineStr">
        <is>
          <t>tennis-learned-v3</t>
        </is>
      </c>
      <c r="U1329" s="24" t="inlineStr">
        <is>
          <t>settled</t>
        </is>
      </c>
      <c r="V1329" s="24" t="inlineStr">
        <is>
          <t>win</t>
        </is>
      </c>
      <c r="W1329" s="26" t="n">
        <v>14</v>
      </c>
      <c r="X1329" s="26" t="n">
        <v>10</v>
      </c>
      <c r="Y1329" s="25" t="n"/>
      <c r="Z1329" s="26" t="n"/>
      <c r="AA1329" s="28" t="n"/>
      <c r="AB1329" s="28" t="n"/>
      <c r="AC1329" s="30" t="n">
        <v>0.7519</v>
      </c>
      <c r="AD1329" s="24" t="inlineStr">
        <is>
          <t>2026-10-12T16:11:27.064274Z</t>
        </is>
      </c>
      <c r="AE1329" s="31" t="inlineStr">
        <is>
          <t>Tennis Markov total games line 22.5: over p=0.508. Executable ask 0.5700 (tsc-wta-poliat-hartan-2026-10-12-tg-22pt5).</t>
        </is>
      </c>
      <c r="AF1329" s="31" t="inlineStr">
        <is>
          <t>Surface-blended Elo model; singles only, WTA+ATP market coverage, not yet locked-holdout qualified -- promoted by explicit operator directive, not genuine walk-forward validation.</t>
        </is>
      </c>
      <c r="AG1329" s="24" t="inlineStr">
        <is>
          <t>not_applicable</t>
        </is>
      </c>
      <c r="AH1329" s="24" t="n"/>
      <c r="AI1329" s="31" t="n"/>
      <c r="AJ1329" s="31" t="n"/>
      <c r="AK1329" s="24" t="inlineStr">
        <is>
          <t>paper_call</t>
        </is>
      </c>
      <c r="AL1329" s="26" t="n">
        <v>4</v>
      </c>
      <c r="AM1329" s="24" t="inlineStr">
        <is>
          <t>RESEARCH_OBSERVATION</t>
        </is>
      </c>
      <c r="AN1329" s="24" t="inlineStr">
        <is>
          <t>CALL</t>
        </is>
      </c>
      <c r="AO1329" s="24" t="inlineStr">
        <is>
          <t>PAPER_CALL_LOW_EDGE</t>
        </is>
      </c>
      <c r="AP1329" s="24" t="inlineStr">
        <is>
          <t>Harmony Tan</t>
        </is>
      </c>
      <c r="AQ1329" s="24" t="inlineStr">
        <is>
          <t>Harmony Tan</t>
        </is>
      </c>
      <c r="AR1329" s="24" t="inlineStr">
        <is>
          <t>Harmony Tan</t>
        </is>
      </c>
      <c r="AS1329" s="24" t="inlineStr">
        <is>
          <t>Polina Iatcenko</t>
        </is>
      </c>
      <c r="AT1329" s="24" t="inlineStr">
        <is>
          <t>Polina Iatcenko</t>
        </is>
      </c>
      <c r="AU1329" s="24" t="inlineStr">
        <is>
          <t>Polina Iatcenko</t>
        </is>
      </c>
      <c r="AV1329" s="24" t="n"/>
      <c r="AW1329" s="24" t="n"/>
      <c r="AX1329" s="24" t="inlineStr">
        <is>
          <t>statistical_model</t>
        </is>
      </c>
      <c r="AY1329" s="24" t="n"/>
      <c r="AZ1329" s="24" t="inlineStr">
        <is>
          <t>shadow_qualified</t>
        </is>
      </c>
      <c r="BA1329" s="24" t="inlineStr">
        <is>
          <t>7443acc419841200d57e1edf36b77f1940cdd0c48dce3d43fcd05498a109440b</t>
        </is>
      </c>
      <c r="BB1329" s="24" t="inlineStr">
        <is>
          <t>learned_v3</t>
        </is>
      </c>
      <c r="BC1329" s="24" t="inlineStr">
        <is>
          <t>tennis-learned-v3</t>
        </is>
      </c>
      <c r="BD1329" s="24" t="inlineStr">
        <is>
          <t>7443acc419841200d57e1edf36b77f1940cdd0c48dce3d43fcd05498a109440b</t>
        </is>
      </c>
      <c r="BE1329" s="24" t="inlineStr">
        <is>
          <t>tennis-learned-v3</t>
        </is>
      </c>
      <c r="BF1329" s="24" t="inlineStr">
        <is>
          <t>1</t>
        </is>
      </c>
      <c r="BG1329" s="24" t="inlineStr">
        <is>
          <t>7443acc419841200d57e1edf36b77f1940cdd0c48dce3d43fcd05498a109440b</t>
        </is>
      </c>
      <c r="BH1329" s="24" t="inlineStr">
        <is>
          <t>2026-10-12T10:27:11.916630Z</t>
        </is>
      </c>
      <c r="BI1329" s="24" t="inlineStr">
        <is>
          <t>["same_event","same_team_same_day","same_league_same_day"]</t>
        </is>
      </c>
      <c r="BJ1329" s="25" t="n">
        <v>22.5</v>
      </c>
      <c r="BK1329" s="26" t="n">
        <v>-133</v>
      </c>
      <c r="BL1329" s="27" t="n">
        <v>1.75188</v>
      </c>
      <c r="BM1329" s="28" t="n">
        <v>0.570815</v>
      </c>
      <c r="BN1329" s="28" t="n"/>
      <c r="BO1329" s="28" t="n"/>
      <c r="BP1329" s="25" t="n"/>
      <c r="BQ1329" s="27" t="n"/>
      <c r="BR1329" s="28" t="n"/>
      <c r="BS1329" s="28" t="n"/>
      <c r="BT1329" s="28" t="n"/>
      <c r="BU1329" s="25" t="n"/>
      <c r="BV1329" s="29" t="n"/>
      <c r="BW1329" s="24" t="n"/>
      <c r="BX1329" s="30" t="n"/>
      <c r="BY1329" s="27" t="n"/>
      <c r="BZ1329" s="24" t="n"/>
      <c r="CA1329" s="31" t="n"/>
      <c r="CB1329" s="24" t="n"/>
      <c r="CC1329" s="24" t="n"/>
      <c r="CD1329" s="24" t="n"/>
      <c r="CE1329" s="24" t="n"/>
      <c r="CF1329" s="24" t="n"/>
      <c r="CG1329" s="24" t="n"/>
      <c r="CH1329" s="24" t="n"/>
      <c r="CI1329" s="24" t="n"/>
      <c r="CJ1329" s="24" t="n"/>
      <c r="CK1329" s="24" t="n"/>
      <c r="CL1329" s="24" t="n"/>
      <c r="CM1329" s="24" t="n"/>
      <c r="CN1329" s="24" t="n"/>
      <c r="CO1329" s="24" t="n"/>
      <c r="CP1329" s="24" t="n"/>
      <c r="CQ1329" s="24" t="n"/>
      <c r="CR1329" s="24" t="n"/>
      <c r="CS1329" s="24" t="inlineStr">
        <is>
          <t>False</t>
        </is>
      </c>
      <c r="CT1329" s="24" t="n"/>
      <c r="CU1329" s="24" t="n"/>
      <c r="CV1329" s="24" t="n"/>
      <c r="CW1329" s="24" t="n"/>
      <c r="CX1329" s="24" t="n"/>
      <c r="CY1329" s="24" t="n"/>
      <c r="CZ1329" s="24" t="n"/>
      <c r="DA1329" s="24" t="n"/>
      <c r="DB1329" s="24" t="n"/>
      <c r="DC1329" s="24" t="n"/>
      <c r="DD1329" s="24" t="inlineStr">
        <is>
          <t>1f95476f36df61946be9ec7d05b1afd7c2a05195d8c005004a46cd1ec514c631</t>
        </is>
      </c>
      <c r="DE1329" s="24" t="inlineStr">
        <is>
          <t>E:\model-prediction\data\odds\tennis\2026-10-12\polymarket_snapshots.jsonl</t>
        </is>
      </c>
      <c r="DF1329" s="24" t="inlineStr">
        <is>
          <t>1353566:2026-10-12T10:27:11.916630Z</t>
        </is>
      </c>
      <c r="DG1329" s="24" t="n"/>
      <c r="DH1329" s="24" t="n"/>
      <c r="DI1329" s="24" t="n"/>
      <c r="DJ1329" s="24" t="n"/>
      <c r="DK1329" s="24" t="n"/>
      <c r="DL1329" s="24" t="n"/>
      <c r="DM1329" s="24" t="n"/>
      <c r="DN1329" s="24" t="n"/>
      <c r="DO1329" s="24" t="n"/>
      <c r="DP1329" s="24" t="n"/>
      <c r="DQ1329" s="24" t="n"/>
    </row>
    <row r="1330" ht="36" customHeight="1">
      <c r="A1330" s="24" t="inlineStr">
        <is>
          <t>3ea642d8d6344712</t>
        </is>
      </c>
      <c r="B1330" s="24" t="inlineStr">
        <is>
          <t>2026-10-12T11:02:18.552284Z</t>
        </is>
      </c>
      <c r="C1330" s="24" t="inlineStr">
        <is>
          <t>2026-10-12T13:30Z</t>
        </is>
      </c>
      <c r="D1330" s="24" t="inlineStr">
        <is>
          <t>1025-2026:185449</t>
        </is>
      </c>
      <c r="E1330" s="24" t="inlineStr">
        <is>
          <t>TENNIS</t>
        </is>
      </c>
      <c r="F1330" s="24" t="inlineStr">
        <is>
          <t>Harmony Tan</t>
        </is>
      </c>
      <c r="G1330" s="24" t="inlineStr">
        <is>
          <t>Polina Iatcenko</t>
        </is>
      </c>
      <c r="H1330" s="24" t="inlineStr">
        <is>
          <t>moneyline</t>
        </is>
      </c>
      <c r="I1330" s="24" t="inlineStr">
        <is>
          <t>home</t>
        </is>
      </c>
      <c r="J1330" s="25" t="n"/>
      <c r="K1330" s="24" t="inlineStr">
        <is>
          <t>polymarket_us</t>
        </is>
      </c>
      <c r="L1330" s="26" t="n">
        <v>-163</v>
      </c>
      <c r="M1330" s="27" t="n">
        <v>1.613497</v>
      </c>
      <c r="N1330" s="28" t="n">
        <v>0.619772</v>
      </c>
      <c r="O1330" s="28" t="n">
        <v>0.5935</v>
      </c>
      <c r="P1330" s="28" t="n">
        <v>0.05</v>
      </c>
      <c r="Q1330" s="28" t="n">
        <v>-0.026272</v>
      </c>
      <c r="R1330" s="26" t="n">
        <v>7</v>
      </c>
      <c r="S1330" s="29" t="n">
        <v>1</v>
      </c>
      <c r="T1330" s="24" t="inlineStr">
        <is>
          <t>tennis-learned-v3</t>
        </is>
      </c>
      <c r="U1330" s="24" t="inlineStr">
        <is>
          <t>settled</t>
        </is>
      </c>
      <c r="V1330" s="24" t="inlineStr">
        <is>
          <t>loss</t>
        </is>
      </c>
      <c r="W1330" s="26" t="n">
        <v>1</v>
      </c>
      <c r="X1330" s="26" t="n">
        <v>0</v>
      </c>
      <c r="Y1330" s="25" t="n"/>
      <c r="Z1330" s="26" t="n">
        <v>-163</v>
      </c>
      <c r="AA1330" s="28" t="n">
        <v>0.62</v>
      </c>
      <c r="AB1330" s="28" t="n">
        <v>0.000228</v>
      </c>
      <c r="AC1330" s="30" t="n">
        <v>-1</v>
      </c>
      <c r="AD1330" s="24" t="inlineStr">
        <is>
          <t>2026-10-12T16:11:38.725707Z</t>
        </is>
      </c>
      <c r="AE1330" s="31" t="inlineStr">
        <is>
          <t>Tennis v3 Learned Fundamental on Hard (Bo3): Harmony Tan p=0.407 vs Polina Iatcenko. Executable ask 0.6200 (aec-wta-poliat-hartan-2026-10-12).</t>
        </is>
      </c>
      <c r="AF1330" s="31" t="inlineStr">
        <is>
          <t>Surface-blended Elo model; singles only, WTA+ATP market coverage, not yet locked-holdout qualified -- promoted by explicit operator directive, not genuine walk-forward validation.</t>
        </is>
      </c>
      <c r="AG1330" s="24" t="inlineStr">
        <is>
          <t>review_required</t>
        </is>
      </c>
      <c r="AH1330" s="24" t="n"/>
      <c r="AI1330" s="31" t="n"/>
      <c r="AJ1330" s="31" t="n"/>
      <c r="AK1330" s="24" t="inlineStr">
        <is>
          <t>paper_call</t>
        </is>
      </c>
      <c r="AL1330" s="26" t="n">
        <v>4</v>
      </c>
      <c r="AM1330" s="24" t="inlineStr">
        <is>
          <t>RESEARCH_OBSERVATION</t>
        </is>
      </c>
      <c r="AN1330" s="24" t="inlineStr">
        <is>
          <t>CALL</t>
        </is>
      </c>
      <c r="AO1330" s="24" t="inlineStr">
        <is>
          <t>PAPER_CALL_LOW_EDGE</t>
        </is>
      </c>
      <c r="AP1330" s="24" t="inlineStr">
        <is>
          <t>Harmony Tan</t>
        </is>
      </c>
      <c r="AQ1330" s="24" t="inlineStr">
        <is>
          <t>Harmony Tan</t>
        </is>
      </c>
      <c r="AR1330" s="24" t="inlineStr">
        <is>
          <t>Harmony Tan</t>
        </is>
      </c>
      <c r="AS1330" s="24" t="inlineStr">
        <is>
          <t>Polina Iatcenko</t>
        </is>
      </c>
      <c r="AT1330" s="24" t="inlineStr">
        <is>
          <t>Polina Iatcenko</t>
        </is>
      </c>
      <c r="AU1330" s="24" t="inlineStr">
        <is>
          <t>Polina Iatcenko</t>
        </is>
      </c>
      <c r="AV1330" s="24" t="n"/>
      <c r="AW1330" s="24" t="n"/>
      <c r="AX1330" s="24" t="inlineStr">
        <is>
          <t>statistical_model</t>
        </is>
      </c>
      <c r="AY1330" s="24" t="n"/>
      <c r="AZ1330" s="24" t="inlineStr">
        <is>
          <t>shadow_qualified</t>
        </is>
      </c>
      <c r="BA1330" s="24" t="inlineStr">
        <is>
          <t>7443acc419841200d57e1edf36b77f1940cdd0c48dce3d43fcd05498a109440b</t>
        </is>
      </c>
      <c r="BB1330" s="24" t="inlineStr">
        <is>
          <t>learned_v3</t>
        </is>
      </c>
      <c r="BC1330" s="24" t="inlineStr">
        <is>
          <t>tennis-learned-v3</t>
        </is>
      </c>
      <c r="BD1330" s="24" t="inlineStr">
        <is>
          <t>7443acc419841200d57e1edf36b77f1940cdd0c48dce3d43fcd05498a109440b</t>
        </is>
      </c>
      <c r="BE1330" s="24" t="inlineStr">
        <is>
          <t>tennis-learned-v3</t>
        </is>
      </c>
      <c r="BF1330" s="24" t="inlineStr">
        <is>
          <t>1</t>
        </is>
      </c>
      <c r="BG1330" s="24" t="inlineStr">
        <is>
          <t>7443acc419841200d57e1edf36b77f1940cdd0c48dce3d43fcd05498a109440b</t>
        </is>
      </c>
      <c r="BH1330" s="24" t="inlineStr">
        <is>
          <t>2026-10-12T10:27:32.063726Z</t>
        </is>
      </c>
      <c r="BI1330" s="24" t="inlineStr">
        <is>
          <t>["same_event","same_team_same_day","same_league_same_day"]</t>
        </is>
      </c>
      <c r="BJ1330" s="25" t="n"/>
      <c r="BK1330" s="26" t="n">
        <v>-163</v>
      </c>
      <c r="BL1330" s="27" t="n">
        <v>1.613497</v>
      </c>
      <c r="BM1330" s="28" t="n">
        <v>0.619772</v>
      </c>
      <c r="BN1330" s="28" t="n"/>
      <c r="BO1330" s="28" t="n"/>
      <c r="BP1330" s="25" t="n"/>
      <c r="BQ1330" s="27" t="n">
        <v>1.613497</v>
      </c>
      <c r="BR1330" s="28" t="n">
        <v>0.62</v>
      </c>
      <c r="BS1330" s="28" t="n"/>
      <c r="BT1330" s="28" t="n"/>
      <c r="BU1330" s="25" t="n"/>
      <c r="BV1330" s="29" t="n"/>
      <c r="BW1330" s="24" t="n"/>
      <c r="BX1330" s="30" t="n"/>
      <c r="BY1330" s="27" t="n"/>
      <c r="BZ1330" s="24" t="n"/>
      <c r="CA1330" s="31" t="n"/>
      <c r="CB1330" s="24" t="n"/>
      <c r="CC1330" s="24" t="n"/>
      <c r="CD1330" s="24" t="n"/>
      <c r="CE1330" s="24" t="n"/>
      <c r="CF1330" s="24" t="n"/>
      <c r="CG1330" s="24" t="n"/>
      <c r="CH1330" s="24" t="n"/>
      <c r="CI1330" s="24" t="n"/>
      <c r="CJ1330" s="24" t="n"/>
      <c r="CK1330" s="24" t="n"/>
      <c r="CL1330" s="24" t="n"/>
      <c r="CM1330" s="24" t="n"/>
      <c r="CN1330" s="24" t="n"/>
      <c r="CO1330" s="24" t="n"/>
      <c r="CP1330" s="24" t="n"/>
      <c r="CQ1330" s="24" t="n"/>
      <c r="CR1330" s="24" t="n"/>
      <c r="CS1330" s="24" t="inlineStr">
        <is>
          <t>False</t>
        </is>
      </c>
      <c r="CT1330" s="24" t="n"/>
      <c r="CU1330" s="24" t="n"/>
      <c r="CV1330" s="24" t="n"/>
      <c r="CW1330" s="24" t="n"/>
      <c r="CX1330" s="24" t="n"/>
      <c r="CY1330" s="24" t="n"/>
      <c r="CZ1330" s="24" t="n"/>
      <c r="DA1330" s="24" t="n"/>
      <c r="DB1330" s="24" t="n"/>
      <c r="DC1330" s="24" t="n"/>
      <c r="DD1330" s="24" t="inlineStr">
        <is>
          <t>6b70092129c6a7f30527f884885bc8017ed8f6ab642267e145c465abe1c72944</t>
        </is>
      </c>
      <c r="DE1330" s="24" t="inlineStr">
        <is>
          <t>E:\model-prediction\data\odds\tennis\2026-10-12\polymarket_snapshots.jsonl</t>
        </is>
      </c>
      <c r="DF1330" s="24" t="inlineStr">
        <is>
          <t>1342066:2026-10-12T10:27:32.063726Z</t>
        </is>
      </c>
      <c r="DG1330" s="24" t="n"/>
      <c r="DH1330" s="24" t="n"/>
      <c r="DI1330" s="24" t="n"/>
      <c r="DJ1330" s="24" t="n"/>
      <c r="DK1330" s="24" t="n"/>
      <c r="DL1330" s="24" t="n"/>
      <c r="DM1330" s="24" t="n"/>
      <c r="DN1330" s="24" t="n"/>
      <c r="DO1330" s="24" t="n"/>
      <c r="DP1330" s="24" t="n"/>
      <c r="DQ1330" s="24" t="inlineStr">
        <is>
          <t>{"artifact_hash": "7443acc419841200d57e1edf36b77f1940cdd0c48dce3d43fcd05498a109440b", "away_team": "Harmony Tan", "event_id": "1025-2026:185449", "event_start_utc": "2026-10-12T13:30Z", "features": {"elo_p1_surface": 1478.4, "elo_p2_surface": 1554.3, "expected_games_p1": 10.66, "expected_games_p2": 13.21, "expected_total_games": 23.86, "history_matches": 16708, "min_player_matches": 37, "surface": "Hard"}, "historical_source_observation_times_verified": false, "home_team": "Polina Iatcenko", "inference_inputs": {"best_of": 3, "code_sha256": {"features/elo_ratings.py": "d6513e79d65448c06cc0f9b9eed0eaa091567835128e1f6647a310da8d78a872", "models/tennis.py": "7443acc419841200d57e1edf36b77f1940cdd0c48dce3d43fcd05498a109440b"}, "counts": [44, 37], "market_probability": null, "model_version": "tennis-learned-v3", "overall_ratings": [1518.927659305652, 1581.9870383672003], "p_serve_a": 0.5626082624767613, "p_serve_b": 0.6173917375232386, "players": ["Harmony Tan", "Polina Iatcenko"], "rest_days": [18.0, 3.0], "sport": "TENNIS", "surface": "Hard", "surface_counts": [31, 33], "surface_ratings": [1478.433761303598, 1554.3019990221649], "tour": "WTA"}, "market_type": "moneyline", "model_version": "tennis-learned-v3", "observed_at_utc": "2026-10-12T11:02:15.203395+00:00", "probabilities": {"away": 0.4065, "home": 0.5935}, "replay_scope": "Exact full-precision serving state and rounding; upstream historical observation times are not certified.", "schema": "coded-moneyline-replay-v1", "snapshot_hash": "5e9a99527bcb7608f66918c7171a897a843acdec11fa754c59711323bc1512fb", "sport": "TENNIS"}</t>
        </is>
      </c>
    </row>
    <row r="1331" ht="36" customHeight="1">
      <c r="A1331" s="24" t="inlineStr">
        <is>
          <t>70233e562c2e46e6</t>
        </is>
      </c>
      <c r="B1331" s="24" t="inlineStr">
        <is>
          <t>2026-10-12T11:02:18.552284Z</t>
        </is>
      </c>
      <c r="C1331" s="24" t="inlineStr">
        <is>
          <t>2026-10-12T13:30Z</t>
        </is>
      </c>
      <c r="D1331" s="24" t="inlineStr">
        <is>
          <t>1025-2026:185449</t>
        </is>
      </c>
      <c r="E1331" s="24" t="inlineStr">
        <is>
          <t>TENNIS</t>
        </is>
      </c>
      <c r="F1331" s="24" t="inlineStr">
        <is>
          <t>Harmony Tan</t>
        </is>
      </c>
      <c r="G1331" s="24" t="inlineStr">
        <is>
          <t>Polina Iatcenko</t>
        </is>
      </c>
      <c r="H1331" s="24" t="inlineStr">
        <is>
          <t>spread</t>
        </is>
      </c>
      <c r="I1331" s="24" t="inlineStr">
        <is>
          <t>home</t>
        </is>
      </c>
      <c r="J1331" s="25" t="n">
        <v>-1.5</v>
      </c>
      <c r="K1331" s="24" t="inlineStr">
        <is>
          <t>polymarket_us</t>
        </is>
      </c>
      <c r="L1331" s="26" t="n">
        <v>-4900</v>
      </c>
      <c r="M1331" s="27" t="n">
        <v>1.020408</v>
      </c>
      <c r="N1331" s="28" t="n">
        <v>0.98</v>
      </c>
      <c r="O1331" s="28" t="n">
        <v>0.6868</v>
      </c>
      <c r="P1331" s="28" t="n">
        <v>0.05</v>
      </c>
      <c r="Q1331" s="28" t="n">
        <v>-0.2932</v>
      </c>
      <c r="R1331" s="26" t="n">
        <v>0</v>
      </c>
      <c r="S1331" s="29" t="n">
        <v>1</v>
      </c>
      <c r="T1331" s="24" t="inlineStr">
        <is>
          <t>tennis-learned-v3</t>
        </is>
      </c>
      <c r="U1331" s="24" t="inlineStr">
        <is>
          <t>settled</t>
        </is>
      </c>
      <c r="V1331" s="24" t="inlineStr">
        <is>
          <t>loss</t>
        </is>
      </c>
      <c r="W1331" s="26" t="n">
        <v>14</v>
      </c>
      <c r="X1331" s="26" t="n">
        <v>10</v>
      </c>
      <c r="Y1331" s="25" t="n"/>
      <c r="Z1331" s="26" t="n"/>
      <c r="AA1331" s="28" t="n"/>
      <c r="AB1331" s="28" t="n"/>
      <c r="AC1331" s="30" t="n">
        <v>-1</v>
      </c>
      <c r="AD1331" s="24" t="inlineStr">
        <is>
          <t>2026-10-12T16:12:00.670057Z</t>
        </is>
      </c>
      <c r="AE1331" s="31" t="inlineStr">
        <is>
          <t>Tennis Markov game spread -1.5 games: home cover p=0.687. Executable ask 0.9800 (asc-wta-poliat-hartan-2026-10-12-gs-neg-1pt5).</t>
        </is>
      </c>
      <c r="AF1331" s="31" t="inlineStr">
        <is>
          <t>Surface-blended Elo model; singles only, WTA+ATP market coverage, not yet locked-holdout qualified -- promoted by explicit operator directive, not genuine walk-forward validation.</t>
        </is>
      </c>
      <c r="AG1331" s="24" t="inlineStr">
        <is>
          <t>review_required</t>
        </is>
      </c>
      <c r="AH1331" s="24" t="n"/>
      <c r="AI1331" s="31" t="n"/>
      <c r="AJ1331" s="31" t="n"/>
      <c r="AK1331" s="24" t="inlineStr">
        <is>
          <t>paper_call</t>
        </is>
      </c>
      <c r="AL1331" s="26" t="n">
        <v>4</v>
      </c>
      <c r="AM1331" s="24" t="inlineStr">
        <is>
          <t>RESEARCH_OBSERVATION</t>
        </is>
      </c>
      <c r="AN1331" s="24" t="inlineStr">
        <is>
          <t>CALL</t>
        </is>
      </c>
      <c r="AO1331" s="24" t="inlineStr">
        <is>
          <t>PAPER_CALL_LOW_EDGE</t>
        </is>
      </c>
      <c r="AP1331" s="24" t="inlineStr">
        <is>
          <t>Harmony Tan</t>
        </is>
      </c>
      <c r="AQ1331" s="24" t="inlineStr">
        <is>
          <t>Harmony Tan</t>
        </is>
      </c>
      <c r="AR1331" s="24" t="inlineStr">
        <is>
          <t>Harmony Tan</t>
        </is>
      </c>
      <c r="AS1331" s="24" t="inlineStr">
        <is>
          <t>Polina Iatcenko</t>
        </is>
      </c>
      <c r="AT1331" s="24" t="inlineStr">
        <is>
          <t>Polina Iatcenko</t>
        </is>
      </c>
      <c r="AU1331" s="24" t="inlineStr">
        <is>
          <t>Polina Iatcenko</t>
        </is>
      </c>
      <c r="AV1331" s="24" t="n"/>
      <c r="AW1331" s="24" t="n"/>
      <c r="AX1331" s="24" t="inlineStr">
        <is>
          <t>statistical_model</t>
        </is>
      </c>
      <c r="AY1331" s="24" t="n"/>
      <c r="AZ1331" s="24" t="inlineStr">
        <is>
          <t>shadow_qualified</t>
        </is>
      </c>
      <c r="BA1331" s="24" t="inlineStr">
        <is>
          <t>7443acc419841200d57e1edf36b77f1940cdd0c48dce3d43fcd05498a109440b</t>
        </is>
      </c>
      <c r="BB1331" s="24" t="inlineStr">
        <is>
          <t>learned_v3</t>
        </is>
      </c>
      <c r="BC1331" s="24" t="inlineStr">
        <is>
          <t>tennis-learned-v3</t>
        </is>
      </c>
      <c r="BD1331" s="24" t="inlineStr">
        <is>
          <t>7443acc419841200d57e1edf36b77f1940cdd0c48dce3d43fcd05498a109440b</t>
        </is>
      </c>
      <c r="BE1331" s="24" t="inlineStr">
        <is>
          <t>tennis-learned-v3</t>
        </is>
      </c>
      <c r="BF1331" s="24" t="inlineStr">
        <is>
          <t>1</t>
        </is>
      </c>
      <c r="BG1331" s="24" t="inlineStr">
        <is>
          <t>7443acc419841200d57e1edf36b77f1940cdd0c48dce3d43fcd05498a109440b</t>
        </is>
      </c>
      <c r="BH1331" s="24" t="inlineStr">
        <is>
          <t>2026-10-12T10:27:42.142190Z</t>
        </is>
      </c>
      <c r="BI1331" s="24" t="inlineStr">
        <is>
          <t>["same_event","same_team_same_day","same_league_same_day"]</t>
        </is>
      </c>
      <c r="BJ1331" s="25" t="n">
        <v>-1.5</v>
      </c>
      <c r="BK1331" s="26" t="n">
        <v>-4900</v>
      </c>
      <c r="BL1331" s="27" t="n">
        <v>1.020408</v>
      </c>
      <c r="BM1331" s="28" t="n">
        <v>0.98</v>
      </c>
      <c r="BN1331" s="28" t="n"/>
      <c r="BO1331" s="28" t="n"/>
      <c r="BP1331" s="25" t="n"/>
      <c r="BQ1331" s="27" t="n"/>
      <c r="BR1331" s="28" t="n"/>
      <c r="BS1331" s="28" t="n"/>
      <c r="BT1331" s="28" t="n"/>
      <c r="BU1331" s="25" t="n"/>
      <c r="BV1331" s="29" t="n"/>
      <c r="BW1331" s="24" t="n"/>
      <c r="BX1331" s="30" t="n"/>
      <c r="BY1331" s="27" t="n"/>
      <c r="BZ1331" s="24" t="n"/>
      <c r="CA1331" s="31" t="n"/>
      <c r="CB1331" s="24" t="n"/>
      <c r="CC1331" s="24" t="n"/>
      <c r="CD1331" s="24" t="n"/>
      <c r="CE1331" s="24" t="n"/>
      <c r="CF1331" s="24" t="n"/>
      <c r="CG1331" s="24" t="n"/>
      <c r="CH1331" s="24" t="n"/>
      <c r="CI1331" s="24" t="n"/>
      <c r="CJ1331" s="24" t="n"/>
      <c r="CK1331" s="24" t="n"/>
      <c r="CL1331" s="24" t="n"/>
      <c r="CM1331" s="24" t="n"/>
      <c r="CN1331" s="24" t="n"/>
      <c r="CO1331" s="24" t="n"/>
      <c r="CP1331" s="24" t="n"/>
      <c r="CQ1331" s="24" t="n"/>
      <c r="CR1331" s="24" t="n"/>
      <c r="CS1331" s="24" t="inlineStr">
        <is>
          <t>False</t>
        </is>
      </c>
      <c r="CT1331" s="24" t="n"/>
      <c r="CU1331" s="24" t="n"/>
      <c r="CV1331" s="24" t="n"/>
      <c r="CW1331" s="24" t="n"/>
      <c r="CX1331" s="24" t="n"/>
      <c r="CY1331" s="24" t="n"/>
      <c r="CZ1331" s="24" t="n"/>
      <c r="DA1331" s="24" t="n"/>
      <c r="DB1331" s="24" t="n"/>
      <c r="DC1331" s="24" t="n"/>
      <c r="DD1331" s="24" t="inlineStr">
        <is>
          <t>44c22158dd24e7e63387234e17f0a618a6dfaf6b7e90b18547372ab818ba7f6d</t>
        </is>
      </c>
      <c r="DE1331" s="24" t="inlineStr">
        <is>
          <t>E:\model-prediction\data\odds\tennis\2026-10-12\polymarket_snapshots.jsonl</t>
        </is>
      </c>
      <c r="DF1331" s="24" t="inlineStr">
        <is>
          <t>1353595:2026-10-12T10:27:42.142190Z</t>
        </is>
      </c>
      <c r="DG1331" s="24" t="n"/>
      <c r="DH1331" s="24" t="n"/>
      <c r="DI1331" s="24" t="n"/>
      <c r="DJ1331" s="24" t="n"/>
      <c r="DK1331" s="24" t="n"/>
      <c r="DL1331" s="24" t="n"/>
      <c r="DM1331" s="24" t="n"/>
      <c r="DN1331" s="24" t="n"/>
      <c r="DO1331" s="24" t="n"/>
      <c r="DP1331" s="24" t="n"/>
      <c r="DQ1331" s="24" t="n"/>
    </row>
    <row r="1332" ht="36" customHeight="1">
      <c r="A1332" s="24" t="inlineStr">
        <is>
          <t>1e4bdb260dce4240</t>
        </is>
      </c>
      <c r="B1332" s="24" t="inlineStr">
        <is>
          <t>2026-10-12T11:02:18.552284Z</t>
        </is>
      </c>
      <c r="C1332" s="24" t="inlineStr">
        <is>
          <t>2026-10-12T15:00Z</t>
        </is>
      </c>
      <c r="D1332" s="24" t="inlineStr">
        <is>
          <t>1025-2026:185439</t>
        </is>
      </c>
      <c r="E1332" s="24" t="inlineStr">
        <is>
          <t>TENNIS</t>
        </is>
      </c>
      <c r="F1332" s="24" t="inlineStr">
        <is>
          <t>Lucie Havlickova</t>
        </is>
      </c>
      <c r="G1332" s="24" t="inlineStr">
        <is>
          <t>Linda Klimovicova</t>
        </is>
      </c>
      <c r="H1332" s="24" t="inlineStr">
        <is>
          <t>spread</t>
        </is>
      </c>
      <c r="I1332" s="24" t="inlineStr">
        <is>
          <t>home</t>
        </is>
      </c>
      <c r="J1332" s="25" t="n">
        <v>1.5</v>
      </c>
      <c r="K1332" s="24" t="inlineStr">
        <is>
          <t>polymarket_us</t>
        </is>
      </c>
      <c r="L1332" s="26" t="n">
        <v>-122</v>
      </c>
      <c r="M1332" s="27" t="n">
        <v>1.819672</v>
      </c>
      <c r="N1332" s="28" t="n">
        <v>0.54955</v>
      </c>
      <c r="O1332" s="28" t="n">
        <v>0.6752</v>
      </c>
      <c r="P1332" s="28" t="n">
        <v>0.05</v>
      </c>
      <c r="Q1332" s="28" t="n">
        <v>0.12565</v>
      </c>
      <c r="R1332" s="26" t="n">
        <v>83</v>
      </c>
      <c r="S1332" s="29" t="n">
        <v>1.5</v>
      </c>
      <c r="T1332" s="24" t="inlineStr">
        <is>
          <t>tennis-learned-v3</t>
        </is>
      </c>
      <c r="U1332" s="24" t="inlineStr">
        <is>
          <t>settled</t>
        </is>
      </c>
      <c r="V1332" s="24" t="inlineStr">
        <is>
          <t>loss</t>
        </is>
      </c>
      <c r="W1332" s="26" t="n">
        <v>13</v>
      </c>
      <c r="X1332" s="26" t="n">
        <v>9</v>
      </c>
      <c r="Y1332" s="25" t="n"/>
      <c r="Z1332" s="26" t="n"/>
      <c r="AA1332" s="28" t="n"/>
      <c r="AB1332" s="28" t="n"/>
      <c r="AC1332" s="30" t="n">
        <v>-1.5</v>
      </c>
      <c r="AD1332" s="24" t="inlineStr">
        <is>
          <t>2026-10-12T22:01:52.546244Z</t>
        </is>
      </c>
      <c r="AE1332" s="31" t="inlineStr">
        <is>
          <t>Tennis Markov game spread +1.5 games: home cover p=0.675. Executable ask 0.5500 (asc-wta-linkli-luchav-2026-10-12-gs-pos-1pt5).</t>
        </is>
      </c>
      <c r="AF1332" s="31" t="inlineStr">
        <is>
          <t>Surface-blended Elo model; singles only, WTA+ATP market coverage, not yet locked-holdout qualified -- promoted by explicit operator directive, not genuine walk-forward validation.</t>
        </is>
      </c>
      <c r="AG1332" s="24" t="inlineStr">
        <is>
          <t>review_required</t>
        </is>
      </c>
      <c r="AH1332" s="24" t="n"/>
      <c r="AI1332" s="31" t="n"/>
      <c r="AJ1332" s="31" t="n"/>
      <c r="AK1332" s="24" t="inlineStr">
        <is>
          <t>model_qualified</t>
        </is>
      </c>
      <c r="AL1332" s="26" t="n">
        <v>4</v>
      </c>
      <c r="AM1332" s="24" t="inlineStr">
        <is>
          <t>QUALIFIED_SHADOW_CALL</t>
        </is>
      </c>
      <c r="AN1332" s="24" t="inlineStr">
        <is>
          <t>CALL</t>
        </is>
      </c>
      <c r="AO1332" s="24" t="inlineStr">
        <is>
          <t>QUALIFIED</t>
        </is>
      </c>
      <c r="AP1332" s="24" t="inlineStr">
        <is>
          <t>Lucie Havlickova</t>
        </is>
      </c>
      <c r="AQ1332" s="24" t="inlineStr">
        <is>
          <t>Lucie Havlickova</t>
        </is>
      </c>
      <c r="AR1332" s="24" t="inlineStr">
        <is>
          <t>Lucie Havlickova</t>
        </is>
      </c>
      <c r="AS1332" s="24" t="inlineStr">
        <is>
          <t>Linda Klimovicova</t>
        </is>
      </c>
      <c r="AT1332" s="24" t="inlineStr">
        <is>
          <t>Linda Klimovicova</t>
        </is>
      </c>
      <c r="AU1332" s="24" t="inlineStr">
        <is>
          <t>Linda Klimovicova</t>
        </is>
      </c>
      <c r="AV1332" s="24" t="n"/>
      <c r="AW1332" s="24" t="n"/>
      <c r="AX1332" s="24" t="inlineStr">
        <is>
          <t>statistical_model</t>
        </is>
      </c>
      <c r="AY1332" s="24" t="n"/>
      <c r="AZ1332" s="24" t="inlineStr">
        <is>
          <t>shadow_qualified</t>
        </is>
      </c>
      <c r="BA1332" s="24" t="inlineStr">
        <is>
          <t>7443acc419841200d57e1edf36b77f1940cdd0c48dce3d43fcd05498a109440b</t>
        </is>
      </c>
      <c r="BB1332" s="24" t="inlineStr">
        <is>
          <t>learned_v3</t>
        </is>
      </c>
      <c r="BC1332" s="24" t="inlineStr">
        <is>
          <t>tennis-learned-v3</t>
        </is>
      </c>
      <c r="BD1332" s="24" t="inlineStr">
        <is>
          <t>7443acc419841200d57e1edf36b77f1940cdd0c48dce3d43fcd05498a109440b</t>
        </is>
      </c>
      <c r="BE1332" s="24" t="inlineStr">
        <is>
          <t>tennis-learned-v3</t>
        </is>
      </c>
      <c r="BF1332" s="24" t="inlineStr">
        <is>
          <t>1</t>
        </is>
      </c>
      <c r="BG1332" s="24" t="inlineStr">
        <is>
          <t>7443acc419841200d57e1edf36b77f1940cdd0c48dce3d43fcd05498a109440b</t>
        </is>
      </c>
      <c r="BH1332" s="24" t="inlineStr">
        <is>
          <t>2026-10-12T10:27:52.234444Z</t>
        </is>
      </c>
      <c r="BI1332" s="24" t="inlineStr">
        <is>
          <t>["same_event","same_team_same_day","same_league_same_day"]</t>
        </is>
      </c>
      <c r="BJ1332" s="25" t="n">
        <v>1.5</v>
      </c>
      <c r="BK1332" s="26" t="n">
        <v>-122</v>
      </c>
      <c r="BL1332" s="27" t="n">
        <v>1.819672</v>
      </c>
      <c r="BM1332" s="28" t="n">
        <v>0.54955</v>
      </c>
      <c r="BN1332" s="28" t="n"/>
      <c r="BO1332" s="28" t="n"/>
      <c r="BP1332" s="25" t="n"/>
      <c r="BQ1332" s="27" t="n"/>
      <c r="BR1332" s="28" t="n"/>
      <c r="BS1332" s="28" t="n"/>
      <c r="BT1332" s="28" t="n"/>
      <c r="BU1332" s="25" t="n"/>
      <c r="BV1332" s="29" t="n"/>
      <c r="BW1332" s="24" t="n"/>
      <c r="BX1332" s="30" t="n"/>
      <c r="BY1332" s="27" t="n"/>
      <c r="BZ1332" s="24" t="n"/>
      <c r="CA1332" s="31" t="n"/>
      <c r="CB1332" s="24" t="n"/>
      <c r="CC1332" s="24" t="n"/>
      <c r="CD1332" s="24" t="n"/>
      <c r="CE1332" s="24" t="n"/>
      <c r="CF1332" s="24" t="n"/>
      <c r="CG1332" s="24" t="n"/>
      <c r="CH1332" s="24" t="n"/>
      <c r="CI1332" s="24" t="n"/>
      <c r="CJ1332" s="24" t="n"/>
      <c r="CK1332" s="24" t="n"/>
      <c r="CL1332" s="24" t="n"/>
      <c r="CM1332" s="24" t="n"/>
      <c r="CN1332" s="24" t="n"/>
      <c r="CO1332" s="24" t="n"/>
      <c r="CP1332" s="24" t="n"/>
      <c r="CQ1332" s="24" t="n"/>
      <c r="CR1332" s="24" t="n"/>
      <c r="CS1332" s="24" t="inlineStr">
        <is>
          <t>True</t>
        </is>
      </c>
      <c r="CT1332" s="24" t="n"/>
      <c r="CU1332" s="24" t="n"/>
      <c r="CV1332" s="24" t="n"/>
      <c r="CW1332" s="24" t="n"/>
      <c r="CX1332" s="24" t="n"/>
      <c r="CY1332" s="24" t="n"/>
      <c r="CZ1332" s="24" t="n"/>
      <c r="DA1332" s="24" t="n"/>
      <c r="DB1332" s="24" t="n"/>
      <c r="DC1332" s="24" t="n"/>
      <c r="DD1332" s="24" t="inlineStr">
        <is>
          <t>d9ee70ddafeb56ecdf45463eb960728c3d8602a66962f88bf21f6e66f26c1772</t>
        </is>
      </c>
      <c r="DE1332" s="24" t="inlineStr">
        <is>
          <t>E:\model-prediction\data\odds\tennis\2026-10-12\polymarket_snapshots.jsonl</t>
        </is>
      </c>
      <c r="DF1332" s="24" t="inlineStr">
        <is>
          <t>1353603:2026-10-12T10:27:52.234444Z</t>
        </is>
      </c>
      <c r="DG1332" s="24" t="n"/>
      <c r="DH1332" s="24" t="n"/>
      <c r="DI1332" s="24" t="n"/>
      <c r="DJ1332" s="24" t="n"/>
      <c r="DK1332" s="24" t="n"/>
      <c r="DL1332" s="24" t="n"/>
      <c r="DM1332" s="24" t="n"/>
      <c r="DN1332" s="24" t="n"/>
      <c r="DO1332" s="24" t="n"/>
      <c r="DP1332" s="24" t="n"/>
      <c r="DQ1332" s="24" t="n"/>
    </row>
    <row r="1333" ht="36" customHeight="1">
      <c r="A1333" s="24" t="inlineStr">
        <is>
          <t>85baaa34b1ad4c2a</t>
        </is>
      </c>
      <c r="B1333" s="24" t="inlineStr">
        <is>
          <t>2026-10-12T11:02:18.552284Z</t>
        </is>
      </c>
      <c r="C1333" s="24" t="inlineStr">
        <is>
          <t>2026-10-12T15:00Z</t>
        </is>
      </c>
      <c r="D1333" s="24" t="inlineStr">
        <is>
          <t>1025-2026:185439</t>
        </is>
      </c>
      <c r="E1333" s="24" t="inlineStr">
        <is>
          <t>TENNIS</t>
        </is>
      </c>
      <c r="F1333" s="24" t="inlineStr">
        <is>
          <t>Lucie Havlickova</t>
        </is>
      </c>
      <c r="G1333" s="24" t="inlineStr">
        <is>
          <t>Linda Klimovicova</t>
        </is>
      </c>
      <c r="H1333" s="24" t="inlineStr">
        <is>
          <t>total</t>
        </is>
      </c>
      <c r="I1333" s="24" t="inlineStr">
        <is>
          <t>over</t>
        </is>
      </c>
      <c r="J1333" s="25" t="n">
        <v>22.5</v>
      </c>
      <c r="K1333" s="24" t="inlineStr">
        <is>
          <t>polymarket_us</t>
        </is>
      </c>
      <c r="L1333" s="26" t="n">
        <v>122</v>
      </c>
      <c r="M1333" s="27" t="n">
        <v>2.22</v>
      </c>
      <c r="N1333" s="28" t="n">
        <v>0.45045</v>
      </c>
      <c r="O1333" s="28" t="n">
        <v>0.5643</v>
      </c>
      <c r="P1333" s="28" t="n">
        <v>0.05</v>
      </c>
      <c r="Q1333" s="28" t="n">
        <v>0.11385</v>
      </c>
      <c r="R1333" s="26" t="n">
        <v>77</v>
      </c>
      <c r="S1333" s="29" t="n">
        <v>1.5</v>
      </c>
      <c r="T1333" s="24" t="inlineStr">
        <is>
          <t>tennis-learned-v3</t>
        </is>
      </c>
      <c r="U1333" s="24" t="inlineStr">
        <is>
          <t>settled</t>
        </is>
      </c>
      <c r="V1333" s="24" t="inlineStr">
        <is>
          <t>loss</t>
        </is>
      </c>
      <c r="W1333" s="26" t="n">
        <v>13</v>
      </c>
      <c r="X1333" s="26" t="n">
        <v>9</v>
      </c>
      <c r="Y1333" s="25" t="n"/>
      <c r="Z1333" s="26" t="n"/>
      <c r="AA1333" s="28" t="n"/>
      <c r="AB1333" s="28" t="n"/>
      <c r="AC1333" s="30" t="n">
        <v>-1.5</v>
      </c>
      <c r="AD1333" s="24" t="inlineStr">
        <is>
          <t>2026-10-12T22:01:57.705241Z</t>
        </is>
      </c>
      <c r="AE1333" s="31" t="inlineStr">
        <is>
          <t>Tennis Markov total games line 22.5: over p=0.564. Executable ask 0.4500 (tsc-wta-linkli-luchav-2026-10-12-tg-22pt5).</t>
        </is>
      </c>
      <c r="AF1333" s="31" t="inlineStr">
        <is>
          <t>Surface-blended Elo model; singles only, WTA+ATP market coverage, not yet locked-holdout qualified -- promoted by explicit operator directive, not genuine walk-forward validation.</t>
        </is>
      </c>
      <c r="AG1333" s="24" t="inlineStr">
        <is>
          <t>review_required</t>
        </is>
      </c>
      <c r="AH1333" s="24" t="n"/>
      <c r="AI1333" s="31" t="n"/>
      <c r="AJ1333" s="31" t="n"/>
      <c r="AK1333" s="24" t="inlineStr">
        <is>
          <t>model_qualified</t>
        </is>
      </c>
      <c r="AL1333" s="26" t="n">
        <v>4</v>
      </c>
      <c r="AM1333" s="24" t="inlineStr">
        <is>
          <t>QUALIFIED_SHADOW_CALL</t>
        </is>
      </c>
      <c r="AN1333" s="24" t="inlineStr">
        <is>
          <t>CALL</t>
        </is>
      </c>
      <c r="AO1333" s="24" t="inlineStr">
        <is>
          <t>QUALIFIED</t>
        </is>
      </c>
      <c r="AP1333" s="24" t="inlineStr">
        <is>
          <t>Lucie Havlickova</t>
        </is>
      </c>
      <c r="AQ1333" s="24" t="inlineStr">
        <is>
          <t>Lucie Havlickova</t>
        </is>
      </c>
      <c r="AR1333" s="24" t="inlineStr">
        <is>
          <t>Lucie Havlickova</t>
        </is>
      </c>
      <c r="AS1333" s="24" t="inlineStr">
        <is>
          <t>Linda Klimovicova</t>
        </is>
      </c>
      <c r="AT1333" s="24" t="inlineStr">
        <is>
          <t>Linda Klimovicova</t>
        </is>
      </c>
      <c r="AU1333" s="24" t="inlineStr">
        <is>
          <t>Linda Klimovicova</t>
        </is>
      </c>
      <c r="AV1333" s="24" t="n"/>
      <c r="AW1333" s="24" t="n"/>
      <c r="AX1333" s="24" t="inlineStr">
        <is>
          <t>statistical_model</t>
        </is>
      </c>
      <c r="AY1333" s="24" t="n"/>
      <c r="AZ1333" s="24" t="inlineStr">
        <is>
          <t>shadow_qualified</t>
        </is>
      </c>
      <c r="BA1333" s="24" t="inlineStr">
        <is>
          <t>7443acc419841200d57e1edf36b77f1940cdd0c48dce3d43fcd05498a109440b</t>
        </is>
      </c>
      <c r="BB1333" s="24" t="inlineStr">
        <is>
          <t>learned_v3</t>
        </is>
      </c>
      <c r="BC1333" s="24" t="inlineStr">
        <is>
          <t>tennis-learned-v3</t>
        </is>
      </c>
      <c r="BD1333" s="24" t="inlineStr">
        <is>
          <t>7443acc419841200d57e1edf36b77f1940cdd0c48dce3d43fcd05498a109440b</t>
        </is>
      </c>
      <c r="BE1333" s="24" t="inlineStr">
        <is>
          <t>tennis-learned-v3</t>
        </is>
      </c>
      <c r="BF1333" s="24" t="inlineStr">
        <is>
          <t>1</t>
        </is>
      </c>
      <c r="BG1333" s="24" t="inlineStr">
        <is>
          <t>7443acc419841200d57e1edf36b77f1940cdd0c48dce3d43fcd05498a109440b</t>
        </is>
      </c>
      <c r="BH1333" s="24" t="inlineStr">
        <is>
          <t>2026-10-12T10:28:12.355754Z</t>
        </is>
      </c>
      <c r="BI1333" s="24" t="inlineStr">
        <is>
          <t>["same_event","same_team_same_day","same_league_same_day"]</t>
        </is>
      </c>
      <c r="BJ1333" s="25" t="n">
        <v>22.5</v>
      </c>
      <c r="BK1333" s="26" t="n">
        <v>122</v>
      </c>
      <c r="BL1333" s="27" t="n">
        <v>2.22</v>
      </c>
      <c r="BM1333" s="28" t="n">
        <v>0.45045</v>
      </c>
      <c r="BN1333" s="28" t="n"/>
      <c r="BO1333" s="28" t="n"/>
      <c r="BP1333" s="25" t="n"/>
      <c r="BQ1333" s="27" t="n"/>
      <c r="BR1333" s="28" t="n"/>
      <c r="BS1333" s="28" t="n"/>
      <c r="BT1333" s="28" t="n"/>
      <c r="BU1333" s="25" t="n"/>
      <c r="BV1333" s="29" t="n"/>
      <c r="BW1333" s="24" t="n"/>
      <c r="BX1333" s="30" t="n"/>
      <c r="BY1333" s="27" t="n"/>
      <c r="BZ1333" s="24" t="n"/>
      <c r="CA1333" s="31" t="n"/>
      <c r="CB1333" s="24" t="n"/>
      <c r="CC1333" s="24" t="n"/>
      <c r="CD1333" s="24" t="n"/>
      <c r="CE1333" s="24" t="n"/>
      <c r="CF1333" s="24" t="n"/>
      <c r="CG1333" s="24" t="n"/>
      <c r="CH1333" s="24" t="n"/>
      <c r="CI1333" s="24" t="n"/>
      <c r="CJ1333" s="24" t="n"/>
      <c r="CK1333" s="24" t="n"/>
      <c r="CL1333" s="24" t="n"/>
      <c r="CM1333" s="24" t="n"/>
      <c r="CN1333" s="24" t="n"/>
      <c r="CO1333" s="24" t="n"/>
      <c r="CP1333" s="24" t="n"/>
      <c r="CQ1333" s="24" t="n"/>
      <c r="CR1333" s="24" t="n"/>
      <c r="CS1333" s="24" t="inlineStr">
        <is>
          <t>True</t>
        </is>
      </c>
      <c r="CT1333" s="24" t="n"/>
      <c r="CU1333" s="24" t="n"/>
      <c r="CV1333" s="24" t="n"/>
      <c r="CW1333" s="24" t="n"/>
      <c r="CX1333" s="24" t="n"/>
      <c r="CY1333" s="24" t="n"/>
      <c r="CZ1333" s="24" t="n"/>
      <c r="DA1333" s="24" t="n"/>
      <c r="DB1333" s="24" t="n"/>
      <c r="DC1333" s="24" t="n"/>
      <c r="DD1333" s="24" t="inlineStr">
        <is>
          <t>c91e18b4a2e521da1715251f7cb4c80e9bcb085a154f5ca553791667a6df5c0a</t>
        </is>
      </c>
      <c r="DE1333" s="24" t="inlineStr">
        <is>
          <t>E:\model-prediction\data\odds\tennis\2026-10-12\polymarket_snapshots.jsonl</t>
        </is>
      </c>
      <c r="DF1333" s="24" t="inlineStr">
        <is>
          <t>1353578:2026-10-12T10:28:12.355754Z</t>
        </is>
      </c>
      <c r="DG1333" s="24" t="n"/>
      <c r="DH1333" s="24" t="n"/>
      <c r="DI1333" s="24" t="n"/>
      <c r="DJ1333" s="24" t="n"/>
      <c r="DK1333" s="24" t="n"/>
      <c r="DL1333" s="24" t="n"/>
      <c r="DM1333" s="24" t="n"/>
      <c r="DN1333" s="24" t="n"/>
      <c r="DO1333" s="24" t="n"/>
      <c r="DP1333" s="24" t="n"/>
      <c r="DQ1333" s="24" t="n"/>
    </row>
    <row r="1334" ht="36" customHeight="1">
      <c r="A1334" s="24" t="inlineStr">
        <is>
          <t>c829fe634533483d</t>
        </is>
      </c>
      <c r="B1334" s="24" t="inlineStr">
        <is>
          <t>2026-10-12T11:02:18.552284Z</t>
        </is>
      </c>
      <c r="C1334" s="24" t="inlineStr">
        <is>
          <t>2026-10-12T15:00Z</t>
        </is>
      </c>
      <c r="D1334" s="24" t="inlineStr">
        <is>
          <t>1025-2026:185439</t>
        </is>
      </c>
      <c r="E1334" s="24" t="inlineStr">
        <is>
          <t>TENNIS</t>
        </is>
      </c>
      <c r="F1334" s="24" t="inlineStr">
        <is>
          <t>Lucie Havlickova</t>
        </is>
      </c>
      <c r="G1334" s="24" t="inlineStr">
        <is>
          <t>Linda Klimovicova</t>
        </is>
      </c>
      <c r="H1334" s="24" t="inlineStr">
        <is>
          <t>moneyline</t>
        </is>
      </c>
      <c r="I1334" s="24" t="inlineStr">
        <is>
          <t>home</t>
        </is>
      </c>
      <c r="J1334" s="25" t="n"/>
      <c r="K1334" s="24" t="inlineStr">
        <is>
          <t>polymarket_us</t>
        </is>
      </c>
      <c r="L1334" s="26" t="n">
        <v>108</v>
      </c>
      <c r="M1334" s="27" t="n">
        <v>2.08</v>
      </c>
      <c r="N1334" s="28" t="n">
        <v>0.480769</v>
      </c>
      <c r="O1334" s="28" t="n">
        <v>0.5427</v>
      </c>
      <c r="P1334" s="28" t="n">
        <v>0.05</v>
      </c>
      <c r="Q1334" s="28" t="n">
        <v>0.061931</v>
      </c>
      <c r="R1334" s="26" t="n">
        <v>51</v>
      </c>
      <c r="S1334" s="29" t="n">
        <v>1</v>
      </c>
      <c r="T1334" s="24" t="inlineStr">
        <is>
          <t>tennis-learned-v3</t>
        </is>
      </c>
      <c r="U1334" s="24" t="inlineStr">
        <is>
          <t>settled</t>
        </is>
      </c>
      <c r="V1334" s="24" t="inlineStr">
        <is>
          <t>loss</t>
        </is>
      </c>
      <c r="W1334" s="26" t="n">
        <v>1</v>
      </c>
      <c r="X1334" s="26" t="n">
        <v>0</v>
      </c>
      <c r="Y1334" s="25" t="n"/>
      <c r="Z1334" s="26" t="n">
        <v>108</v>
      </c>
      <c r="AA1334" s="28" t="n">
        <v>0.48</v>
      </c>
      <c r="AB1334" s="28" t="n">
        <v>-0.000769</v>
      </c>
      <c r="AC1334" s="30" t="n">
        <v>-1</v>
      </c>
      <c r="AD1334" s="24" t="inlineStr">
        <is>
          <t>2026-10-12T22:02:03.491516Z</t>
        </is>
      </c>
      <c r="AE1334" s="31" t="inlineStr">
        <is>
          <t>Tennis v3 Learned Fundamental on Hard (Bo3): Lucie Havlickova p=0.457 vs Linda Klimovicova. Executable ask 0.4800 (aec-wta-linkli-luchav-2026-10-12).</t>
        </is>
      </c>
      <c r="AF1334" s="31" t="inlineStr">
        <is>
          <t>Surface-blended Elo model; singles only, WTA+ATP market coverage, not yet locked-holdout qualified -- promoted by explicit operator directive, not genuine walk-forward validation.</t>
        </is>
      </c>
      <c r="AG1334" s="24" t="inlineStr">
        <is>
          <t>review_required</t>
        </is>
      </c>
      <c r="AH1334" s="24" t="n"/>
      <c r="AI1334" s="31" t="n"/>
      <c r="AJ1334" s="31" t="n"/>
      <c r="AK1334" s="24" t="inlineStr">
        <is>
          <t>model_qualified</t>
        </is>
      </c>
      <c r="AL1334" s="26" t="n">
        <v>4</v>
      </c>
      <c r="AM1334" s="24" t="inlineStr">
        <is>
          <t>QUALIFIED_SHADOW_CALL</t>
        </is>
      </c>
      <c r="AN1334" s="24" t="inlineStr">
        <is>
          <t>CALL</t>
        </is>
      </c>
      <c r="AO1334" s="24" t="inlineStr">
        <is>
          <t>QUALIFIED</t>
        </is>
      </c>
      <c r="AP1334" s="24" t="inlineStr">
        <is>
          <t>Lucie Havlickova</t>
        </is>
      </c>
      <c r="AQ1334" s="24" t="inlineStr">
        <is>
          <t>Lucie Havlickova</t>
        </is>
      </c>
      <c r="AR1334" s="24" t="inlineStr">
        <is>
          <t>Lucie Havlickova</t>
        </is>
      </c>
      <c r="AS1334" s="24" t="inlineStr">
        <is>
          <t>Linda Klimovicova</t>
        </is>
      </c>
      <c r="AT1334" s="24" t="inlineStr">
        <is>
          <t>Linda Klimovicova</t>
        </is>
      </c>
      <c r="AU1334" s="24" t="inlineStr">
        <is>
          <t>Linda Klimovicova</t>
        </is>
      </c>
      <c r="AV1334" s="24" t="n"/>
      <c r="AW1334" s="24" t="n"/>
      <c r="AX1334" s="24" t="inlineStr">
        <is>
          <t>statistical_model</t>
        </is>
      </c>
      <c r="AY1334" s="24" t="n"/>
      <c r="AZ1334" s="24" t="inlineStr">
        <is>
          <t>shadow_qualified</t>
        </is>
      </c>
      <c r="BA1334" s="24" t="inlineStr">
        <is>
          <t>7443acc419841200d57e1edf36b77f1940cdd0c48dce3d43fcd05498a109440b</t>
        </is>
      </c>
      <c r="BB1334" s="24" t="inlineStr">
        <is>
          <t>learned_v3</t>
        </is>
      </c>
      <c r="BC1334" s="24" t="inlineStr">
        <is>
          <t>tennis-learned-v3</t>
        </is>
      </c>
      <c r="BD1334" s="24" t="inlineStr">
        <is>
          <t>7443acc419841200d57e1edf36b77f1940cdd0c48dce3d43fcd05498a109440b</t>
        </is>
      </c>
      <c r="BE1334" s="24" t="inlineStr">
        <is>
          <t>tennis-learned-v3</t>
        </is>
      </c>
      <c r="BF1334" s="24" t="inlineStr">
        <is>
          <t>1</t>
        </is>
      </c>
      <c r="BG1334" s="24" t="inlineStr">
        <is>
          <t>7443acc419841200d57e1edf36b77f1940cdd0c48dce3d43fcd05498a109440b</t>
        </is>
      </c>
      <c r="BH1334" s="24" t="inlineStr">
        <is>
          <t>2026-10-12T10:27:52.229806Z</t>
        </is>
      </c>
      <c r="BI1334" s="24" t="inlineStr">
        <is>
          <t>["same_event","same_team_same_day","same_league_same_day"]</t>
        </is>
      </c>
      <c r="BJ1334" s="25" t="n"/>
      <c r="BK1334" s="26" t="n">
        <v>108</v>
      </c>
      <c r="BL1334" s="27" t="n">
        <v>2.08</v>
      </c>
      <c r="BM1334" s="28" t="n">
        <v>0.480769</v>
      </c>
      <c r="BN1334" s="28" t="n"/>
      <c r="BO1334" s="28" t="n"/>
      <c r="BP1334" s="25" t="n"/>
      <c r="BQ1334" s="27" t="n">
        <v>2.08</v>
      </c>
      <c r="BR1334" s="28" t="n">
        <v>0.48</v>
      </c>
      <c r="BS1334" s="28" t="n"/>
      <c r="BT1334" s="28" t="n"/>
      <c r="BU1334" s="25" t="n"/>
      <c r="BV1334" s="29" t="n"/>
      <c r="BW1334" s="24" t="n"/>
      <c r="BX1334" s="30" t="n"/>
      <c r="BY1334" s="27" t="n"/>
      <c r="BZ1334" s="24" t="n"/>
      <c r="CA1334" s="31" t="n"/>
      <c r="CB1334" s="24" t="n"/>
      <c r="CC1334" s="24" t="n"/>
      <c r="CD1334" s="24" t="n"/>
      <c r="CE1334" s="24" t="n"/>
      <c r="CF1334" s="24" t="n"/>
      <c r="CG1334" s="24" t="n"/>
      <c r="CH1334" s="24" t="n"/>
      <c r="CI1334" s="24" t="n"/>
      <c r="CJ1334" s="24" t="n"/>
      <c r="CK1334" s="24" t="n"/>
      <c r="CL1334" s="24" t="n"/>
      <c r="CM1334" s="24" t="n"/>
      <c r="CN1334" s="24" t="n"/>
      <c r="CO1334" s="24" t="n"/>
      <c r="CP1334" s="24" t="n"/>
      <c r="CQ1334" s="24" t="n"/>
      <c r="CR1334" s="24" t="n"/>
      <c r="CS1334" s="24" t="inlineStr">
        <is>
          <t>True</t>
        </is>
      </c>
      <c r="CT1334" s="24" t="n"/>
      <c r="CU1334" s="24" t="n"/>
      <c r="CV1334" s="24" t="n"/>
      <c r="CW1334" s="24" t="n"/>
      <c r="CX1334" s="24" t="n"/>
      <c r="CY1334" s="24" t="n"/>
      <c r="CZ1334" s="24" t="n"/>
      <c r="DA1334" s="24" t="n"/>
      <c r="DB1334" s="24" t="n"/>
      <c r="DC1334" s="24" t="n"/>
      <c r="DD1334" s="24" t="inlineStr">
        <is>
          <t>c09729ecd192f509c16ea65e087d27d8fd99566ee275cf59ea8357dd7327fc45</t>
        </is>
      </c>
      <c r="DE1334" s="24" t="inlineStr">
        <is>
          <t>E:\model-prediction\data\odds\tennis\2026-10-12\polymarket_snapshots.jsonl</t>
        </is>
      </c>
      <c r="DF1334" s="24" t="inlineStr">
        <is>
          <t>1342063:2026-10-12T10:27:52.229806Z</t>
        </is>
      </c>
      <c r="DG1334" s="24" t="n"/>
      <c r="DH1334" s="24" t="n"/>
      <c r="DI1334" s="24" t="n"/>
      <c r="DJ1334" s="24" t="n"/>
      <c r="DK1334" s="24" t="n"/>
      <c r="DL1334" s="24" t="n"/>
      <c r="DM1334" s="24" t="n"/>
      <c r="DN1334" s="24" t="n"/>
      <c r="DO1334" s="24" t="n"/>
      <c r="DP1334" s="24" t="n"/>
      <c r="DQ1334" s="24" t="inlineStr">
        <is>
          <t>{"artifact_hash": "7443acc419841200d57e1edf36b77f1940cdd0c48dce3d43fcd05498a109440b", "away_team": "Lucie Havlickova", "event_id": "1025-2026:185439", "event_start_utc": "2026-10-12T15:00Z", "features": {"elo_p1_surface": 1526.7, "elo_p2_surface": 1524.0, "expected_games_p1": 11.8, "expected_games_p2": 12.82, "expected_total_games": 24.61, "history_matches": 16708, "min_player_matches": 22, "surface": "Hard"}, "historical_source_observation_times_verified": false, "home_team": "Linda Klimovicova", "inference_inputs": {"best_of": 3, "code_sha256": {"features/elo_ratings.py": "d6513e79d65448c06cc0f9b9eed0eaa091567835128e1f6647a310da8d78a872", "models/tennis.py": "7443acc419841200d57e1edf36b77f1940cdd0c48dce3d43fcd05498a109440b"}, "counts": [22, 43], "market_probability": null, "model_version": "tennis-learned-v3", "overall_ratings": [1531.537392818448, 1506.7654565951393], "p_serve_a": 0.5776139673672007, "p_serve_b": 0.6023860326327992, "players": ["Lucie Havlickova", "Linda Klimovicova"], "rest_days": [26.0, 4.0], "sport": "TENNIS", "surface": "Hard", "surface_counts": [20, 36], "surface_ratings": [1526.6913012185023, 1523.9956179722822], "tour": "WTA"}, "market_type": "moneyline", "model_version": "tennis-learned-v3", "observed_at_utc": "2026-10-12T11:02:15.203395+00:00", "probabilities": {"away": 0.4573, "home": 0.5427}, "replay_scope": "Exact full-precision serving state and rounding; upstream historical observation times are not certified.", "schema": "coded-moneyline-replay-v1", "snapshot_hash": "52ec0f791348429af74fe8288e69b6e8bc012d3ff37f8473fdbf8b7ed8ccdfb0", "sport": "TENNIS"}</t>
        </is>
      </c>
    </row>
    <row r="1335" ht="36" customHeight="1">
      <c r="A1335" s="24" t="inlineStr">
        <is>
          <t>53fa8ae775f24788</t>
        </is>
      </c>
      <c r="B1335" s="24" t="inlineStr">
        <is>
          <t>2026-10-12T11:02:18.552284Z</t>
        </is>
      </c>
      <c r="C1335" s="24" t="inlineStr">
        <is>
          <t>2026-10-12T16:00Z</t>
        </is>
      </c>
      <c r="D1335" s="24" t="inlineStr">
        <is>
          <t>1025-2026:185437</t>
        </is>
      </c>
      <c r="E1335" s="24" t="inlineStr">
        <is>
          <t>TENNIS</t>
        </is>
      </c>
      <c r="F1335" s="24" t="inlineStr">
        <is>
          <t>Julia Avdeeva</t>
        </is>
      </c>
      <c r="G1335" s="24" t="inlineStr">
        <is>
          <t>Lisa Pigato</t>
        </is>
      </c>
      <c r="H1335" s="24" t="inlineStr">
        <is>
          <t>moneyline</t>
        </is>
      </c>
      <c r="I1335" s="24" t="inlineStr">
        <is>
          <t>home</t>
        </is>
      </c>
      <c r="J1335" s="25" t="n"/>
      <c r="K1335" s="24" t="inlineStr">
        <is>
          <t>polymarket_us</t>
        </is>
      </c>
      <c r="L1335" s="26" t="n">
        <v>-233</v>
      </c>
      <c r="M1335" s="27" t="n">
        <v>1.429185</v>
      </c>
      <c r="N1335" s="28" t="n">
        <v>0.6997</v>
      </c>
      <c r="O1335" s="28" t="n">
        <v>0.6674</v>
      </c>
      <c r="P1335" s="28" t="n">
        <v>0.05</v>
      </c>
      <c r="Q1335" s="28" t="n">
        <v>-0.0323</v>
      </c>
      <c r="R1335" s="26" t="n">
        <v>4</v>
      </c>
      <c r="S1335" s="29" t="n">
        <v>1</v>
      </c>
      <c r="T1335" s="24" t="inlineStr">
        <is>
          <t>tennis-learned-v3</t>
        </is>
      </c>
      <c r="U1335" s="24" t="inlineStr">
        <is>
          <t>settled</t>
        </is>
      </c>
      <c r="V1335" s="24" t="inlineStr">
        <is>
          <t>win</t>
        </is>
      </c>
      <c r="W1335" s="26" t="n">
        <v>0</v>
      </c>
      <c r="X1335" s="26" t="n">
        <v>1</v>
      </c>
      <c r="Y1335" s="25" t="n"/>
      <c r="Z1335" s="26" t="n">
        <v>-233</v>
      </c>
      <c r="AA1335" s="28" t="n">
        <v>0.7</v>
      </c>
      <c r="AB1335" s="28" t="n">
        <v>0.0003</v>
      </c>
      <c r="AC1335" s="30" t="n">
        <v>0.4292</v>
      </c>
      <c r="AD1335" s="24" t="inlineStr">
        <is>
          <t>2026-10-12T22:02:09.234809Z</t>
        </is>
      </c>
      <c r="AE1335" s="31" t="inlineStr">
        <is>
          <t>Tennis v3 Learned Fundamental on Hard (Bo3): Julia Avdeeva p=0.333 vs Lisa Pigato. Executable ask 0.7000 (aec-wta-lispig-julavd-2026-10-12).</t>
        </is>
      </c>
      <c r="AF1335" s="31" t="inlineStr">
        <is>
          <t>Surface-blended Elo model; singles only, WTA+ATP market coverage, not yet locked-holdout qualified -- promoted by explicit operator directive, not genuine walk-forward validation.</t>
        </is>
      </c>
      <c r="AG1335" s="24" t="inlineStr">
        <is>
          <t>not_applicable</t>
        </is>
      </c>
      <c r="AH1335" s="24" t="n"/>
      <c r="AI1335" s="31" t="n"/>
      <c r="AJ1335" s="31" t="n"/>
      <c r="AK1335" s="24" t="inlineStr">
        <is>
          <t>paper_call</t>
        </is>
      </c>
      <c r="AL1335" s="26" t="n">
        <v>4</v>
      </c>
      <c r="AM1335" s="24" t="inlineStr">
        <is>
          <t>RESEARCH_OBSERVATION</t>
        </is>
      </c>
      <c r="AN1335" s="24" t="inlineStr">
        <is>
          <t>CALL</t>
        </is>
      </c>
      <c r="AO1335" s="24" t="inlineStr">
        <is>
          <t>PAPER_CALL_LOW_EDGE</t>
        </is>
      </c>
      <c r="AP1335" s="24" t="inlineStr">
        <is>
          <t>Julia Avdeeva</t>
        </is>
      </c>
      <c r="AQ1335" s="24" t="inlineStr">
        <is>
          <t>Julia Avdeeva</t>
        </is>
      </c>
      <c r="AR1335" s="24" t="inlineStr">
        <is>
          <t>Julia Avdeeva</t>
        </is>
      </c>
      <c r="AS1335" s="24" t="inlineStr">
        <is>
          <t>Lisa Pigato</t>
        </is>
      </c>
      <c r="AT1335" s="24" t="inlineStr">
        <is>
          <t>Lisa Pigato</t>
        </is>
      </c>
      <c r="AU1335" s="24" t="inlineStr">
        <is>
          <t>Lisa Pigato</t>
        </is>
      </c>
      <c r="AV1335" s="24" t="n"/>
      <c r="AW1335" s="24" t="n"/>
      <c r="AX1335" s="24" t="inlineStr">
        <is>
          <t>statistical_model</t>
        </is>
      </c>
      <c r="AY1335" s="24" t="n"/>
      <c r="AZ1335" s="24" t="inlineStr">
        <is>
          <t>shadow_qualified</t>
        </is>
      </c>
      <c r="BA1335" s="24" t="inlineStr">
        <is>
          <t>7443acc419841200d57e1edf36b77f1940cdd0c48dce3d43fcd05498a109440b</t>
        </is>
      </c>
      <c r="BB1335" s="24" t="inlineStr">
        <is>
          <t>learned_v3</t>
        </is>
      </c>
      <c r="BC1335" s="24" t="inlineStr">
        <is>
          <t>tennis-learned-v3</t>
        </is>
      </c>
      <c r="BD1335" s="24" t="inlineStr">
        <is>
          <t>7443acc419841200d57e1edf36b77f1940cdd0c48dce3d43fcd05498a109440b</t>
        </is>
      </c>
      <c r="BE1335" s="24" t="inlineStr">
        <is>
          <t>tennis-learned-v3</t>
        </is>
      </c>
      <c r="BF1335" s="24" t="inlineStr">
        <is>
          <t>1</t>
        </is>
      </c>
      <c r="BG1335" s="24" t="inlineStr">
        <is>
          <t>7443acc419841200d57e1edf36b77f1940cdd0c48dce3d43fcd05498a109440b</t>
        </is>
      </c>
      <c r="BH1335" s="24" t="inlineStr">
        <is>
          <t>2026-10-12T10:28:12.383245Z</t>
        </is>
      </c>
      <c r="BI1335" s="24" t="inlineStr">
        <is>
          <t>["same_event","same_team_same_day","same_league_same_day"]</t>
        </is>
      </c>
      <c r="BJ1335" s="25" t="n"/>
      <c r="BK1335" s="26" t="n">
        <v>-233</v>
      </c>
      <c r="BL1335" s="27" t="n">
        <v>1.429185</v>
      </c>
      <c r="BM1335" s="28" t="n">
        <v>0.6997</v>
      </c>
      <c r="BN1335" s="28" t="n"/>
      <c r="BO1335" s="28" t="n"/>
      <c r="BP1335" s="25" t="n"/>
      <c r="BQ1335" s="27" t="n">
        <v>1.429185</v>
      </c>
      <c r="BR1335" s="28" t="n">
        <v>0.7</v>
      </c>
      <c r="BS1335" s="28" t="n"/>
      <c r="BT1335" s="28" t="n"/>
      <c r="BU1335" s="25" t="n"/>
      <c r="BV1335" s="29" t="n"/>
      <c r="BW1335" s="24" t="n"/>
      <c r="BX1335" s="30" t="n"/>
      <c r="BY1335" s="27" t="n"/>
      <c r="BZ1335" s="24" t="n"/>
      <c r="CA1335" s="31" t="n"/>
      <c r="CB1335" s="24" t="n"/>
      <c r="CC1335" s="24" t="n"/>
      <c r="CD1335" s="24" t="n"/>
      <c r="CE1335" s="24" t="n"/>
      <c r="CF1335" s="24" t="n"/>
      <c r="CG1335" s="24" t="n"/>
      <c r="CH1335" s="24" t="n"/>
      <c r="CI1335" s="24" t="n"/>
      <c r="CJ1335" s="24" t="n"/>
      <c r="CK1335" s="24" t="n"/>
      <c r="CL1335" s="24" t="n"/>
      <c r="CM1335" s="24" t="n"/>
      <c r="CN1335" s="24" t="n"/>
      <c r="CO1335" s="24" t="n"/>
      <c r="CP1335" s="24" t="n"/>
      <c r="CQ1335" s="24" t="n"/>
      <c r="CR1335" s="24" t="n"/>
      <c r="CS1335" s="24" t="inlineStr">
        <is>
          <t>False</t>
        </is>
      </c>
      <c r="CT1335" s="24" t="n"/>
      <c r="CU1335" s="24" t="n"/>
      <c r="CV1335" s="24" t="n"/>
      <c r="CW1335" s="24" t="n"/>
      <c r="CX1335" s="24" t="n"/>
      <c r="CY1335" s="24" t="n"/>
      <c r="CZ1335" s="24" t="n"/>
      <c r="DA1335" s="24" t="n"/>
      <c r="DB1335" s="24" t="n"/>
      <c r="DC1335" s="24" t="n"/>
      <c r="DD1335" s="24" t="inlineStr">
        <is>
          <t>8303768ca5f1bdb362cdcedaa3459efa78adeb33705cc1f40a1a6c502fe228b2</t>
        </is>
      </c>
      <c r="DE1335" s="24" t="inlineStr">
        <is>
          <t>E:\model-prediction\data\odds\tennis\2026-10-12\polymarket_snapshots.jsonl</t>
        </is>
      </c>
      <c r="DF1335" s="24" t="inlineStr">
        <is>
          <t>1342064:2026-10-12T10:28:12.383245Z</t>
        </is>
      </c>
      <c r="DG1335" s="24" t="n"/>
      <c r="DH1335" s="24" t="n"/>
      <c r="DI1335" s="24" t="n"/>
      <c r="DJ1335" s="24" t="n"/>
      <c r="DK1335" s="24" t="n"/>
      <c r="DL1335" s="24" t="n"/>
      <c r="DM1335" s="24" t="n"/>
      <c r="DN1335" s="24" t="n"/>
      <c r="DO1335" s="24" t="n"/>
      <c r="DP1335" s="24" t="n"/>
      <c r="DQ1335" s="24" t="inlineStr">
        <is>
          <t>{"artifact_hash": "7443acc419841200d57e1edf36b77f1940cdd0c48dce3d43fcd05498a109440b", "away_team": "Julia Avdeeva", "event_id": "1025-2026:185437", "event_start_utc": "2026-10-12T16:00Z", "features": {"elo_p1_surface": 1448.5, "elo_p2_surface": 1481.2, "expected_games_p1": 8.73, "expected_games_p2": 13.23, "expected_total_games": 21.96, "history_matches": 16708, "min_player_matches": 22, "surface": "Hard"}, "historical_source_observation_times_verified": false, "home_team": "Lisa Pigato", "inference_inputs": {"best_of": 3, "code_sha256": {"features/elo_ratings.py": "d6513e79d65448c06cc0f9b9eed0eaa091567835128e1f6647a310da8d78a872", "models/tennis.py": "7443acc419841200d57e1edf36b77f1940cdd0c48dce3d43fcd05498a109440b"}, "counts": [22, 32], "market_probability": null, "model_version": "tennis-learned-v3", "overall_ratings": [1417.2314208351386, 1523.2457210381872], "p_serve_a": 0.5396036132560309, "p_serve_b": 0.640396386743969, "players": ["Julia Avdeeva", "Lisa Pigato"], "rest_days": [46.0, 23.0], "sport": "TENNIS", "surface": "Hard", "surface_counts": [14, 19], "surface_ratings": [1448.5402987143118, 1481.161573317946], "tour": "WTA"}, "market_type": "moneyline", "model_version": "tennis-learned-v3", "observed_at_utc": "2026-10-12T11:02:15.203395+00:00", "probabilities": {"away": 0.3326, "home": 0.6674}, "replay_scope": "Exact full-precision serving state and rounding; upstream historical observation times are not certified.", "schema": "coded-moneyline-replay-v1", "snapshot_hash": "acac7b00636e4e6f059820fa8ce743cdb7b1e340875b31558f352fb815f4e0c3", "sport": "TENNIS"}</t>
        </is>
      </c>
    </row>
    <row r="1336" ht="36" customHeight="1">
      <c r="A1336" s="24" t="inlineStr">
        <is>
          <t>44d0bee6913d4981</t>
        </is>
      </c>
      <c r="B1336" s="24" t="inlineStr">
        <is>
          <t>2026-10-12T11:02:18.552284Z</t>
        </is>
      </c>
      <c r="C1336" s="24" t="inlineStr">
        <is>
          <t>2026-10-12T16:00Z</t>
        </is>
      </c>
      <c r="D1336" s="24" t="inlineStr">
        <is>
          <t>1025-2026:185437</t>
        </is>
      </c>
      <c r="E1336" s="24" t="inlineStr">
        <is>
          <t>TENNIS</t>
        </is>
      </c>
      <c r="F1336" s="24" t="inlineStr">
        <is>
          <t>Julia Avdeeva</t>
        </is>
      </c>
      <c r="G1336" s="24" t="inlineStr">
        <is>
          <t>Lisa Pigato</t>
        </is>
      </c>
      <c r="H1336" s="24" t="inlineStr">
        <is>
          <t>total</t>
        </is>
      </c>
      <c r="I1336" s="24" t="inlineStr">
        <is>
          <t>under</t>
        </is>
      </c>
      <c r="J1336" s="25" t="n">
        <v>22.5</v>
      </c>
      <c r="K1336" s="24" t="inlineStr">
        <is>
          <t>polymarket_us</t>
        </is>
      </c>
      <c r="L1336" s="26" t="n">
        <v>-1150</v>
      </c>
      <c r="M1336" s="27" t="n">
        <v>1.086957</v>
      </c>
      <c r="N1336" s="28" t="n">
        <v>0.92</v>
      </c>
      <c r="O1336" s="28" t="n">
        <v>0.632</v>
      </c>
      <c r="P1336" s="28" t="n">
        <v>0.05</v>
      </c>
      <c r="Q1336" s="28" t="n">
        <v>-0.288</v>
      </c>
      <c r="R1336" s="26" t="n">
        <v>0</v>
      </c>
      <c r="S1336" s="29" t="n">
        <v>1</v>
      </c>
      <c r="T1336" s="24" t="inlineStr">
        <is>
          <t>tennis-learned-v3</t>
        </is>
      </c>
      <c r="U1336" s="24" t="inlineStr">
        <is>
          <t>settled</t>
        </is>
      </c>
      <c r="V1336" s="24" t="inlineStr">
        <is>
          <t>win</t>
        </is>
      </c>
      <c r="W1336" s="26" t="n">
        <v>8</v>
      </c>
      <c r="X1336" s="26" t="n">
        <v>12</v>
      </c>
      <c r="Y1336" s="25" t="n"/>
      <c r="Z1336" s="26" t="n"/>
      <c r="AA1336" s="28" t="n"/>
      <c r="AB1336" s="28" t="n"/>
      <c r="AC1336" s="30" t="n">
        <v>0.08699999999999999</v>
      </c>
      <c r="AD1336" s="24" t="inlineStr">
        <is>
          <t>2026-10-12T22:02:15.922424Z</t>
        </is>
      </c>
      <c r="AE1336" s="31" t="inlineStr">
        <is>
          <t>Tennis Markov total games line 22.5: under p=0.632. Executable ask 0.9200 (tsc-wta-lispig-julavd-2026-10-12-tg-22pt5).</t>
        </is>
      </c>
      <c r="AF1336" s="31" t="inlineStr">
        <is>
          <t>Surface-blended Elo model; singles only, WTA+ATP market coverage, not yet locked-holdout qualified -- promoted by explicit operator directive, not genuine walk-forward validation.</t>
        </is>
      </c>
      <c r="AG1336" s="24" t="inlineStr">
        <is>
          <t>not_applicable</t>
        </is>
      </c>
      <c r="AH1336" s="24" t="n"/>
      <c r="AI1336" s="31" t="n"/>
      <c r="AJ1336" s="31" t="n"/>
      <c r="AK1336" s="24" t="inlineStr">
        <is>
          <t>paper_call</t>
        </is>
      </c>
      <c r="AL1336" s="26" t="n">
        <v>4</v>
      </c>
      <c r="AM1336" s="24" t="inlineStr">
        <is>
          <t>RESEARCH_OBSERVATION</t>
        </is>
      </c>
      <c r="AN1336" s="24" t="inlineStr">
        <is>
          <t>CALL</t>
        </is>
      </c>
      <c r="AO1336" s="24" t="inlineStr">
        <is>
          <t>PAPER_CALL_LOW_EDGE</t>
        </is>
      </c>
      <c r="AP1336" s="24" t="inlineStr">
        <is>
          <t>Julia Avdeeva</t>
        </is>
      </c>
      <c r="AQ1336" s="24" t="inlineStr">
        <is>
          <t>Julia Avdeeva</t>
        </is>
      </c>
      <c r="AR1336" s="24" t="inlineStr">
        <is>
          <t>Julia Avdeeva</t>
        </is>
      </c>
      <c r="AS1336" s="24" t="inlineStr">
        <is>
          <t>Lisa Pigato</t>
        </is>
      </c>
      <c r="AT1336" s="24" t="inlineStr">
        <is>
          <t>Lisa Pigato</t>
        </is>
      </c>
      <c r="AU1336" s="24" t="inlineStr">
        <is>
          <t>Lisa Pigato</t>
        </is>
      </c>
      <c r="AV1336" s="24" t="n"/>
      <c r="AW1336" s="24" t="n"/>
      <c r="AX1336" s="24" t="inlineStr">
        <is>
          <t>statistical_model</t>
        </is>
      </c>
      <c r="AY1336" s="24" t="n"/>
      <c r="AZ1336" s="24" t="inlineStr">
        <is>
          <t>shadow_qualified</t>
        </is>
      </c>
      <c r="BA1336" s="24" t="inlineStr">
        <is>
          <t>7443acc419841200d57e1edf36b77f1940cdd0c48dce3d43fcd05498a109440b</t>
        </is>
      </c>
      <c r="BB1336" s="24" t="inlineStr">
        <is>
          <t>learned_v3</t>
        </is>
      </c>
      <c r="BC1336" s="24" t="inlineStr">
        <is>
          <t>tennis-learned-v3</t>
        </is>
      </c>
      <c r="BD1336" s="24" t="inlineStr">
        <is>
          <t>7443acc419841200d57e1edf36b77f1940cdd0c48dce3d43fcd05498a109440b</t>
        </is>
      </c>
      <c r="BE1336" s="24" t="inlineStr">
        <is>
          <t>tennis-learned-v3</t>
        </is>
      </c>
      <c r="BF1336" s="24" t="inlineStr">
        <is>
          <t>1</t>
        </is>
      </c>
      <c r="BG1336" s="24" t="inlineStr">
        <is>
          <t>7443acc419841200d57e1edf36b77f1940cdd0c48dce3d43fcd05498a109440b</t>
        </is>
      </c>
      <c r="BH1336" s="24" t="inlineStr">
        <is>
          <t>2026-10-12T10:28:32.513310Z</t>
        </is>
      </c>
      <c r="BI1336" s="24" t="inlineStr">
        <is>
          <t>["same_event","same_team_same_day","same_league_same_day"]</t>
        </is>
      </c>
      <c r="BJ1336" s="25" t="n">
        <v>22.5</v>
      </c>
      <c r="BK1336" s="26" t="n">
        <v>-1150</v>
      </c>
      <c r="BL1336" s="27" t="n">
        <v>1.086957</v>
      </c>
      <c r="BM1336" s="28" t="n">
        <v>0.92</v>
      </c>
      <c r="BN1336" s="28" t="n"/>
      <c r="BO1336" s="28" t="n"/>
      <c r="BP1336" s="25" t="n"/>
      <c r="BQ1336" s="27" t="n"/>
      <c r="BR1336" s="28" t="n"/>
      <c r="BS1336" s="28" t="n"/>
      <c r="BT1336" s="28" t="n"/>
      <c r="BU1336" s="25" t="n"/>
      <c r="BV1336" s="29" t="n"/>
      <c r="BW1336" s="24" t="n"/>
      <c r="BX1336" s="30" t="n"/>
      <c r="BY1336" s="27" t="n"/>
      <c r="BZ1336" s="24" t="n"/>
      <c r="CA1336" s="31" t="n"/>
      <c r="CB1336" s="24" t="n"/>
      <c r="CC1336" s="24" t="n"/>
      <c r="CD1336" s="24" t="n"/>
      <c r="CE1336" s="24" t="n"/>
      <c r="CF1336" s="24" t="n"/>
      <c r="CG1336" s="24" t="n"/>
      <c r="CH1336" s="24" t="n"/>
      <c r="CI1336" s="24" t="n"/>
      <c r="CJ1336" s="24" t="n"/>
      <c r="CK1336" s="24" t="n"/>
      <c r="CL1336" s="24" t="n"/>
      <c r="CM1336" s="24" t="n"/>
      <c r="CN1336" s="24" t="n"/>
      <c r="CO1336" s="24" t="n"/>
      <c r="CP1336" s="24" t="n"/>
      <c r="CQ1336" s="24" t="n"/>
      <c r="CR1336" s="24" t="n"/>
      <c r="CS1336" s="24" t="inlineStr">
        <is>
          <t>False</t>
        </is>
      </c>
      <c r="CT1336" s="24" t="n"/>
      <c r="CU1336" s="24" t="n"/>
      <c r="CV1336" s="24" t="n"/>
      <c r="CW1336" s="24" t="n"/>
      <c r="CX1336" s="24" t="n"/>
      <c r="CY1336" s="24" t="n"/>
      <c r="CZ1336" s="24" t="n"/>
      <c r="DA1336" s="24" t="n"/>
      <c r="DB1336" s="24" t="n"/>
      <c r="DC1336" s="24" t="n"/>
      <c r="DD1336" s="24" t="inlineStr">
        <is>
          <t>1b1785997cc2ce5e278b942e2ced2e0c1aefc85a4bf1e7cee5a028a9ff7038fe</t>
        </is>
      </c>
      <c r="DE1336" s="24" t="inlineStr">
        <is>
          <t>E:\model-prediction\data\odds\tennis\2026-10-12\polymarket_snapshots.jsonl</t>
        </is>
      </c>
      <c r="DF1336" s="24" t="inlineStr">
        <is>
          <t>1353541:2026-10-12T10:28:32.513310Z</t>
        </is>
      </c>
      <c r="DG1336" s="24" t="n"/>
      <c r="DH1336" s="24" t="n"/>
      <c r="DI1336" s="24" t="n"/>
      <c r="DJ1336" s="24" t="n"/>
      <c r="DK1336" s="24" t="n"/>
      <c r="DL1336" s="24" t="n"/>
      <c r="DM1336" s="24" t="n"/>
      <c r="DN1336" s="24" t="n"/>
      <c r="DO1336" s="24" t="n"/>
      <c r="DP1336" s="24" t="n"/>
      <c r="DQ1336" s="24" t="n"/>
    </row>
    <row r="1337" ht="36" customHeight="1">
      <c r="A1337" s="24" t="inlineStr">
        <is>
          <t>19676073ea5149e8</t>
        </is>
      </c>
      <c r="B1337" s="24" t="inlineStr">
        <is>
          <t>2026-10-12T11:02:18.552284Z</t>
        </is>
      </c>
      <c r="C1337" s="24" t="inlineStr">
        <is>
          <t>2026-10-12T16:00Z</t>
        </is>
      </c>
      <c r="D1337" s="24" t="inlineStr">
        <is>
          <t>1025-2026:185437</t>
        </is>
      </c>
      <c r="E1337" s="24" t="inlineStr">
        <is>
          <t>TENNIS</t>
        </is>
      </c>
      <c r="F1337" s="24" t="inlineStr">
        <is>
          <t>Julia Avdeeva</t>
        </is>
      </c>
      <c r="G1337" s="24" t="inlineStr">
        <is>
          <t>Lisa Pigato</t>
        </is>
      </c>
      <c r="H1337" s="24" t="inlineStr">
        <is>
          <t>spread</t>
        </is>
      </c>
      <c r="I1337" s="24" t="inlineStr">
        <is>
          <t>home</t>
        </is>
      </c>
      <c r="J1337" s="25" t="n">
        <v>-4.5</v>
      </c>
      <c r="K1337" s="24" t="inlineStr">
        <is>
          <t>polymarket_us</t>
        </is>
      </c>
      <c r="L1337" s="26" t="n">
        <v>104</v>
      </c>
      <c r="M1337" s="27" t="n">
        <v>2.04</v>
      </c>
      <c r="N1337" s="28" t="n">
        <v>0.490196</v>
      </c>
      <c r="O1337" s="28" t="n">
        <v>0.5739</v>
      </c>
      <c r="P1337" s="28" t="n">
        <v>0.05</v>
      </c>
      <c r="Q1337" s="28" t="n">
        <v>0.083704</v>
      </c>
      <c r="R1337" s="26" t="n">
        <v>62</v>
      </c>
      <c r="S1337" s="29" t="n">
        <v>1.25</v>
      </c>
      <c r="T1337" s="24" t="inlineStr">
        <is>
          <t>tennis-learned-v3</t>
        </is>
      </c>
      <c r="U1337" s="24" t="inlineStr">
        <is>
          <t>settled</t>
        </is>
      </c>
      <c r="V1337" s="24" t="inlineStr">
        <is>
          <t>loss</t>
        </is>
      </c>
      <c r="W1337" s="26" t="n">
        <v>8</v>
      </c>
      <c r="X1337" s="26" t="n">
        <v>12</v>
      </c>
      <c r="Y1337" s="25" t="n"/>
      <c r="Z1337" s="26" t="n"/>
      <c r="AA1337" s="28" t="n"/>
      <c r="AB1337" s="28" t="n"/>
      <c r="AC1337" s="30" t="n">
        <v>-1.25</v>
      </c>
      <c r="AD1337" s="24" t="inlineStr">
        <is>
          <t>2026-10-12T22:02:21.310927Z</t>
        </is>
      </c>
      <c r="AE1337" s="31" t="inlineStr">
        <is>
          <t>Tennis Markov game spread -4.5 games: home cover p=0.574. Executable ask 0.4900 (asc-wta-lispig-julavd-2026-10-12-gs-neg-4pt5).</t>
        </is>
      </c>
      <c r="AF1337" s="31" t="inlineStr">
        <is>
          <t>Surface-blended Elo model; singles only, WTA+ATP market coverage, not yet locked-holdout qualified -- promoted by explicit operator directive, not genuine walk-forward validation.</t>
        </is>
      </c>
      <c r="AG1337" s="24" t="inlineStr">
        <is>
          <t>review_required</t>
        </is>
      </c>
      <c r="AH1337" s="24" t="n"/>
      <c r="AI1337" s="31" t="n"/>
      <c r="AJ1337" s="31" t="n"/>
      <c r="AK1337" s="24" t="inlineStr">
        <is>
          <t>model_qualified</t>
        </is>
      </c>
      <c r="AL1337" s="26" t="n">
        <v>4</v>
      </c>
      <c r="AM1337" s="24" t="inlineStr">
        <is>
          <t>QUALIFIED_SHADOW_CALL</t>
        </is>
      </c>
      <c r="AN1337" s="24" t="inlineStr">
        <is>
          <t>CALL</t>
        </is>
      </c>
      <c r="AO1337" s="24" t="inlineStr">
        <is>
          <t>QUALIFIED</t>
        </is>
      </c>
      <c r="AP1337" s="24" t="inlineStr">
        <is>
          <t>Julia Avdeeva</t>
        </is>
      </c>
      <c r="AQ1337" s="24" t="inlineStr">
        <is>
          <t>Julia Avdeeva</t>
        </is>
      </c>
      <c r="AR1337" s="24" t="inlineStr">
        <is>
          <t>Julia Avdeeva</t>
        </is>
      </c>
      <c r="AS1337" s="24" t="inlineStr">
        <is>
          <t>Lisa Pigato</t>
        </is>
      </c>
      <c r="AT1337" s="24" t="inlineStr">
        <is>
          <t>Lisa Pigato</t>
        </is>
      </c>
      <c r="AU1337" s="24" t="inlineStr">
        <is>
          <t>Lisa Pigato</t>
        </is>
      </c>
      <c r="AV1337" s="24" t="n"/>
      <c r="AW1337" s="24" t="n"/>
      <c r="AX1337" s="24" t="inlineStr">
        <is>
          <t>statistical_model</t>
        </is>
      </c>
      <c r="AY1337" s="24" t="n"/>
      <c r="AZ1337" s="24" t="inlineStr">
        <is>
          <t>shadow_qualified</t>
        </is>
      </c>
      <c r="BA1337" s="24" t="inlineStr">
        <is>
          <t>7443acc419841200d57e1edf36b77f1940cdd0c48dce3d43fcd05498a109440b</t>
        </is>
      </c>
      <c r="BB1337" s="24" t="inlineStr">
        <is>
          <t>learned_v3</t>
        </is>
      </c>
      <c r="BC1337" s="24" t="inlineStr">
        <is>
          <t>tennis-learned-v3</t>
        </is>
      </c>
      <c r="BD1337" s="24" t="inlineStr">
        <is>
          <t>7443acc419841200d57e1edf36b77f1940cdd0c48dce3d43fcd05498a109440b</t>
        </is>
      </c>
      <c r="BE1337" s="24" t="inlineStr">
        <is>
          <t>tennis-learned-v3</t>
        </is>
      </c>
      <c r="BF1337" s="24" t="inlineStr">
        <is>
          <t>1</t>
        </is>
      </c>
      <c r="BG1337" s="24" t="inlineStr">
        <is>
          <t>7443acc419841200d57e1edf36b77f1940cdd0c48dce3d43fcd05498a109440b</t>
        </is>
      </c>
      <c r="BH1337" s="24" t="inlineStr">
        <is>
          <t>2026-10-12T10:28:12.359994Z</t>
        </is>
      </c>
      <c r="BI1337" s="24" t="inlineStr">
        <is>
          <t>["same_event","same_team_same_day","same_league_same_day"]</t>
        </is>
      </c>
      <c r="BJ1337" s="25" t="n">
        <v>-4.5</v>
      </c>
      <c r="BK1337" s="26" t="n">
        <v>104</v>
      </c>
      <c r="BL1337" s="27" t="n">
        <v>2.04</v>
      </c>
      <c r="BM1337" s="28" t="n">
        <v>0.490196</v>
      </c>
      <c r="BN1337" s="28" t="n"/>
      <c r="BO1337" s="28" t="n"/>
      <c r="BP1337" s="25" t="n"/>
      <c r="BQ1337" s="27" t="n"/>
      <c r="BR1337" s="28" t="n"/>
      <c r="BS1337" s="28" t="n"/>
      <c r="BT1337" s="28" t="n"/>
      <c r="BU1337" s="25" t="n"/>
      <c r="BV1337" s="29" t="n"/>
      <c r="BW1337" s="24" t="n"/>
      <c r="BX1337" s="30" t="n"/>
      <c r="BY1337" s="27" t="n"/>
      <c r="BZ1337" s="24" t="n"/>
      <c r="CA1337" s="31" t="n"/>
      <c r="CB1337" s="24" t="n"/>
      <c r="CC1337" s="24" t="n"/>
      <c r="CD1337" s="24" t="n"/>
      <c r="CE1337" s="24" t="n"/>
      <c r="CF1337" s="24" t="n"/>
      <c r="CG1337" s="24" t="n"/>
      <c r="CH1337" s="24" t="n"/>
      <c r="CI1337" s="24" t="n"/>
      <c r="CJ1337" s="24" t="n"/>
      <c r="CK1337" s="24" t="n"/>
      <c r="CL1337" s="24" t="n"/>
      <c r="CM1337" s="24" t="n"/>
      <c r="CN1337" s="24" t="n"/>
      <c r="CO1337" s="24" t="n"/>
      <c r="CP1337" s="24" t="n"/>
      <c r="CQ1337" s="24" t="n"/>
      <c r="CR1337" s="24" t="n"/>
      <c r="CS1337" s="24" t="inlineStr">
        <is>
          <t>True</t>
        </is>
      </c>
      <c r="CT1337" s="24" t="n"/>
      <c r="CU1337" s="24" t="n"/>
      <c r="CV1337" s="24" t="n"/>
      <c r="CW1337" s="24" t="n"/>
      <c r="CX1337" s="24" t="n"/>
      <c r="CY1337" s="24" t="n"/>
      <c r="CZ1337" s="24" t="n"/>
      <c r="DA1337" s="24" t="n"/>
      <c r="DB1337" s="24" t="n"/>
      <c r="DC1337" s="24" t="n"/>
      <c r="DD1337" s="24" t="inlineStr">
        <is>
          <t>881266672841c9ae45957a961f533a5672a1ccabed914c7f0a9c22781fae8bb0</t>
        </is>
      </c>
      <c r="DE1337" s="24" t="inlineStr">
        <is>
          <t>E:\model-prediction\data\odds\tennis\2026-10-12\polymarket_snapshots.jsonl</t>
        </is>
      </c>
      <c r="DF1337" s="24" t="inlineStr">
        <is>
          <t>1353553:2026-10-12T10:28:12.359994Z</t>
        </is>
      </c>
      <c r="DG1337" s="24" t="n"/>
      <c r="DH1337" s="24" t="n"/>
      <c r="DI1337" s="24" t="n"/>
      <c r="DJ1337" s="24" t="n"/>
      <c r="DK1337" s="24" t="n"/>
      <c r="DL1337" s="24" t="n"/>
      <c r="DM1337" s="24" t="n"/>
      <c r="DN1337" s="24" t="n"/>
      <c r="DO1337" s="24" t="n"/>
      <c r="DP1337" s="24" t="n"/>
      <c r="DQ1337" s="24" t="n"/>
    </row>
    <row r="1338" ht="36" customHeight="1">
      <c r="A1338" s="24" t="inlineStr">
        <is>
          <t>39893def227e4e9e</t>
        </is>
      </c>
      <c r="B1338" s="24" t="inlineStr">
        <is>
          <t>2026-10-12T11:02:18.552284Z</t>
        </is>
      </c>
      <c r="C1338" s="24" t="inlineStr">
        <is>
          <t>2026-10-12T11:30Z</t>
        </is>
      </c>
      <c r="D1338" s="24" t="inlineStr">
        <is>
          <t>1079-2026:186433</t>
        </is>
      </c>
      <c r="E1338" s="24" t="inlineStr">
        <is>
          <t>TENNIS</t>
        </is>
      </c>
      <c r="F1338" s="24" t="inlineStr">
        <is>
          <t>Sara Cakarevic</t>
        </is>
      </c>
      <c r="G1338" s="24" t="inlineStr">
        <is>
          <t>Raluka Serban</t>
        </is>
      </c>
      <c r="H1338" s="24" t="inlineStr">
        <is>
          <t>moneyline</t>
        </is>
      </c>
      <c r="I1338" s="24" t="inlineStr">
        <is>
          <t>away</t>
        </is>
      </c>
      <c r="J1338" s="25" t="n"/>
      <c r="K1338" s="24" t="inlineStr">
        <is>
          <t>polymarket_us</t>
        </is>
      </c>
      <c r="L1338" s="26" t="n">
        <v>127</v>
      </c>
      <c r="M1338" s="27" t="n">
        <v>2.27</v>
      </c>
      <c r="N1338" s="28" t="n">
        <v>0.440529</v>
      </c>
      <c r="O1338" s="28" t="n">
        <v>0.5134</v>
      </c>
      <c r="P1338" s="28" t="n">
        <v>0.05</v>
      </c>
      <c r="Q1338" s="28" t="n">
        <v>0.07287100000000001</v>
      </c>
      <c r="R1338" s="26" t="n">
        <v>56</v>
      </c>
      <c r="S1338" s="29" t="n">
        <v>1.25</v>
      </c>
      <c r="T1338" s="24" t="inlineStr">
        <is>
          <t>tennis-learned-v3</t>
        </is>
      </c>
      <c r="U1338" s="24" t="inlineStr">
        <is>
          <t>settled</t>
        </is>
      </c>
      <c r="V1338" s="24" t="inlineStr">
        <is>
          <t>loss</t>
        </is>
      </c>
      <c r="W1338" s="26" t="n">
        <v>0</v>
      </c>
      <c r="X1338" s="26" t="n">
        <v>1</v>
      </c>
      <c r="Y1338" s="25" t="n"/>
      <c r="Z1338" s="26" t="n">
        <v>127</v>
      </c>
      <c r="AA1338" s="28" t="n">
        <v>0.44</v>
      </c>
      <c r="AB1338" s="28" t="n">
        <v>-0.000529</v>
      </c>
      <c r="AC1338" s="30" t="n">
        <v>-1.25</v>
      </c>
      <c r="AD1338" s="24" t="inlineStr">
        <is>
          <t>2026-10-12T16:12:12.990579Z</t>
        </is>
      </c>
      <c r="AE1338" s="31" t="inlineStr">
        <is>
          <t>Tennis v3 Learned Fundamental on Hard (Bo3): Sara Cakarevic p=0.513 vs Raluka Serban. Executable ask 0.4400 (aec-wta-ralser-sarcak-2026-10-12).</t>
        </is>
      </c>
      <c r="AF1338" s="31" t="inlineStr">
        <is>
          <t>Surface-blended Elo model; singles only, WTA+ATP market coverage, not yet locked-holdout qualified -- promoted by explicit operator directive, not genuine walk-forward validation.</t>
        </is>
      </c>
      <c r="AG1338" s="24" t="inlineStr">
        <is>
          <t>review_required</t>
        </is>
      </c>
      <c r="AH1338" s="24" t="n"/>
      <c r="AI1338" s="31" t="n"/>
      <c r="AJ1338" s="31" t="n"/>
      <c r="AK1338" s="24" t="inlineStr">
        <is>
          <t>paper_call</t>
        </is>
      </c>
      <c r="AL1338" s="26" t="n">
        <v>4</v>
      </c>
      <c r="AM1338" s="24" t="inlineStr">
        <is>
          <t>RESEARCH_OBSERVATION</t>
        </is>
      </c>
      <c r="AN1338" s="24" t="inlineStr">
        <is>
          <t>CALL</t>
        </is>
      </c>
      <c r="AO1338" s="24" t="inlineStr">
        <is>
          <t>PAPER_CALL_MODEL_UNVALIDATED</t>
        </is>
      </c>
      <c r="AP1338" s="24" t="inlineStr">
        <is>
          <t>Sara Cakarevic</t>
        </is>
      </c>
      <c r="AQ1338" s="24" t="inlineStr">
        <is>
          <t>Sara Cakarevic</t>
        </is>
      </c>
      <c r="AR1338" s="24" t="inlineStr">
        <is>
          <t>Sara Cakarevic</t>
        </is>
      </c>
      <c r="AS1338" s="24" t="inlineStr">
        <is>
          <t>Raluka Serban</t>
        </is>
      </c>
      <c r="AT1338" s="24" t="inlineStr">
        <is>
          <t>Raluka Serban</t>
        </is>
      </c>
      <c r="AU1338" s="24" t="inlineStr">
        <is>
          <t>Raluka Serban</t>
        </is>
      </c>
      <c r="AV1338" s="24" t="n"/>
      <c r="AW1338" s="24" t="n"/>
      <c r="AX1338" s="24" t="inlineStr">
        <is>
          <t>statistical_model</t>
        </is>
      </c>
      <c r="AY1338" s="24" t="n"/>
      <c r="AZ1338" s="24" t="inlineStr">
        <is>
          <t>shadow_qualified</t>
        </is>
      </c>
      <c r="BA1338" s="24" t="inlineStr">
        <is>
          <t>7443acc419841200d57e1edf36b77f1940cdd0c48dce3d43fcd05498a109440b</t>
        </is>
      </c>
      <c r="BB1338" s="24" t="inlineStr">
        <is>
          <t>learned_v3</t>
        </is>
      </c>
      <c r="BC1338" s="24" t="inlineStr">
        <is>
          <t>tennis-learned-v3</t>
        </is>
      </c>
      <c r="BD1338" s="24" t="inlineStr">
        <is>
          <t>7443acc419841200d57e1edf36b77f1940cdd0c48dce3d43fcd05498a109440b</t>
        </is>
      </c>
      <c r="BE1338" s="24" t="inlineStr">
        <is>
          <t>tennis-learned-v3</t>
        </is>
      </c>
      <c r="BF1338" s="24" t="inlineStr">
        <is>
          <t>1</t>
        </is>
      </c>
      <c r="BG1338" s="24" t="inlineStr">
        <is>
          <t>7443acc419841200d57e1edf36b77f1940cdd0c48dce3d43fcd05498a109440b</t>
        </is>
      </c>
      <c r="BH1338" s="24" t="inlineStr">
        <is>
          <t>2026-10-12T10:26:31.633176Z</t>
        </is>
      </c>
      <c r="BI1338" s="24" t="inlineStr">
        <is>
          <t>["same_event","same_team_same_day","same_league_same_day"]</t>
        </is>
      </c>
      <c r="BJ1338" s="25" t="n"/>
      <c r="BK1338" s="26" t="n">
        <v>127</v>
      </c>
      <c r="BL1338" s="27" t="n">
        <v>2.27</v>
      </c>
      <c r="BM1338" s="28" t="n">
        <v>0.440529</v>
      </c>
      <c r="BN1338" s="28" t="n"/>
      <c r="BO1338" s="28" t="n"/>
      <c r="BP1338" s="25" t="n"/>
      <c r="BQ1338" s="27" t="n">
        <v>2.27</v>
      </c>
      <c r="BR1338" s="28" t="n">
        <v>0.44</v>
      </c>
      <c r="BS1338" s="28" t="n"/>
      <c r="BT1338" s="28" t="n"/>
      <c r="BU1338" s="25" t="n"/>
      <c r="BV1338" s="29" t="n"/>
      <c r="BW1338" s="24" t="n"/>
      <c r="BX1338" s="30" t="n"/>
      <c r="BY1338" s="27" t="n"/>
      <c r="BZ1338" s="24" t="n"/>
      <c r="CA1338" s="31" t="n"/>
      <c r="CB1338" s="24" t="n"/>
      <c r="CC1338" s="24" t="n"/>
      <c r="CD1338" s="24" t="n"/>
      <c r="CE1338" s="24" t="n"/>
      <c r="CF1338" s="24" t="n"/>
      <c r="CG1338" s="24" t="n"/>
      <c r="CH1338" s="24" t="n"/>
      <c r="CI1338" s="24" t="n"/>
      <c r="CJ1338" s="24" t="n"/>
      <c r="CK1338" s="24" t="n"/>
      <c r="CL1338" s="24" t="n"/>
      <c r="CM1338" s="24" t="n"/>
      <c r="CN1338" s="24" t="n"/>
      <c r="CO1338" s="24" t="n"/>
      <c r="CP1338" s="24" t="n"/>
      <c r="CQ1338" s="24" t="n"/>
      <c r="CR1338" s="24" t="n"/>
      <c r="CS1338" s="24" t="inlineStr">
        <is>
          <t>True</t>
        </is>
      </c>
      <c r="CT1338" s="24" t="n"/>
      <c r="CU1338" s="24" t="n"/>
      <c r="CV1338" s="24" t="n"/>
      <c r="CW1338" s="24" t="n"/>
      <c r="CX1338" s="24" t="n"/>
      <c r="CY1338" s="24" t="n"/>
      <c r="CZ1338" s="24" t="n"/>
      <c r="DA1338" s="24" t="n"/>
      <c r="DB1338" s="24" t="n"/>
      <c r="DC1338" s="24" t="n"/>
      <c r="DD1338" s="24" t="inlineStr">
        <is>
          <t>47ad282ec1f15d13f15ca27be575abdbd46e0c411dbdbac38cb2c2cf137e89a7</t>
        </is>
      </c>
      <c r="DE1338" s="24" t="inlineStr">
        <is>
          <t>E:\model-prediction\data\odds\tennis\2026-10-12\polymarket_snapshots.jsonl</t>
        </is>
      </c>
      <c r="DF1338" s="24" t="inlineStr">
        <is>
          <t>1376548:2026-10-12T10:26:31.633176Z</t>
        </is>
      </c>
      <c r="DG1338" s="24" t="n"/>
      <c r="DH1338" s="24" t="n"/>
      <c r="DI1338" s="24" t="n"/>
      <c r="DJ1338" s="24" t="n"/>
      <c r="DK1338" s="24" t="n"/>
      <c r="DL1338" s="24" t="n"/>
      <c r="DM1338" s="24" t="n"/>
      <c r="DN1338" s="24" t="n"/>
      <c r="DO1338" s="24" t="n"/>
      <c r="DP1338" s="24" t="n"/>
      <c r="DQ1338" s="24" t="inlineStr">
        <is>
          <t>{"artifact_hash": "7443acc419841200d57e1edf36b77f1940cdd0c48dce3d43fcd05498a109440b", "away_team": "Sara Cakarevic", "event_id": "1079-2026:186433", "event_start_utc": "2026-10-12T11:30Z", "features": {"elo_p1_surface": 1500.0, "elo_p2_surface": 1419.2, "expected_games_p1": 12.75, "expected_games_p2": 12.0, "expected_total_games": 24.74, "history_matches": 16708, "min_player_matches": 6, "surface": "Hard"}, "historical_source_observation_times_verified": false, "home_team": "Raluka Serban", "inference_inputs": {"best_of": 3, "code_sha256": {"features/elo_ratings.py": "d6513e79d65448c06cc0f9b9eed0eaa091567835128e1f6647a310da8d78a872", "models/tennis.py": "7443acc419841200d57e1edf36b77f1940cdd0c48dce3d43fcd05498a109440b"}, "counts": [6, 40], "market_probability": null, "model_version": "tennis-learned-v3", "overall_ratings": [1500.0002669300598, 1384.3885324289677], "p_serve_a": 0.5938834234144973, "p_serve_b": 0.5861165765855026, "players": ["Sara Cakarevic", "Raluka Serban"], "rest_days": [0.0, 0.0], "sport": "TENNIS", "surface": "Hard", "surface_counts": [6, 30], "surface_ratings": [1500.0235445145868, 1419.2090041336685], "tour": "WTA"}, "market_type": "moneyline", "model_version": "tennis-learned-v3", "observed_at_utc": "2026-10-12T11:02:15.203395+00:00", "probabilities": {"away": 0.5134, "home": 0.4866}, "replay_scope": "Exact full-precision serving state and rounding; upstream historical observation times are not certified.", "schema": "coded-moneyline-replay-v1", "snapshot_hash": "c864c898f989e830e0947d9ec6cc2d28a7007d7a3eb98e70a90c43d0d2884ba9", "sport": "TENNIS"}</t>
        </is>
      </c>
    </row>
    <row r="1339" ht="36" customHeight="1">
      <c r="A1339" s="24" t="inlineStr">
        <is>
          <t>4dc5441ecb21448f</t>
        </is>
      </c>
      <c r="B1339" s="24" t="inlineStr">
        <is>
          <t>2026-10-12T11:02:18.552284Z</t>
        </is>
      </c>
      <c r="C1339" s="24" t="inlineStr">
        <is>
          <t>2026-10-12T11:30Z</t>
        </is>
      </c>
      <c r="D1339" s="24" t="inlineStr">
        <is>
          <t>1079-2026:186433</t>
        </is>
      </c>
      <c r="E1339" s="24" t="inlineStr">
        <is>
          <t>TENNIS</t>
        </is>
      </c>
      <c r="F1339" s="24" t="inlineStr">
        <is>
          <t>Sara Cakarevic</t>
        </is>
      </c>
      <c r="G1339" s="24" t="inlineStr">
        <is>
          <t>Raluka Serban</t>
        </is>
      </c>
      <c r="H1339" s="24" t="inlineStr">
        <is>
          <t>spread</t>
        </is>
      </c>
      <c r="I1339" s="24" t="inlineStr">
        <is>
          <t>away</t>
        </is>
      </c>
      <c r="J1339" s="25" t="n">
        <v>-1.5</v>
      </c>
      <c r="K1339" s="24" t="inlineStr">
        <is>
          <t>polymarket_us</t>
        </is>
      </c>
      <c r="L1339" s="26" t="n">
        <v>-4900</v>
      </c>
      <c r="M1339" s="27" t="n">
        <v>1.020408</v>
      </c>
      <c r="N1339" s="28" t="n">
        <v>0.98</v>
      </c>
      <c r="O1339" s="28" t="n">
        <v>0.6284</v>
      </c>
      <c r="P1339" s="28" t="n">
        <v>0.05</v>
      </c>
      <c r="Q1339" s="28" t="n">
        <v>-0.3516</v>
      </c>
      <c r="R1339" s="26" t="n">
        <v>0</v>
      </c>
      <c r="S1339" s="29" t="n">
        <v>1</v>
      </c>
      <c r="T1339" s="24" t="inlineStr">
        <is>
          <t>tennis-learned-v3</t>
        </is>
      </c>
      <c r="U1339" s="24" t="inlineStr">
        <is>
          <t>settled</t>
        </is>
      </c>
      <c r="V1339" s="24" t="inlineStr">
        <is>
          <t>loss</t>
        </is>
      </c>
      <c r="W1339" s="26" t="n">
        <v>6</v>
      </c>
      <c r="X1339" s="26" t="n">
        <v>13</v>
      </c>
      <c r="Y1339" s="25" t="n"/>
      <c r="Z1339" s="26" t="n"/>
      <c r="AA1339" s="28" t="n"/>
      <c r="AB1339" s="28" t="n"/>
      <c r="AC1339" s="30" t="n">
        <v>-1</v>
      </c>
      <c r="AD1339" s="24" t="inlineStr">
        <is>
          <t>2026-10-12T16:12:19.859368Z</t>
        </is>
      </c>
      <c r="AE1339" s="31" t="inlineStr">
        <is>
          <t>Tennis Markov game spread -1.5 games: away cover p=0.628. Executable ask 0.9800 (asc-wta-ralser-sarcak-2026-10-12-gs-neg-1pt5).</t>
        </is>
      </c>
      <c r="AF1339" s="31" t="inlineStr">
        <is>
          <t>Surface-blended Elo model; singles only, WTA+ATP market coverage, not yet locked-holdout qualified -- promoted by explicit operator directive, not genuine walk-forward validation.</t>
        </is>
      </c>
      <c r="AG1339" s="24" t="inlineStr">
        <is>
          <t>review_required</t>
        </is>
      </c>
      <c r="AH1339" s="24" t="n"/>
      <c r="AI1339" s="31" t="n"/>
      <c r="AJ1339" s="31" t="n"/>
      <c r="AK1339" s="24" t="inlineStr">
        <is>
          <t>paper_call</t>
        </is>
      </c>
      <c r="AL1339" s="26" t="n">
        <v>4</v>
      </c>
      <c r="AM1339" s="24" t="inlineStr">
        <is>
          <t>RESEARCH_OBSERVATION</t>
        </is>
      </c>
      <c r="AN1339" s="24" t="inlineStr">
        <is>
          <t>CALL</t>
        </is>
      </c>
      <c r="AO1339" s="24" t="inlineStr">
        <is>
          <t>PAPER_CALL_MODEL_UNVALIDATED</t>
        </is>
      </c>
      <c r="AP1339" s="24" t="inlineStr">
        <is>
          <t>Sara Cakarevic</t>
        </is>
      </c>
      <c r="AQ1339" s="24" t="inlineStr">
        <is>
          <t>Sara Cakarevic</t>
        </is>
      </c>
      <c r="AR1339" s="24" t="inlineStr">
        <is>
          <t>Sara Cakarevic</t>
        </is>
      </c>
      <c r="AS1339" s="24" t="inlineStr">
        <is>
          <t>Raluka Serban</t>
        </is>
      </c>
      <c r="AT1339" s="24" t="inlineStr">
        <is>
          <t>Raluka Serban</t>
        </is>
      </c>
      <c r="AU1339" s="24" t="inlineStr">
        <is>
          <t>Raluka Serban</t>
        </is>
      </c>
      <c r="AV1339" s="24" t="n"/>
      <c r="AW1339" s="24" t="n"/>
      <c r="AX1339" s="24" t="inlineStr">
        <is>
          <t>statistical_model</t>
        </is>
      </c>
      <c r="AY1339" s="24" t="n"/>
      <c r="AZ1339" s="24" t="inlineStr">
        <is>
          <t>shadow_qualified</t>
        </is>
      </c>
      <c r="BA1339" s="24" t="inlineStr">
        <is>
          <t>7443acc419841200d57e1edf36b77f1940cdd0c48dce3d43fcd05498a109440b</t>
        </is>
      </c>
      <c r="BB1339" s="24" t="inlineStr">
        <is>
          <t>learned_v3</t>
        </is>
      </c>
      <c r="BC1339" s="24" t="inlineStr">
        <is>
          <t>tennis-learned-v3</t>
        </is>
      </c>
      <c r="BD1339" s="24" t="inlineStr">
        <is>
          <t>7443acc419841200d57e1edf36b77f1940cdd0c48dce3d43fcd05498a109440b</t>
        </is>
      </c>
      <c r="BE1339" s="24" t="inlineStr">
        <is>
          <t>tennis-learned-v3</t>
        </is>
      </c>
      <c r="BF1339" s="24" t="inlineStr">
        <is>
          <t>1</t>
        </is>
      </c>
      <c r="BG1339" s="24" t="inlineStr">
        <is>
          <t>7443acc419841200d57e1edf36b77f1940cdd0c48dce3d43fcd05498a109440b</t>
        </is>
      </c>
      <c r="BH1339" s="24" t="inlineStr">
        <is>
          <t>2026-10-12T10:26:01.529995Z</t>
        </is>
      </c>
      <c r="BI1339" s="24" t="inlineStr">
        <is>
          <t>["same_event","same_team_same_day","same_league_same_day"]</t>
        </is>
      </c>
      <c r="BJ1339" s="25" t="n">
        <v>-1.5</v>
      </c>
      <c r="BK1339" s="26" t="n">
        <v>-4900</v>
      </c>
      <c r="BL1339" s="27" t="n">
        <v>1.020408</v>
      </c>
      <c r="BM1339" s="28" t="n">
        <v>0.98</v>
      </c>
      <c r="BN1339" s="28" t="n"/>
      <c r="BO1339" s="28" t="n"/>
      <c r="BP1339" s="25" t="n"/>
      <c r="BQ1339" s="27" t="n"/>
      <c r="BR1339" s="28" t="n"/>
      <c r="BS1339" s="28" t="n"/>
      <c r="BT1339" s="28" t="n"/>
      <c r="BU1339" s="25" t="n"/>
      <c r="BV1339" s="29" t="n"/>
      <c r="BW1339" s="24" t="n"/>
      <c r="BX1339" s="30" t="n"/>
      <c r="BY1339" s="27" t="n"/>
      <c r="BZ1339" s="24" t="n"/>
      <c r="CA1339" s="31" t="n"/>
      <c r="CB1339" s="24" t="n"/>
      <c r="CC1339" s="24" t="n"/>
      <c r="CD1339" s="24" t="n"/>
      <c r="CE1339" s="24" t="n"/>
      <c r="CF1339" s="24" t="n"/>
      <c r="CG1339" s="24" t="n"/>
      <c r="CH1339" s="24" t="n"/>
      <c r="CI1339" s="24" t="n"/>
      <c r="CJ1339" s="24" t="n"/>
      <c r="CK1339" s="24" t="n"/>
      <c r="CL1339" s="24" t="n"/>
      <c r="CM1339" s="24" t="n"/>
      <c r="CN1339" s="24" t="n"/>
      <c r="CO1339" s="24" t="n"/>
      <c r="CP1339" s="24" t="n"/>
      <c r="CQ1339" s="24" t="n"/>
      <c r="CR1339" s="24" t="n"/>
      <c r="CS1339" s="24" t="inlineStr">
        <is>
          <t>False</t>
        </is>
      </c>
      <c r="CT1339" s="24" t="n"/>
      <c r="CU1339" s="24" t="n"/>
      <c r="CV1339" s="24" t="n"/>
      <c r="CW1339" s="24" t="n"/>
      <c r="CX1339" s="24" t="n"/>
      <c r="CY1339" s="24" t="n"/>
      <c r="CZ1339" s="24" t="n"/>
      <c r="DA1339" s="24" t="n"/>
      <c r="DB1339" s="24" t="n"/>
      <c r="DC1339" s="24" t="n"/>
      <c r="DD1339" s="24" t="inlineStr">
        <is>
          <t>3d8974df3b046bc468283d0e9487557a2a9a0de89173e14f5cf298891a68acea</t>
        </is>
      </c>
      <c r="DE1339" s="24" t="inlineStr">
        <is>
          <t>E:\model-prediction\data\odds\tennis\2026-10-12\polymarket_snapshots.jsonl</t>
        </is>
      </c>
      <c r="DF1339" s="24" t="inlineStr">
        <is>
          <t>1379884:2026-10-12T10:26:01.529995Z</t>
        </is>
      </c>
      <c r="DG1339" s="24" t="n"/>
      <c r="DH1339" s="24" t="n"/>
      <c r="DI1339" s="24" t="n"/>
      <c r="DJ1339" s="24" t="n"/>
      <c r="DK1339" s="24" t="n"/>
      <c r="DL1339" s="24" t="n"/>
      <c r="DM1339" s="24" t="n"/>
      <c r="DN1339" s="24" t="n"/>
      <c r="DO1339" s="24" t="n"/>
      <c r="DP1339" s="24" t="n"/>
      <c r="DQ1339" s="24" t="n"/>
    </row>
    <row r="1340" ht="36" customHeight="1">
      <c r="A1340" s="24" t="inlineStr">
        <is>
          <t>782840375d534f2b</t>
        </is>
      </c>
      <c r="B1340" s="24" t="inlineStr">
        <is>
          <t>2026-10-12T11:02:18.552284Z</t>
        </is>
      </c>
      <c r="C1340" s="24" t="inlineStr">
        <is>
          <t>2026-10-12T12:00Z</t>
        </is>
      </c>
      <c r="D1340" s="24" t="inlineStr">
        <is>
          <t>1079-2026:185403</t>
        </is>
      </c>
      <c r="E1340" s="24" t="inlineStr">
        <is>
          <t>TENNIS</t>
        </is>
      </c>
      <c r="F1340" s="24" t="inlineStr">
        <is>
          <t>Lina Gjorcheska</t>
        </is>
      </c>
      <c r="G1340" s="24" t="inlineStr">
        <is>
          <t>Clara Burel</t>
        </is>
      </c>
      <c r="H1340" s="24" t="inlineStr">
        <is>
          <t>total</t>
        </is>
      </c>
      <c r="I1340" s="24" t="inlineStr">
        <is>
          <t>under</t>
        </is>
      </c>
      <c r="J1340" s="25" t="n">
        <v>22.5</v>
      </c>
      <c r="K1340" s="24" t="inlineStr">
        <is>
          <t>polymarket_us</t>
        </is>
      </c>
      <c r="L1340" s="26" t="n">
        <v>-9900</v>
      </c>
      <c r="M1340" s="27" t="n">
        <v>1.010101</v>
      </c>
      <c r="N1340" s="28" t="n">
        <v>0.99</v>
      </c>
      <c r="O1340" s="28" t="n">
        <v>0.8657</v>
      </c>
      <c r="P1340" s="28" t="n">
        <v>0.05</v>
      </c>
      <c r="Q1340" s="28" t="n">
        <v>-0.1243</v>
      </c>
      <c r="R1340" s="26" t="n">
        <v>0</v>
      </c>
      <c r="S1340" s="29" t="n">
        <v>1</v>
      </c>
      <c r="T1340" s="24" t="inlineStr">
        <is>
          <t>tennis-learned-v3</t>
        </is>
      </c>
      <c r="U1340" s="24" t="inlineStr">
        <is>
          <t>settled</t>
        </is>
      </c>
      <c r="V1340" s="24" t="inlineStr">
        <is>
          <t>win</t>
        </is>
      </c>
      <c r="W1340" s="26" t="n">
        <v>4</v>
      </c>
      <c r="X1340" s="26" t="n">
        <v>12</v>
      </c>
      <c r="Y1340" s="25" t="n"/>
      <c r="Z1340" s="26" t="n"/>
      <c r="AA1340" s="28" t="n"/>
      <c r="AB1340" s="28" t="n"/>
      <c r="AC1340" s="30" t="n">
        <v>0.0101</v>
      </c>
      <c r="AD1340" s="24" t="inlineStr">
        <is>
          <t>2026-10-12T16:12:26.094630Z</t>
        </is>
      </c>
      <c r="AE1340" s="31" t="inlineStr">
        <is>
          <t>Tennis Markov total games line 22.5: under p=0.866. Executable ask 0.9900 (tsc-wta-clabur-lingjo-2026-10-12-tg-22pt5).</t>
        </is>
      </c>
      <c r="AF1340" s="31" t="inlineStr">
        <is>
          <t>Surface-blended Elo model; singles only, WTA+ATP market coverage, not yet locked-holdout qualified -- promoted by explicit operator directive, not genuine walk-forward validation.</t>
        </is>
      </c>
      <c r="AG1340" s="24" t="inlineStr">
        <is>
          <t>not_applicable</t>
        </is>
      </c>
      <c r="AH1340" s="24" t="n"/>
      <c r="AI1340" s="31" t="n"/>
      <c r="AJ1340" s="31" t="n"/>
      <c r="AK1340" s="24" t="inlineStr">
        <is>
          <t>paper_call</t>
        </is>
      </c>
      <c r="AL1340" s="26" t="n">
        <v>4</v>
      </c>
      <c r="AM1340" s="24" t="inlineStr">
        <is>
          <t>RESEARCH_OBSERVATION</t>
        </is>
      </c>
      <c r="AN1340" s="24" t="inlineStr">
        <is>
          <t>CALL</t>
        </is>
      </c>
      <c r="AO1340" s="24" t="inlineStr">
        <is>
          <t>PAPER_CALL_LOW_EDGE</t>
        </is>
      </c>
      <c r="AP1340" s="24" t="inlineStr">
        <is>
          <t>Lina Gjorcheska</t>
        </is>
      </c>
      <c r="AQ1340" s="24" t="inlineStr">
        <is>
          <t>Lina Gjorcheska</t>
        </is>
      </c>
      <c r="AR1340" s="24" t="inlineStr">
        <is>
          <t>Lina Gjorcheska</t>
        </is>
      </c>
      <c r="AS1340" s="24" t="inlineStr">
        <is>
          <t>Clara Burel</t>
        </is>
      </c>
      <c r="AT1340" s="24" t="inlineStr">
        <is>
          <t>Clara Burel</t>
        </is>
      </c>
      <c r="AU1340" s="24" t="inlineStr">
        <is>
          <t>Clara Burel</t>
        </is>
      </c>
      <c r="AV1340" s="24" t="n"/>
      <c r="AW1340" s="24" t="n"/>
      <c r="AX1340" s="24" t="inlineStr">
        <is>
          <t>statistical_model</t>
        </is>
      </c>
      <c r="AY1340" s="24" t="n"/>
      <c r="AZ1340" s="24" t="inlineStr">
        <is>
          <t>shadow_qualified</t>
        </is>
      </c>
      <c r="BA1340" s="24" t="inlineStr">
        <is>
          <t>7443acc419841200d57e1edf36b77f1940cdd0c48dce3d43fcd05498a109440b</t>
        </is>
      </c>
      <c r="BB1340" s="24" t="inlineStr">
        <is>
          <t>learned_v3</t>
        </is>
      </c>
      <c r="BC1340" s="24" t="inlineStr">
        <is>
          <t>tennis-learned-v3</t>
        </is>
      </c>
      <c r="BD1340" s="24" t="inlineStr">
        <is>
          <t>7443acc419841200d57e1edf36b77f1940cdd0c48dce3d43fcd05498a109440b</t>
        </is>
      </c>
      <c r="BE1340" s="24" t="inlineStr">
        <is>
          <t>tennis-learned-v3</t>
        </is>
      </c>
      <c r="BF1340" s="24" t="inlineStr">
        <is>
          <t>1</t>
        </is>
      </c>
      <c r="BG1340" s="24" t="inlineStr">
        <is>
          <t>7443acc419841200d57e1edf36b77f1940cdd0c48dce3d43fcd05498a109440b</t>
        </is>
      </c>
      <c r="BH1340" s="24" t="inlineStr">
        <is>
          <t>2026-10-12T10:27:01.848705Z</t>
        </is>
      </c>
      <c r="BI1340" s="24" t="inlineStr">
        <is>
          <t>["same_event","same_team_same_day","same_league_same_day"]</t>
        </is>
      </c>
      <c r="BJ1340" s="25" t="n">
        <v>22.5</v>
      </c>
      <c r="BK1340" s="26" t="n">
        <v>-9900</v>
      </c>
      <c r="BL1340" s="27" t="n">
        <v>1.010101</v>
      </c>
      <c r="BM1340" s="28" t="n">
        <v>0.99</v>
      </c>
      <c r="BN1340" s="28" t="n"/>
      <c r="BO1340" s="28" t="n"/>
      <c r="BP1340" s="25" t="n"/>
      <c r="BQ1340" s="27" t="n"/>
      <c r="BR1340" s="28" t="n"/>
      <c r="BS1340" s="28" t="n"/>
      <c r="BT1340" s="28" t="n"/>
      <c r="BU1340" s="25" t="n"/>
      <c r="BV1340" s="29" t="n"/>
      <c r="BW1340" s="24" t="n"/>
      <c r="BX1340" s="30" t="n"/>
      <c r="BY1340" s="27" t="n"/>
      <c r="BZ1340" s="24" t="n"/>
      <c r="CA1340" s="31" t="n"/>
      <c r="CB1340" s="24" t="n"/>
      <c r="CC1340" s="24" t="n"/>
      <c r="CD1340" s="24" t="n"/>
      <c r="CE1340" s="24" t="n"/>
      <c r="CF1340" s="24" t="n"/>
      <c r="CG1340" s="24" t="n"/>
      <c r="CH1340" s="24" t="n"/>
      <c r="CI1340" s="24" t="n"/>
      <c r="CJ1340" s="24" t="n"/>
      <c r="CK1340" s="24" t="n"/>
      <c r="CL1340" s="24" t="n"/>
      <c r="CM1340" s="24" t="n"/>
      <c r="CN1340" s="24" t="n"/>
      <c r="CO1340" s="24" t="n"/>
      <c r="CP1340" s="24" t="n"/>
      <c r="CQ1340" s="24" t="n"/>
      <c r="CR1340" s="24" t="n"/>
      <c r="CS1340" s="24" t="inlineStr">
        <is>
          <t>False</t>
        </is>
      </c>
      <c r="CT1340" s="24" t="n"/>
      <c r="CU1340" s="24" t="n"/>
      <c r="CV1340" s="24" t="n"/>
      <c r="CW1340" s="24" t="n"/>
      <c r="CX1340" s="24" t="n"/>
      <c r="CY1340" s="24" t="n"/>
      <c r="CZ1340" s="24" t="n"/>
      <c r="DA1340" s="24" t="n"/>
      <c r="DB1340" s="24" t="n"/>
      <c r="DC1340" s="24" t="n"/>
      <c r="DD1340" s="24" t="inlineStr">
        <is>
          <t>b2ec9d2be6a9c7f92c0f24de8054fd2347d578fb7243129c098fc13dacbb900d</t>
        </is>
      </c>
      <c r="DE1340" s="24" t="inlineStr">
        <is>
          <t>E:\model-prediction\data\odds\tennis\2026-10-12\polymarket_snapshots.jsonl</t>
        </is>
      </c>
      <c r="DF1340" s="24" t="inlineStr">
        <is>
          <t>1369032:2026-10-12T10:27:01.848705Z</t>
        </is>
      </c>
      <c r="DG1340" s="24" t="n"/>
      <c r="DH1340" s="24" t="n"/>
      <c r="DI1340" s="24" t="n"/>
      <c r="DJ1340" s="24" t="n"/>
      <c r="DK1340" s="24" t="n"/>
      <c r="DL1340" s="24" t="n"/>
      <c r="DM1340" s="24" t="n"/>
      <c r="DN1340" s="24" t="n"/>
      <c r="DO1340" s="24" t="n"/>
      <c r="DP1340" s="24" t="n"/>
      <c r="DQ1340" s="24" t="n"/>
    </row>
    <row r="1341" ht="36" customHeight="1">
      <c r="A1341" s="24" t="inlineStr">
        <is>
          <t>5ebf164ff2b4436c</t>
        </is>
      </c>
      <c r="B1341" s="24" t="inlineStr">
        <is>
          <t>2026-10-12T11:02:18.552284Z</t>
        </is>
      </c>
      <c r="C1341" s="24" t="inlineStr">
        <is>
          <t>2026-10-12T12:00Z</t>
        </is>
      </c>
      <c r="D1341" s="24" t="inlineStr">
        <is>
          <t>1079-2026:185403</t>
        </is>
      </c>
      <c r="E1341" s="24" t="inlineStr">
        <is>
          <t>TENNIS</t>
        </is>
      </c>
      <c r="F1341" s="24" t="inlineStr">
        <is>
          <t>Lina Gjorcheska</t>
        </is>
      </c>
      <c r="G1341" s="24" t="inlineStr">
        <is>
          <t>Clara Burel</t>
        </is>
      </c>
      <c r="H1341" s="24" t="inlineStr">
        <is>
          <t>moneyline</t>
        </is>
      </c>
      <c r="I1341" s="24" t="inlineStr">
        <is>
          <t>home</t>
        </is>
      </c>
      <c r="J1341" s="25" t="n"/>
      <c r="K1341" s="24" t="inlineStr">
        <is>
          <t>polymarket_us</t>
        </is>
      </c>
      <c r="L1341" s="26" t="n">
        <v>-669</v>
      </c>
      <c r="M1341" s="27" t="n">
        <v>1.149477</v>
      </c>
      <c r="N1341" s="28" t="n">
        <v>0.869961</v>
      </c>
      <c r="O1341" s="28" t="n">
        <v>0.7755</v>
      </c>
      <c r="P1341" s="28" t="n">
        <v>0.05</v>
      </c>
      <c r="Q1341" s="28" t="n">
        <v>-0.094461</v>
      </c>
      <c r="R1341" s="26" t="n">
        <v>0</v>
      </c>
      <c r="S1341" s="29" t="n">
        <v>1</v>
      </c>
      <c r="T1341" s="24" t="inlineStr">
        <is>
          <t>tennis-learned-v3</t>
        </is>
      </c>
      <c r="U1341" s="24" t="inlineStr">
        <is>
          <t>settled</t>
        </is>
      </c>
      <c r="V1341" s="24" t="inlineStr">
        <is>
          <t>win</t>
        </is>
      </c>
      <c r="W1341" s="26" t="n">
        <v>0</v>
      </c>
      <c r="X1341" s="26" t="n">
        <v>1</v>
      </c>
      <c r="Y1341" s="25" t="n"/>
      <c r="Z1341" s="26" t="n">
        <v>-669</v>
      </c>
      <c r="AA1341" s="28" t="n">
        <v>0.87</v>
      </c>
      <c r="AB1341" s="28" t="n">
        <v>3.9e-05</v>
      </c>
      <c r="AC1341" s="30" t="n">
        <v>0.1495</v>
      </c>
      <c r="AD1341" s="24" t="inlineStr">
        <is>
          <t>2026-10-12T16:12:32.287362Z</t>
        </is>
      </c>
      <c r="AE1341" s="31" t="inlineStr">
        <is>
          <t>Tennis v3 Learned Fundamental on Hard (Bo3): Lina Gjorcheska p=0.224 vs Clara Burel. Executable ask 0.8700 (aec-wta-clabur-lingjo-2026-10-12).</t>
        </is>
      </c>
      <c r="AF1341" s="31" t="inlineStr">
        <is>
          <t>Surface-blended Elo model; singles only, WTA+ATP market coverage, not yet locked-holdout qualified -- promoted by explicit operator directive, not genuine walk-forward validation.</t>
        </is>
      </c>
      <c r="AG1341" s="24" t="inlineStr">
        <is>
          <t>not_applicable</t>
        </is>
      </c>
      <c r="AH1341" s="24" t="n"/>
      <c r="AI1341" s="31" t="n"/>
      <c r="AJ1341" s="31" t="n"/>
      <c r="AK1341" s="24" t="inlineStr">
        <is>
          <t>paper_call</t>
        </is>
      </c>
      <c r="AL1341" s="26" t="n">
        <v>4</v>
      </c>
      <c r="AM1341" s="24" t="inlineStr">
        <is>
          <t>RESEARCH_OBSERVATION</t>
        </is>
      </c>
      <c r="AN1341" s="24" t="inlineStr">
        <is>
          <t>CALL</t>
        </is>
      </c>
      <c r="AO1341" s="24" t="inlineStr">
        <is>
          <t>PAPER_CALL_LOW_EDGE</t>
        </is>
      </c>
      <c r="AP1341" s="24" t="inlineStr">
        <is>
          <t>Lina Gjorcheska</t>
        </is>
      </c>
      <c r="AQ1341" s="24" t="inlineStr">
        <is>
          <t>Lina Gjorcheska</t>
        </is>
      </c>
      <c r="AR1341" s="24" t="inlineStr">
        <is>
          <t>Lina Gjorcheska</t>
        </is>
      </c>
      <c r="AS1341" s="24" t="inlineStr">
        <is>
          <t>Clara Burel</t>
        </is>
      </c>
      <c r="AT1341" s="24" t="inlineStr">
        <is>
          <t>Clara Burel</t>
        </is>
      </c>
      <c r="AU1341" s="24" t="inlineStr">
        <is>
          <t>Clara Burel</t>
        </is>
      </c>
      <c r="AV1341" s="24" t="n"/>
      <c r="AW1341" s="24" t="n"/>
      <c r="AX1341" s="24" t="inlineStr">
        <is>
          <t>statistical_model</t>
        </is>
      </c>
      <c r="AY1341" s="24" t="n"/>
      <c r="AZ1341" s="24" t="inlineStr">
        <is>
          <t>shadow_qualified</t>
        </is>
      </c>
      <c r="BA1341" s="24" t="inlineStr">
        <is>
          <t>7443acc419841200d57e1edf36b77f1940cdd0c48dce3d43fcd05498a109440b</t>
        </is>
      </c>
      <c r="BB1341" s="24" t="inlineStr">
        <is>
          <t>learned_v3</t>
        </is>
      </c>
      <c r="BC1341" s="24" t="inlineStr">
        <is>
          <t>tennis-learned-v3</t>
        </is>
      </c>
      <c r="BD1341" s="24" t="inlineStr">
        <is>
          <t>7443acc419841200d57e1edf36b77f1940cdd0c48dce3d43fcd05498a109440b</t>
        </is>
      </c>
      <c r="BE1341" s="24" t="inlineStr">
        <is>
          <t>tennis-learned-v3</t>
        </is>
      </c>
      <c r="BF1341" s="24" t="inlineStr">
        <is>
          <t>1</t>
        </is>
      </c>
      <c r="BG1341" s="24" t="inlineStr">
        <is>
          <t>7443acc419841200d57e1edf36b77f1940cdd0c48dce3d43fcd05498a109440b</t>
        </is>
      </c>
      <c r="BH1341" s="24" t="inlineStr">
        <is>
          <t>2026-10-12T10:27:01.816810Z</t>
        </is>
      </c>
      <c r="BI1341" s="24" t="inlineStr">
        <is>
          <t>["same_event","same_team_same_day","same_league_same_day"]</t>
        </is>
      </c>
      <c r="BJ1341" s="25" t="n"/>
      <c r="BK1341" s="26" t="n">
        <v>-669</v>
      </c>
      <c r="BL1341" s="27" t="n">
        <v>1.149477</v>
      </c>
      <c r="BM1341" s="28" t="n">
        <v>0.869961</v>
      </c>
      <c r="BN1341" s="28" t="n"/>
      <c r="BO1341" s="28" t="n"/>
      <c r="BP1341" s="25" t="n"/>
      <c r="BQ1341" s="27" t="n">
        <v>1.149477</v>
      </c>
      <c r="BR1341" s="28" t="n">
        <v>0.87</v>
      </c>
      <c r="BS1341" s="28" t="n"/>
      <c r="BT1341" s="28" t="n"/>
      <c r="BU1341" s="25" t="n"/>
      <c r="BV1341" s="29" t="n"/>
      <c r="BW1341" s="24" t="n"/>
      <c r="BX1341" s="30" t="n"/>
      <c r="BY1341" s="27" t="n"/>
      <c r="BZ1341" s="24" t="n"/>
      <c r="CA1341" s="31" t="n"/>
      <c r="CB1341" s="24" t="n"/>
      <c r="CC1341" s="24" t="n"/>
      <c r="CD1341" s="24" t="n"/>
      <c r="CE1341" s="24" t="n"/>
      <c r="CF1341" s="24" t="n"/>
      <c r="CG1341" s="24" t="n"/>
      <c r="CH1341" s="24" t="n"/>
      <c r="CI1341" s="24" t="n"/>
      <c r="CJ1341" s="24" t="n"/>
      <c r="CK1341" s="24" t="n"/>
      <c r="CL1341" s="24" t="n"/>
      <c r="CM1341" s="24" t="n"/>
      <c r="CN1341" s="24" t="n"/>
      <c r="CO1341" s="24" t="n"/>
      <c r="CP1341" s="24" t="n"/>
      <c r="CQ1341" s="24" t="n"/>
      <c r="CR1341" s="24" t="n"/>
      <c r="CS1341" s="24" t="inlineStr">
        <is>
          <t>False</t>
        </is>
      </c>
      <c r="CT1341" s="24" t="n"/>
      <c r="CU1341" s="24" t="n"/>
      <c r="CV1341" s="24" t="n"/>
      <c r="CW1341" s="24" t="n"/>
      <c r="CX1341" s="24" t="n"/>
      <c r="CY1341" s="24" t="n"/>
      <c r="CZ1341" s="24" t="n"/>
      <c r="DA1341" s="24" t="n"/>
      <c r="DB1341" s="24" t="n"/>
      <c r="DC1341" s="24" t="n"/>
      <c r="DD1341" s="24" t="inlineStr">
        <is>
          <t>c31ce7271e342e2f7a11d142dac29dc8de286f075051a255aa6a0ab3f73fc6a5</t>
        </is>
      </c>
      <c r="DE1341" s="24" t="inlineStr">
        <is>
          <t>E:\model-prediction\data\odds\tennis\2026-10-12\polymarket_snapshots.jsonl</t>
        </is>
      </c>
      <c r="DF1341" s="24" t="inlineStr">
        <is>
          <t>1368296:2026-10-12T10:27:01.816810Z</t>
        </is>
      </c>
      <c r="DG1341" s="24" t="n"/>
      <c r="DH1341" s="24" t="n"/>
      <c r="DI1341" s="24" t="n"/>
      <c r="DJ1341" s="24" t="n"/>
      <c r="DK1341" s="24" t="n"/>
      <c r="DL1341" s="24" t="n"/>
      <c r="DM1341" s="24" t="n"/>
      <c r="DN1341" s="24" t="n"/>
      <c r="DO1341" s="24" t="n"/>
      <c r="DP1341" s="24" t="n"/>
      <c r="DQ1341" s="24" t="inlineStr">
        <is>
          <t>{"artifact_hash": "7443acc419841200d57e1edf36b77f1940cdd0c48dce3d43fcd05498a109440b", "away_team": "Lina Gjorcheska", "event_id": "1079-2026:185403", "event_start_utc": "2026-10-12T12:00Z", "features": {"elo_p1_surface": 1418.3, "elo_p2_surface": 1576.5, "expected_games_p1": 5.91, "expected_games_p2": 12.6, "expected_total_games": 18.51, "history_matches": 16708, "min_player_matches": 32, "surface": "Hard"}, "historical_source_observation_times_verified": false, "home_team": "Clara Burel", "inference_inputs": {"best_of": 3, "code_sha256": {"features/elo_ratings.py": "d6513e79d65448c06cc0f9b9eed0eaa091567835128e1f6647a310da8d78a872", "models/tennis.py": "7443acc419841200d57e1edf36b77f1940cdd0c48dce3d43fcd05498a109440b"}, "counts": [32, 74], "market_probability": null, "model_version": "tennis-learned-v3", "overall_ratings": [1413.2402833259084, 1595.500192498499], "p_serve_a": 0.5002715490900063, "p_serve_b": 0.6797284509099937, "players": ["Lina Gjorcheska", "Clara Burel"], "rest_days": [20.0, 22.0], "sport": "TENNIS", "surface": "Hard", "surface_counts": [22, 66], "surface_ratings": [1418.3420550444323, 1576.5353138172538], "tour": "WTA"}, "market_type": "moneyline", "model_version": "tennis-learned-v3", "observed_at_utc": "2026-10-12T11:02:15.203395+00:00", "probabilities": {"away": 0.2245, "home": 0.7755}, "replay_scope": "Exact full-precision serving state and rounding; upstream historical observation times are not certified.", "schema": "coded-moneyline-replay-v1", "snapshot_hash": "c1c39e9b077f3a07714a692f8c9ba6dab512186607b133dbeca5294887b8ac0a", "sport": "TENNIS"}</t>
        </is>
      </c>
    </row>
    <row r="1342" ht="36" customHeight="1">
      <c r="A1342" s="24" t="inlineStr">
        <is>
          <t>f6dc886247ed4c7a</t>
        </is>
      </c>
      <c r="B1342" s="24" t="inlineStr">
        <is>
          <t>2026-10-12T11:02:18.552284Z</t>
        </is>
      </c>
      <c r="C1342" s="24" t="inlineStr">
        <is>
          <t>2026-10-12T13:30Z</t>
        </is>
      </c>
      <c r="D1342" s="24" t="inlineStr">
        <is>
          <t>1079-2026:185399</t>
        </is>
      </c>
      <c r="E1342" s="24" t="inlineStr">
        <is>
          <t>TENNIS</t>
        </is>
      </c>
      <c r="F1342" s="24" t="inlineStr">
        <is>
          <t>Jazmin Ortenzi</t>
        </is>
      </c>
      <c r="G1342" s="24" t="inlineStr">
        <is>
          <t>Barbora Palicova</t>
        </is>
      </c>
      <c r="H1342" s="24" t="inlineStr">
        <is>
          <t>total</t>
        </is>
      </c>
      <c r="I1342" s="24" t="inlineStr">
        <is>
          <t>under</t>
        </is>
      </c>
      <c r="J1342" s="25" t="n">
        <v>22.5</v>
      </c>
      <c r="K1342" s="24" t="inlineStr">
        <is>
          <t>polymarket_us</t>
        </is>
      </c>
      <c r="L1342" s="26" t="n">
        <v>-9900</v>
      </c>
      <c r="M1342" s="27" t="n">
        <v>1.010101</v>
      </c>
      <c r="N1342" s="28" t="n">
        <v>0.99</v>
      </c>
      <c r="O1342" s="28" t="n">
        <v>0.5173</v>
      </c>
      <c r="P1342" s="28" t="n">
        <v>0.05</v>
      </c>
      <c r="Q1342" s="28" t="n">
        <v>-0.4727</v>
      </c>
      <c r="R1342" s="26" t="n">
        <v>0</v>
      </c>
      <c r="S1342" s="29" t="n">
        <v>1</v>
      </c>
      <c r="T1342" s="24" t="inlineStr">
        <is>
          <t>tennis-learned-v3</t>
        </is>
      </c>
      <c r="U1342" s="24" t="inlineStr">
        <is>
          <t>settled</t>
        </is>
      </c>
      <c r="V1342" s="24" t="inlineStr">
        <is>
          <t>loss</t>
        </is>
      </c>
      <c r="W1342" s="26" t="n">
        <v>13</v>
      </c>
      <c r="X1342" s="26" t="n">
        <v>10</v>
      </c>
      <c r="Y1342" s="25" t="n"/>
      <c r="Z1342" s="26" t="n"/>
      <c r="AA1342" s="28" t="n"/>
      <c r="AB1342" s="28" t="n"/>
      <c r="AC1342" s="30" t="n">
        <v>-1</v>
      </c>
      <c r="AD1342" s="24" t="inlineStr">
        <is>
          <t>2026-10-12T22:02:26.789330Z</t>
        </is>
      </c>
      <c r="AE1342" s="31" t="inlineStr">
        <is>
          <t>Tennis Markov total games line 22.5: under p=0.517. Executable ask 0.9900 (tsc-wta-barpal-jazort-2026-10-12-tg-22pt5).</t>
        </is>
      </c>
      <c r="AF1342" s="31" t="inlineStr">
        <is>
          <t>Surface-blended Elo model; singles only, WTA+ATP market coverage, not yet locked-holdout qualified -- promoted by explicit operator directive, not genuine walk-forward validation.</t>
        </is>
      </c>
      <c r="AG1342" s="24" t="inlineStr">
        <is>
          <t>review_required</t>
        </is>
      </c>
      <c r="AH1342" s="24" t="n"/>
      <c r="AI1342" s="31" t="n"/>
      <c r="AJ1342" s="31" t="n"/>
      <c r="AK1342" s="24" t="inlineStr">
        <is>
          <t>paper_call</t>
        </is>
      </c>
      <c r="AL1342" s="26" t="n">
        <v>4</v>
      </c>
      <c r="AM1342" s="24" t="inlineStr">
        <is>
          <t>RESEARCH_OBSERVATION</t>
        </is>
      </c>
      <c r="AN1342" s="24" t="inlineStr">
        <is>
          <t>CALL</t>
        </is>
      </c>
      <c r="AO1342" s="24" t="inlineStr">
        <is>
          <t>PAPER_CALL_LOW_EDGE</t>
        </is>
      </c>
      <c r="AP1342" s="24" t="inlineStr">
        <is>
          <t>Jazmin Ortenzi</t>
        </is>
      </c>
      <c r="AQ1342" s="24" t="inlineStr">
        <is>
          <t>Jazmin Ortenzi</t>
        </is>
      </c>
      <c r="AR1342" s="24" t="inlineStr">
        <is>
          <t>Jazmin Ortenzi</t>
        </is>
      </c>
      <c r="AS1342" s="24" t="inlineStr">
        <is>
          <t>Barbora Palicova</t>
        </is>
      </c>
      <c r="AT1342" s="24" t="inlineStr">
        <is>
          <t>Barbora Palicova</t>
        </is>
      </c>
      <c r="AU1342" s="24" t="inlineStr">
        <is>
          <t>Barbora Palicova</t>
        </is>
      </c>
      <c r="AV1342" s="24" t="n"/>
      <c r="AW1342" s="24" t="n"/>
      <c r="AX1342" s="24" t="inlineStr">
        <is>
          <t>statistical_model</t>
        </is>
      </c>
      <c r="AY1342" s="24" t="n"/>
      <c r="AZ1342" s="24" t="inlineStr">
        <is>
          <t>shadow_qualified</t>
        </is>
      </c>
      <c r="BA1342" s="24" t="inlineStr">
        <is>
          <t>7443acc419841200d57e1edf36b77f1940cdd0c48dce3d43fcd05498a109440b</t>
        </is>
      </c>
      <c r="BB1342" s="24" t="inlineStr">
        <is>
          <t>learned_v3</t>
        </is>
      </c>
      <c r="BC1342" s="24" t="inlineStr">
        <is>
          <t>tennis-learned-v3</t>
        </is>
      </c>
      <c r="BD1342" s="24" t="inlineStr">
        <is>
          <t>7443acc419841200d57e1edf36b77f1940cdd0c48dce3d43fcd05498a109440b</t>
        </is>
      </c>
      <c r="BE1342" s="24" t="inlineStr">
        <is>
          <t>tennis-learned-v3</t>
        </is>
      </c>
      <c r="BF1342" s="24" t="inlineStr">
        <is>
          <t>1</t>
        </is>
      </c>
      <c r="BG1342" s="24" t="inlineStr">
        <is>
          <t>7443acc419841200d57e1edf36b77f1940cdd0c48dce3d43fcd05498a109440b</t>
        </is>
      </c>
      <c r="BH1342" s="24" t="inlineStr">
        <is>
          <t>2026-10-12T10:27:32.073530Z</t>
        </is>
      </c>
      <c r="BI1342" s="24" t="inlineStr">
        <is>
          <t>["same_event","same_team_same_day","same_league_same_day"]</t>
        </is>
      </c>
      <c r="BJ1342" s="25" t="n">
        <v>22.5</v>
      </c>
      <c r="BK1342" s="26" t="n">
        <v>-9900</v>
      </c>
      <c r="BL1342" s="27" t="n">
        <v>1.010101</v>
      </c>
      <c r="BM1342" s="28" t="n">
        <v>0.99</v>
      </c>
      <c r="BN1342" s="28" t="n"/>
      <c r="BO1342" s="28" t="n"/>
      <c r="BP1342" s="25" t="n"/>
      <c r="BQ1342" s="27" t="n"/>
      <c r="BR1342" s="28" t="n"/>
      <c r="BS1342" s="28" t="n"/>
      <c r="BT1342" s="28" t="n"/>
      <c r="BU1342" s="25" t="n"/>
      <c r="BV1342" s="29" t="n"/>
      <c r="BW1342" s="24" t="n"/>
      <c r="BX1342" s="30" t="n"/>
      <c r="BY1342" s="27" t="n"/>
      <c r="BZ1342" s="24" t="n"/>
      <c r="CA1342" s="31" t="n"/>
      <c r="CB1342" s="24" t="n"/>
      <c r="CC1342" s="24" t="n"/>
      <c r="CD1342" s="24" t="n"/>
      <c r="CE1342" s="24" t="n"/>
      <c r="CF1342" s="24" t="n"/>
      <c r="CG1342" s="24" t="n"/>
      <c r="CH1342" s="24" t="n"/>
      <c r="CI1342" s="24" t="n"/>
      <c r="CJ1342" s="24" t="n"/>
      <c r="CK1342" s="24" t="n"/>
      <c r="CL1342" s="24" t="n"/>
      <c r="CM1342" s="24" t="n"/>
      <c r="CN1342" s="24" t="n"/>
      <c r="CO1342" s="24" t="n"/>
      <c r="CP1342" s="24" t="n"/>
      <c r="CQ1342" s="24" t="n"/>
      <c r="CR1342" s="24" t="n"/>
      <c r="CS1342" s="24" t="inlineStr">
        <is>
          <t>False</t>
        </is>
      </c>
      <c r="CT1342" s="24" t="n"/>
      <c r="CU1342" s="24" t="n"/>
      <c r="CV1342" s="24" t="n"/>
      <c r="CW1342" s="24" t="n"/>
      <c r="CX1342" s="24" t="n"/>
      <c r="CY1342" s="24" t="n"/>
      <c r="CZ1342" s="24" t="n"/>
      <c r="DA1342" s="24" t="n"/>
      <c r="DB1342" s="24" t="n"/>
      <c r="DC1342" s="24" t="n"/>
      <c r="DD1342" s="24" t="inlineStr">
        <is>
          <t>7bc0642884c0b9c2fd1893ad1f85b455b6a0a4fa2b8bd9b395c50667e9f7fcf2</t>
        </is>
      </c>
      <c r="DE1342" s="24" t="inlineStr">
        <is>
          <t>E:\model-prediction\data\odds\tennis\2026-10-12\polymarket_snapshots.jsonl</t>
        </is>
      </c>
      <c r="DF1342" s="24" t="inlineStr">
        <is>
          <t>1368982:2026-10-12T10:27:32.073530Z</t>
        </is>
      </c>
      <c r="DG1342" s="24" t="n"/>
      <c r="DH1342" s="24" t="n"/>
      <c r="DI1342" s="24" t="n"/>
      <c r="DJ1342" s="24" t="n"/>
      <c r="DK1342" s="24" t="n"/>
      <c r="DL1342" s="24" t="n"/>
      <c r="DM1342" s="24" t="n"/>
      <c r="DN1342" s="24" t="n"/>
      <c r="DO1342" s="24" t="n"/>
      <c r="DP1342" s="24" t="n"/>
      <c r="DQ1342" s="24" t="n"/>
    </row>
    <row r="1343" ht="36" customHeight="1">
      <c r="A1343" s="24" t="inlineStr">
        <is>
          <t>c4d47fb4eef8442d</t>
        </is>
      </c>
      <c r="B1343" s="24" t="inlineStr">
        <is>
          <t>2026-10-12T11:02:18.552284Z</t>
        </is>
      </c>
      <c r="C1343" s="24" t="inlineStr">
        <is>
          <t>2026-10-12T13:30Z</t>
        </is>
      </c>
      <c r="D1343" s="24" t="inlineStr">
        <is>
          <t>1079-2026:185399</t>
        </is>
      </c>
      <c r="E1343" s="24" t="inlineStr">
        <is>
          <t>TENNIS</t>
        </is>
      </c>
      <c r="F1343" s="24" t="inlineStr">
        <is>
          <t>Jazmin Ortenzi</t>
        </is>
      </c>
      <c r="G1343" s="24" t="inlineStr">
        <is>
          <t>Barbora Palicova</t>
        </is>
      </c>
      <c r="H1343" s="24" t="inlineStr">
        <is>
          <t>spread</t>
        </is>
      </c>
      <c r="I1343" s="24" t="inlineStr">
        <is>
          <t>away</t>
        </is>
      </c>
      <c r="J1343" s="25" t="n">
        <v>-4.5</v>
      </c>
      <c r="K1343" s="24" t="inlineStr">
        <is>
          <t>polymarket_us</t>
        </is>
      </c>
      <c r="L1343" s="26" t="n">
        <v>144</v>
      </c>
      <c r="M1343" s="27" t="n">
        <v>2.44</v>
      </c>
      <c r="N1343" s="28" t="n">
        <v>0.409836</v>
      </c>
      <c r="O1343" s="28" t="n">
        <v>0.9479</v>
      </c>
      <c r="P1343" s="28" t="n">
        <v>0.05</v>
      </c>
      <c r="Q1343" s="28" t="n">
        <v>0.538064</v>
      </c>
      <c r="R1343" s="26" t="n">
        <v>100</v>
      </c>
      <c r="S1343" s="29" t="n">
        <v>2</v>
      </c>
      <c r="T1343" s="24" t="inlineStr">
        <is>
          <t>tennis-learned-v3</t>
        </is>
      </c>
      <c r="U1343" s="24" t="inlineStr">
        <is>
          <t>settled</t>
        </is>
      </c>
      <c r="V1343" s="24" t="inlineStr">
        <is>
          <t>loss</t>
        </is>
      </c>
      <c r="W1343" s="26" t="n">
        <v>13</v>
      </c>
      <c r="X1343" s="26" t="n">
        <v>10</v>
      </c>
      <c r="Y1343" s="25" t="n"/>
      <c r="Z1343" s="26" t="n"/>
      <c r="AA1343" s="28" t="n"/>
      <c r="AB1343" s="28" t="n"/>
      <c r="AC1343" s="30" t="n">
        <v>-2</v>
      </c>
      <c r="AD1343" s="24" t="inlineStr">
        <is>
          <t>2026-10-12T22:02:31.867026Z</t>
        </is>
      </c>
      <c r="AE1343" s="31" t="inlineStr">
        <is>
          <t>Tennis Markov game spread -4.5 games: away cover p=0.948. Executable ask 0.4100 (asc-wta-barpal-jazort-2026-10-12-gs-neg-4pt5).</t>
        </is>
      </c>
      <c r="AF1343" s="31" t="inlineStr">
        <is>
          <t>Surface-blended Elo model; singles only, WTA+ATP market coverage, not yet locked-holdout qualified -- promoted by explicit operator directive, not genuine walk-forward validation.</t>
        </is>
      </c>
      <c r="AG1343" s="24" t="inlineStr">
        <is>
          <t>review_required</t>
        </is>
      </c>
      <c r="AH1343" s="24" t="n"/>
      <c r="AI1343" s="31" t="n"/>
      <c r="AJ1343" s="31" t="n"/>
      <c r="AK1343" s="24" t="inlineStr">
        <is>
          <t>model_qualified</t>
        </is>
      </c>
      <c r="AL1343" s="26" t="n">
        <v>4</v>
      </c>
      <c r="AM1343" s="24" t="inlineStr">
        <is>
          <t>QUALIFIED_SHADOW_CALL</t>
        </is>
      </c>
      <c r="AN1343" s="24" t="inlineStr">
        <is>
          <t>CALL</t>
        </is>
      </c>
      <c r="AO1343" s="24" t="inlineStr">
        <is>
          <t>QUALIFIED</t>
        </is>
      </c>
      <c r="AP1343" s="24" t="inlineStr">
        <is>
          <t>Jazmin Ortenzi</t>
        </is>
      </c>
      <c r="AQ1343" s="24" t="inlineStr">
        <is>
          <t>Jazmin Ortenzi</t>
        </is>
      </c>
      <c r="AR1343" s="24" t="inlineStr">
        <is>
          <t>Jazmin Ortenzi</t>
        </is>
      </c>
      <c r="AS1343" s="24" t="inlineStr">
        <is>
          <t>Barbora Palicova</t>
        </is>
      </c>
      <c r="AT1343" s="24" t="inlineStr">
        <is>
          <t>Barbora Palicova</t>
        </is>
      </c>
      <c r="AU1343" s="24" t="inlineStr">
        <is>
          <t>Barbora Palicova</t>
        </is>
      </c>
      <c r="AV1343" s="24" t="n"/>
      <c r="AW1343" s="24" t="n"/>
      <c r="AX1343" s="24" t="inlineStr">
        <is>
          <t>statistical_model</t>
        </is>
      </c>
      <c r="AY1343" s="24" t="n"/>
      <c r="AZ1343" s="24" t="inlineStr">
        <is>
          <t>shadow_qualified</t>
        </is>
      </c>
      <c r="BA1343" s="24" t="inlineStr">
        <is>
          <t>7443acc419841200d57e1edf36b77f1940cdd0c48dce3d43fcd05498a109440b</t>
        </is>
      </c>
      <c r="BB1343" s="24" t="inlineStr">
        <is>
          <t>learned_v3</t>
        </is>
      </c>
      <c r="BC1343" s="24" t="inlineStr">
        <is>
          <t>tennis-learned-v3</t>
        </is>
      </c>
      <c r="BD1343" s="24" t="inlineStr">
        <is>
          <t>7443acc419841200d57e1edf36b77f1940cdd0c48dce3d43fcd05498a109440b</t>
        </is>
      </c>
      <c r="BE1343" s="24" t="inlineStr">
        <is>
          <t>tennis-learned-v3</t>
        </is>
      </c>
      <c r="BF1343" s="24" t="inlineStr">
        <is>
          <t>1</t>
        </is>
      </c>
      <c r="BG1343" s="24" t="inlineStr">
        <is>
          <t>7443acc419841200d57e1edf36b77f1940cdd0c48dce3d43fcd05498a109440b</t>
        </is>
      </c>
      <c r="BH1343" s="24" t="inlineStr">
        <is>
          <t>2026-10-12T05:02:05.431910Z</t>
        </is>
      </c>
      <c r="BI1343" s="24" t="inlineStr">
        <is>
          <t>["same_event","same_team_same_day","same_league_same_day"]</t>
        </is>
      </c>
      <c r="BJ1343" s="25" t="n">
        <v>-4.5</v>
      </c>
      <c r="BK1343" s="26" t="n">
        <v>144</v>
      </c>
      <c r="BL1343" s="27" t="n">
        <v>2.44</v>
      </c>
      <c r="BM1343" s="28" t="n">
        <v>0.409836</v>
      </c>
      <c r="BN1343" s="28" t="n"/>
      <c r="BO1343" s="28" t="n"/>
      <c r="BP1343" s="25" t="n"/>
      <c r="BQ1343" s="27" t="n"/>
      <c r="BR1343" s="28" t="n"/>
      <c r="BS1343" s="28" t="n"/>
      <c r="BT1343" s="28" t="n"/>
      <c r="BU1343" s="25" t="n"/>
      <c r="BV1343" s="29" t="n"/>
      <c r="BW1343" s="24" t="n"/>
      <c r="BX1343" s="30" t="n"/>
      <c r="BY1343" s="27" t="n"/>
      <c r="BZ1343" s="24" t="n"/>
      <c r="CA1343" s="31" t="n"/>
      <c r="CB1343" s="24" t="n"/>
      <c r="CC1343" s="24" t="n"/>
      <c r="CD1343" s="24" t="n"/>
      <c r="CE1343" s="24" t="n"/>
      <c r="CF1343" s="24" t="n"/>
      <c r="CG1343" s="24" t="n"/>
      <c r="CH1343" s="24" t="n"/>
      <c r="CI1343" s="24" t="n"/>
      <c r="CJ1343" s="24" t="n"/>
      <c r="CK1343" s="24" t="n"/>
      <c r="CL1343" s="24" t="n"/>
      <c r="CM1343" s="24" t="n"/>
      <c r="CN1343" s="24" t="n"/>
      <c r="CO1343" s="24" t="n"/>
      <c r="CP1343" s="24" t="n"/>
      <c r="CQ1343" s="24" t="n"/>
      <c r="CR1343" s="24" t="n"/>
      <c r="CS1343" s="24" t="inlineStr">
        <is>
          <t>True</t>
        </is>
      </c>
      <c r="CT1343" s="24" t="n"/>
      <c r="CU1343" s="24" t="n"/>
      <c r="CV1343" s="24" t="n"/>
      <c r="CW1343" s="24" t="n"/>
      <c r="CX1343" s="24" t="n"/>
      <c r="CY1343" s="24" t="n"/>
      <c r="CZ1343" s="24" t="n"/>
      <c r="DA1343" s="24" t="n"/>
      <c r="DB1343" s="24" t="n"/>
      <c r="DC1343" s="24" t="n"/>
      <c r="DD1343" s="24" t="inlineStr">
        <is>
          <t>61971fc8790b18c31934a4c75e1fc53a5b7e4f82ea1718453036184c1efb2b0e</t>
        </is>
      </c>
      <c r="DE1343" s="24" t="inlineStr">
        <is>
          <t>E:\model-prediction\data\odds\tennis\2026-10-12\polymarket_snapshots.jsonl</t>
        </is>
      </c>
      <c r="DF1343" s="24" t="inlineStr">
        <is>
          <t>1369002:2026-10-12T05:02:05.431910Z</t>
        </is>
      </c>
      <c r="DG1343" s="24" t="n"/>
      <c r="DH1343" s="24" t="n"/>
      <c r="DI1343" s="24" t="n"/>
      <c r="DJ1343" s="24" t="n"/>
      <c r="DK1343" s="24" t="n"/>
      <c r="DL1343" s="24" t="n"/>
      <c r="DM1343" s="24" t="n"/>
      <c r="DN1343" s="24" t="n"/>
      <c r="DO1343" s="24" t="n"/>
      <c r="DP1343" s="24" t="n"/>
      <c r="DQ1343" s="24" t="n"/>
    </row>
    <row r="1344" ht="36" customHeight="1">
      <c r="A1344" s="24" t="inlineStr">
        <is>
          <t>079e596ce1284731</t>
        </is>
      </c>
      <c r="B1344" s="24" t="inlineStr">
        <is>
          <t>2026-10-12T11:02:18.552284Z</t>
        </is>
      </c>
      <c r="C1344" s="24" t="inlineStr">
        <is>
          <t>2026-10-12T15:00Z</t>
        </is>
      </c>
      <c r="D1344" s="24" t="inlineStr">
        <is>
          <t>1079-2026:185395</t>
        </is>
      </c>
      <c r="E1344" s="24" t="inlineStr">
        <is>
          <t>TENNIS</t>
        </is>
      </c>
      <c r="F1344" s="24" t="inlineStr">
        <is>
          <t>Alice Rame</t>
        </is>
      </c>
      <c r="G1344" s="24" t="inlineStr">
        <is>
          <t>Leyre Romero Gormaz</t>
        </is>
      </c>
      <c r="H1344" s="24" t="inlineStr">
        <is>
          <t>moneyline</t>
        </is>
      </c>
      <c r="I1344" s="24" t="inlineStr">
        <is>
          <t>home</t>
        </is>
      </c>
      <c r="J1344" s="25" t="n"/>
      <c r="K1344" s="24" t="inlineStr">
        <is>
          <t>polymarket_us</t>
        </is>
      </c>
      <c r="L1344" s="26" t="n">
        <v>-245</v>
      </c>
      <c r="M1344" s="27" t="n">
        <v>1.408163</v>
      </c>
      <c r="N1344" s="28" t="n">
        <v>0.710145</v>
      </c>
      <c r="O1344" s="28" t="n">
        <v>0.747</v>
      </c>
      <c r="P1344" s="28" t="n">
        <v>0.05</v>
      </c>
      <c r="Q1344" s="28" t="n">
        <v>0.036855</v>
      </c>
      <c r="R1344" s="26" t="n">
        <v>38</v>
      </c>
      <c r="S1344" s="29" t="n">
        <v>1</v>
      </c>
      <c r="T1344" s="24" t="inlineStr">
        <is>
          <t>tennis-learned-v3</t>
        </is>
      </c>
      <c r="U1344" s="24" t="inlineStr">
        <is>
          <t>settled</t>
        </is>
      </c>
      <c r="V1344" s="24" t="inlineStr">
        <is>
          <t>win</t>
        </is>
      </c>
      <c r="W1344" s="26" t="n">
        <v>0</v>
      </c>
      <c r="X1344" s="26" t="n">
        <v>1</v>
      </c>
      <c r="Y1344" s="25" t="n"/>
      <c r="Z1344" s="26" t="n">
        <v>-245</v>
      </c>
      <c r="AA1344" s="28" t="n">
        <v>0.71</v>
      </c>
      <c r="AB1344" s="28" t="n">
        <v>-0.000145</v>
      </c>
      <c r="AC1344" s="30" t="n">
        <v>0.4082</v>
      </c>
      <c r="AD1344" s="24" t="inlineStr">
        <is>
          <t>2026-10-12T22:02:37.179677Z</t>
        </is>
      </c>
      <c r="AE1344" s="31" t="inlineStr">
        <is>
          <t>Tennis v3 Learned Fundamental on Hard (Bo3): Alice Rame p=0.253 vs Leyre Romero Gormaz. Executable ask 0.7100 (aec-wta-leygor-aliram-2026-10-12).</t>
        </is>
      </c>
      <c r="AF1344" s="31" t="inlineStr">
        <is>
          <t>Surface-blended Elo model; singles only, WTA+ATP market coverage, not yet locked-holdout qualified -- promoted by explicit operator directive, not genuine walk-forward validation.</t>
        </is>
      </c>
      <c r="AG1344" s="24" t="inlineStr">
        <is>
          <t>not_applicable</t>
        </is>
      </c>
      <c r="AH1344" s="24" t="n"/>
      <c r="AI1344" s="31" t="n"/>
      <c r="AJ1344" s="31" t="n"/>
      <c r="AK1344" s="24" t="inlineStr">
        <is>
          <t>paper_call</t>
        </is>
      </c>
      <c r="AL1344" s="26" t="n">
        <v>4</v>
      </c>
      <c r="AM1344" s="24" t="inlineStr">
        <is>
          <t>RESEARCH_OBSERVATION</t>
        </is>
      </c>
      <c r="AN1344" s="24" t="inlineStr">
        <is>
          <t>CALL</t>
        </is>
      </c>
      <c r="AO1344" s="24" t="inlineStr">
        <is>
          <t>PAPER_CALL_LOW_EDGE</t>
        </is>
      </c>
      <c r="AP1344" s="24" t="inlineStr">
        <is>
          <t>Alice Rame</t>
        </is>
      </c>
      <c r="AQ1344" s="24" t="inlineStr">
        <is>
          <t>Alice Rame</t>
        </is>
      </c>
      <c r="AR1344" s="24" t="inlineStr">
        <is>
          <t>Alice Rame</t>
        </is>
      </c>
      <c r="AS1344" s="24" t="inlineStr">
        <is>
          <t>Leyre Romero Gormaz</t>
        </is>
      </c>
      <c r="AT1344" s="24" t="inlineStr">
        <is>
          <t>Leyre Romero Gormaz</t>
        </is>
      </c>
      <c r="AU1344" s="24" t="inlineStr">
        <is>
          <t>Leyre Romero Gormaz</t>
        </is>
      </c>
      <c r="AV1344" s="24" t="n"/>
      <c r="AW1344" s="24" t="n"/>
      <c r="AX1344" s="24" t="inlineStr">
        <is>
          <t>statistical_model</t>
        </is>
      </c>
      <c r="AY1344" s="24" t="n"/>
      <c r="AZ1344" s="24" t="inlineStr">
        <is>
          <t>shadow_qualified</t>
        </is>
      </c>
      <c r="BA1344" s="24" t="inlineStr">
        <is>
          <t>7443acc419841200d57e1edf36b77f1940cdd0c48dce3d43fcd05498a109440b</t>
        </is>
      </c>
      <c r="BB1344" s="24" t="inlineStr">
        <is>
          <t>learned_v3</t>
        </is>
      </c>
      <c r="BC1344" s="24" t="inlineStr">
        <is>
          <t>tennis-learned-v3</t>
        </is>
      </c>
      <c r="BD1344" s="24" t="inlineStr">
        <is>
          <t>7443acc419841200d57e1edf36b77f1940cdd0c48dce3d43fcd05498a109440b</t>
        </is>
      </c>
      <c r="BE1344" s="24" t="inlineStr">
        <is>
          <t>tennis-learned-v3</t>
        </is>
      </c>
      <c r="BF1344" s="24" t="inlineStr">
        <is>
          <t>1</t>
        </is>
      </c>
      <c r="BG1344" s="24" t="inlineStr">
        <is>
          <t>7443acc419841200d57e1edf36b77f1940cdd0c48dce3d43fcd05498a109440b</t>
        </is>
      </c>
      <c r="BH1344" s="24" t="inlineStr">
        <is>
          <t>2026-10-12T10:28:12.374660Z</t>
        </is>
      </c>
      <c r="BI1344" s="24" t="inlineStr">
        <is>
          <t>["same_event","same_team_same_day","same_league_same_day"]</t>
        </is>
      </c>
      <c r="BJ1344" s="25" t="n"/>
      <c r="BK1344" s="26" t="n">
        <v>-245</v>
      </c>
      <c r="BL1344" s="27" t="n">
        <v>1.408163</v>
      </c>
      <c r="BM1344" s="28" t="n">
        <v>0.710145</v>
      </c>
      <c r="BN1344" s="28" t="n"/>
      <c r="BO1344" s="28" t="n"/>
      <c r="BP1344" s="25" t="n"/>
      <c r="BQ1344" s="27" t="n">
        <v>1.408163</v>
      </c>
      <c r="BR1344" s="28" t="n">
        <v>0.71</v>
      </c>
      <c r="BS1344" s="28" t="n"/>
      <c r="BT1344" s="28" t="n"/>
      <c r="BU1344" s="25" t="n"/>
      <c r="BV1344" s="29" t="n"/>
      <c r="BW1344" s="24" t="n"/>
      <c r="BX1344" s="30" t="n"/>
      <c r="BY1344" s="27" t="n"/>
      <c r="BZ1344" s="24" t="n"/>
      <c r="CA1344" s="31" t="n"/>
      <c r="CB1344" s="24" t="n"/>
      <c r="CC1344" s="24" t="n"/>
      <c r="CD1344" s="24" t="n"/>
      <c r="CE1344" s="24" t="n"/>
      <c r="CF1344" s="24" t="n"/>
      <c r="CG1344" s="24" t="n"/>
      <c r="CH1344" s="24" t="n"/>
      <c r="CI1344" s="24" t="n"/>
      <c r="CJ1344" s="24" t="n"/>
      <c r="CK1344" s="24" t="n"/>
      <c r="CL1344" s="24" t="n"/>
      <c r="CM1344" s="24" t="n"/>
      <c r="CN1344" s="24" t="n"/>
      <c r="CO1344" s="24" t="n"/>
      <c r="CP1344" s="24" t="n"/>
      <c r="CQ1344" s="24" t="n"/>
      <c r="CR1344" s="24" t="n"/>
      <c r="CS1344" s="24" t="inlineStr">
        <is>
          <t>True</t>
        </is>
      </c>
      <c r="CT1344" s="24" t="n"/>
      <c r="CU1344" s="24" t="n"/>
      <c r="CV1344" s="24" t="n"/>
      <c r="CW1344" s="24" t="n"/>
      <c r="CX1344" s="24" t="n"/>
      <c r="CY1344" s="24" t="n"/>
      <c r="CZ1344" s="24" t="n"/>
      <c r="DA1344" s="24" t="n"/>
      <c r="DB1344" s="24" t="n"/>
      <c r="DC1344" s="24" t="n"/>
      <c r="DD1344" s="24" t="inlineStr">
        <is>
          <t>15d5065d8515fc56e69fc99963ed16ac58db348e287682aa9346688045229a5a</t>
        </is>
      </c>
      <c r="DE1344" s="24" t="inlineStr">
        <is>
          <t>E:\model-prediction\data\odds\tennis\2026-10-12\polymarket_snapshots.jsonl</t>
        </is>
      </c>
      <c r="DF1344" s="24" t="inlineStr">
        <is>
          <t>1368294:2026-10-12T10:28:12.374660Z</t>
        </is>
      </c>
      <c r="DG1344" s="24" t="n"/>
      <c r="DH1344" s="24" t="n"/>
      <c r="DI1344" s="24" t="n"/>
      <c r="DJ1344" s="24" t="n"/>
      <c r="DK1344" s="24" t="n"/>
      <c r="DL1344" s="24" t="n"/>
      <c r="DM1344" s="24" t="n"/>
      <c r="DN1344" s="24" t="n"/>
      <c r="DO1344" s="24" t="n"/>
      <c r="DP1344" s="24" t="n"/>
      <c r="DQ1344" s="24" t="inlineStr">
        <is>
          <t>{"artifact_hash": "7443acc419841200d57e1edf36b77f1940cdd0c48dce3d43fcd05498a109440b", "away_team": "Alice Rame", "event_id": "1079-2026:185395", "event_start_utc": "2026-10-12T15:00Z", "features": {"elo_p1_surface": 1463.7, "elo_p2_surface": 1543.9, "expected_games_p1": 6.62, "expected_games_p2": 12.79, "expected_total_games": 19.42, "history_matches": 16708, "min_player_matches": 29, "surface": "Hard"}, "historical_source_observation_times_verified": false, "home_team": "Leyre Romero Gormaz", "inference_inputs": {"best_of": 3, "code_sha256": {"features/elo_ratings.py": "d6513e79d65448c06cc0f9b9eed0eaa091567835128e1f6647a310da8d78a872", "models/tennis.py": "7443acc419841200d57e1edf36b77f1940cdd0c48dce3d43fcd05498a109440b"}, "counts": [29, 113], "market_probability": null, "model_version": "tennis-learned-v3", "overall_ratings": [1439.379132634721, 1537.3941687102815], "p_serve_a": 0.5116424552566027, "p_serve_b": 0.6683575447433973, "players": ["Alice Rame", "Leyre Romero Gormaz"], "rest_days": [60.0, 19.0], "sport": "TENNIS", "surface": "Hard", "surface_counts": [27, 90], "surface_ratings": [1463.6685430898108, 1543.8747908569783], "tour": "WTA"}, "market_type": "moneyline", "model_version": "tennis-learned-v3", "observed_at_utc": "2026-10-12T11:02:15.203395+00:00", "probabilities": {"away": 0.253, "home": 0.747}, "replay_scope": "Exact full-precision serving state and rounding; upstream historical observation times are not certified.", "schema": "coded-moneyline-replay-v1", "snapshot_hash": "a0780da28fb747fab1d9237fb4a961e61c3900c56fb42fd7cb538a6c4ea96ad5", "sport": "TENNIS"}</t>
        </is>
      </c>
    </row>
    <row r="1345" ht="36" customHeight="1">
      <c r="A1345" s="24" t="inlineStr">
        <is>
          <t>f12f6479d08b4b6f</t>
        </is>
      </c>
      <c r="B1345" s="24" t="inlineStr">
        <is>
          <t>2026-10-12T11:02:18.552284Z</t>
        </is>
      </c>
      <c r="C1345" s="24" t="inlineStr">
        <is>
          <t>2026-10-12T15:00Z</t>
        </is>
      </c>
      <c r="D1345" s="24" t="inlineStr">
        <is>
          <t>1079-2026:185395</t>
        </is>
      </c>
      <c r="E1345" s="24" t="inlineStr">
        <is>
          <t>TENNIS</t>
        </is>
      </c>
      <c r="F1345" s="24" t="inlineStr">
        <is>
          <t>Alice Rame</t>
        </is>
      </c>
      <c r="G1345" s="24" t="inlineStr">
        <is>
          <t>Leyre Romero Gormaz</t>
        </is>
      </c>
      <c r="H1345" s="24" t="inlineStr">
        <is>
          <t>spread</t>
        </is>
      </c>
      <c r="I1345" s="24" t="inlineStr">
        <is>
          <t>home</t>
        </is>
      </c>
      <c r="J1345" s="25" t="n">
        <v>-4.5</v>
      </c>
      <c r="K1345" s="24" t="inlineStr">
        <is>
          <t>polymarket_us</t>
        </is>
      </c>
      <c r="L1345" s="26" t="n">
        <v>-108</v>
      </c>
      <c r="M1345" s="27" t="n">
        <v>1.925926</v>
      </c>
      <c r="N1345" s="28" t="n">
        <v>0.519231</v>
      </c>
      <c r="O1345" s="28" t="n">
        <v>0.7835</v>
      </c>
      <c r="P1345" s="28" t="n">
        <v>0.05</v>
      </c>
      <c r="Q1345" s="28" t="n">
        <v>0.264269</v>
      </c>
      <c r="R1345" s="26" t="n">
        <v>100</v>
      </c>
      <c r="S1345" s="29" t="n">
        <v>2</v>
      </c>
      <c r="T1345" s="24" t="inlineStr">
        <is>
          <t>tennis-learned-v3</t>
        </is>
      </c>
      <c r="U1345" s="24" t="inlineStr">
        <is>
          <t>settled</t>
        </is>
      </c>
      <c r="V1345" s="24" t="inlineStr">
        <is>
          <t>loss</t>
        </is>
      </c>
      <c r="W1345" s="26" t="n">
        <v>13</v>
      </c>
      <c r="X1345" s="26" t="n">
        <v>17</v>
      </c>
      <c r="Y1345" s="25" t="n"/>
      <c r="Z1345" s="26" t="n"/>
      <c r="AA1345" s="28" t="n"/>
      <c r="AB1345" s="28" t="n"/>
      <c r="AC1345" s="30" t="n">
        <v>-2</v>
      </c>
      <c r="AD1345" s="24" t="inlineStr">
        <is>
          <t>2026-10-12T22:02:44.037558Z</t>
        </is>
      </c>
      <c r="AE1345" s="31" t="inlineStr">
        <is>
          <t>Tennis Markov game spread -4.5 games: home cover p=0.784. Executable ask 0.5200 (asc-wta-leygor-aliram-2026-10-12-gs-neg-4pt5).</t>
        </is>
      </c>
      <c r="AF1345" s="31" t="inlineStr">
        <is>
          <t>Surface-blended Elo model; singles only, WTA+ATP market coverage, not yet locked-holdout qualified -- promoted by explicit operator directive, not genuine walk-forward validation.</t>
        </is>
      </c>
      <c r="AG1345" s="24" t="inlineStr">
        <is>
          <t>review_required</t>
        </is>
      </c>
      <c r="AH1345" s="24" t="n"/>
      <c r="AI1345" s="31" t="n"/>
      <c r="AJ1345" s="31" t="n"/>
      <c r="AK1345" s="24" t="inlineStr">
        <is>
          <t>model_qualified</t>
        </is>
      </c>
      <c r="AL1345" s="26" t="n">
        <v>4</v>
      </c>
      <c r="AM1345" s="24" t="inlineStr">
        <is>
          <t>QUALIFIED_SHADOW_CALL</t>
        </is>
      </c>
      <c r="AN1345" s="24" t="inlineStr">
        <is>
          <t>CALL</t>
        </is>
      </c>
      <c r="AO1345" s="24" t="inlineStr">
        <is>
          <t>QUALIFIED</t>
        </is>
      </c>
      <c r="AP1345" s="24" t="inlineStr">
        <is>
          <t>Alice Rame</t>
        </is>
      </c>
      <c r="AQ1345" s="24" t="inlineStr">
        <is>
          <t>Alice Rame</t>
        </is>
      </c>
      <c r="AR1345" s="24" t="inlineStr">
        <is>
          <t>Alice Rame</t>
        </is>
      </c>
      <c r="AS1345" s="24" t="inlineStr">
        <is>
          <t>Leyre Romero Gormaz</t>
        </is>
      </c>
      <c r="AT1345" s="24" t="inlineStr">
        <is>
          <t>Leyre Romero Gormaz</t>
        </is>
      </c>
      <c r="AU1345" s="24" t="inlineStr">
        <is>
          <t>Leyre Romero Gormaz</t>
        </is>
      </c>
      <c r="AV1345" s="24" t="n"/>
      <c r="AW1345" s="24" t="n"/>
      <c r="AX1345" s="24" t="inlineStr">
        <is>
          <t>statistical_model</t>
        </is>
      </c>
      <c r="AY1345" s="24" t="n"/>
      <c r="AZ1345" s="24" t="inlineStr">
        <is>
          <t>shadow_qualified</t>
        </is>
      </c>
      <c r="BA1345" s="24" t="inlineStr">
        <is>
          <t>7443acc419841200d57e1edf36b77f1940cdd0c48dce3d43fcd05498a109440b</t>
        </is>
      </c>
      <c r="BB1345" s="24" t="inlineStr">
        <is>
          <t>learned_v3</t>
        </is>
      </c>
      <c r="BC1345" s="24" t="inlineStr">
        <is>
          <t>tennis-learned-v3</t>
        </is>
      </c>
      <c r="BD1345" s="24" t="inlineStr">
        <is>
          <t>7443acc419841200d57e1edf36b77f1940cdd0c48dce3d43fcd05498a109440b</t>
        </is>
      </c>
      <c r="BE1345" s="24" t="inlineStr">
        <is>
          <t>tennis-learned-v3</t>
        </is>
      </c>
      <c r="BF1345" s="24" t="inlineStr">
        <is>
          <t>1</t>
        </is>
      </c>
      <c r="BG1345" s="24" t="inlineStr">
        <is>
          <t>7443acc419841200d57e1edf36b77f1940cdd0c48dce3d43fcd05498a109440b</t>
        </is>
      </c>
      <c r="BH1345" s="24" t="inlineStr">
        <is>
          <t>2026-10-12T10:28:32.512317Z</t>
        </is>
      </c>
      <c r="BI1345" s="24" t="inlineStr">
        <is>
          <t>["same_event","same_team_same_day","same_league_same_day"]</t>
        </is>
      </c>
      <c r="BJ1345" s="25" t="n">
        <v>-4.5</v>
      </c>
      <c r="BK1345" s="26" t="n">
        <v>-108</v>
      </c>
      <c r="BL1345" s="27" t="n">
        <v>1.925926</v>
      </c>
      <c r="BM1345" s="28" t="n">
        <v>0.519231</v>
      </c>
      <c r="BN1345" s="28" t="n"/>
      <c r="BO1345" s="28" t="n"/>
      <c r="BP1345" s="25" t="n"/>
      <c r="BQ1345" s="27" t="n"/>
      <c r="BR1345" s="28" t="n"/>
      <c r="BS1345" s="28" t="n"/>
      <c r="BT1345" s="28" t="n"/>
      <c r="BU1345" s="25" t="n"/>
      <c r="BV1345" s="29" t="n"/>
      <c r="BW1345" s="24" t="n"/>
      <c r="BX1345" s="30" t="n"/>
      <c r="BY1345" s="27" t="n"/>
      <c r="BZ1345" s="24" t="n"/>
      <c r="CA1345" s="31" t="n"/>
      <c r="CB1345" s="24" t="n"/>
      <c r="CC1345" s="24" t="n"/>
      <c r="CD1345" s="24" t="n"/>
      <c r="CE1345" s="24" t="n"/>
      <c r="CF1345" s="24" t="n"/>
      <c r="CG1345" s="24" t="n"/>
      <c r="CH1345" s="24" t="n"/>
      <c r="CI1345" s="24" t="n"/>
      <c r="CJ1345" s="24" t="n"/>
      <c r="CK1345" s="24" t="n"/>
      <c r="CL1345" s="24" t="n"/>
      <c r="CM1345" s="24" t="n"/>
      <c r="CN1345" s="24" t="n"/>
      <c r="CO1345" s="24" t="n"/>
      <c r="CP1345" s="24" t="n"/>
      <c r="CQ1345" s="24" t="n"/>
      <c r="CR1345" s="24" t="n"/>
      <c r="CS1345" s="24" t="inlineStr">
        <is>
          <t>True</t>
        </is>
      </c>
      <c r="CT1345" s="24" t="n"/>
      <c r="CU1345" s="24" t="n"/>
      <c r="CV1345" s="24" t="n"/>
      <c r="CW1345" s="24" t="n"/>
      <c r="CX1345" s="24" t="n"/>
      <c r="CY1345" s="24" t="n"/>
      <c r="CZ1345" s="24" t="n"/>
      <c r="DA1345" s="24" t="n"/>
      <c r="DB1345" s="24" t="n"/>
      <c r="DC1345" s="24" t="n"/>
      <c r="DD1345" s="24" t="inlineStr">
        <is>
          <t>3696f3d84242364e4cd95c157c7cd1ee9189713740b41e8517ae181ce1ae2cba</t>
        </is>
      </c>
      <c r="DE1345" s="24" t="inlineStr">
        <is>
          <t>E:\model-prediction\data\odds\tennis\2026-10-12\polymarket_snapshots.jsonl</t>
        </is>
      </c>
      <c r="DF1345" s="24" t="inlineStr">
        <is>
          <t>1368943:2026-10-12T10:28:32.512317Z</t>
        </is>
      </c>
      <c r="DG1345" s="24" t="n"/>
      <c r="DH1345" s="24" t="n"/>
      <c r="DI1345" s="24" t="n"/>
      <c r="DJ1345" s="24" t="n"/>
      <c r="DK1345" s="24" t="n"/>
      <c r="DL1345" s="24" t="n"/>
      <c r="DM1345" s="24" t="n"/>
      <c r="DN1345" s="24" t="n"/>
      <c r="DO1345" s="24" t="n"/>
      <c r="DP1345" s="24" t="n"/>
      <c r="DQ1345" s="24" t="n"/>
    </row>
    <row r="1346" ht="36" customHeight="1">
      <c r="A1346" s="24" t="inlineStr">
        <is>
          <t>c7046d388a00435d</t>
        </is>
      </c>
      <c r="B1346" s="24" t="inlineStr">
        <is>
          <t>2026-10-12T11:02:18.552284Z</t>
        </is>
      </c>
      <c r="C1346" s="24" t="inlineStr">
        <is>
          <t>2026-10-12T15:00Z</t>
        </is>
      </c>
      <c r="D1346" s="24" t="inlineStr">
        <is>
          <t>1079-2026:185395</t>
        </is>
      </c>
      <c r="E1346" s="24" t="inlineStr">
        <is>
          <t>TENNIS</t>
        </is>
      </c>
      <c r="F1346" s="24" t="inlineStr">
        <is>
          <t>Alice Rame</t>
        </is>
      </c>
      <c r="G1346" s="24" t="inlineStr">
        <is>
          <t>Leyre Romero Gormaz</t>
        </is>
      </c>
      <c r="H1346" s="24" t="inlineStr">
        <is>
          <t>total</t>
        </is>
      </c>
      <c r="I1346" s="24" t="inlineStr">
        <is>
          <t>under</t>
        </is>
      </c>
      <c r="J1346" s="25" t="n">
        <v>22.5</v>
      </c>
      <c r="K1346" s="24" t="inlineStr">
        <is>
          <t>polymarket_us</t>
        </is>
      </c>
      <c r="L1346" s="26" t="n">
        <v>-9900</v>
      </c>
      <c r="M1346" s="27" t="n">
        <v>1.010101</v>
      </c>
      <c r="N1346" s="28" t="n">
        <v>0.99</v>
      </c>
      <c r="O1346" s="28" t="n">
        <v>0.8094</v>
      </c>
      <c r="P1346" s="28" t="n">
        <v>0.05</v>
      </c>
      <c r="Q1346" s="28" t="n">
        <v>-0.1806</v>
      </c>
      <c r="R1346" s="26" t="n">
        <v>0</v>
      </c>
      <c r="S1346" s="29" t="n">
        <v>1</v>
      </c>
      <c r="T1346" s="24" t="inlineStr">
        <is>
          <t>tennis-learned-v3</t>
        </is>
      </c>
      <c r="U1346" s="24" t="inlineStr">
        <is>
          <t>settled</t>
        </is>
      </c>
      <c r="V1346" s="24" t="inlineStr">
        <is>
          <t>loss</t>
        </is>
      </c>
      <c r="W1346" s="26" t="n">
        <v>13</v>
      </c>
      <c r="X1346" s="26" t="n">
        <v>17</v>
      </c>
      <c r="Y1346" s="25" t="n"/>
      <c r="Z1346" s="26" t="n"/>
      <c r="AA1346" s="28" t="n"/>
      <c r="AB1346" s="28" t="n"/>
      <c r="AC1346" s="30" t="n">
        <v>-1</v>
      </c>
      <c r="AD1346" s="24" t="inlineStr">
        <is>
          <t>2026-10-12T22:02:49.631460Z</t>
        </is>
      </c>
      <c r="AE1346" s="31" t="inlineStr">
        <is>
          <t>Tennis Markov total games line 22.5: under p=0.809. Executable ask 0.9900 (tsc-wta-leygor-aliram-2026-10-12-tg-22pt5).</t>
        </is>
      </c>
      <c r="AF1346" s="31" t="inlineStr">
        <is>
          <t>Surface-blended Elo model; singles only, WTA+ATP market coverage, not yet locked-holdout qualified -- promoted by explicit operator directive, not genuine walk-forward validation.</t>
        </is>
      </c>
      <c r="AG1346" s="24" t="inlineStr">
        <is>
          <t>review_required</t>
        </is>
      </c>
      <c r="AH1346" s="24" t="n"/>
      <c r="AI1346" s="31" t="n"/>
      <c r="AJ1346" s="31" t="n"/>
      <c r="AK1346" s="24" t="inlineStr">
        <is>
          <t>paper_call</t>
        </is>
      </c>
      <c r="AL1346" s="26" t="n">
        <v>4</v>
      </c>
      <c r="AM1346" s="24" t="inlineStr">
        <is>
          <t>RESEARCH_OBSERVATION</t>
        </is>
      </c>
      <c r="AN1346" s="24" t="inlineStr">
        <is>
          <t>CALL</t>
        </is>
      </c>
      <c r="AO1346" s="24" t="inlineStr">
        <is>
          <t>PAPER_CALL_LOW_EDGE</t>
        </is>
      </c>
      <c r="AP1346" s="24" t="inlineStr">
        <is>
          <t>Alice Rame</t>
        </is>
      </c>
      <c r="AQ1346" s="24" t="inlineStr">
        <is>
          <t>Alice Rame</t>
        </is>
      </c>
      <c r="AR1346" s="24" t="inlineStr">
        <is>
          <t>Alice Rame</t>
        </is>
      </c>
      <c r="AS1346" s="24" t="inlineStr">
        <is>
          <t>Leyre Romero Gormaz</t>
        </is>
      </c>
      <c r="AT1346" s="24" t="inlineStr">
        <is>
          <t>Leyre Romero Gormaz</t>
        </is>
      </c>
      <c r="AU1346" s="24" t="inlineStr">
        <is>
          <t>Leyre Romero Gormaz</t>
        </is>
      </c>
      <c r="AV1346" s="24" t="n"/>
      <c r="AW1346" s="24" t="n"/>
      <c r="AX1346" s="24" t="inlineStr">
        <is>
          <t>statistical_model</t>
        </is>
      </c>
      <c r="AY1346" s="24" t="n"/>
      <c r="AZ1346" s="24" t="inlineStr">
        <is>
          <t>shadow_qualified</t>
        </is>
      </c>
      <c r="BA1346" s="24" t="inlineStr">
        <is>
          <t>7443acc419841200d57e1edf36b77f1940cdd0c48dce3d43fcd05498a109440b</t>
        </is>
      </c>
      <c r="BB1346" s="24" t="inlineStr">
        <is>
          <t>learned_v3</t>
        </is>
      </c>
      <c r="BC1346" s="24" t="inlineStr">
        <is>
          <t>tennis-learned-v3</t>
        </is>
      </c>
      <c r="BD1346" s="24" t="inlineStr">
        <is>
          <t>7443acc419841200d57e1edf36b77f1940cdd0c48dce3d43fcd05498a109440b</t>
        </is>
      </c>
      <c r="BE1346" s="24" t="inlineStr">
        <is>
          <t>tennis-learned-v3</t>
        </is>
      </c>
      <c r="BF1346" s="24" t="inlineStr">
        <is>
          <t>1</t>
        </is>
      </c>
      <c r="BG1346" s="24" t="inlineStr">
        <is>
          <t>7443acc419841200d57e1edf36b77f1940cdd0c48dce3d43fcd05498a109440b</t>
        </is>
      </c>
      <c r="BH1346" s="24" t="inlineStr">
        <is>
          <t>2026-10-12T05:02:45.727279Z</t>
        </is>
      </c>
      <c r="BI1346" s="24" t="inlineStr">
        <is>
          <t>["same_event","same_team_same_day","same_league_same_day"]</t>
        </is>
      </c>
      <c r="BJ1346" s="25" t="n">
        <v>22.5</v>
      </c>
      <c r="BK1346" s="26" t="n">
        <v>-9900</v>
      </c>
      <c r="BL1346" s="27" t="n">
        <v>1.010101</v>
      </c>
      <c r="BM1346" s="28" t="n">
        <v>0.99</v>
      </c>
      <c r="BN1346" s="28" t="n"/>
      <c r="BO1346" s="28" t="n"/>
      <c r="BP1346" s="25" t="n"/>
      <c r="BQ1346" s="27" t="n"/>
      <c r="BR1346" s="28" t="n"/>
      <c r="BS1346" s="28" t="n"/>
      <c r="BT1346" s="28" t="n"/>
      <c r="BU1346" s="25" t="n"/>
      <c r="BV1346" s="29" t="n"/>
      <c r="BW1346" s="24" t="n"/>
      <c r="BX1346" s="30" t="n"/>
      <c r="BY1346" s="27" t="n"/>
      <c r="BZ1346" s="24" t="n"/>
      <c r="CA1346" s="31" t="n"/>
      <c r="CB1346" s="24" t="n"/>
      <c r="CC1346" s="24" t="n"/>
      <c r="CD1346" s="24" t="n"/>
      <c r="CE1346" s="24" t="n"/>
      <c r="CF1346" s="24" t="n"/>
      <c r="CG1346" s="24" t="n"/>
      <c r="CH1346" s="24" t="n"/>
      <c r="CI1346" s="24" t="n"/>
      <c r="CJ1346" s="24" t="n"/>
      <c r="CK1346" s="24" t="n"/>
      <c r="CL1346" s="24" t="n"/>
      <c r="CM1346" s="24" t="n"/>
      <c r="CN1346" s="24" t="n"/>
      <c r="CO1346" s="24" t="n"/>
      <c r="CP1346" s="24" t="n"/>
      <c r="CQ1346" s="24" t="n"/>
      <c r="CR1346" s="24" t="n"/>
      <c r="CS1346" s="24" t="inlineStr">
        <is>
          <t>False</t>
        </is>
      </c>
      <c r="CT1346" s="24" t="n"/>
      <c r="CU1346" s="24" t="n"/>
      <c r="CV1346" s="24" t="n"/>
      <c r="CW1346" s="24" t="n"/>
      <c r="CX1346" s="24" t="n"/>
      <c r="CY1346" s="24" t="n"/>
      <c r="CZ1346" s="24" t="n"/>
      <c r="DA1346" s="24" t="n"/>
      <c r="DB1346" s="24" t="n"/>
      <c r="DC1346" s="24" t="n"/>
      <c r="DD1346" s="24" t="inlineStr">
        <is>
          <t>1bebb0b966e197bc8d548d6bcb7c49d65a7f5801c0fbbfb69307db5937c64bed</t>
        </is>
      </c>
      <c r="DE1346" s="24" t="inlineStr">
        <is>
          <t>E:\model-prediction\data\odds\tennis\2026-10-12\polymarket_snapshots.jsonl</t>
        </is>
      </c>
      <c r="DF1346" s="24" t="inlineStr">
        <is>
          <t>1368926:2026-10-12T05:02:45.727279Z</t>
        </is>
      </c>
      <c r="DG1346" s="24" t="n"/>
      <c r="DH1346" s="24" t="n"/>
      <c r="DI1346" s="24" t="n"/>
      <c r="DJ1346" s="24" t="n"/>
      <c r="DK1346" s="24" t="n"/>
      <c r="DL1346" s="24" t="n"/>
      <c r="DM1346" s="24" t="n"/>
      <c r="DN1346" s="24" t="n"/>
      <c r="DO1346" s="24" t="n"/>
      <c r="DP1346" s="24" t="n"/>
      <c r="DQ1346" s="24" t="n"/>
    </row>
    <row r="1347" ht="36" customHeight="1">
      <c r="A1347" s="24" t="inlineStr">
        <is>
          <t>91fcd30c0d16479e</t>
        </is>
      </c>
      <c r="B1347" s="24" t="inlineStr">
        <is>
          <t>2026-10-12T11:02:18.552284Z</t>
        </is>
      </c>
      <c r="C1347" s="24" t="inlineStr">
        <is>
          <t>2026-10-12T11:30Z</t>
        </is>
      </c>
      <c r="D1347" s="24" t="inlineStr">
        <is>
          <t>315-2026:184940</t>
        </is>
      </c>
      <c r="E1347" s="24" t="inlineStr">
        <is>
          <t>TENNIS</t>
        </is>
      </c>
      <c r="F1347" s="24" t="inlineStr">
        <is>
          <t>Valentin Vacherot</t>
        </is>
      </c>
      <c r="G1347" s="24" t="inlineStr">
        <is>
          <t>Tommy Paul</t>
        </is>
      </c>
      <c r="H1347" s="24" t="inlineStr">
        <is>
          <t>total</t>
        </is>
      </c>
      <c r="I1347" s="24" t="inlineStr">
        <is>
          <t>under</t>
        </is>
      </c>
      <c r="J1347" s="25" t="n">
        <v>22.5</v>
      </c>
      <c r="K1347" s="24" t="inlineStr">
        <is>
          <t>polymarket_us</t>
        </is>
      </c>
      <c r="L1347" s="26" t="n">
        <v>113</v>
      </c>
      <c r="M1347" s="27" t="n">
        <v>2.13</v>
      </c>
      <c r="N1347" s="28" t="n">
        <v>0.469484</v>
      </c>
      <c r="O1347" s="28" t="n">
        <v>0.6176</v>
      </c>
      <c r="P1347" s="28" t="n">
        <v>0.05</v>
      </c>
      <c r="Q1347" s="28" t="n">
        <v>0.148116</v>
      </c>
      <c r="R1347" s="26" t="n">
        <v>94</v>
      </c>
      <c r="S1347" s="29" t="n">
        <v>1.75</v>
      </c>
      <c r="T1347" s="24" t="inlineStr">
        <is>
          <t>tennis-learned-v3</t>
        </is>
      </c>
      <c r="U1347" s="24" t="inlineStr">
        <is>
          <t>settled</t>
        </is>
      </c>
      <c r="V1347" s="24" t="inlineStr">
        <is>
          <t>win</t>
        </is>
      </c>
      <c r="W1347" s="26" t="n">
        <v>6</v>
      </c>
      <c r="X1347" s="26" t="n">
        <v>12</v>
      </c>
      <c r="Y1347" s="25" t="n"/>
      <c r="Z1347" s="26" t="n"/>
      <c r="AA1347" s="28" t="n"/>
      <c r="AB1347" s="28" t="n"/>
      <c r="AC1347" s="30" t="n">
        <v>1.9775</v>
      </c>
      <c r="AD1347" s="24" t="inlineStr">
        <is>
          <t>2026-10-12T16:12:55.252192Z</t>
        </is>
      </c>
      <c r="AE1347" s="31" t="inlineStr">
        <is>
          <t>Tennis Markov total games line 22.5: under p=0.618. Executable ask 0.4700 (tsc-atp-tompau-valvac-2026-10-12-tg-22pt5).</t>
        </is>
      </c>
      <c r="AF1347" s="31" t="inlineStr">
        <is>
          <t>Surface-blended Elo model; singles only, WTA+ATP market coverage, not yet locked-holdout qualified -- promoted by explicit operator directive, not genuine walk-forward validation.</t>
        </is>
      </c>
      <c r="AG1347" s="24" t="inlineStr">
        <is>
          <t>not_applicable</t>
        </is>
      </c>
      <c r="AH1347" s="24" t="n"/>
      <c r="AI1347" s="31" t="n"/>
      <c r="AJ1347" s="31" t="n"/>
      <c r="AK1347" s="24" t="inlineStr">
        <is>
          <t>model_qualified</t>
        </is>
      </c>
      <c r="AL1347" s="26" t="n">
        <v>4</v>
      </c>
      <c r="AM1347" s="24" t="inlineStr">
        <is>
          <t>QUALIFIED_SHADOW_CALL</t>
        </is>
      </c>
      <c r="AN1347" s="24" t="inlineStr">
        <is>
          <t>CALL</t>
        </is>
      </c>
      <c r="AO1347" s="24" t="inlineStr">
        <is>
          <t>QUALIFIED</t>
        </is>
      </c>
      <c r="AP1347" s="24" t="inlineStr">
        <is>
          <t>Valentin Vacherot</t>
        </is>
      </c>
      <c r="AQ1347" s="24" t="inlineStr">
        <is>
          <t>Valentin Vacherot</t>
        </is>
      </c>
      <c r="AR1347" s="24" t="inlineStr">
        <is>
          <t>Valentin Vacherot</t>
        </is>
      </c>
      <c r="AS1347" s="24" t="inlineStr">
        <is>
          <t>Tommy Paul</t>
        </is>
      </c>
      <c r="AT1347" s="24" t="inlineStr">
        <is>
          <t>Tommy Paul</t>
        </is>
      </c>
      <c r="AU1347" s="24" t="inlineStr">
        <is>
          <t>Tommy Paul</t>
        </is>
      </c>
      <c r="AV1347" s="24" t="n"/>
      <c r="AW1347" s="24" t="n"/>
      <c r="AX1347" s="24" t="inlineStr">
        <is>
          <t>statistical_model</t>
        </is>
      </c>
      <c r="AY1347" s="24" t="n"/>
      <c r="AZ1347" s="24" t="inlineStr">
        <is>
          <t>shadow_qualified</t>
        </is>
      </c>
      <c r="BA1347" s="24" t="inlineStr">
        <is>
          <t>7443acc419841200d57e1edf36b77f1940cdd0c48dce3d43fcd05498a109440b</t>
        </is>
      </c>
      <c r="BB1347" s="24" t="inlineStr">
        <is>
          <t>learned_v3</t>
        </is>
      </c>
      <c r="BC1347" s="24" t="inlineStr">
        <is>
          <t>tennis-learned-v3</t>
        </is>
      </c>
      <c r="BD1347" s="24" t="inlineStr">
        <is>
          <t>7443acc419841200d57e1edf36b77f1940cdd0c48dce3d43fcd05498a109440b</t>
        </is>
      </c>
      <c r="BE1347" s="24" t="inlineStr">
        <is>
          <t>tennis-learned-v3</t>
        </is>
      </c>
      <c r="BF1347" s="24" t="inlineStr">
        <is>
          <t>1</t>
        </is>
      </c>
      <c r="BG1347" s="24" t="inlineStr">
        <is>
          <t>7443acc419841200d57e1edf36b77f1940cdd0c48dce3d43fcd05498a109440b</t>
        </is>
      </c>
      <c r="BH1347" s="24" t="inlineStr">
        <is>
          <t>2026-10-12T10:36:33.822088Z</t>
        </is>
      </c>
      <c r="BI1347" s="24" t="inlineStr">
        <is>
          <t>["same_event","same_team_same_day","same_league_same_day"]</t>
        </is>
      </c>
      <c r="BJ1347" s="25" t="n">
        <v>22.5</v>
      </c>
      <c r="BK1347" s="26" t="n">
        <v>113</v>
      </c>
      <c r="BL1347" s="27" t="n">
        <v>2.13</v>
      </c>
      <c r="BM1347" s="28" t="n">
        <v>0.469484</v>
      </c>
      <c r="BN1347" s="28" t="n"/>
      <c r="BO1347" s="28" t="n"/>
      <c r="BP1347" s="25" t="n"/>
      <c r="BQ1347" s="27" t="n"/>
      <c r="BR1347" s="28" t="n"/>
      <c r="BS1347" s="28" t="n"/>
      <c r="BT1347" s="28" t="n"/>
      <c r="BU1347" s="25" t="n"/>
      <c r="BV1347" s="29" t="n"/>
      <c r="BW1347" s="24" t="n"/>
      <c r="BX1347" s="30" t="n"/>
      <c r="BY1347" s="27" t="n"/>
      <c r="BZ1347" s="24" t="n"/>
      <c r="CA1347" s="31" t="n"/>
      <c r="CB1347" s="24" t="n"/>
      <c r="CC1347" s="24" t="n"/>
      <c r="CD1347" s="24" t="n"/>
      <c r="CE1347" s="24" t="n"/>
      <c r="CF1347" s="24" t="n"/>
      <c r="CG1347" s="24" t="n"/>
      <c r="CH1347" s="24" t="n"/>
      <c r="CI1347" s="24" t="n"/>
      <c r="CJ1347" s="24" t="n"/>
      <c r="CK1347" s="24" t="n"/>
      <c r="CL1347" s="24" t="n"/>
      <c r="CM1347" s="24" t="n"/>
      <c r="CN1347" s="24" t="n"/>
      <c r="CO1347" s="24" t="n"/>
      <c r="CP1347" s="24" t="n"/>
      <c r="CQ1347" s="24" t="n"/>
      <c r="CR1347" s="24" t="n"/>
      <c r="CS1347" s="24" t="inlineStr">
        <is>
          <t>True</t>
        </is>
      </c>
      <c r="CT1347" s="24" t="n"/>
      <c r="CU1347" s="24" t="n"/>
      <c r="CV1347" s="24" t="n"/>
      <c r="CW1347" s="24" t="n"/>
      <c r="CX1347" s="24" t="n"/>
      <c r="CY1347" s="24" t="n"/>
      <c r="CZ1347" s="24" t="n"/>
      <c r="DA1347" s="24" t="n"/>
      <c r="DB1347" s="24" t="n"/>
      <c r="DC1347" s="24" t="n"/>
      <c r="DD1347" s="24" t="inlineStr">
        <is>
          <t>df8a9d688e875264d836a222db6a0d630dc2852c614a65ceae0bfe4f6f35fa31</t>
        </is>
      </c>
      <c r="DE1347" s="24" t="inlineStr">
        <is>
          <t>E:\model-prediction\data\odds\tennis\2026-10-12\polymarket_snapshots.jsonl</t>
        </is>
      </c>
      <c r="DF1347" s="24" t="inlineStr">
        <is>
          <t>1351174:2026-10-12T10:36:33.822088Z</t>
        </is>
      </c>
      <c r="DG1347" s="24" t="n"/>
      <c r="DH1347" s="24" t="n"/>
      <c r="DI1347" s="24" t="n"/>
      <c r="DJ1347" s="24" t="n"/>
      <c r="DK1347" s="24" t="n"/>
      <c r="DL1347" s="24" t="n"/>
      <c r="DM1347" s="24" t="n"/>
      <c r="DN1347" s="24" t="n"/>
      <c r="DO1347" s="24" t="n"/>
      <c r="DP1347" s="24" t="n"/>
      <c r="DQ1347" s="24" t="n"/>
    </row>
    <row r="1348" ht="36" customHeight="1">
      <c r="A1348" s="24" t="inlineStr">
        <is>
          <t>130c8bafcbe74334</t>
        </is>
      </c>
      <c r="B1348" s="24" t="inlineStr">
        <is>
          <t>2026-10-12T11:02:18.552284Z</t>
        </is>
      </c>
      <c r="C1348" s="24" t="inlineStr">
        <is>
          <t>2026-10-12T11:30Z</t>
        </is>
      </c>
      <c r="D1348" s="24" t="inlineStr">
        <is>
          <t>315-2026:184940</t>
        </is>
      </c>
      <c r="E1348" s="24" t="inlineStr">
        <is>
          <t>TENNIS</t>
        </is>
      </c>
      <c r="F1348" s="24" t="inlineStr">
        <is>
          <t>Valentin Vacherot</t>
        </is>
      </c>
      <c r="G1348" s="24" t="inlineStr">
        <is>
          <t>Tommy Paul</t>
        </is>
      </c>
      <c r="H1348" s="24" t="inlineStr">
        <is>
          <t>spread</t>
        </is>
      </c>
      <c r="I1348" s="24" t="inlineStr">
        <is>
          <t>away</t>
        </is>
      </c>
      <c r="J1348" s="25" t="n">
        <v>-7.5</v>
      </c>
      <c r="K1348" s="24" t="inlineStr">
        <is>
          <t>polymarket_us</t>
        </is>
      </c>
      <c r="L1348" s="26" t="n">
        <v>233</v>
      </c>
      <c r="M1348" s="27" t="n">
        <v>3.33</v>
      </c>
      <c r="N1348" s="28" t="n">
        <v>0.3003</v>
      </c>
      <c r="O1348" s="28" t="n">
        <v>0.8989</v>
      </c>
      <c r="P1348" s="28" t="n">
        <v>0.05</v>
      </c>
      <c r="Q1348" s="28" t="n">
        <v>0.5986</v>
      </c>
      <c r="R1348" s="26" t="n">
        <v>100</v>
      </c>
      <c r="S1348" s="29" t="n">
        <v>2</v>
      </c>
      <c r="T1348" s="24" t="inlineStr">
        <is>
          <t>tennis-learned-v3</t>
        </is>
      </c>
      <c r="U1348" s="24" t="inlineStr">
        <is>
          <t>settled</t>
        </is>
      </c>
      <c r="V1348" s="24" t="inlineStr">
        <is>
          <t>loss</t>
        </is>
      </c>
      <c r="W1348" s="26" t="n">
        <v>6</v>
      </c>
      <c r="X1348" s="26" t="n">
        <v>12</v>
      </c>
      <c r="Y1348" s="25" t="n"/>
      <c r="Z1348" s="26" t="n"/>
      <c r="AA1348" s="28" t="n"/>
      <c r="AB1348" s="28" t="n"/>
      <c r="AC1348" s="30" t="n">
        <v>-2</v>
      </c>
      <c r="AD1348" s="24" t="inlineStr">
        <is>
          <t>2026-10-12T16:13:08.997073Z</t>
        </is>
      </c>
      <c r="AE1348" s="31" t="inlineStr">
        <is>
          <t>Tennis Markov game spread -7.5 games: away cover p=0.899. Executable ask 0.3000 (asc-atp-tompau-valvac-2026-10-12-gs-neg-7pt5).</t>
        </is>
      </c>
      <c r="AF1348" s="31" t="inlineStr">
        <is>
          <t>Surface-blended Elo model; singles only, WTA+ATP market coverage, not yet locked-holdout qualified -- promoted by explicit operator directive, not genuine walk-forward validation.</t>
        </is>
      </c>
      <c r="AG1348" s="24" t="inlineStr">
        <is>
          <t>review_required</t>
        </is>
      </c>
      <c r="AH1348" s="24" t="n"/>
      <c r="AI1348" s="31" t="n"/>
      <c r="AJ1348" s="31" t="n"/>
      <c r="AK1348" s="24" t="inlineStr">
        <is>
          <t>model_qualified</t>
        </is>
      </c>
      <c r="AL1348" s="26" t="n">
        <v>4</v>
      </c>
      <c r="AM1348" s="24" t="inlineStr">
        <is>
          <t>QUALIFIED_SHADOW_CALL</t>
        </is>
      </c>
      <c r="AN1348" s="24" t="inlineStr">
        <is>
          <t>CALL</t>
        </is>
      </c>
      <c r="AO1348" s="24" t="inlineStr">
        <is>
          <t>QUALIFIED</t>
        </is>
      </c>
      <c r="AP1348" s="24" t="inlineStr">
        <is>
          <t>Valentin Vacherot</t>
        </is>
      </c>
      <c r="AQ1348" s="24" t="inlineStr">
        <is>
          <t>Valentin Vacherot</t>
        </is>
      </c>
      <c r="AR1348" s="24" t="inlineStr">
        <is>
          <t>Valentin Vacherot</t>
        </is>
      </c>
      <c r="AS1348" s="24" t="inlineStr">
        <is>
          <t>Tommy Paul</t>
        </is>
      </c>
      <c r="AT1348" s="24" t="inlineStr">
        <is>
          <t>Tommy Paul</t>
        </is>
      </c>
      <c r="AU1348" s="24" t="inlineStr">
        <is>
          <t>Tommy Paul</t>
        </is>
      </c>
      <c r="AV1348" s="24" t="n"/>
      <c r="AW1348" s="24" t="n"/>
      <c r="AX1348" s="24" t="inlineStr">
        <is>
          <t>statistical_model</t>
        </is>
      </c>
      <c r="AY1348" s="24" t="n"/>
      <c r="AZ1348" s="24" t="inlineStr">
        <is>
          <t>shadow_qualified</t>
        </is>
      </c>
      <c r="BA1348" s="24" t="inlineStr">
        <is>
          <t>7443acc419841200d57e1edf36b77f1940cdd0c48dce3d43fcd05498a109440b</t>
        </is>
      </c>
      <c r="BB1348" s="24" t="inlineStr">
        <is>
          <t>learned_v3</t>
        </is>
      </c>
      <c r="BC1348" s="24" t="inlineStr">
        <is>
          <t>tennis-learned-v3</t>
        </is>
      </c>
      <c r="BD1348" s="24" t="inlineStr">
        <is>
          <t>7443acc419841200d57e1edf36b77f1940cdd0c48dce3d43fcd05498a109440b</t>
        </is>
      </c>
      <c r="BE1348" s="24" t="inlineStr">
        <is>
          <t>tennis-learned-v3</t>
        </is>
      </c>
      <c r="BF1348" s="24" t="inlineStr">
        <is>
          <t>1</t>
        </is>
      </c>
      <c r="BG1348" s="24" t="inlineStr">
        <is>
          <t>7443acc419841200d57e1edf36b77f1940cdd0c48dce3d43fcd05498a109440b</t>
        </is>
      </c>
      <c r="BH1348" s="24" t="inlineStr">
        <is>
          <t>2026-10-12T10:36:53.958817Z</t>
        </is>
      </c>
      <c r="BI1348" s="24" t="inlineStr">
        <is>
          <t>["same_event","same_team_same_day","same_league_same_day"]</t>
        </is>
      </c>
      <c r="BJ1348" s="25" t="n">
        <v>-7.5</v>
      </c>
      <c r="BK1348" s="26" t="n">
        <v>233</v>
      </c>
      <c r="BL1348" s="27" t="n">
        <v>3.33</v>
      </c>
      <c r="BM1348" s="28" t="n">
        <v>0.3003</v>
      </c>
      <c r="BN1348" s="28" t="n"/>
      <c r="BO1348" s="28" t="n"/>
      <c r="BP1348" s="25" t="n"/>
      <c r="BQ1348" s="27" t="n"/>
      <c r="BR1348" s="28" t="n"/>
      <c r="BS1348" s="28" t="n"/>
      <c r="BT1348" s="28" t="n"/>
      <c r="BU1348" s="25" t="n"/>
      <c r="BV1348" s="29" t="n"/>
      <c r="BW1348" s="24" t="n"/>
      <c r="BX1348" s="30" t="n"/>
      <c r="BY1348" s="27" t="n"/>
      <c r="BZ1348" s="24" t="n"/>
      <c r="CA1348" s="31" t="n"/>
      <c r="CB1348" s="24" t="n"/>
      <c r="CC1348" s="24" t="n"/>
      <c r="CD1348" s="24" t="n"/>
      <c r="CE1348" s="24" t="n"/>
      <c r="CF1348" s="24" t="n"/>
      <c r="CG1348" s="24" t="n"/>
      <c r="CH1348" s="24" t="n"/>
      <c r="CI1348" s="24" t="n"/>
      <c r="CJ1348" s="24" t="n"/>
      <c r="CK1348" s="24" t="n"/>
      <c r="CL1348" s="24" t="n"/>
      <c r="CM1348" s="24" t="n"/>
      <c r="CN1348" s="24" t="n"/>
      <c r="CO1348" s="24" t="n"/>
      <c r="CP1348" s="24" t="n"/>
      <c r="CQ1348" s="24" t="n"/>
      <c r="CR1348" s="24" t="n"/>
      <c r="CS1348" s="24" t="inlineStr">
        <is>
          <t>True</t>
        </is>
      </c>
      <c r="CT1348" s="24" t="n"/>
      <c r="CU1348" s="24" t="n"/>
      <c r="CV1348" s="24" t="n"/>
      <c r="CW1348" s="24" t="n"/>
      <c r="CX1348" s="24" t="n"/>
      <c r="CY1348" s="24" t="n"/>
      <c r="CZ1348" s="24" t="n"/>
      <c r="DA1348" s="24" t="n"/>
      <c r="DB1348" s="24" t="n"/>
      <c r="DC1348" s="24" t="n"/>
      <c r="DD1348" s="24" t="inlineStr">
        <is>
          <t>70c3435b18fbb64bddee32101f47d015ebb4d9842587fece4ee400958be6a1b5</t>
        </is>
      </c>
      <c r="DE1348" s="24" t="inlineStr">
        <is>
          <t>E:\model-prediction\data\odds\tennis\2026-10-12\polymarket_snapshots.jsonl</t>
        </is>
      </c>
      <c r="DF1348" s="24" t="inlineStr">
        <is>
          <t>1351189:2026-10-12T10:36:53.958817Z</t>
        </is>
      </c>
      <c r="DG1348" s="24" t="n"/>
      <c r="DH1348" s="24" t="n"/>
      <c r="DI1348" s="24" t="n"/>
      <c r="DJ1348" s="24" t="n"/>
      <c r="DK1348" s="24" t="n"/>
      <c r="DL1348" s="24" t="n"/>
      <c r="DM1348" s="24" t="n"/>
      <c r="DN1348" s="24" t="n"/>
      <c r="DO1348" s="24" t="n"/>
      <c r="DP1348" s="24" t="n"/>
      <c r="DQ1348" s="24" t="n"/>
    </row>
    <row r="1349" ht="36" customHeight="1">
      <c r="A1349" s="24" t="inlineStr">
        <is>
          <t>a342c201285c49dc</t>
        </is>
      </c>
      <c r="B1349" s="24" t="inlineStr">
        <is>
          <t>2026-10-12T11:02:18.552284Z</t>
        </is>
      </c>
      <c r="C1349" s="24" t="inlineStr">
        <is>
          <t>2026-10-12T11:30Z</t>
        </is>
      </c>
      <c r="D1349" s="24" t="inlineStr">
        <is>
          <t>315-2026:184940</t>
        </is>
      </c>
      <c r="E1349" s="24" t="inlineStr">
        <is>
          <t>TENNIS</t>
        </is>
      </c>
      <c r="F1349" s="24" t="inlineStr">
        <is>
          <t>Valentin Vacherot</t>
        </is>
      </c>
      <c r="G1349" s="24" t="inlineStr">
        <is>
          <t>Tommy Paul</t>
        </is>
      </c>
      <c r="H1349" s="24" t="inlineStr">
        <is>
          <t>moneyline</t>
        </is>
      </c>
      <c r="I1349" s="24" t="inlineStr">
        <is>
          <t>home</t>
        </is>
      </c>
      <c r="J1349" s="25" t="n"/>
      <c r="K1349" s="24" t="inlineStr">
        <is>
          <t>polymarket_us</t>
        </is>
      </c>
      <c r="L1349" s="26" t="n">
        <v>-156</v>
      </c>
      <c r="M1349" s="27" t="n">
        <v>1.641026</v>
      </c>
      <c r="N1349" s="28" t="n">
        <v>0.609375</v>
      </c>
      <c r="O1349" s="28" t="n">
        <v>0.6850000000000001</v>
      </c>
      <c r="P1349" s="28" t="n">
        <v>0.05</v>
      </c>
      <c r="Q1349" s="28" t="n">
        <v>0.075625</v>
      </c>
      <c r="R1349" s="26" t="n">
        <v>58</v>
      </c>
      <c r="S1349" s="29" t="n">
        <v>1.25</v>
      </c>
      <c r="T1349" s="24" t="inlineStr">
        <is>
          <t>tennis-learned-v3</t>
        </is>
      </c>
      <c r="U1349" s="24" t="inlineStr">
        <is>
          <t>settled</t>
        </is>
      </c>
      <c r="V1349" s="24" t="inlineStr">
        <is>
          <t>win</t>
        </is>
      </c>
      <c r="W1349" s="26" t="n">
        <v>0</v>
      </c>
      <c r="X1349" s="26" t="n">
        <v>1</v>
      </c>
      <c r="Y1349" s="25" t="n"/>
      <c r="Z1349" s="26" t="n">
        <v>-156</v>
      </c>
      <c r="AA1349" s="28" t="n">
        <v>0.61</v>
      </c>
      <c r="AB1349" s="28" t="n">
        <v>0.000625</v>
      </c>
      <c r="AC1349" s="30" t="n">
        <v>0.8013</v>
      </c>
      <c r="AD1349" s="24" t="inlineStr">
        <is>
          <t>2026-10-12T16:13:19.885697Z</t>
        </is>
      </c>
      <c r="AE1349" s="31" t="inlineStr">
        <is>
          <t>Tennis v3 Learned Fundamental on Hard (Bo3): Valentin Vacherot p=0.315 vs Tommy Paul. Executable ask 0.6100 (aec-atp-tompau-valvac-2026-10-12).</t>
        </is>
      </c>
      <c r="AF1349" s="31" t="inlineStr">
        <is>
          <t>Surface-blended Elo model; singles only, WTA+ATP market coverage, not yet locked-holdout qualified -- promoted by explicit operator directive, not genuine walk-forward validation.</t>
        </is>
      </c>
      <c r="AG1349" s="24" t="inlineStr">
        <is>
          <t>not_applicable</t>
        </is>
      </c>
      <c r="AH1349" s="24" t="n"/>
      <c r="AI1349" s="31" t="n"/>
      <c r="AJ1349" s="31" t="n"/>
      <c r="AK1349" s="24" t="inlineStr">
        <is>
          <t>model_qualified</t>
        </is>
      </c>
      <c r="AL1349" s="26" t="n">
        <v>4</v>
      </c>
      <c r="AM1349" s="24" t="inlineStr">
        <is>
          <t>QUALIFIED_SHADOW_CALL</t>
        </is>
      </c>
      <c r="AN1349" s="24" t="inlineStr">
        <is>
          <t>CALL</t>
        </is>
      </c>
      <c r="AO1349" s="24" t="inlineStr">
        <is>
          <t>QUALIFIED</t>
        </is>
      </c>
      <c r="AP1349" s="24" t="inlineStr">
        <is>
          <t>Valentin Vacherot</t>
        </is>
      </c>
      <c r="AQ1349" s="24" t="inlineStr">
        <is>
          <t>Valentin Vacherot</t>
        </is>
      </c>
      <c r="AR1349" s="24" t="inlineStr">
        <is>
          <t>Valentin Vacherot</t>
        </is>
      </c>
      <c r="AS1349" s="24" t="inlineStr">
        <is>
          <t>Tommy Paul</t>
        </is>
      </c>
      <c r="AT1349" s="24" t="inlineStr">
        <is>
          <t>Tommy Paul</t>
        </is>
      </c>
      <c r="AU1349" s="24" t="inlineStr">
        <is>
          <t>Tommy Paul</t>
        </is>
      </c>
      <c r="AV1349" s="24" t="n"/>
      <c r="AW1349" s="24" t="n"/>
      <c r="AX1349" s="24" t="inlineStr">
        <is>
          <t>statistical_model</t>
        </is>
      </c>
      <c r="AY1349" s="24" t="n"/>
      <c r="AZ1349" s="24" t="inlineStr">
        <is>
          <t>shadow_qualified</t>
        </is>
      </c>
      <c r="BA1349" s="24" t="inlineStr">
        <is>
          <t>7443acc419841200d57e1edf36b77f1940cdd0c48dce3d43fcd05498a109440b</t>
        </is>
      </c>
      <c r="BB1349" s="24" t="inlineStr">
        <is>
          <t>learned_v3</t>
        </is>
      </c>
      <c r="BC1349" s="24" t="inlineStr">
        <is>
          <t>tennis-learned-v3</t>
        </is>
      </c>
      <c r="BD1349" s="24" t="inlineStr">
        <is>
          <t>7443acc419841200d57e1edf36b77f1940cdd0c48dce3d43fcd05498a109440b</t>
        </is>
      </c>
      <c r="BE1349" s="24" t="inlineStr">
        <is>
          <t>tennis-learned-v3</t>
        </is>
      </c>
      <c r="BF1349" s="24" t="inlineStr">
        <is>
          <t>1</t>
        </is>
      </c>
      <c r="BG1349" s="24" t="inlineStr">
        <is>
          <t>7443acc419841200d57e1edf36b77f1940cdd0c48dce3d43fcd05498a109440b</t>
        </is>
      </c>
      <c r="BH1349" s="24" t="inlineStr">
        <is>
          <t>2026-10-12T10:36:33.820089Z</t>
        </is>
      </c>
      <c r="BI1349" s="24" t="inlineStr">
        <is>
          <t>["same_event","same_team_same_day","same_league_same_day"]</t>
        </is>
      </c>
      <c r="BJ1349" s="25" t="n"/>
      <c r="BK1349" s="26" t="n">
        <v>-156</v>
      </c>
      <c r="BL1349" s="27" t="n">
        <v>1.641026</v>
      </c>
      <c r="BM1349" s="28" t="n">
        <v>0.609375</v>
      </c>
      <c r="BN1349" s="28" t="n"/>
      <c r="BO1349" s="28" t="n"/>
      <c r="BP1349" s="25" t="n"/>
      <c r="BQ1349" s="27" t="n">
        <v>1.641026</v>
      </c>
      <c r="BR1349" s="28" t="n">
        <v>0.61</v>
      </c>
      <c r="BS1349" s="28" t="n"/>
      <c r="BT1349" s="28" t="n"/>
      <c r="BU1349" s="25" t="n"/>
      <c r="BV1349" s="29" t="n"/>
      <c r="BW1349" s="24" t="n"/>
      <c r="BX1349" s="30" t="n"/>
      <c r="BY1349" s="27" t="n"/>
      <c r="BZ1349" s="24" t="n"/>
      <c r="CA1349" s="31" t="n"/>
      <c r="CB1349" s="24" t="n"/>
      <c r="CC1349" s="24" t="n"/>
      <c r="CD1349" s="24" t="n"/>
      <c r="CE1349" s="24" t="n"/>
      <c r="CF1349" s="24" t="n"/>
      <c r="CG1349" s="24" t="n"/>
      <c r="CH1349" s="24" t="n"/>
      <c r="CI1349" s="24" t="n"/>
      <c r="CJ1349" s="24" t="n"/>
      <c r="CK1349" s="24" t="n"/>
      <c r="CL1349" s="24" t="n"/>
      <c r="CM1349" s="24" t="n"/>
      <c r="CN1349" s="24" t="n"/>
      <c r="CO1349" s="24" t="n"/>
      <c r="CP1349" s="24" t="n"/>
      <c r="CQ1349" s="24" t="n"/>
      <c r="CR1349" s="24" t="n"/>
      <c r="CS1349" s="24" t="inlineStr">
        <is>
          <t>True</t>
        </is>
      </c>
      <c r="CT1349" s="24" t="n"/>
      <c r="CU1349" s="24" t="n"/>
      <c r="CV1349" s="24" t="n"/>
      <c r="CW1349" s="24" t="n"/>
      <c r="CX1349" s="24" t="n"/>
      <c r="CY1349" s="24" t="n"/>
      <c r="CZ1349" s="24" t="n"/>
      <c r="DA1349" s="24" t="n"/>
      <c r="DB1349" s="24" t="n"/>
      <c r="DC1349" s="24" t="n"/>
      <c r="DD1349" s="24" t="inlineStr">
        <is>
          <t>eae826508aed6308ad690dfbaf799114ac7407522b88a8f013570a3ee30741e2</t>
        </is>
      </c>
      <c r="DE1349" s="24" t="inlineStr">
        <is>
          <t>E:\model-prediction\data\odds\tennis\2026-10-12\polymarket_snapshots.jsonl</t>
        </is>
      </c>
      <c r="DF1349" s="24" t="inlineStr">
        <is>
          <t>1338804:2026-10-12T10:36:33.820089Z</t>
        </is>
      </c>
      <c r="DG1349" s="24" t="n"/>
      <c r="DH1349" s="24" t="n"/>
      <c r="DI1349" s="24" t="n"/>
      <c r="DJ1349" s="24" t="n"/>
      <c r="DK1349" s="24" t="n"/>
      <c r="DL1349" s="24" t="n"/>
      <c r="DM1349" s="24" t="n"/>
      <c r="DN1349" s="24" t="n"/>
      <c r="DO1349" s="24" t="n"/>
      <c r="DP1349" s="24" t="n"/>
      <c r="DQ1349" s="24" t="inlineStr">
        <is>
          <t>{"artifact_hash": "7443acc419841200d57e1edf36b77f1940cdd0c48dce3d43fcd05498a109440b", "away_team": "Valentin Vacherot", "event_id": "315-2026:184940", "event_start_utc": "2026-10-12T11:30Z", "features": {"elo_p1_surface": 1618.0, "elo_p2_surface": 1720.9, "expected_games_p1": 9.1, "expected_games_p2": 13.34, "expected_total_games": 22.44, "history_matches": 11478, "min_player_matches": 80, "surface": "Hard"}, "historical_source_observation_times_verified": false, "home_team": "Tommy Paul", "inference_inputs": {"best_of": 3, "code_sha256": {"features/elo_ratings.py": "d6513e79d65448c06cc0f9b9eed0eaa091567835128e1f6647a310da8d78a872", "models/tennis.py": "7443acc419841200d57e1edf36b77f1940cdd0c48dce3d43fcd05498a109440b"}, "counts": [80, 163], "market_probability": null, "model_version": "tennis-learned-v3", "overall_ratings": [1693.9530619757156, 1788.8490599637387], "p_serve_a": 0.5787862091576691, "p_serve_b": 0.6912137908423309, "players": ["Valentin Vacherot", "Tommy Paul"], "rest_days": [1.0, 2.0], "sport": "TENNIS", "surface": "Hard", "surface_counts": [57, 118], "surface_ratings": [1618.0032491091197, 1720.8553978912114], "tour": "ATP"}, "market_type": "moneyline", "model_version": "tennis-learned-v3", "observed_at_utc": "2026-10-12T11:02:15.203395+00:00", "probabilities": {"away": 0.315, "home": 0.685}, "replay_scope": "Exact full-precision serving state and rounding; upstream historical observation times are not certified.", "schema": "coded-moneyline-replay-v1", "snapshot_hash": "dc6b7aca2d90a9c97bb365a58a963d2825f468a36fad42023619a0c51c0b2844", "sport": "TENNIS"}</t>
        </is>
      </c>
    </row>
    <row r="1350" ht="36" customHeight="1">
      <c r="A1350" s="24" t="inlineStr">
        <is>
          <t>0af928da5e444bfa</t>
        </is>
      </c>
      <c r="B1350" s="24" t="inlineStr">
        <is>
          <t>2026-10-12T16:49:53.990663Z</t>
        </is>
      </c>
      <c r="C1350" s="24" t="inlineStr">
        <is>
          <t>2026-10-12T17:30Z</t>
        </is>
      </c>
      <c r="D1350" s="24" t="inlineStr">
        <is>
          <t>1025-2026:185454</t>
        </is>
      </c>
      <c r="E1350" s="24" t="inlineStr">
        <is>
          <t>TENNIS</t>
        </is>
      </c>
      <c r="F1350" s="24" t="inlineStr">
        <is>
          <t>Lucia Bronzetti</t>
        </is>
      </c>
      <c r="G1350" s="24" t="inlineStr">
        <is>
          <t>Mona Barthel</t>
        </is>
      </c>
      <c r="H1350" s="24" t="inlineStr">
        <is>
          <t>moneyline</t>
        </is>
      </c>
      <c r="I1350" s="24" t="inlineStr">
        <is>
          <t>away</t>
        </is>
      </c>
      <c r="J1350" s="25" t="n"/>
      <c r="K1350" s="24" t="inlineStr">
        <is>
          <t>polymarket_us</t>
        </is>
      </c>
      <c r="L1350" s="26" t="n">
        <v>127</v>
      </c>
      <c r="M1350" s="27" t="n">
        <v>2.27</v>
      </c>
      <c r="N1350" s="28" t="n">
        <v>0.440529</v>
      </c>
      <c r="O1350" s="28" t="n">
        <v>0.5620000000000001</v>
      </c>
      <c r="P1350" s="28" t="n">
        <v>0.05</v>
      </c>
      <c r="Q1350" s="28" t="n">
        <v>0.121471</v>
      </c>
      <c r="R1350" s="26" t="n">
        <v>81</v>
      </c>
      <c r="S1350" s="29" t="n">
        <v>1.5</v>
      </c>
      <c r="T1350" s="24" t="inlineStr">
        <is>
          <t>tennis-learned-v3</t>
        </is>
      </c>
      <c r="U1350" s="24" t="inlineStr">
        <is>
          <t>settled</t>
        </is>
      </c>
      <c r="V1350" s="24" t="inlineStr">
        <is>
          <t>win</t>
        </is>
      </c>
      <c r="W1350" s="26" t="n">
        <v>1</v>
      </c>
      <c r="X1350" s="26" t="n">
        <v>0</v>
      </c>
      <c r="Y1350" s="25" t="n"/>
      <c r="Z1350" s="26" t="n">
        <v>127</v>
      </c>
      <c r="AA1350" s="28" t="n">
        <v>0.44</v>
      </c>
      <c r="AB1350" s="28" t="n">
        <v>-0.000529</v>
      </c>
      <c r="AC1350" s="30" t="n">
        <v>1.905</v>
      </c>
      <c r="AD1350" s="24" t="inlineStr">
        <is>
          <t>2026-10-12T22:02:55.503491Z</t>
        </is>
      </c>
      <c r="AE1350" s="31" t="inlineStr">
        <is>
          <t>Tennis v3 Learned Fundamental on Hard (Bo3): Lucia Bronzetti p=0.562 vs Mona Barthel. Executable ask 0.4400 (aec-wta-monbar-lucbro-2026-10-12).</t>
        </is>
      </c>
      <c r="AF1350" s="31" t="inlineStr">
        <is>
          <t>Surface-blended Elo model; singles only, WTA+ATP market coverage, not yet locked-holdout qualified -- promoted by explicit operator directive, not genuine walk-forward validation.</t>
        </is>
      </c>
      <c r="AG1350" s="24" t="inlineStr">
        <is>
          <t>not_applicable</t>
        </is>
      </c>
      <c r="AH1350" s="24" t="n"/>
      <c r="AI1350" s="31" t="n"/>
      <c r="AJ1350" s="31" t="n"/>
      <c r="AK1350" s="24" t="inlineStr">
        <is>
          <t>model_qualified</t>
        </is>
      </c>
      <c r="AL1350" s="26" t="n">
        <v>4</v>
      </c>
      <c r="AM1350" s="24" t="inlineStr">
        <is>
          <t>QUALIFIED_SHADOW_CALL</t>
        </is>
      </c>
      <c r="AN1350" s="24" t="inlineStr">
        <is>
          <t>CALL</t>
        </is>
      </c>
      <c r="AO1350" s="24" t="inlineStr">
        <is>
          <t>QUALIFIED</t>
        </is>
      </c>
      <c r="AP1350" s="24" t="inlineStr">
        <is>
          <t>Lucia Bronzetti</t>
        </is>
      </c>
      <c r="AQ1350" s="24" t="inlineStr">
        <is>
          <t>Lucia Bronzetti</t>
        </is>
      </c>
      <c r="AR1350" s="24" t="inlineStr">
        <is>
          <t>Lucia Bronzetti</t>
        </is>
      </c>
      <c r="AS1350" s="24" t="inlineStr">
        <is>
          <t>Mona Barthel</t>
        </is>
      </c>
      <c r="AT1350" s="24" t="inlineStr">
        <is>
          <t>Mona Barthel</t>
        </is>
      </c>
      <c r="AU1350" s="24" t="inlineStr">
        <is>
          <t>Mona Barthel</t>
        </is>
      </c>
      <c r="AV1350" s="24" t="n"/>
      <c r="AW1350" s="24" t="n"/>
      <c r="AX1350" s="24" t="inlineStr">
        <is>
          <t>statistical_model</t>
        </is>
      </c>
      <c r="AY1350" s="24" t="n"/>
      <c r="AZ1350" s="24" t="inlineStr">
        <is>
          <t>shadow_qualified</t>
        </is>
      </c>
      <c r="BA1350" s="24" t="inlineStr">
        <is>
          <t>7443acc419841200d57e1edf36b77f1940cdd0c48dce3d43fcd05498a109440b</t>
        </is>
      </c>
      <c r="BB1350" s="24" t="inlineStr">
        <is>
          <t>learned_v3</t>
        </is>
      </c>
      <c r="BC1350" s="24" t="inlineStr">
        <is>
          <t>tennis-learned-v3</t>
        </is>
      </c>
      <c r="BD1350" s="24" t="inlineStr">
        <is>
          <t>7443acc419841200d57e1edf36b77f1940cdd0c48dce3d43fcd05498a109440b</t>
        </is>
      </c>
      <c r="BE1350" s="24" t="inlineStr">
        <is>
          <t>tennis-learned-v3</t>
        </is>
      </c>
      <c r="BF1350" s="24" t="inlineStr">
        <is>
          <t>1</t>
        </is>
      </c>
      <c r="BG1350" s="24" t="inlineStr">
        <is>
          <t>7443acc419841200d57e1edf36b77f1940cdd0c48dce3d43fcd05498a109440b</t>
        </is>
      </c>
      <c r="BH1350" s="24" t="inlineStr">
        <is>
          <t>2026-10-12T16:34:24.840942Z</t>
        </is>
      </c>
      <c r="BI1350" s="24" t="inlineStr">
        <is>
          <t>["same_event","same_team_same_day","same_league_same_day"]</t>
        </is>
      </c>
      <c r="BJ1350" s="25" t="n"/>
      <c r="BK1350" s="26" t="n">
        <v>127</v>
      </c>
      <c r="BL1350" s="27" t="n">
        <v>2.27</v>
      </c>
      <c r="BM1350" s="28" t="n">
        <v>0.440529</v>
      </c>
      <c r="BN1350" s="28" t="n"/>
      <c r="BO1350" s="28" t="n"/>
      <c r="BP1350" s="25" t="n"/>
      <c r="BQ1350" s="27" t="n">
        <v>2.27</v>
      </c>
      <c r="BR1350" s="28" t="n">
        <v>0.44</v>
      </c>
      <c r="BS1350" s="28" t="n"/>
      <c r="BT1350" s="28" t="n"/>
      <c r="BU1350" s="25" t="n"/>
      <c r="BV1350" s="29" t="n"/>
      <c r="BW1350" s="24" t="n"/>
      <c r="BX1350" s="30" t="n"/>
      <c r="BY1350" s="27" t="n"/>
      <c r="BZ1350" s="24" t="n"/>
      <c r="CA1350" s="31" t="n"/>
      <c r="CB1350" s="24" t="n"/>
      <c r="CC1350" s="24" t="n"/>
      <c r="CD1350" s="24" t="n"/>
      <c r="CE1350" s="24" t="n"/>
      <c r="CF1350" s="24" t="n"/>
      <c r="CG1350" s="24" t="n"/>
      <c r="CH1350" s="24" t="n"/>
      <c r="CI1350" s="24" t="n"/>
      <c r="CJ1350" s="24" t="n"/>
      <c r="CK1350" s="24" t="n"/>
      <c r="CL1350" s="24" t="n"/>
      <c r="CM1350" s="24" t="n"/>
      <c r="CN1350" s="24" t="n"/>
      <c r="CO1350" s="24" t="n"/>
      <c r="CP1350" s="24" t="n"/>
      <c r="CQ1350" s="24" t="n"/>
      <c r="CR1350" s="24" t="n"/>
      <c r="CS1350" s="24" t="inlineStr">
        <is>
          <t>True</t>
        </is>
      </c>
      <c r="CT1350" s="24" t="n"/>
      <c r="CU1350" s="24" t="n"/>
      <c r="CV1350" s="24" t="n"/>
      <c r="CW1350" s="24" t="n"/>
      <c r="CX1350" s="24" t="n"/>
      <c r="CY1350" s="24" t="n"/>
      <c r="CZ1350" s="24" t="n"/>
      <c r="DA1350" s="24" t="n"/>
      <c r="DB1350" s="24" t="n"/>
      <c r="DC1350" s="24" t="n"/>
      <c r="DD1350" s="24" t="inlineStr">
        <is>
          <t>6b1188174e3e8dd0b946f1b5725b4dbcffb4c9b2358d0b489a8036248c0e2c24</t>
        </is>
      </c>
      <c r="DE1350" s="24" t="inlineStr">
        <is>
          <t>E:\model-prediction\data\odds\tennis\2026-10-12\polymarket_snapshots.jsonl</t>
        </is>
      </c>
      <c r="DF1350" s="24" t="inlineStr">
        <is>
          <t>1342062:2026-10-12T16:34:24.840942Z</t>
        </is>
      </c>
      <c r="DG1350" s="24" t="n"/>
      <c r="DH1350" s="24" t="n"/>
      <c r="DI1350" s="24" t="n"/>
      <c r="DJ1350" s="24" t="n"/>
      <c r="DK1350" s="24" t="n"/>
      <c r="DL1350" s="24" t="n"/>
      <c r="DM1350" s="24" t="n"/>
      <c r="DN1350" s="24" t="n"/>
      <c r="DO1350" s="24" t="n"/>
      <c r="DP1350" s="24" t="n"/>
      <c r="DQ1350" s="24" t="inlineStr">
        <is>
          <t>{"artifact_hash": "7443acc419841200d57e1edf36b77f1940cdd0c48dce3d43fcd05498a109440b", "away_team": "Lucia Bronzetti", "event_id": "1025-2026:185454", "event_start_utc": "2026-10-12T17:30Z", "features": {"elo_p1_surface": 1520.6, "elo_p2_surface": 1550.9, "expected_games_p1": 13.25, "expected_games_p2": 10.99, "expected_total_games": 24.24, "history_matches": 16708, "min_player_matches": 73, "surface": "Hard"}, "historical_source_observation_times_verified": false, "home_team": "Mona Barthel", "inference_inputs": {"best_of": 3, "code_sha256": {"features/elo_ratings.py": "d6513e79d65448c06cc0f9b9eed0eaa091567835128e1f6647a310da8d78a872", "models/tennis.py": "7443acc419841200d57e1edf36b77f1940cdd0c48dce3d43fcd05498a109440b"}, "counts": [160, 73], "market_probability": null, "model_version": "tennis-learned-v3", "overall_ratings": [1552.6500788084966, 1548.1209510109488], "p_serve_a": 0.6080514132009153, "p_serve_b": 0.5719485867990847, "players": ["Lucia Bronzetti", "Mona Barthel"], "rest_days": [7.0, 23.0], "sport": "TENNIS", "surface": "Hard", "surface_counts": [133, 61], "surface_ratings": [1520.6271269198312, 1550.8769295431841], "tour": "WTA"}, "market_type": "moneyline", "model_version": "tennis-learned-v3", "observed_at_utc": "2026-10-12T16:49:47.029717+00:00", "probabilities": {"away": 0.562, "home": 0.438}, "replay_scope": "Exact full-precision serving state and rounding; upstream historical observation times are not certified.", "schema": "coded-moneyline-replay-v1", "snapshot_hash": "e08c158bfd582f1d24d0d9c793e9eedc36dc37eb1c54fb1c4d5a4279c4c2f393", "sport": "TENNIS"}</t>
        </is>
      </c>
    </row>
    <row r="1351" ht="36" customHeight="1">
      <c r="A1351" s="24" t="inlineStr">
        <is>
          <t>49b940a4dd824df2</t>
        </is>
      </c>
      <c r="B1351" s="24" t="inlineStr">
        <is>
          <t>2026-10-12T16:49:53.990663Z</t>
        </is>
      </c>
      <c r="C1351" s="24" t="inlineStr">
        <is>
          <t>2026-10-12T17:30Z</t>
        </is>
      </c>
      <c r="D1351" s="24" t="inlineStr">
        <is>
          <t>1025-2026:185454</t>
        </is>
      </c>
      <c r="E1351" s="24" t="inlineStr">
        <is>
          <t>TENNIS</t>
        </is>
      </c>
      <c r="F1351" s="24" t="inlineStr">
        <is>
          <t>Lucia Bronzetti</t>
        </is>
      </c>
      <c r="G1351" s="24" t="inlineStr">
        <is>
          <t>Mona Barthel</t>
        </is>
      </c>
      <c r="H1351" s="24" t="inlineStr">
        <is>
          <t>total</t>
        </is>
      </c>
      <c r="I1351" s="24" t="inlineStr">
        <is>
          <t>over</t>
        </is>
      </c>
      <c r="J1351" s="25" t="n">
        <v>22.5</v>
      </c>
      <c r="K1351" s="24" t="inlineStr">
        <is>
          <t>polymarket_us</t>
        </is>
      </c>
      <c r="L1351" s="26" t="n">
        <v>122</v>
      </c>
      <c r="M1351" s="27" t="n">
        <v>2.22</v>
      </c>
      <c r="N1351" s="28" t="n">
        <v>0.45045</v>
      </c>
      <c r="O1351" s="28" t="n">
        <v>0.5386</v>
      </c>
      <c r="P1351" s="28" t="n">
        <v>0.05</v>
      </c>
      <c r="Q1351" s="28" t="n">
        <v>0.08815000000000001</v>
      </c>
      <c r="R1351" s="26" t="n">
        <v>64</v>
      </c>
      <c r="S1351" s="29" t="n">
        <v>1.25</v>
      </c>
      <c r="T1351" s="24" t="inlineStr">
        <is>
          <t>tennis-learned-v3</t>
        </is>
      </c>
      <c r="U1351" s="24" t="inlineStr">
        <is>
          <t>settled</t>
        </is>
      </c>
      <c r="V1351" s="24" t="inlineStr">
        <is>
          <t>loss</t>
        </is>
      </c>
      <c r="W1351" s="26" t="n">
        <v>15</v>
      </c>
      <c r="X1351" s="26" t="n">
        <v>7</v>
      </c>
      <c r="Y1351" s="25" t="n"/>
      <c r="Z1351" s="26" t="n"/>
      <c r="AA1351" s="28" t="n"/>
      <c r="AB1351" s="28" t="n"/>
      <c r="AC1351" s="30" t="n">
        <v>-1.25</v>
      </c>
      <c r="AD1351" s="24" t="inlineStr">
        <is>
          <t>2026-10-12T22:03:02.199612Z</t>
        </is>
      </c>
      <c r="AE1351" s="31" t="inlineStr">
        <is>
          <t>Tennis Markov total games line 22.5: over p=0.539. Executable ask 0.4500 (tsc-wta-monbar-lucbro-2026-10-12-tg-22pt5).</t>
        </is>
      </c>
      <c r="AF1351" s="31" t="inlineStr">
        <is>
          <t>Surface-blended Elo model; singles only, WTA+ATP market coverage, not yet locked-holdout qualified -- promoted by explicit operator directive, not genuine walk-forward validation.</t>
        </is>
      </c>
      <c r="AG1351" s="24" t="inlineStr">
        <is>
          <t>review_required</t>
        </is>
      </c>
      <c r="AH1351" s="24" t="n"/>
      <c r="AI1351" s="31" t="n"/>
      <c r="AJ1351" s="31" t="n"/>
      <c r="AK1351" s="24" t="inlineStr">
        <is>
          <t>model_qualified</t>
        </is>
      </c>
      <c r="AL1351" s="26" t="n">
        <v>4</v>
      </c>
      <c r="AM1351" s="24" t="inlineStr">
        <is>
          <t>QUALIFIED_SHADOW_CALL</t>
        </is>
      </c>
      <c r="AN1351" s="24" t="inlineStr">
        <is>
          <t>CALL</t>
        </is>
      </c>
      <c r="AO1351" s="24" t="inlineStr">
        <is>
          <t>QUALIFIED</t>
        </is>
      </c>
      <c r="AP1351" s="24" t="inlineStr">
        <is>
          <t>Lucia Bronzetti</t>
        </is>
      </c>
      <c r="AQ1351" s="24" t="inlineStr">
        <is>
          <t>Lucia Bronzetti</t>
        </is>
      </c>
      <c r="AR1351" s="24" t="inlineStr">
        <is>
          <t>Lucia Bronzetti</t>
        </is>
      </c>
      <c r="AS1351" s="24" t="inlineStr">
        <is>
          <t>Mona Barthel</t>
        </is>
      </c>
      <c r="AT1351" s="24" t="inlineStr">
        <is>
          <t>Mona Barthel</t>
        </is>
      </c>
      <c r="AU1351" s="24" t="inlineStr">
        <is>
          <t>Mona Barthel</t>
        </is>
      </c>
      <c r="AV1351" s="24" t="n"/>
      <c r="AW1351" s="24" t="n"/>
      <c r="AX1351" s="24" t="inlineStr">
        <is>
          <t>statistical_model</t>
        </is>
      </c>
      <c r="AY1351" s="24" t="n"/>
      <c r="AZ1351" s="24" t="inlineStr">
        <is>
          <t>shadow_qualified</t>
        </is>
      </c>
      <c r="BA1351" s="24" t="inlineStr">
        <is>
          <t>7443acc419841200d57e1edf36b77f1940cdd0c48dce3d43fcd05498a109440b</t>
        </is>
      </c>
      <c r="BB1351" s="24" t="inlineStr">
        <is>
          <t>learned_v3</t>
        </is>
      </c>
      <c r="BC1351" s="24" t="inlineStr">
        <is>
          <t>tennis-learned-v3</t>
        </is>
      </c>
      <c r="BD1351" s="24" t="inlineStr">
        <is>
          <t>7443acc419841200d57e1edf36b77f1940cdd0c48dce3d43fcd05498a109440b</t>
        </is>
      </c>
      <c r="BE1351" s="24" t="inlineStr">
        <is>
          <t>tennis-learned-v3</t>
        </is>
      </c>
      <c r="BF1351" s="24" t="inlineStr">
        <is>
          <t>1</t>
        </is>
      </c>
      <c r="BG1351" s="24" t="inlineStr">
        <is>
          <t>7443acc419841200d57e1edf36b77f1940cdd0c48dce3d43fcd05498a109440b</t>
        </is>
      </c>
      <c r="BH1351" s="24" t="inlineStr">
        <is>
          <t>2026-10-12T16:34:24.837096Z</t>
        </is>
      </c>
      <c r="BI1351" s="24" t="inlineStr">
        <is>
          <t>["same_event","same_team_same_day","same_league_same_day"]</t>
        </is>
      </c>
      <c r="BJ1351" s="25" t="n">
        <v>22.5</v>
      </c>
      <c r="BK1351" s="26" t="n">
        <v>122</v>
      </c>
      <c r="BL1351" s="27" t="n">
        <v>2.22</v>
      </c>
      <c r="BM1351" s="28" t="n">
        <v>0.45045</v>
      </c>
      <c r="BN1351" s="28" t="n"/>
      <c r="BO1351" s="28" t="n"/>
      <c r="BP1351" s="25" t="n"/>
      <c r="BQ1351" s="27" t="n"/>
      <c r="BR1351" s="28" t="n"/>
      <c r="BS1351" s="28" t="n"/>
      <c r="BT1351" s="28" t="n"/>
      <c r="BU1351" s="25" t="n"/>
      <c r="BV1351" s="29" t="n"/>
      <c r="BW1351" s="24" t="n"/>
      <c r="BX1351" s="30" t="n"/>
      <c r="BY1351" s="27" t="n"/>
      <c r="BZ1351" s="24" t="n"/>
      <c r="CA1351" s="31" t="n"/>
      <c r="CB1351" s="24" t="n"/>
      <c r="CC1351" s="24" t="n"/>
      <c r="CD1351" s="24" t="n"/>
      <c r="CE1351" s="24" t="n"/>
      <c r="CF1351" s="24" t="n"/>
      <c r="CG1351" s="24" t="n"/>
      <c r="CH1351" s="24" t="n"/>
      <c r="CI1351" s="24" t="n"/>
      <c r="CJ1351" s="24" t="n"/>
      <c r="CK1351" s="24" t="n"/>
      <c r="CL1351" s="24" t="n"/>
      <c r="CM1351" s="24" t="n"/>
      <c r="CN1351" s="24" t="n"/>
      <c r="CO1351" s="24" t="n"/>
      <c r="CP1351" s="24" t="n"/>
      <c r="CQ1351" s="24" t="n"/>
      <c r="CR1351" s="24" t="n"/>
      <c r="CS1351" s="24" t="inlineStr">
        <is>
          <t>True</t>
        </is>
      </c>
      <c r="CT1351" s="24" t="n"/>
      <c r="CU1351" s="24" t="n"/>
      <c r="CV1351" s="24" t="n"/>
      <c r="CW1351" s="24" t="n"/>
      <c r="CX1351" s="24" t="n"/>
      <c r="CY1351" s="24" t="n"/>
      <c r="CZ1351" s="24" t="n"/>
      <c r="DA1351" s="24" t="n"/>
      <c r="DB1351" s="24" t="n"/>
      <c r="DC1351" s="24" t="n"/>
      <c r="DD1351" s="24" t="inlineStr">
        <is>
          <t>f290b98b142a53408b535df12c8f39bbd6ca57258df57f863cbb31adc86f1e0d</t>
        </is>
      </c>
      <c r="DE1351" s="24" t="inlineStr">
        <is>
          <t>E:\model-prediction\data\odds\tennis\2026-10-12\polymarket_snapshots.jsonl</t>
        </is>
      </c>
      <c r="DF1351" s="24" t="inlineStr">
        <is>
          <t>1353632:2026-10-12T16:34:24.837096Z</t>
        </is>
      </c>
      <c r="DG1351" s="24" t="n"/>
      <c r="DH1351" s="24" t="n"/>
      <c r="DI1351" s="24" t="n"/>
      <c r="DJ1351" s="24" t="n"/>
      <c r="DK1351" s="24" t="n"/>
      <c r="DL1351" s="24" t="n"/>
      <c r="DM1351" s="24" t="n"/>
      <c r="DN1351" s="24" t="n"/>
      <c r="DO1351" s="24" t="n"/>
      <c r="DP1351" s="24" t="n"/>
      <c r="DQ1351" s="24" t="n"/>
    </row>
    <row r="1352" ht="36" customHeight="1">
      <c r="A1352" s="24" t="inlineStr">
        <is>
          <t>62197c985eec4cb8</t>
        </is>
      </c>
      <c r="B1352" s="24" t="inlineStr">
        <is>
          <t>2026-10-12T16:49:53.990663Z</t>
        </is>
      </c>
      <c r="C1352" s="24" t="inlineStr">
        <is>
          <t>2026-10-12T17:30Z</t>
        </is>
      </c>
      <c r="D1352" s="24" t="inlineStr">
        <is>
          <t>1025-2026:185454</t>
        </is>
      </c>
      <c r="E1352" s="24" t="inlineStr">
        <is>
          <t>TENNIS</t>
        </is>
      </c>
      <c r="F1352" s="24" t="inlineStr">
        <is>
          <t>Lucia Bronzetti</t>
        </is>
      </c>
      <c r="G1352" s="24" t="inlineStr">
        <is>
          <t>Mona Barthel</t>
        </is>
      </c>
      <c r="H1352" s="24" t="inlineStr">
        <is>
          <t>spread</t>
        </is>
      </c>
      <c r="I1352" s="24" t="inlineStr">
        <is>
          <t>away</t>
        </is>
      </c>
      <c r="J1352" s="25" t="n">
        <v>-7.5</v>
      </c>
      <c r="K1352" s="24" t="inlineStr">
        <is>
          <t>polymarket_us</t>
        </is>
      </c>
      <c r="L1352" s="26" t="n">
        <v>-150</v>
      </c>
      <c r="M1352" s="27" t="n">
        <v>1.666667</v>
      </c>
      <c r="N1352" s="28" t="n">
        <v>0.6</v>
      </c>
      <c r="O1352" s="28" t="n">
        <v>0.9903999999999999</v>
      </c>
      <c r="P1352" s="28" t="n">
        <v>0.05</v>
      </c>
      <c r="Q1352" s="28" t="n">
        <v>0.3904</v>
      </c>
      <c r="R1352" s="26" t="n">
        <v>100</v>
      </c>
      <c r="S1352" s="29" t="n">
        <v>2</v>
      </c>
      <c r="T1352" s="24" t="inlineStr">
        <is>
          <t>tennis-learned-v3</t>
        </is>
      </c>
      <c r="U1352" s="24" t="inlineStr">
        <is>
          <t>settled</t>
        </is>
      </c>
      <c r="V1352" s="24" t="inlineStr">
        <is>
          <t>win</t>
        </is>
      </c>
      <c r="W1352" s="26" t="n">
        <v>15</v>
      </c>
      <c r="X1352" s="26" t="n">
        <v>7</v>
      </c>
      <c r="Y1352" s="25" t="n"/>
      <c r="Z1352" s="26" t="n"/>
      <c r="AA1352" s="28" t="n"/>
      <c r="AB1352" s="28" t="n"/>
      <c r="AC1352" s="30" t="n">
        <v>1.3333</v>
      </c>
      <c r="AD1352" s="24" t="inlineStr">
        <is>
          <t>2026-10-12T22:03:07.613185Z</t>
        </is>
      </c>
      <c r="AE1352" s="31" t="inlineStr">
        <is>
          <t>Tennis Markov game spread -7.5 games: away cover p=0.990. Executable ask 0.6000 (asc-wta-monbar-lucbro-2026-10-12-gs-neg-7pt5).</t>
        </is>
      </c>
      <c r="AF1352" s="31" t="inlineStr">
        <is>
          <t>Surface-blended Elo model; singles only, WTA+ATP market coverage, not yet locked-holdout qualified -- promoted by explicit operator directive, not genuine walk-forward validation.</t>
        </is>
      </c>
      <c r="AG1352" s="24" t="inlineStr">
        <is>
          <t>not_applicable</t>
        </is>
      </c>
      <c r="AH1352" s="24" t="n"/>
      <c r="AI1352" s="31" t="n"/>
      <c r="AJ1352" s="31" t="n"/>
      <c r="AK1352" s="24" t="inlineStr">
        <is>
          <t>model_qualified</t>
        </is>
      </c>
      <c r="AL1352" s="26" t="n">
        <v>4</v>
      </c>
      <c r="AM1352" s="24" t="inlineStr">
        <is>
          <t>QUALIFIED_SHADOW_CALL</t>
        </is>
      </c>
      <c r="AN1352" s="24" t="inlineStr">
        <is>
          <t>CALL</t>
        </is>
      </c>
      <c r="AO1352" s="24" t="inlineStr">
        <is>
          <t>QUALIFIED</t>
        </is>
      </c>
      <c r="AP1352" s="24" t="inlineStr">
        <is>
          <t>Lucia Bronzetti</t>
        </is>
      </c>
      <c r="AQ1352" s="24" t="inlineStr">
        <is>
          <t>Lucia Bronzetti</t>
        </is>
      </c>
      <c r="AR1352" s="24" t="inlineStr">
        <is>
          <t>Lucia Bronzetti</t>
        </is>
      </c>
      <c r="AS1352" s="24" t="inlineStr">
        <is>
          <t>Mona Barthel</t>
        </is>
      </c>
      <c r="AT1352" s="24" t="inlineStr">
        <is>
          <t>Mona Barthel</t>
        </is>
      </c>
      <c r="AU1352" s="24" t="inlineStr">
        <is>
          <t>Mona Barthel</t>
        </is>
      </c>
      <c r="AV1352" s="24" t="n"/>
      <c r="AW1352" s="24" t="n"/>
      <c r="AX1352" s="24" t="inlineStr">
        <is>
          <t>statistical_model</t>
        </is>
      </c>
      <c r="AY1352" s="24" t="n"/>
      <c r="AZ1352" s="24" t="inlineStr">
        <is>
          <t>shadow_qualified</t>
        </is>
      </c>
      <c r="BA1352" s="24" t="inlineStr">
        <is>
          <t>7443acc419841200d57e1edf36b77f1940cdd0c48dce3d43fcd05498a109440b</t>
        </is>
      </c>
      <c r="BB1352" s="24" t="inlineStr">
        <is>
          <t>learned_v3</t>
        </is>
      </c>
      <c r="BC1352" s="24" t="inlineStr">
        <is>
          <t>tennis-learned-v3</t>
        </is>
      </c>
      <c r="BD1352" s="24" t="inlineStr">
        <is>
          <t>7443acc419841200d57e1edf36b77f1940cdd0c48dce3d43fcd05498a109440b</t>
        </is>
      </c>
      <c r="BE1352" s="24" t="inlineStr">
        <is>
          <t>tennis-learned-v3</t>
        </is>
      </c>
      <c r="BF1352" s="24" t="inlineStr">
        <is>
          <t>1</t>
        </is>
      </c>
      <c r="BG1352" s="24" t="inlineStr">
        <is>
          <t>7443acc419841200d57e1edf36b77f1940cdd0c48dce3d43fcd05498a109440b</t>
        </is>
      </c>
      <c r="BH1352" s="24" t="inlineStr">
        <is>
          <t>2026-10-12T05:03:36.123966Z</t>
        </is>
      </c>
      <c r="BI1352" s="24" t="inlineStr">
        <is>
          <t>["same_event","same_team_same_day","same_league_same_day"]</t>
        </is>
      </c>
      <c r="BJ1352" s="25" t="n">
        <v>-7.5</v>
      </c>
      <c r="BK1352" s="26" t="n">
        <v>-150</v>
      </c>
      <c r="BL1352" s="27" t="n">
        <v>1.666667</v>
      </c>
      <c r="BM1352" s="28" t="n">
        <v>0.6</v>
      </c>
      <c r="BN1352" s="28" t="n"/>
      <c r="BO1352" s="28" t="n"/>
      <c r="BP1352" s="25" t="n"/>
      <c r="BQ1352" s="27" t="n"/>
      <c r="BR1352" s="28" t="n"/>
      <c r="BS1352" s="28" t="n"/>
      <c r="BT1352" s="28" t="n"/>
      <c r="BU1352" s="25" t="n"/>
      <c r="BV1352" s="29" t="n"/>
      <c r="BW1352" s="24" t="n"/>
      <c r="BX1352" s="30" t="n"/>
      <c r="BY1352" s="27" t="n"/>
      <c r="BZ1352" s="24" t="n"/>
      <c r="CA1352" s="31" t="n"/>
      <c r="CB1352" s="24" t="n"/>
      <c r="CC1352" s="24" t="n"/>
      <c r="CD1352" s="24" t="n"/>
      <c r="CE1352" s="24" t="n"/>
      <c r="CF1352" s="24" t="n"/>
      <c r="CG1352" s="24" t="n"/>
      <c r="CH1352" s="24" t="n"/>
      <c r="CI1352" s="24" t="n"/>
      <c r="CJ1352" s="24" t="n"/>
      <c r="CK1352" s="24" t="n"/>
      <c r="CL1352" s="24" t="n"/>
      <c r="CM1352" s="24" t="n"/>
      <c r="CN1352" s="24" t="n"/>
      <c r="CO1352" s="24" t="n"/>
      <c r="CP1352" s="24" t="n"/>
      <c r="CQ1352" s="24" t="n"/>
      <c r="CR1352" s="24" t="n"/>
      <c r="CS1352" s="24" t="inlineStr">
        <is>
          <t>True</t>
        </is>
      </c>
      <c r="CT1352" s="24" t="n"/>
      <c r="CU1352" s="24" t="n"/>
      <c r="CV1352" s="24" t="n"/>
      <c r="CW1352" s="24" t="n"/>
      <c r="CX1352" s="24" t="n"/>
      <c r="CY1352" s="24" t="n"/>
      <c r="CZ1352" s="24" t="n"/>
      <c r="DA1352" s="24" t="n"/>
      <c r="DB1352" s="24" t="n"/>
      <c r="DC1352" s="24" t="n"/>
      <c r="DD1352" s="24" t="inlineStr">
        <is>
          <t>417ff2bda529393af923fd2b52a2c6d60f6243d6692d24928657caf867764195</t>
        </is>
      </c>
      <c r="DE1352" s="24" t="inlineStr">
        <is>
          <t>E:\model-prediction\data\odds\tennis\2026-10-12\polymarket_snapshots.jsonl</t>
        </is>
      </c>
      <c r="DF1352" s="24" t="inlineStr">
        <is>
          <t>1353647:2026-10-12T05:03:36.123966Z</t>
        </is>
      </c>
      <c r="DG1352" s="24" t="n"/>
      <c r="DH1352" s="24" t="n"/>
      <c r="DI1352" s="24" t="n"/>
      <c r="DJ1352" s="24" t="n"/>
      <c r="DK1352" s="24" t="n"/>
      <c r="DL1352" s="24" t="n"/>
      <c r="DM1352" s="24" t="n"/>
      <c r="DN1352" s="24" t="n"/>
      <c r="DO1352" s="24" t="n"/>
      <c r="DP1352" s="24" t="n"/>
      <c r="DQ1352" s="24" t="n"/>
    </row>
    <row r="1353" ht="36" customHeight="1">
      <c r="A1353" s="24" t="inlineStr">
        <is>
          <t>dee864f80a2647b9</t>
        </is>
      </c>
      <c r="B1353" s="24" t="inlineStr">
        <is>
          <t>2026-10-12T22:26:15.686728Z</t>
        </is>
      </c>
      <c r="C1353" s="24" t="inlineStr">
        <is>
          <t>2026-10-13T03:00Z</t>
        </is>
      </c>
      <c r="D1353" s="24" t="inlineStr">
        <is>
          <t>381-2026:185326</t>
        </is>
      </c>
      <c r="E1353" s="24" t="inlineStr">
        <is>
          <t>TENNIS</t>
        </is>
      </c>
      <c r="F1353" s="24" t="inlineStr">
        <is>
          <t>Cristina Bucsa</t>
        </is>
      </c>
      <c r="G1353" s="24" t="inlineStr">
        <is>
          <t>Dayana Yastremska</t>
        </is>
      </c>
      <c r="H1353" s="24" t="inlineStr">
        <is>
          <t>moneyline</t>
        </is>
      </c>
      <c r="I1353" s="24" t="inlineStr">
        <is>
          <t>away</t>
        </is>
      </c>
      <c r="J1353" s="25" t="n"/>
      <c r="K1353" s="24" t="inlineStr">
        <is>
          <t>polymarket_us</t>
        </is>
      </c>
      <c r="L1353" s="26" t="n">
        <v>117</v>
      </c>
      <c r="M1353" s="27" t="n">
        <v>2.17</v>
      </c>
      <c r="N1353" s="28" t="n">
        <v>0.460829</v>
      </c>
      <c r="O1353" s="28" t="n">
        <v>0.5674</v>
      </c>
      <c r="P1353" s="28" t="n">
        <v>0.05</v>
      </c>
      <c r="Q1353" s="28" t="n">
        <v>0.106571</v>
      </c>
      <c r="R1353" s="26" t="n">
        <v>73</v>
      </c>
      <c r="S1353" s="29" t="n">
        <v>1.5</v>
      </c>
      <c r="T1353" s="24" t="inlineStr">
        <is>
          <t>tennis-learned-v3</t>
        </is>
      </c>
      <c r="U1353" s="24" t="inlineStr">
        <is>
          <t>settled</t>
        </is>
      </c>
      <c r="V1353" s="24" t="inlineStr">
        <is>
          <t>loss</t>
        </is>
      </c>
      <c r="W1353" s="26" t="n">
        <v>0</v>
      </c>
      <c r="X1353" s="26" t="n">
        <v>1</v>
      </c>
      <c r="Y1353" s="25" t="n"/>
      <c r="Z1353" s="26" t="n">
        <v>117</v>
      </c>
      <c r="AA1353" s="28" t="n">
        <v>0.46</v>
      </c>
      <c r="AB1353" s="28" t="n">
        <v>-0.000829</v>
      </c>
      <c r="AC1353" s="30" t="n">
        <v>-1.5</v>
      </c>
      <c r="AD1353" s="24" t="inlineStr">
        <is>
          <t>2026-10-13T10:03:51.314372Z</t>
        </is>
      </c>
      <c r="AE1353" s="31" t="inlineStr">
        <is>
          <t>Tennis v3 Learned Fundamental on Hard (Bo3): Cristina Bucsa p=0.567 vs Dayana Yastremska. Executable ask 0.4600 (aec-wta-dayyas-cribuc-2026-10-11).</t>
        </is>
      </c>
      <c r="AF1353" s="31" t="inlineStr">
        <is>
          <t>Surface-blended Elo model; singles only, WTA+ATP market coverage, not yet locked-holdout qualified -- promoted by explicit operator directive, not genuine walk-forward validation.</t>
        </is>
      </c>
      <c r="AG1353" s="24" t="inlineStr">
        <is>
          <t>review_required</t>
        </is>
      </c>
      <c r="AH1353" s="24" t="n"/>
      <c r="AI1353" s="31" t="n"/>
      <c r="AJ1353" s="31" t="n"/>
      <c r="AK1353" s="24" t="inlineStr">
        <is>
          <t>model_qualified</t>
        </is>
      </c>
      <c r="AL1353" s="26" t="n">
        <v>4</v>
      </c>
      <c r="AM1353" s="24" t="inlineStr">
        <is>
          <t>QUALIFIED_SHADOW_CALL</t>
        </is>
      </c>
      <c r="AN1353" s="24" t="inlineStr">
        <is>
          <t>CALL</t>
        </is>
      </c>
      <c r="AO1353" s="24" t="inlineStr">
        <is>
          <t>QUALIFIED</t>
        </is>
      </c>
      <c r="AP1353" s="24" t="inlineStr">
        <is>
          <t>Cristina Bucsa</t>
        </is>
      </c>
      <c r="AQ1353" s="24" t="inlineStr">
        <is>
          <t>Cristina Bucsa</t>
        </is>
      </c>
      <c r="AR1353" s="24" t="inlineStr">
        <is>
          <t>Cristina Bucsa</t>
        </is>
      </c>
      <c r="AS1353" s="24" t="inlineStr">
        <is>
          <t>Dayana Yastremska</t>
        </is>
      </c>
      <c r="AT1353" s="24" t="inlineStr">
        <is>
          <t>Dayana Yastremska</t>
        </is>
      </c>
      <c r="AU1353" s="24" t="inlineStr">
        <is>
          <t>Dayana Yastremska</t>
        </is>
      </c>
      <c r="AV1353" s="24" t="n"/>
      <c r="AW1353" s="24" t="n"/>
      <c r="AX1353" s="24" t="inlineStr">
        <is>
          <t>statistical_model</t>
        </is>
      </c>
      <c r="AY1353" s="24" t="n"/>
      <c r="AZ1353" s="24" t="inlineStr">
        <is>
          <t>shadow_qualified</t>
        </is>
      </c>
      <c r="BA1353" s="24" t="inlineStr">
        <is>
          <t>7443acc419841200d57e1edf36b77f1940cdd0c48dce3d43fcd05498a109440b</t>
        </is>
      </c>
      <c r="BB1353" s="24" t="inlineStr">
        <is>
          <t>learned_v3</t>
        </is>
      </c>
      <c r="BC1353" s="24" t="inlineStr">
        <is>
          <t>tennis-learned-v3</t>
        </is>
      </c>
      <c r="BD1353" s="24" t="inlineStr">
        <is>
          <t>7443acc419841200d57e1edf36b77f1940cdd0c48dce3d43fcd05498a109440b</t>
        </is>
      </c>
      <c r="BE1353" s="24" t="inlineStr">
        <is>
          <t>tennis-learned-v3</t>
        </is>
      </c>
      <c r="BF1353" s="24" t="inlineStr">
        <is>
          <t>1</t>
        </is>
      </c>
      <c r="BG1353" s="24" t="inlineStr">
        <is>
          <t>7443acc419841200d57e1edf36b77f1940cdd0c48dce3d43fcd05498a109440b</t>
        </is>
      </c>
      <c r="BH1353" s="24" t="inlineStr">
        <is>
          <t>2026-10-12T22:18:02.878301Z</t>
        </is>
      </c>
      <c r="BI1353" s="24" t="inlineStr">
        <is>
          <t>["same_event","same_team_same_day","same_league_same_day"]</t>
        </is>
      </c>
      <c r="BJ1353" s="25" t="n"/>
      <c r="BK1353" s="26" t="n">
        <v>117</v>
      </c>
      <c r="BL1353" s="27" t="n">
        <v>2.17</v>
      </c>
      <c r="BM1353" s="28" t="n">
        <v>0.460829</v>
      </c>
      <c r="BN1353" s="28" t="n"/>
      <c r="BO1353" s="28" t="n"/>
      <c r="BP1353" s="25" t="n"/>
      <c r="BQ1353" s="27" t="n">
        <v>2.17</v>
      </c>
      <c r="BR1353" s="28" t="n">
        <v>0.46</v>
      </c>
      <c r="BS1353" s="28" t="n"/>
      <c r="BT1353" s="28" t="n"/>
      <c r="BU1353" s="25" t="n"/>
      <c r="BV1353" s="29" t="n"/>
      <c r="BW1353" s="24" t="n"/>
      <c r="BX1353" s="30" t="n"/>
      <c r="BY1353" s="27" t="n"/>
      <c r="BZ1353" s="24" t="n"/>
      <c r="CA1353" s="31" t="n"/>
      <c r="CB1353" s="24" t="n"/>
      <c r="CC1353" s="24" t="n"/>
      <c r="CD1353" s="24" t="n"/>
      <c r="CE1353" s="24" t="n"/>
      <c r="CF1353" s="24" t="n"/>
      <c r="CG1353" s="24" t="n"/>
      <c r="CH1353" s="24" t="n"/>
      <c r="CI1353" s="24" t="n"/>
      <c r="CJ1353" s="24" t="n"/>
      <c r="CK1353" s="24" t="n"/>
      <c r="CL1353" s="24" t="n"/>
      <c r="CM1353" s="24" t="n"/>
      <c r="CN1353" s="24" t="n"/>
      <c r="CO1353" s="24" t="n"/>
      <c r="CP1353" s="24" t="n"/>
      <c r="CQ1353" s="24" t="n"/>
      <c r="CR1353" s="24" t="n"/>
      <c r="CS1353" s="24" t="inlineStr">
        <is>
          <t>True</t>
        </is>
      </c>
      <c r="CT1353" s="24" t="n"/>
      <c r="CU1353" s="24" t="n"/>
      <c r="CV1353" s="24" t="n"/>
      <c r="CW1353" s="24" t="n"/>
      <c r="CX1353" s="24" t="n"/>
      <c r="CY1353" s="24" t="n"/>
      <c r="CZ1353" s="24" t="n"/>
      <c r="DA1353" s="24" t="n"/>
      <c r="DB1353" s="24" t="n"/>
      <c r="DC1353" s="24" t="n"/>
      <c r="DD1353" s="24" t="inlineStr">
        <is>
          <t>6946781fa6271da67eb954c34b89741b5d0f13627e9fa1450984624b05d014c1</t>
        </is>
      </c>
      <c r="DE1353" s="24" t="inlineStr">
        <is>
          <t>E:\model-prediction\data\odds\tennis\2026-10-12\polymarket_snapshots.jsonl</t>
        </is>
      </c>
      <c r="DF1353" s="24" t="inlineStr">
        <is>
          <t>1333573:2026-10-12T22:18:02.878301Z</t>
        </is>
      </c>
      <c r="DG1353" s="24" t="n"/>
      <c r="DH1353" s="24" t="n"/>
      <c r="DI1353" s="24" t="n"/>
      <c r="DJ1353" s="24" t="n"/>
      <c r="DK1353" s="24" t="n"/>
      <c r="DL1353" s="24" t="n"/>
      <c r="DM1353" s="24" t="n"/>
      <c r="DN1353" s="24" t="n"/>
      <c r="DO1353" s="24" t="n"/>
      <c r="DP1353" s="24" t="n"/>
      <c r="DQ1353" s="24" t="inlineStr">
        <is>
          <t>{"artifact_hash": "7443acc419841200d57e1edf36b77f1940cdd0c48dce3d43fcd05498a109440b", "away_team": "Cristina Bucsa", "event_id": "381-2026:185326", "event_start_utc": "2026-10-13T03:00Z", "features": {"elo_p1_surface": 1608.8, "elo_p2_surface": 1537.4, "expected_games_p1": 13.29, "expected_games_p2": 10.87, "expected_total_games": 24.16, "history_matches": 16708, "min_player_matches": 137, "surface": "Hard"}, "historical_source_observation_times_verified": false, "home_team": "Dayana Yastremska", "inference_inputs": {"best_of": 3, "code_sha256": {"features/elo_ratings.py": "d6513e79d65448c06cc0f9b9eed0eaa091567835128e1f6647a310da8d78a872", "models/tennis.py": "7443acc419841200d57e1edf36b77f1940cdd0c48dce3d43fcd05498a109440b"}, "counts": [150, 137], "market_probability": null, "model_version": "tennis-learned-v3", "overall_ratings": [1642.7290030364322, 1614.5211581928809], "p_serve_a": 0.6096227017456317, "p_serve_b": 0.5703772982543682, "players": ["Cristina Bucsa", "Dayana Yastremska"], "rest_days": [9.0, 8.0], "sport": "TENNIS", "surface": "Hard", "surface_counts": [124, 94], "surface_ratings": [1608.8296550196003, 1537.3608835839439], "tour": "WTA"}, "market_type": "moneyline", "model_version": "tennis-learned-v3", "observed_at_utc": "2026-10-12T22:26:12.584235+00:00", "probabilities": {"away": 0.5674, "home": 0.4326}, "replay_scope": "Exact full-precision serving state and rounding; upstream historical observation times are not certified.", "schema": "coded-moneyline-replay-v1", "snapshot_hash": "e1c9518f9d5cd45b74871b41abbf971e7064ccc06230e6ab703f0df7b952ef94", "sport": "TENNIS"}</t>
        </is>
      </c>
    </row>
    <row r="1354" ht="36" customHeight="1">
      <c r="A1354" s="24" t="inlineStr">
        <is>
          <t>d0d45a64b4d34245</t>
        </is>
      </c>
      <c r="B1354" s="24" t="inlineStr">
        <is>
          <t>2026-10-12T22:26:15.686728Z</t>
        </is>
      </c>
      <c r="C1354" s="24" t="inlineStr">
        <is>
          <t>2026-10-13T03:00Z</t>
        </is>
      </c>
      <c r="D1354" s="24" t="inlineStr">
        <is>
          <t>381-2026:185326</t>
        </is>
      </c>
      <c r="E1354" s="24" t="inlineStr">
        <is>
          <t>TENNIS</t>
        </is>
      </c>
      <c r="F1354" s="24" t="inlineStr">
        <is>
          <t>Cristina Bucsa</t>
        </is>
      </c>
      <c r="G1354" s="24" t="inlineStr">
        <is>
          <t>Dayana Yastremska</t>
        </is>
      </c>
      <c r="H1354" s="24" t="inlineStr">
        <is>
          <t>total</t>
        </is>
      </c>
      <c r="I1354" s="24" t="inlineStr">
        <is>
          <t>over</t>
        </is>
      </c>
      <c r="J1354" s="25" t="n">
        <v>22.5</v>
      </c>
      <c r="K1354" s="24" t="inlineStr">
        <is>
          <t>polymarket_us</t>
        </is>
      </c>
      <c r="L1354" s="26" t="n">
        <v>127</v>
      </c>
      <c r="M1354" s="27" t="n">
        <v>2.27</v>
      </c>
      <c r="N1354" s="28" t="n">
        <v>0.440529</v>
      </c>
      <c r="O1354" s="28" t="n">
        <v>0.5323</v>
      </c>
      <c r="P1354" s="28" t="n">
        <v>0.05</v>
      </c>
      <c r="Q1354" s="28" t="n">
        <v>0.09177100000000001</v>
      </c>
      <c r="R1354" s="26" t="n">
        <v>66</v>
      </c>
      <c r="S1354" s="29" t="n">
        <v>1.25</v>
      </c>
      <c r="T1354" s="24" t="inlineStr">
        <is>
          <t>tennis-learned-v3</t>
        </is>
      </c>
      <c r="U1354" s="24" t="inlineStr">
        <is>
          <t>settled</t>
        </is>
      </c>
      <c r="V1354" s="24" t="inlineStr">
        <is>
          <t>win</t>
        </is>
      </c>
      <c r="W1354" s="26" t="n">
        <v>14</v>
      </c>
      <c r="X1354" s="26" t="n">
        <v>17</v>
      </c>
      <c r="Y1354" s="25" t="n"/>
      <c r="Z1354" s="26" t="n"/>
      <c r="AA1354" s="28" t="n"/>
      <c r="AB1354" s="28" t="n"/>
      <c r="AC1354" s="30" t="n">
        <v>1.5875</v>
      </c>
      <c r="AD1354" s="24" t="inlineStr">
        <is>
          <t>2026-10-13T10:03:58.083305Z</t>
        </is>
      </c>
      <c r="AE1354" s="31" t="inlineStr">
        <is>
          <t>Tennis Markov total games line 22.5: over p=0.532. Executable ask 0.4400 (tsc-wta-dayyas-cribuc-2026-10-11-tg-22pt5).</t>
        </is>
      </c>
      <c r="AF1354" s="31" t="inlineStr">
        <is>
          <t>Surface-blended Elo model; singles only, WTA+ATP market coverage, not yet locked-holdout qualified -- promoted by explicit operator directive, not genuine walk-forward validation.</t>
        </is>
      </c>
      <c r="AG1354" s="24" t="inlineStr">
        <is>
          <t>not_applicable</t>
        </is>
      </c>
      <c r="AH1354" s="24" t="n"/>
      <c r="AI1354" s="31" t="n"/>
      <c r="AJ1354" s="31" t="n"/>
      <c r="AK1354" s="24" t="inlineStr">
        <is>
          <t>paper_call</t>
        </is>
      </c>
      <c r="AL1354" s="26" t="n">
        <v>4</v>
      </c>
      <c r="AM1354" s="24" t="inlineStr">
        <is>
          <t>RESEARCH_OBSERVATION</t>
        </is>
      </c>
      <c r="AN1354" s="24" t="inlineStr">
        <is>
          <t>CALL</t>
        </is>
      </c>
      <c r="AO1354" s="24" t="inlineStr">
        <is>
          <t>PAPER_CALL_LOW_EDGE</t>
        </is>
      </c>
      <c r="AP1354" s="24" t="inlineStr">
        <is>
          <t>Cristina Bucsa</t>
        </is>
      </c>
      <c r="AQ1354" s="24" t="inlineStr">
        <is>
          <t>Cristina Bucsa</t>
        </is>
      </c>
      <c r="AR1354" s="24" t="inlineStr">
        <is>
          <t>Cristina Bucsa</t>
        </is>
      </c>
      <c r="AS1354" s="24" t="inlineStr">
        <is>
          <t>Dayana Yastremska</t>
        </is>
      </c>
      <c r="AT1354" s="24" t="inlineStr">
        <is>
          <t>Dayana Yastremska</t>
        </is>
      </c>
      <c r="AU1354" s="24" t="inlineStr">
        <is>
          <t>Dayana Yastremska</t>
        </is>
      </c>
      <c r="AV1354" s="24" t="n"/>
      <c r="AW1354" s="24" t="n"/>
      <c r="AX1354" s="24" t="inlineStr">
        <is>
          <t>statistical_model</t>
        </is>
      </c>
      <c r="AY1354" s="24" t="n"/>
      <c r="AZ1354" s="24" t="inlineStr">
        <is>
          <t>shadow_qualified</t>
        </is>
      </c>
      <c r="BA1354" s="24" t="inlineStr">
        <is>
          <t>7443acc419841200d57e1edf36b77f1940cdd0c48dce3d43fcd05498a109440b</t>
        </is>
      </c>
      <c r="BB1354" s="24" t="inlineStr">
        <is>
          <t>learned_v3</t>
        </is>
      </c>
      <c r="BC1354" s="24" t="inlineStr">
        <is>
          <t>tennis-learned-v3</t>
        </is>
      </c>
      <c r="BD1354" s="24" t="inlineStr">
        <is>
          <t>7443acc419841200d57e1edf36b77f1940cdd0c48dce3d43fcd05498a109440b</t>
        </is>
      </c>
      <c r="BE1354" s="24" t="inlineStr">
        <is>
          <t>tennis-learned-v3</t>
        </is>
      </c>
      <c r="BF1354" s="24" t="inlineStr">
        <is>
          <t>1</t>
        </is>
      </c>
      <c r="BG1354" s="24" t="inlineStr">
        <is>
          <t>7443acc419841200d57e1edf36b77f1940cdd0c48dce3d43fcd05498a109440b</t>
        </is>
      </c>
      <c r="BH1354" s="24" t="inlineStr">
        <is>
          <t>2026-10-12T22:18:02.864480Z</t>
        </is>
      </c>
      <c r="BI1354" s="24" t="inlineStr">
        <is>
          <t>["same_event","same_team_same_day","same_league_same_day"]</t>
        </is>
      </c>
      <c r="BJ1354" s="25" t="n">
        <v>22.5</v>
      </c>
      <c r="BK1354" s="26" t="n">
        <v>127</v>
      </c>
      <c r="BL1354" s="27" t="n">
        <v>2.27</v>
      </c>
      <c r="BM1354" s="28" t="n">
        <v>0.440529</v>
      </c>
      <c r="BN1354" s="28" t="n"/>
      <c r="BO1354" s="28" t="n"/>
      <c r="BP1354" s="25" t="n"/>
      <c r="BQ1354" s="27" t="n"/>
      <c r="BR1354" s="28" t="n"/>
      <c r="BS1354" s="28" t="n"/>
      <c r="BT1354" s="28" t="n"/>
      <c r="BU1354" s="25" t="n"/>
      <c r="BV1354" s="29" t="n"/>
      <c r="BW1354" s="24" t="n"/>
      <c r="BX1354" s="30" t="n"/>
      <c r="BY1354" s="27" t="n"/>
      <c r="BZ1354" s="24" t="n"/>
      <c r="CA1354" s="31" t="n"/>
      <c r="CB1354" s="24" t="n"/>
      <c r="CC1354" s="24" t="n"/>
      <c r="CD1354" s="24" t="n"/>
      <c r="CE1354" s="24" t="n"/>
      <c r="CF1354" s="24" t="n"/>
      <c r="CG1354" s="24" t="n"/>
      <c r="CH1354" s="24" t="n"/>
      <c r="CI1354" s="24" t="n"/>
      <c r="CJ1354" s="24" t="n"/>
      <c r="CK1354" s="24" t="n"/>
      <c r="CL1354" s="24" t="n"/>
      <c r="CM1354" s="24" t="n"/>
      <c r="CN1354" s="24" t="n"/>
      <c r="CO1354" s="24" t="n"/>
      <c r="CP1354" s="24" t="n"/>
      <c r="CQ1354" s="24" t="n"/>
      <c r="CR1354" s="24" t="n"/>
      <c r="CS1354" s="24" t="inlineStr">
        <is>
          <t>True</t>
        </is>
      </c>
      <c r="CT1354" s="24" t="n"/>
      <c r="CU1354" s="24" t="n"/>
      <c r="CV1354" s="24" t="n"/>
      <c r="CW1354" s="24" t="n"/>
      <c r="CX1354" s="24" t="n"/>
      <c r="CY1354" s="24" t="n"/>
      <c r="CZ1354" s="24" t="n"/>
      <c r="DA1354" s="24" t="n"/>
      <c r="DB1354" s="24" t="n"/>
      <c r="DC1354" s="24" t="n"/>
      <c r="DD1354" s="24" t="inlineStr">
        <is>
          <t>29e53ff40263ba3f492f808e5412764f9dd68fca9363b2e7463998a959028a96</t>
        </is>
      </c>
      <c r="DE1354" s="24" t="inlineStr">
        <is>
          <t>E:\model-prediction\data\odds\tennis\2026-10-12\polymarket_snapshots.jsonl</t>
        </is>
      </c>
      <c r="DF1354" s="24" t="inlineStr">
        <is>
          <t>1353796:2026-10-12T22:18:02.864480Z</t>
        </is>
      </c>
      <c r="DG1354" s="24" t="n"/>
      <c r="DH1354" s="24" t="n"/>
      <c r="DI1354" s="24" t="n"/>
      <c r="DJ1354" s="24" t="n"/>
      <c r="DK1354" s="24" t="n"/>
      <c r="DL1354" s="24" t="n"/>
      <c r="DM1354" s="24" t="n"/>
      <c r="DN1354" s="24" t="n"/>
      <c r="DO1354" s="24" t="n"/>
      <c r="DP1354" s="24" t="n"/>
      <c r="DQ1354" s="24" t="n"/>
    </row>
    <row r="1355" ht="36" customHeight="1">
      <c r="A1355" s="24" t="inlineStr">
        <is>
          <t>4ba90b41251740ac</t>
        </is>
      </c>
      <c r="B1355" s="24" t="inlineStr">
        <is>
          <t>2026-10-12T22:26:15.686728Z</t>
        </is>
      </c>
      <c r="C1355" s="24" t="inlineStr">
        <is>
          <t>2026-10-13T03:00Z</t>
        </is>
      </c>
      <c r="D1355" s="24" t="inlineStr">
        <is>
          <t>381-2026:185326</t>
        </is>
      </c>
      <c r="E1355" s="24" t="inlineStr">
        <is>
          <t>TENNIS</t>
        </is>
      </c>
      <c r="F1355" s="24" t="inlineStr">
        <is>
          <t>Cristina Bucsa</t>
        </is>
      </c>
      <c r="G1355" s="24" t="inlineStr">
        <is>
          <t>Dayana Yastremska</t>
        </is>
      </c>
      <c r="H1355" s="24" t="inlineStr">
        <is>
          <t>spread</t>
        </is>
      </c>
      <c r="I1355" s="24" t="inlineStr">
        <is>
          <t>away</t>
        </is>
      </c>
      <c r="J1355" s="25" t="n">
        <v>-7.5</v>
      </c>
      <c r="K1355" s="24" t="inlineStr">
        <is>
          <t>polymarket_us</t>
        </is>
      </c>
      <c r="L1355" s="26" t="n">
        <v>-133</v>
      </c>
      <c r="M1355" s="27" t="n">
        <v>1.75188</v>
      </c>
      <c r="N1355" s="28" t="n">
        <v>0.570815</v>
      </c>
      <c r="O1355" s="28" t="n">
        <v>0.9912</v>
      </c>
      <c r="P1355" s="28" t="n">
        <v>0.05</v>
      </c>
      <c r="Q1355" s="28" t="n">
        <v>0.420385</v>
      </c>
      <c r="R1355" s="26" t="n">
        <v>100</v>
      </c>
      <c r="S1355" s="29" t="n">
        <v>2</v>
      </c>
      <c r="T1355" s="24" t="inlineStr">
        <is>
          <t>tennis-learned-v3</t>
        </is>
      </c>
      <c r="U1355" s="24" t="inlineStr">
        <is>
          <t>settled</t>
        </is>
      </c>
      <c r="V1355" s="24" t="inlineStr">
        <is>
          <t>loss</t>
        </is>
      </c>
      <c r="W1355" s="26" t="n">
        <v>14</v>
      </c>
      <c r="X1355" s="26" t="n">
        <v>17</v>
      </c>
      <c r="Y1355" s="25" t="n"/>
      <c r="Z1355" s="26" t="n"/>
      <c r="AA1355" s="28" t="n"/>
      <c r="AB1355" s="28" t="n"/>
      <c r="AC1355" s="30" t="n">
        <v>-2</v>
      </c>
      <c r="AD1355" s="24" t="inlineStr">
        <is>
          <t>2026-10-13T10:04:03.846788Z</t>
        </is>
      </c>
      <c r="AE1355" s="31" t="inlineStr">
        <is>
          <t>Tennis Markov game spread -7.5 games: away cover p=0.991. Executable ask 0.5700 (asc-wta-dayyas-cribuc-2026-10-11-gs-neg-7pt5).</t>
        </is>
      </c>
      <c r="AF1355" s="31" t="inlineStr">
        <is>
          <t>Surface-blended Elo model; singles only, WTA+ATP market coverage, not yet locked-holdout qualified -- promoted by explicit operator directive, not genuine walk-forward validation.</t>
        </is>
      </c>
      <c r="AG1355" s="24" t="inlineStr">
        <is>
          <t>review_required</t>
        </is>
      </c>
      <c r="AH1355" s="24" t="n"/>
      <c r="AI1355" s="31" t="n"/>
      <c r="AJ1355" s="31" t="n"/>
      <c r="AK1355" s="24" t="inlineStr">
        <is>
          <t>model_qualified</t>
        </is>
      </c>
      <c r="AL1355" s="26" t="n">
        <v>4</v>
      </c>
      <c r="AM1355" s="24" t="inlineStr">
        <is>
          <t>QUALIFIED_SHADOW_CALL</t>
        </is>
      </c>
      <c r="AN1355" s="24" t="inlineStr">
        <is>
          <t>CALL</t>
        </is>
      </c>
      <c r="AO1355" s="24" t="inlineStr">
        <is>
          <t>QUALIFIED</t>
        </is>
      </c>
      <c r="AP1355" s="24" t="inlineStr">
        <is>
          <t>Cristina Bucsa</t>
        </is>
      </c>
      <c r="AQ1355" s="24" t="inlineStr">
        <is>
          <t>Cristina Bucsa</t>
        </is>
      </c>
      <c r="AR1355" s="24" t="inlineStr">
        <is>
          <t>Cristina Bucsa</t>
        </is>
      </c>
      <c r="AS1355" s="24" t="inlineStr">
        <is>
          <t>Dayana Yastremska</t>
        </is>
      </c>
      <c r="AT1355" s="24" t="inlineStr">
        <is>
          <t>Dayana Yastremska</t>
        </is>
      </c>
      <c r="AU1355" s="24" t="inlineStr">
        <is>
          <t>Dayana Yastremska</t>
        </is>
      </c>
      <c r="AV1355" s="24" t="n"/>
      <c r="AW1355" s="24" t="n"/>
      <c r="AX1355" s="24" t="inlineStr">
        <is>
          <t>statistical_model</t>
        </is>
      </c>
      <c r="AY1355" s="24" t="n"/>
      <c r="AZ1355" s="24" t="inlineStr">
        <is>
          <t>shadow_qualified</t>
        </is>
      </c>
      <c r="BA1355" s="24" t="inlineStr">
        <is>
          <t>7443acc419841200d57e1edf36b77f1940cdd0c48dce3d43fcd05498a109440b</t>
        </is>
      </c>
      <c r="BB1355" s="24" t="inlineStr">
        <is>
          <t>learned_v3</t>
        </is>
      </c>
      <c r="BC1355" s="24" t="inlineStr">
        <is>
          <t>tennis-learned-v3</t>
        </is>
      </c>
      <c r="BD1355" s="24" t="inlineStr">
        <is>
          <t>7443acc419841200d57e1edf36b77f1940cdd0c48dce3d43fcd05498a109440b</t>
        </is>
      </c>
      <c r="BE1355" s="24" t="inlineStr">
        <is>
          <t>tennis-learned-v3</t>
        </is>
      </c>
      <c r="BF1355" s="24" t="inlineStr">
        <is>
          <t>1</t>
        </is>
      </c>
      <c r="BG1355" s="24" t="inlineStr">
        <is>
          <t>7443acc419841200d57e1edf36b77f1940cdd0c48dce3d43fcd05498a109440b</t>
        </is>
      </c>
      <c r="BH1355" s="24" t="inlineStr">
        <is>
          <t>2026-10-12T22:18:02.872670Z</t>
        </is>
      </c>
      <c r="BI1355" s="24" t="inlineStr">
        <is>
          <t>["same_event","same_team_same_day","same_league_same_day"]</t>
        </is>
      </c>
      <c r="BJ1355" s="25" t="n">
        <v>-7.5</v>
      </c>
      <c r="BK1355" s="26" t="n">
        <v>-133</v>
      </c>
      <c r="BL1355" s="27" t="n">
        <v>1.75188</v>
      </c>
      <c r="BM1355" s="28" t="n">
        <v>0.570815</v>
      </c>
      <c r="BN1355" s="28" t="n"/>
      <c r="BO1355" s="28" t="n"/>
      <c r="BP1355" s="25" t="n"/>
      <c r="BQ1355" s="27" t="n"/>
      <c r="BR1355" s="28" t="n"/>
      <c r="BS1355" s="28" t="n"/>
      <c r="BT1355" s="28" t="n"/>
      <c r="BU1355" s="25" t="n"/>
      <c r="BV1355" s="29" t="n"/>
      <c r="BW1355" s="24" t="n"/>
      <c r="BX1355" s="30" t="n"/>
      <c r="BY1355" s="27" t="n"/>
      <c r="BZ1355" s="24" t="n"/>
      <c r="CA1355" s="31" t="n"/>
      <c r="CB1355" s="24" t="n"/>
      <c r="CC1355" s="24" t="n"/>
      <c r="CD1355" s="24" t="n"/>
      <c r="CE1355" s="24" t="n"/>
      <c r="CF1355" s="24" t="n"/>
      <c r="CG1355" s="24" t="n"/>
      <c r="CH1355" s="24" t="n"/>
      <c r="CI1355" s="24" t="n"/>
      <c r="CJ1355" s="24" t="n"/>
      <c r="CK1355" s="24" t="n"/>
      <c r="CL1355" s="24" t="n"/>
      <c r="CM1355" s="24" t="n"/>
      <c r="CN1355" s="24" t="n"/>
      <c r="CO1355" s="24" t="n"/>
      <c r="CP1355" s="24" t="n"/>
      <c r="CQ1355" s="24" t="n"/>
      <c r="CR1355" s="24" t="n"/>
      <c r="CS1355" s="24" t="inlineStr">
        <is>
          <t>True</t>
        </is>
      </c>
      <c r="CT1355" s="24" t="n"/>
      <c r="CU1355" s="24" t="n"/>
      <c r="CV1355" s="24" t="n"/>
      <c r="CW1355" s="24" t="n"/>
      <c r="CX1355" s="24" t="n"/>
      <c r="CY1355" s="24" t="n"/>
      <c r="CZ1355" s="24" t="n"/>
      <c r="DA1355" s="24" t="n"/>
      <c r="DB1355" s="24" t="n"/>
      <c r="DC1355" s="24" t="n"/>
      <c r="DD1355" s="24" t="inlineStr">
        <is>
          <t>08258afa3fe37ae214825f446c75a3b411f7faac804989daef54adc73935822d</t>
        </is>
      </c>
      <c r="DE1355" s="24" t="inlineStr">
        <is>
          <t>E:\model-prediction\data\odds\tennis\2026-10-12\polymarket_snapshots.jsonl</t>
        </is>
      </c>
      <c r="DF1355" s="24" t="inlineStr">
        <is>
          <t>1353807:2026-10-12T22:18:02.872670Z</t>
        </is>
      </c>
      <c r="DG1355" s="24" t="n"/>
      <c r="DH1355" s="24" t="n"/>
      <c r="DI1355" s="24" t="n"/>
      <c r="DJ1355" s="24" t="n"/>
      <c r="DK1355" s="24" t="n"/>
      <c r="DL1355" s="24" t="n"/>
      <c r="DM1355" s="24" t="n"/>
      <c r="DN1355" s="24" t="n"/>
      <c r="DO1355" s="24" t="n"/>
      <c r="DP1355" s="24" t="n"/>
      <c r="DQ1355" s="24" t="n"/>
    </row>
    <row r="1356" ht="36" customHeight="1">
      <c r="A1356" s="24" t="inlineStr">
        <is>
          <t>5ec8f3d9c37f4873</t>
        </is>
      </c>
      <c r="B1356" s="24" t="inlineStr">
        <is>
          <t>2026-10-12T22:26:15.686728Z</t>
        </is>
      </c>
      <c r="C1356" s="24" t="inlineStr">
        <is>
          <t>2026-10-13T03:00Z</t>
        </is>
      </c>
      <c r="D1356" s="24" t="inlineStr">
        <is>
          <t>381-2026:185330</t>
        </is>
      </c>
      <c r="E1356" s="24" t="inlineStr">
        <is>
          <t>TENNIS</t>
        </is>
      </c>
      <c r="F1356" s="24" t="inlineStr">
        <is>
          <t>Liudmila Samsonova</t>
        </is>
      </c>
      <c r="G1356" s="24" t="inlineStr">
        <is>
          <t>Katerina Siniakova</t>
        </is>
      </c>
      <c r="H1356" s="24" t="inlineStr">
        <is>
          <t>spread</t>
        </is>
      </c>
      <c r="I1356" s="24" t="inlineStr">
        <is>
          <t>away</t>
        </is>
      </c>
      <c r="J1356" s="25" t="n">
        <v>-7.5</v>
      </c>
      <c r="K1356" s="24" t="inlineStr">
        <is>
          <t>polymarket_us</t>
        </is>
      </c>
      <c r="L1356" s="26" t="n">
        <v>-104</v>
      </c>
      <c r="M1356" s="27" t="n">
        <v>1.961538</v>
      </c>
      <c r="N1356" s="28" t="n">
        <v>0.509804</v>
      </c>
      <c r="O1356" s="28" t="n">
        <v>0.9616</v>
      </c>
      <c r="P1356" s="28" t="n">
        <v>0.05</v>
      </c>
      <c r="Q1356" s="28" t="n">
        <v>0.451796</v>
      </c>
      <c r="R1356" s="26" t="n">
        <v>100</v>
      </c>
      <c r="S1356" s="29" t="n">
        <v>2</v>
      </c>
      <c r="T1356" s="24" t="inlineStr">
        <is>
          <t>tennis-learned-v3</t>
        </is>
      </c>
      <c r="U1356" s="24" t="inlineStr">
        <is>
          <t>settled</t>
        </is>
      </c>
      <c r="V1356" s="24" t="inlineStr">
        <is>
          <t>loss</t>
        </is>
      </c>
      <c r="W1356" s="26" t="n">
        <v>17</v>
      </c>
      <c r="X1356" s="26" t="n">
        <v>10</v>
      </c>
      <c r="Y1356" s="25" t="n"/>
      <c r="Z1356" s="26" t="n"/>
      <c r="AA1356" s="28" t="n"/>
      <c r="AB1356" s="28" t="n"/>
      <c r="AC1356" s="30" t="n">
        <v>-2</v>
      </c>
      <c r="AD1356" s="24" t="inlineStr">
        <is>
          <t>2026-10-13T10:04:10.983536Z</t>
        </is>
      </c>
      <c r="AE1356" s="31" t="inlineStr">
        <is>
          <t>Tennis Markov game spread -7.5 games: away cover p=0.962. Executable ask 0.5100 (asc-wta-katsin-liusam-2026-10-11-gs-neg-7pt5).</t>
        </is>
      </c>
      <c r="AF1356" s="31" t="inlineStr">
        <is>
          <t>Surface-blended Elo model; singles only, WTA+ATP market coverage, not yet locked-holdout qualified -- promoted by explicit operator directive, not genuine walk-forward validation.</t>
        </is>
      </c>
      <c r="AG1356" s="24" t="inlineStr">
        <is>
          <t>review_required</t>
        </is>
      </c>
      <c r="AH1356" s="24" t="n"/>
      <c r="AI1356" s="31" t="n"/>
      <c r="AJ1356" s="31" t="n"/>
      <c r="AK1356" s="24" t="inlineStr">
        <is>
          <t>model_qualified</t>
        </is>
      </c>
      <c r="AL1356" s="26" t="n">
        <v>4</v>
      </c>
      <c r="AM1356" s="24" t="inlineStr">
        <is>
          <t>QUALIFIED_SHADOW_CALL</t>
        </is>
      </c>
      <c r="AN1356" s="24" t="inlineStr">
        <is>
          <t>CALL</t>
        </is>
      </c>
      <c r="AO1356" s="24" t="inlineStr">
        <is>
          <t>QUALIFIED</t>
        </is>
      </c>
      <c r="AP1356" s="24" t="inlineStr">
        <is>
          <t>Liudmila Samsonova</t>
        </is>
      </c>
      <c r="AQ1356" s="24" t="inlineStr">
        <is>
          <t>Liudmila Samsonova</t>
        </is>
      </c>
      <c r="AR1356" s="24" t="inlineStr">
        <is>
          <t>Liudmila Samsonova</t>
        </is>
      </c>
      <c r="AS1356" s="24" t="inlineStr">
        <is>
          <t>Katerina Siniakova</t>
        </is>
      </c>
      <c r="AT1356" s="24" t="inlineStr">
        <is>
          <t>Katerina Siniakova</t>
        </is>
      </c>
      <c r="AU1356" s="24" t="inlineStr">
        <is>
          <t>Katerina Siniakova</t>
        </is>
      </c>
      <c r="AV1356" s="24" t="n"/>
      <c r="AW1356" s="24" t="n"/>
      <c r="AX1356" s="24" t="inlineStr">
        <is>
          <t>statistical_model</t>
        </is>
      </c>
      <c r="AY1356" s="24" t="n"/>
      <c r="AZ1356" s="24" t="inlineStr">
        <is>
          <t>shadow_qualified</t>
        </is>
      </c>
      <c r="BA1356" s="24" t="inlineStr">
        <is>
          <t>7443acc419841200d57e1edf36b77f1940cdd0c48dce3d43fcd05498a109440b</t>
        </is>
      </c>
      <c r="BB1356" s="24" t="inlineStr">
        <is>
          <t>learned_v3</t>
        </is>
      </c>
      <c r="BC1356" s="24" t="inlineStr">
        <is>
          <t>tennis-learned-v3</t>
        </is>
      </c>
      <c r="BD1356" s="24" t="inlineStr">
        <is>
          <t>7443acc419841200d57e1edf36b77f1940cdd0c48dce3d43fcd05498a109440b</t>
        </is>
      </c>
      <c r="BE1356" s="24" t="inlineStr">
        <is>
          <t>tennis-learned-v3</t>
        </is>
      </c>
      <c r="BF1356" s="24" t="inlineStr">
        <is>
          <t>1</t>
        </is>
      </c>
      <c r="BG1356" s="24" t="inlineStr">
        <is>
          <t>7443acc419841200d57e1edf36b77f1940cdd0c48dce3d43fcd05498a109440b</t>
        </is>
      </c>
      <c r="BH1356" s="24" t="inlineStr">
        <is>
          <t>2026-10-12T22:18:23.012541Z</t>
        </is>
      </c>
      <c r="BI1356" s="24" t="inlineStr">
        <is>
          <t>["same_event","same_team_same_day","same_league_same_day"]</t>
        </is>
      </c>
      <c r="BJ1356" s="25" t="n">
        <v>-7.5</v>
      </c>
      <c r="BK1356" s="26" t="n">
        <v>-104</v>
      </c>
      <c r="BL1356" s="27" t="n">
        <v>1.961538</v>
      </c>
      <c r="BM1356" s="28" t="n">
        <v>0.509804</v>
      </c>
      <c r="BN1356" s="28" t="n"/>
      <c r="BO1356" s="28" t="n"/>
      <c r="BP1356" s="25" t="n"/>
      <c r="BQ1356" s="27" t="n"/>
      <c r="BR1356" s="28" t="n"/>
      <c r="BS1356" s="28" t="n"/>
      <c r="BT1356" s="28" t="n"/>
      <c r="BU1356" s="25" t="n"/>
      <c r="BV1356" s="29" t="n"/>
      <c r="BW1356" s="24" t="n"/>
      <c r="BX1356" s="30" t="n"/>
      <c r="BY1356" s="27" t="n"/>
      <c r="BZ1356" s="24" t="n"/>
      <c r="CA1356" s="31" t="n"/>
      <c r="CB1356" s="24" t="n"/>
      <c r="CC1356" s="24" t="n"/>
      <c r="CD1356" s="24" t="n"/>
      <c r="CE1356" s="24" t="n"/>
      <c r="CF1356" s="24" t="n"/>
      <c r="CG1356" s="24" t="n"/>
      <c r="CH1356" s="24" t="n"/>
      <c r="CI1356" s="24" t="n"/>
      <c r="CJ1356" s="24" t="n"/>
      <c r="CK1356" s="24" t="n"/>
      <c r="CL1356" s="24" t="n"/>
      <c r="CM1356" s="24" t="n"/>
      <c r="CN1356" s="24" t="n"/>
      <c r="CO1356" s="24" t="n"/>
      <c r="CP1356" s="24" t="n"/>
      <c r="CQ1356" s="24" t="n"/>
      <c r="CR1356" s="24" t="n"/>
      <c r="CS1356" s="24" t="inlineStr">
        <is>
          <t>True</t>
        </is>
      </c>
      <c r="CT1356" s="24" t="n"/>
      <c r="CU1356" s="24" t="n"/>
      <c r="CV1356" s="24" t="n"/>
      <c r="CW1356" s="24" t="n"/>
      <c r="CX1356" s="24" t="n"/>
      <c r="CY1356" s="24" t="n"/>
      <c r="CZ1356" s="24" t="n"/>
      <c r="DA1356" s="24" t="n"/>
      <c r="DB1356" s="24" t="n"/>
      <c r="DC1356" s="24" t="n"/>
      <c r="DD1356" s="24" t="inlineStr">
        <is>
          <t>4685fe798c481b7ec8587d79ec1b2c944fc689401db344cb56a87ac8c1fded98</t>
        </is>
      </c>
      <c r="DE1356" s="24" t="inlineStr">
        <is>
          <t>E:\model-prediction\data\odds\tennis\2026-10-12\polymarket_snapshots.jsonl</t>
        </is>
      </c>
      <c r="DF1356" s="24" t="inlineStr">
        <is>
          <t>1353974:2026-10-12T22:18:23.012541Z</t>
        </is>
      </c>
      <c r="DG1356" s="24" t="n"/>
      <c r="DH1356" s="24" t="n"/>
      <c r="DI1356" s="24" t="n"/>
      <c r="DJ1356" s="24" t="n"/>
      <c r="DK1356" s="24" t="n"/>
      <c r="DL1356" s="24" t="n"/>
      <c r="DM1356" s="24" t="n"/>
      <c r="DN1356" s="24" t="n"/>
      <c r="DO1356" s="24" t="n"/>
      <c r="DP1356" s="24" t="n"/>
      <c r="DQ1356" s="24" t="n"/>
    </row>
    <row r="1357" ht="36" customHeight="1">
      <c r="A1357" s="24" t="inlineStr">
        <is>
          <t>5a4cc1052f9c4e93</t>
        </is>
      </c>
      <c r="B1357" s="24" t="inlineStr">
        <is>
          <t>2026-10-12T22:26:15.686728Z</t>
        </is>
      </c>
      <c r="C1357" s="24" t="inlineStr">
        <is>
          <t>2026-10-13T03:00Z</t>
        </is>
      </c>
      <c r="D1357" s="24" t="inlineStr">
        <is>
          <t>381-2026:185330</t>
        </is>
      </c>
      <c r="E1357" s="24" t="inlineStr">
        <is>
          <t>TENNIS</t>
        </is>
      </c>
      <c r="F1357" s="24" t="inlineStr">
        <is>
          <t>Liudmila Samsonova</t>
        </is>
      </c>
      <c r="G1357" s="24" t="inlineStr">
        <is>
          <t>Katerina Siniakova</t>
        </is>
      </c>
      <c r="H1357" s="24" t="inlineStr">
        <is>
          <t>total</t>
        </is>
      </c>
      <c r="I1357" s="24" t="inlineStr">
        <is>
          <t>over</t>
        </is>
      </c>
      <c r="J1357" s="25" t="n">
        <v>22.5</v>
      </c>
      <c r="K1357" s="24" t="inlineStr">
        <is>
          <t>polymarket_us</t>
        </is>
      </c>
      <c r="L1357" s="26" t="n">
        <v>122</v>
      </c>
      <c r="M1357" s="27" t="n">
        <v>2.22</v>
      </c>
      <c r="N1357" s="28" t="n">
        <v>0.45045</v>
      </c>
      <c r="O1357" s="28" t="n">
        <v>0.5668</v>
      </c>
      <c r="P1357" s="28" t="n">
        <v>0.05</v>
      </c>
      <c r="Q1357" s="28" t="n">
        <v>0.11635</v>
      </c>
      <c r="R1357" s="26" t="n">
        <v>78</v>
      </c>
      <c r="S1357" s="29" t="n">
        <v>1.5</v>
      </c>
      <c r="T1357" s="24" t="inlineStr">
        <is>
          <t>tennis-learned-v3</t>
        </is>
      </c>
      <c r="U1357" s="24" t="inlineStr">
        <is>
          <t>settled</t>
        </is>
      </c>
      <c r="V1357" s="24" t="inlineStr">
        <is>
          <t>win</t>
        </is>
      </c>
      <c r="W1357" s="26" t="n">
        <v>17</v>
      </c>
      <c r="X1357" s="26" t="n">
        <v>10</v>
      </c>
      <c r="Y1357" s="25" t="n"/>
      <c r="Z1357" s="26" t="n"/>
      <c r="AA1357" s="28" t="n"/>
      <c r="AB1357" s="28" t="n"/>
      <c r="AC1357" s="30" t="n">
        <v>1.83</v>
      </c>
      <c r="AD1357" s="24" t="inlineStr">
        <is>
          <t>2026-10-13T10:04:16.602909Z</t>
        </is>
      </c>
      <c r="AE1357" s="31" t="inlineStr">
        <is>
          <t>Tennis Markov total games line 22.5: over p=0.567. Executable ask 0.4500 (tsc-wta-katsin-liusam-2026-10-11-tg-22pt5).</t>
        </is>
      </c>
      <c r="AF1357" s="31" t="inlineStr">
        <is>
          <t>Surface-blended Elo model; singles only, WTA+ATP market coverage, not yet locked-holdout qualified -- promoted by explicit operator directive, not genuine walk-forward validation.</t>
        </is>
      </c>
      <c r="AG1357" s="24" t="inlineStr">
        <is>
          <t>not_applicable</t>
        </is>
      </c>
      <c r="AH1357" s="24" t="n"/>
      <c r="AI1357" s="31" t="n"/>
      <c r="AJ1357" s="31" t="n"/>
      <c r="AK1357" s="24" t="inlineStr">
        <is>
          <t>model_qualified</t>
        </is>
      </c>
      <c r="AL1357" s="26" t="n">
        <v>4</v>
      </c>
      <c r="AM1357" s="24" t="inlineStr">
        <is>
          <t>QUALIFIED_SHADOW_CALL</t>
        </is>
      </c>
      <c r="AN1357" s="24" t="inlineStr">
        <is>
          <t>CALL</t>
        </is>
      </c>
      <c r="AO1357" s="24" t="inlineStr">
        <is>
          <t>QUALIFIED</t>
        </is>
      </c>
      <c r="AP1357" s="24" t="inlineStr">
        <is>
          <t>Liudmila Samsonova</t>
        </is>
      </c>
      <c r="AQ1357" s="24" t="inlineStr">
        <is>
          <t>Liudmila Samsonova</t>
        </is>
      </c>
      <c r="AR1357" s="24" t="inlineStr">
        <is>
          <t>Liudmila Samsonova</t>
        </is>
      </c>
      <c r="AS1357" s="24" t="inlineStr">
        <is>
          <t>Katerina Siniakova</t>
        </is>
      </c>
      <c r="AT1357" s="24" t="inlineStr">
        <is>
          <t>Katerina Siniakova</t>
        </is>
      </c>
      <c r="AU1357" s="24" t="inlineStr">
        <is>
          <t>Katerina Siniakova</t>
        </is>
      </c>
      <c r="AV1357" s="24" t="n"/>
      <c r="AW1357" s="24" t="n"/>
      <c r="AX1357" s="24" t="inlineStr">
        <is>
          <t>statistical_model</t>
        </is>
      </c>
      <c r="AY1357" s="24" t="n"/>
      <c r="AZ1357" s="24" t="inlineStr">
        <is>
          <t>shadow_qualified</t>
        </is>
      </c>
      <c r="BA1357" s="24" t="inlineStr">
        <is>
          <t>7443acc419841200d57e1edf36b77f1940cdd0c48dce3d43fcd05498a109440b</t>
        </is>
      </c>
      <c r="BB1357" s="24" t="inlineStr">
        <is>
          <t>learned_v3</t>
        </is>
      </c>
      <c r="BC1357" s="24" t="inlineStr">
        <is>
          <t>tennis-learned-v3</t>
        </is>
      </c>
      <c r="BD1357" s="24" t="inlineStr">
        <is>
          <t>7443acc419841200d57e1edf36b77f1940cdd0c48dce3d43fcd05498a109440b</t>
        </is>
      </c>
      <c r="BE1357" s="24" t="inlineStr">
        <is>
          <t>tennis-learned-v3</t>
        </is>
      </c>
      <c r="BF1357" s="24" t="inlineStr">
        <is>
          <t>1</t>
        </is>
      </c>
      <c r="BG1357" s="24" t="inlineStr">
        <is>
          <t>7443acc419841200d57e1edf36b77f1940cdd0c48dce3d43fcd05498a109440b</t>
        </is>
      </c>
      <c r="BH1357" s="24" t="inlineStr">
        <is>
          <t>2026-10-12T22:18:23.021137Z</t>
        </is>
      </c>
      <c r="BI1357" s="24" t="inlineStr">
        <is>
          <t>["same_event","same_team_same_day","same_league_same_day"]</t>
        </is>
      </c>
      <c r="BJ1357" s="25" t="n">
        <v>22.5</v>
      </c>
      <c r="BK1357" s="26" t="n">
        <v>122</v>
      </c>
      <c r="BL1357" s="27" t="n">
        <v>2.22</v>
      </c>
      <c r="BM1357" s="28" t="n">
        <v>0.45045</v>
      </c>
      <c r="BN1357" s="28" t="n"/>
      <c r="BO1357" s="28" t="n"/>
      <c r="BP1357" s="25" t="n"/>
      <c r="BQ1357" s="27" t="n"/>
      <c r="BR1357" s="28" t="n"/>
      <c r="BS1357" s="28" t="n"/>
      <c r="BT1357" s="28" t="n"/>
      <c r="BU1357" s="25" t="n"/>
      <c r="BV1357" s="29" t="n"/>
      <c r="BW1357" s="24" t="n"/>
      <c r="BX1357" s="30" t="n"/>
      <c r="BY1357" s="27" t="n"/>
      <c r="BZ1357" s="24" t="n"/>
      <c r="CA1357" s="31" t="n"/>
      <c r="CB1357" s="24" t="n"/>
      <c r="CC1357" s="24" t="n"/>
      <c r="CD1357" s="24" t="n"/>
      <c r="CE1357" s="24" t="n"/>
      <c r="CF1357" s="24" t="n"/>
      <c r="CG1357" s="24" t="n"/>
      <c r="CH1357" s="24" t="n"/>
      <c r="CI1357" s="24" t="n"/>
      <c r="CJ1357" s="24" t="n"/>
      <c r="CK1357" s="24" t="n"/>
      <c r="CL1357" s="24" t="n"/>
      <c r="CM1357" s="24" t="n"/>
      <c r="CN1357" s="24" t="n"/>
      <c r="CO1357" s="24" t="n"/>
      <c r="CP1357" s="24" t="n"/>
      <c r="CQ1357" s="24" t="n"/>
      <c r="CR1357" s="24" t="n"/>
      <c r="CS1357" s="24" t="inlineStr">
        <is>
          <t>True</t>
        </is>
      </c>
      <c r="CT1357" s="24" t="n"/>
      <c r="CU1357" s="24" t="n"/>
      <c r="CV1357" s="24" t="n"/>
      <c r="CW1357" s="24" t="n"/>
      <c r="CX1357" s="24" t="n"/>
      <c r="CY1357" s="24" t="n"/>
      <c r="CZ1357" s="24" t="n"/>
      <c r="DA1357" s="24" t="n"/>
      <c r="DB1357" s="24" t="n"/>
      <c r="DC1357" s="24" t="n"/>
      <c r="DD1357" s="24" t="inlineStr">
        <is>
          <t>cde7d28f43ca0be00fbe58035757e15de4785703f1cdaa552c1aabca6d6ca952</t>
        </is>
      </c>
      <c r="DE1357" s="24" t="inlineStr">
        <is>
          <t>E:\model-prediction\data\odds\tennis\2026-10-12\polymarket_snapshots.jsonl</t>
        </is>
      </c>
      <c r="DF1357" s="24" t="inlineStr">
        <is>
          <t>1353961:2026-10-12T22:18:23.021137Z</t>
        </is>
      </c>
      <c r="DG1357" s="24" t="n"/>
      <c r="DH1357" s="24" t="n"/>
      <c r="DI1357" s="24" t="n"/>
      <c r="DJ1357" s="24" t="n"/>
      <c r="DK1357" s="24" t="n"/>
      <c r="DL1357" s="24" t="n"/>
      <c r="DM1357" s="24" t="n"/>
      <c r="DN1357" s="24" t="n"/>
      <c r="DO1357" s="24" t="n"/>
      <c r="DP1357" s="24" t="n"/>
      <c r="DQ1357" s="24" t="n"/>
    </row>
    <row r="1358" ht="36" customHeight="1">
      <c r="A1358" s="24" t="inlineStr">
        <is>
          <t>f0a4ed69441f446c</t>
        </is>
      </c>
      <c r="B1358" s="24" t="inlineStr">
        <is>
          <t>2026-10-12T22:26:15.686728Z</t>
        </is>
      </c>
      <c r="C1358" s="24" t="inlineStr">
        <is>
          <t>2026-10-13T03:00Z</t>
        </is>
      </c>
      <c r="D1358" s="24" t="inlineStr">
        <is>
          <t>381-2026:185330</t>
        </is>
      </c>
      <c r="E1358" s="24" t="inlineStr">
        <is>
          <t>TENNIS</t>
        </is>
      </c>
      <c r="F1358" s="24" t="inlineStr">
        <is>
          <t>Liudmila Samsonova</t>
        </is>
      </c>
      <c r="G1358" s="24" t="inlineStr">
        <is>
          <t>Katerina Siniakova</t>
        </is>
      </c>
      <c r="H1358" s="24" t="inlineStr">
        <is>
          <t>moneyline</t>
        </is>
      </c>
      <c r="I1358" s="24" t="inlineStr">
        <is>
          <t>home</t>
        </is>
      </c>
      <c r="J1358" s="25" t="n"/>
      <c r="K1358" s="24" t="inlineStr">
        <is>
          <t>polymarket_us</t>
        </is>
      </c>
      <c r="L1358" s="26" t="n">
        <v>108</v>
      </c>
      <c r="M1358" s="27" t="n">
        <v>2.08</v>
      </c>
      <c r="N1358" s="28" t="n">
        <v>0.480769</v>
      </c>
      <c r="O1358" s="28" t="n">
        <v>0.539</v>
      </c>
      <c r="P1358" s="28" t="n">
        <v>0.05</v>
      </c>
      <c r="Q1358" s="28" t="n">
        <v>0.058231</v>
      </c>
      <c r="R1358" s="26" t="n">
        <v>49</v>
      </c>
      <c r="S1358" s="29" t="n">
        <v>1</v>
      </c>
      <c r="T1358" s="24" t="inlineStr">
        <is>
          <t>tennis-learned-v3</t>
        </is>
      </c>
      <c r="U1358" s="24" t="inlineStr">
        <is>
          <t>settled</t>
        </is>
      </c>
      <c r="V1358" s="24" t="inlineStr">
        <is>
          <t>loss</t>
        </is>
      </c>
      <c r="W1358" s="26" t="n">
        <v>1</v>
      </c>
      <c r="X1358" s="26" t="n">
        <v>0</v>
      </c>
      <c r="Y1358" s="25" t="n"/>
      <c r="Z1358" s="26" t="n">
        <v>108</v>
      </c>
      <c r="AA1358" s="28" t="n">
        <v>0.48</v>
      </c>
      <c r="AB1358" s="28" t="n">
        <v>-0.000769</v>
      </c>
      <c r="AC1358" s="30" t="n">
        <v>-1</v>
      </c>
      <c r="AD1358" s="24" t="inlineStr">
        <is>
          <t>2026-10-13T10:04:33.019366Z</t>
        </is>
      </c>
      <c r="AE1358" s="31" t="inlineStr">
        <is>
          <t>Tennis v3 Learned Fundamental on Hard (Bo3): Liudmila Samsonova p=0.461 vs Katerina Siniakova. Executable ask 0.4800 (aec-wta-katsin-liusam-2026-10-11).</t>
        </is>
      </c>
      <c r="AF1358" s="31" t="inlineStr">
        <is>
          <t>Surface-blended Elo model; singles only, WTA+ATP market coverage, not yet locked-holdout qualified -- promoted by explicit operator directive, not genuine walk-forward validation.</t>
        </is>
      </c>
      <c r="AG1358" s="24" t="inlineStr">
        <is>
          <t>review_required</t>
        </is>
      </c>
      <c r="AH1358" s="24" t="n"/>
      <c r="AI1358" s="31" t="n"/>
      <c r="AJ1358" s="31" t="n"/>
      <c r="AK1358" s="24" t="inlineStr">
        <is>
          <t>model_qualified</t>
        </is>
      </c>
      <c r="AL1358" s="26" t="n">
        <v>4</v>
      </c>
      <c r="AM1358" s="24" t="inlineStr">
        <is>
          <t>QUALIFIED_SHADOW_CALL</t>
        </is>
      </c>
      <c r="AN1358" s="24" t="inlineStr">
        <is>
          <t>CALL</t>
        </is>
      </c>
      <c r="AO1358" s="24" t="inlineStr">
        <is>
          <t>QUALIFIED</t>
        </is>
      </c>
      <c r="AP1358" s="24" t="inlineStr">
        <is>
          <t>Liudmila Samsonova</t>
        </is>
      </c>
      <c r="AQ1358" s="24" t="inlineStr">
        <is>
          <t>Liudmila Samsonova</t>
        </is>
      </c>
      <c r="AR1358" s="24" t="inlineStr">
        <is>
          <t>Liudmila Samsonova</t>
        </is>
      </c>
      <c r="AS1358" s="24" t="inlineStr">
        <is>
          <t>Katerina Siniakova</t>
        </is>
      </c>
      <c r="AT1358" s="24" t="inlineStr">
        <is>
          <t>Katerina Siniakova</t>
        </is>
      </c>
      <c r="AU1358" s="24" t="inlineStr">
        <is>
          <t>Katerina Siniakova</t>
        </is>
      </c>
      <c r="AV1358" s="24" t="n"/>
      <c r="AW1358" s="24" t="n"/>
      <c r="AX1358" s="24" t="inlineStr">
        <is>
          <t>statistical_model</t>
        </is>
      </c>
      <c r="AY1358" s="24" t="n"/>
      <c r="AZ1358" s="24" t="inlineStr">
        <is>
          <t>shadow_qualified</t>
        </is>
      </c>
      <c r="BA1358" s="24" t="inlineStr">
        <is>
          <t>7443acc419841200d57e1edf36b77f1940cdd0c48dce3d43fcd05498a109440b</t>
        </is>
      </c>
      <c r="BB1358" s="24" t="inlineStr">
        <is>
          <t>learned_v3</t>
        </is>
      </c>
      <c r="BC1358" s="24" t="inlineStr">
        <is>
          <t>tennis-learned-v3</t>
        </is>
      </c>
      <c r="BD1358" s="24" t="inlineStr">
        <is>
          <t>7443acc419841200d57e1edf36b77f1940cdd0c48dce3d43fcd05498a109440b</t>
        </is>
      </c>
      <c r="BE1358" s="24" t="inlineStr">
        <is>
          <t>tennis-learned-v3</t>
        </is>
      </c>
      <c r="BF1358" s="24" t="inlineStr">
        <is>
          <t>1</t>
        </is>
      </c>
      <c r="BG1358" s="24" t="inlineStr">
        <is>
          <t>7443acc419841200d57e1edf36b77f1940cdd0c48dce3d43fcd05498a109440b</t>
        </is>
      </c>
      <c r="BH1358" s="24" t="inlineStr">
        <is>
          <t>2026-10-12T22:17:42.761025Z</t>
        </is>
      </c>
      <c r="BI1358" s="24" t="inlineStr">
        <is>
          <t>["same_event","same_team_same_day","same_league_same_day"]</t>
        </is>
      </c>
      <c r="BJ1358" s="25" t="n"/>
      <c r="BK1358" s="26" t="n">
        <v>108</v>
      </c>
      <c r="BL1358" s="27" t="n">
        <v>2.08</v>
      </c>
      <c r="BM1358" s="28" t="n">
        <v>0.480769</v>
      </c>
      <c r="BN1358" s="28" t="n"/>
      <c r="BO1358" s="28" t="n"/>
      <c r="BP1358" s="25" t="n"/>
      <c r="BQ1358" s="27" t="n">
        <v>2.08</v>
      </c>
      <c r="BR1358" s="28" t="n">
        <v>0.48</v>
      </c>
      <c r="BS1358" s="28" t="n"/>
      <c r="BT1358" s="28" t="n"/>
      <c r="BU1358" s="25" t="n"/>
      <c r="BV1358" s="29" t="n"/>
      <c r="BW1358" s="24" t="n"/>
      <c r="BX1358" s="30" t="n"/>
      <c r="BY1358" s="27" t="n"/>
      <c r="BZ1358" s="24" t="n"/>
      <c r="CA1358" s="31" t="n"/>
      <c r="CB1358" s="24" t="n"/>
      <c r="CC1358" s="24" t="n"/>
      <c r="CD1358" s="24" t="n"/>
      <c r="CE1358" s="24" t="n"/>
      <c r="CF1358" s="24" t="n"/>
      <c r="CG1358" s="24" t="n"/>
      <c r="CH1358" s="24" t="n"/>
      <c r="CI1358" s="24" t="n"/>
      <c r="CJ1358" s="24" t="n"/>
      <c r="CK1358" s="24" t="n"/>
      <c r="CL1358" s="24" t="n"/>
      <c r="CM1358" s="24" t="n"/>
      <c r="CN1358" s="24" t="n"/>
      <c r="CO1358" s="24" t="n"/>
      <c r="CP1358" s="24" t="n"/>
      <c r="CQ1358" s="24" t="n"/>
      <c r="CR1358" s="24" t="n"/>
      <c r="CS1358" s="24" t="inlineStr">
        <is>
          <t>True</t>
        </is>
      </c>
      <c r="CT1358" s="24" t="n"/>
      <c r="CU1358" s="24" t="n"/>
      <c r="CV1358" s="24" t="n"/>
      <c r="CW1358" s="24" t="n"/>
      <c r="CX1358" s="24" t="n"/>
      <c r="CY1358" s="24" t="n"/>
      <c r="CZ1358" s="24" t="n"/>
      <c r="DA1358" s="24" t="n"/>
      <c r="DB1358" s="24" t="n"/>
      <c r="DC1358" s="24" t="n"/>
      <c r="DD1358" s="24" t="inlineStr">
        <is>
          <t>73674dd242b13d9fda3f13427675cafd88da5fc1e312ef193109b86a3c617c88</t>
        </is>
      </c>
      <c r="DE1358" s="24" t="inlineStr">
        <is>
          <t>E:\model-prediction\data\odds\tennis\2026-10-12\polymarket_snapshots.jsonl</t>
        </is>
      </c>
      <c r="DF1358" s="24" t="inlineStr">
        <is>
          <t>1333566:2026-10-12T22:17:42.761025Z</t>
        </is>
      </c>
      <c r="DG1358" s="24" t="n"/>
      <c r="DH1358" s="24" t="n"/>
      <c r="DI1358" s="24" t="n"/>
      <c r="DJ1358" s="24" t="n"/>
      <c r="DK1358" s="24" t="n"/>
      <c r="DL1358" s="24" t="n"/>
      <c r="DM1358" s="24" t="n"/>
      <c r="DN1358" s="24" t="n"/>
      <c r="DO1358" s="24" t="n"/>
      <c r="DP1358" s="24" t="n"/>
      <c r="DQ1358" s="24" t="inlineStr">
        <is>
          <t>{"artifact_hash": "7443acc419841200d57e1edf36b77f1940cdd0c48dce3d43fcd05498a109440b", "away_team": "Liudmila Samsonova", "event_id": "381-2026:185330", "event_start_utc": "2026-10-13T03:00Z", "features": {"elo_p1_surface": 1579.8, "elo_p2_surface": 1615.4, "expected_games_p1": 11.87, "expected_games_p2": 12.78, "expected_total_games": 24.65, "history_matches": 16708, "min_player_matches": 144, "surface": "Hard"}, "historical_source_observation_times_verified": false, "home_team": "Katerina Siniakova", "inference_inputs": {"best_of": 3, "code_sha256": {"features/elo_ratings.py": "d6513e79d65448c06cc0f9b9eed0eaa091567835128e1f6647a310da8d78a872", "models/tennis.py": "7443acc419841200d57e1edf36b77f1940cdd0c48dce3d43fcd05498a109440b"}, "counts": [144, 157], "market_probability": null, "model_version": "tennis-learned-v3", "overall_ratings": [1670.810448411391, 1687.3700878893485], "p_serve_a": 0.578699438121741, "p_serve_b": 0.601300561878259, "players": ["Liudmila Samsonova", "Katerina Siniakova"], "rest_days": [8.0, 9.0], "sport": "TENNIS", "surface": "Hard", "surface_counts": [109, 123], "surface_ratings": [1579.7775147288762, 1615.3636952958743], "tour": "WTA"}, "market_type": "moneyline", "model_version": "tennis-learned-v3", "observed_at_utc": "2026-10-12T22:26:12.584235+00:00", "probabilities": {"away": 0.461, "home": 0.539}, "replay_scope": "Exact full-precision serving state and rounding; upstream historical observation times are not certified.", "schema": "coded-moneyline-replay-v1", "snapshot_hash": "937a9a99ebdaa921ecd506a8c245aa71aecf6037af44d99d75de90b60fee17d7", "sport": "TENNIS"}</t>
        </is>
      </c>
    </row>
    <row r="1359" ht="36" customHeight="1">
      <c r="A1359" s="24" t="inlineStr">
        <is>
          <t>6576b022ac644459</t>
        </is>
      </c>
      <c r="B1359" s="24" t="inlineStr">
        <is>
          <t>2026-10-12T22:26:15.686728Z</t>
        </is>
      </c>
      <c r="C1359" s="24" t="inlineStr">
        <is>
          <t>2026-10-13T03:00Z</t>
        </is>
      </c>
      <c r="D1359" s="24" t="inlineStr">
        <is>
          <t>381-2026:185335</t>
        </is>
      </c>
      <c r="E1359" s="24" t="inlineStr">
        <is>
          <t>TENNIS</t>
        </is>
      </c>
      <c r="F1359" s="24" t="inlineStr">
        <is>
          <t>Katie Volynets</t>
        </is>
      </c>
      <c r="G1359" s="24" t="inlineStr">
        <is>
          <t>Kimberly Birrell</t>
        </is>
      </c>
      <c r="H1359" s="24" t="inlineStr">
        <is>
          <t>moneyline</t>
        </is>
      </c>
      <c r="I1359" s="24" t="inlineStr">
        <is>
          <t>away</t>
        </is>
      </c>
      <c r="J1359" s="25" t="n"/>
      <c r="K1359" s="24" t="inlineStr">
        <is>
          <t>polymarket_us</t>
        </is>
      </c>
      <c r="L1359" s="26" t="n">
        <v>-170</v>
      </c>
      <c r="M1359" s="27" t="n">
        <v>1.588235</v>
      </c>
      <c r="N1359" s="28" t="n">
        <v>0.62963</v>
      </c>
      <c r="O1359" s="28" t="n">
        <v>0.5989</v>
      </c>
      <c r="P1359" s="28" t="n">
        <v>0.05</v>
      </c>
      <c r="Q1359" s="28" t="n">
        <v>-0.03073</v>
      </c>
      <c r="R1359" s="26" t="n">
        <v>5</v>
      </c>
      <c r="S1359" s="29" t="n">
        <v>1</v>
      </c>
      <c r="T1359" s="24" t="inlineStr">
        <is>
          <t>tennis-learned-v3</t>
        </is>
      </c>
      <c r="U1359" s="24" t="inlineStr">
        <is>
          <t>settled</t>
        </is>
      </c>
      <c r="V1359" s="24" t="inlineStr">
        <is>
          <t>win</t>
        </is>
      </c>
      <c r="W1359" s="26" t="n">
        <v>1</v>
      </c>
      <c r="X1359" s="26" t="n">
        <v>0</v>
      </c>
      <c r="Y1359" s="25" t="n"/>
      <c r="Z1359" s="26" t="n">
        <v>-170</v>
      </c>
      <c r="AA1359" s="28" t="n">
        <v>0.63</v>
      </c>
      <c r="AB1359" s="28" t="n">
        <v>0.00037</v>
      </c>
      <c r="AC1359" s="30" t="n">
        <v>0.5881999999999999</v>
      </c>
      <c r="AD1359" s="24" t="inlineStr">
        <is>
          <t>2026-10-13T10:04:39.375460Z</t>
        </is>
      </c>
      <c r="AE1359" s="31" t="inlineStr">
        <is>
          <t>Tennis v3 Learned Fundamental on Hard (Bo3): Katie Volynets p=0.599 vs Kimberly Birrell. Executable ask 0.6300 (aec-wta-kimbir-katvol-2026-10-11).</t>
        </is>
      </c>
      <c r="AF1359" s="31" t="inlineStr">
        <is>
          <t>Surface-blended Elo model; singles only, WTA+ATP market coverage, not yet locked-holdout qualified -- promoted by explicit operator directive, not genuine walk-forward validation.</t>
        </is>
      </c>
      <c r="AG1359" s="24" t="inlineStr">
        <is>
          <t>not_applicable</t>
        </is>
      </c>
      <c r="AH1359" s="24" t="n"/>
      <c r="AI1359" s="31" t="n"/>
      <c r="AJ1359" s="31" t="n"/>
      <c r="AK1359" s="24" t="inlineStr">
        <is>
          <t>paper_call</t>
        </is>
      </c>
      <c r="AL1359" s="26" t="n">
        <v>4</v>
      </c>
      <c r="AM1359" s="24" t="inlineStr">
        <is>
          <t>RESEARCH_OBSERVATION</t>
        </is>
      </c>
      <c r="AN1359" s="24" t="inlineStr">
        <is>
          <t>CALL</t>
        </is>
      </c>
      <c r="AO1359" s="24" t="inlineStr">
        <is>
          <t>PAPER_CALL_LOW_EDGE</t>
        </is>
      </c>
      <c r="AP1359" s="24" t="inlineStr">
        <is>
          <t>Katie Volynets</t>
        </is>
      </c>
      <c r="AQ1359" s="24" t="inlineStr">
        <is>
          <t>Katie Volynets</t>
        </is>
      </c>
      <c r="AR1359" s="24" t="inlineStr">
        <is>
          <t>Katie Volynets</t>
        </is>
      </c>
      <c r="AS1359" s="24" t="inlineStr">
        <is>
          <t>Kimberly Birrell</t>
        </is>
      </c>
      <c r="AT1359" s="24" t="inlineStr">
        <is>
          <t>Kimberly Birrell</t>
        </is>
      </c>
      <c r="AU1359" s="24" t="inlineStr">
        <is>
          <t>Kimberly Birrell</t>
        </is>
      </c>
      <c r="AV1359" s="24" t="n"/>
      <c r="AW1359" s="24" t="n"/>
      <c r="AX1359" s="24" t="inlineStr">
        <is>
          <t>statistical_model</t>
        </is>
      </c>
      <c r="AY1359" s="24" t="n"/>
      <c r="AZ1359" s="24" t="inlineStr">
        <is>
          <t>shadow_qualified</t>
        </is>
      </c>
      <c r="BA1359" s="24" t="inlineStr">
        <is>
          <t>7443acc419841200d57e1edf36b77f1940cdd0c48dce3d43fcd05498a109440b</t>
        </is>
      </c>
      <c r="BB1359" s="24" t="inlineStr">
        <is>
          <t>learned_v3</t>
        </is>
      </c>
      <c r="BC1359" s="24" t="inlineStr">
        <is>
          <t>tennis-learned-v3</t>
        </is>
      </c>
      <c r="BD1359" s="24" t="inlineStr">
        <is>
          <t>7443acc419841200d57e1edf36b77f1940cdd0c48dce3d43fcd05498a109440b</t>
        </is>
      </c>
      <c r="BE1359" s="24" t="inlineStr">
        <is>
          <t>tennis-learned-v3</t>
        </is>
      </c>
      <c r="BF1359" s="24" t="inlineStr">
        <is>
          <t>1</t>
        </is>
      </c>
      <c r="BG1359" s="24" t="inlineStr">
        <is>
          <t>7443acc419841200d57e1edf36b77f1940cdd0c48dce3d43fcd05498a109440b</t>
        </is>
      </c>
      <c r="BH1359" s="24" t="inlineStr">
        <is>
          <t>2026-10-12T16:35:45.047616Z</t>
        </is>
      </c>
      <c r="BI1359" s="24" t="inlineStr">
        <is>
          <t>["same_event","same_team_same_day","same_league_same_day"]</t>
        </is>
      </c>
      <c r="BJ1359" s="25" t="n"/>
      <c r="BK1359" s="26" t="n">
        <v>-170</v>
      </c>
      <c r="BL1359" s="27" t="n">
        <v>1.588235</v>
      </c>
      <c r="BM1359" s="28" t="n">
        <v>0.62963</v>
      </c>
      <c r="BN1359" s="28" t="n"/>
      <c r="BO1359" s="28" t="n"/>
      <c r="BP1359" s="25" t="n"/>
      <c r="BQ1359" s="27" t="n">
        <v>1.588235</v>
      </c>
      <c r="BR1359" s="28" t="n">
        <v>0.63</v>
      </c>
      <c r="BS1359" s="28" t="n"/>
      <c r="BT1359" s="28" t="n"/>
      <c r="BU1359" s="25" t="n"/>
      <c r="BV1359" s="29" t="n"/>
      <c r="BW1359" s="24" t="n"/>
      <c r="BX1359" s="30" t="n"/>
      <c r="BY1359" s="27" t="n"/>
      <c r="BZ1359" s="24" t="n"/>
      <c r="CA1359" s="31" t="n"/>
      <c r="CB1359" s="24" t="n"/>
      <c r="CC1359" s="24" t="n"/>
      <c r="CD1359" s="24" t="n"/>
      <c r="CE1359" s="24" t="n"/>
      <c r="CF1359" s="24" t="n"/>
      <c r="CG1359" s="24" t="n"/>
      <c r="CH1359" s="24" t="n"/>
      <c r="CI1359" s="24" t="n"/>
      <c r="CJ1359" s="24" t="n"/>
      <c r="CK1359" s="24" t="n"/>
      <c r="CL1359" s="24" t="n"/>
      <c r="CM1359" s="24" t="n"/>
      <c r="CN1359" s="24" t="n"/>
      <c r="CO1359" s="24" t="n"/>
      <c r="CP1359" s="24" t="n"/>
      <c r="CQ1359" s="24" t="n"/>
      <c r="CR1359" s="24" t="n"/>
      <c r="CS1359" s="24" t="inlineStr">
        <is>
          <t>False</t>
        </is>
      </c>
      <c r="CT1359" s="24" t="n"/>
      <c r="CU1359" s="24" t="n"/>
      <c r="CV1359" s="24" t="n"/>
      <c r="CW1359" s="24" t="n"/>
      <c r="CX1359" s="24" t="n"/>
      <c r="CY1359" s="24" t="n"/>
      <c r="CZ1359" s="24" t="n"/>
      <c r="DA1359" s="24" t="n"/>
      <c r="DB1359" s="24" t="n"/>
      <c r="DC1359" s="24" t="n"/>
      <c r="DD1359" s="24" t="inlineStr">
        <is>
          <t>e7f0567d741eda446fae3a82b720b3d844faa94299ba88c46e268480f29bf98f</t>
        </is>
      </c>
      <c r="DE1359" s="24" t="inlineStr">
        <is>
          <t>E:\model-prediction\data\odds\tennis\2026-10-12\polymarket_snapshots.jsonl</t>
        </is>
      </c>
      <c r="DF1359" s="24" t="inlineStr">
        <is>
          <t>1364415:2026-10-12T16:35:45.047616Z</t>
        </is>
      </c>
      <c r="DG1359" s="24" t="n"/>
      <c r="DH1359" s="24" t="n"/>
      <c r="DI1359" s="24" t="n"/>
      <c r="DJ1359" s="24" t="n"/>
      <c r="DK1359" s="24" t="n"/>
      <c r="DL1359" s="24" t="n"/>
      <c r="DM1359" s="24" t="n"/>
      <c r="DN1359" s="24" t="n"/>
      <c r="DO1359" s="24" t="n"/>
      <c r="DP1359" s="24" t="n"/>
      <c r="DQ1359" s="24" t="inlineStr">
        <is>
          <t>{"artifact_hash": "7443acc419841200d57e1edf36b77f1940cdd0c48dce3d43fcd05498a109440b", "away_team": "Katie Volynets", "event_id": "381-2026:185335", "event_start_utc": "2026-10-13T03:00Z", "features": {"elo_p1_surface": 1657.2, "elo_p2_surface": 1622.6, "expected_games_p1": 13.43, "expected_games_p2": 10.09, "expected_total_games": 23.52, "history_matches": 16708, "min_player_matches": 149, "surface": "Hard"}, "historical_source_observation_times_verified": false, "home_team": "Kimberly Birrell", "inference_inputs": {"best_of": 3, "code_sha256": {"features/elo_ratings.py": "d6513e79d65448c06cc0f9b9eed0eaa091567835128e1f6647a310da8d78a872", "models/tennis.py": "7443acc419841200d57e1edf36b77f1940cdd0c48dce3d43fcd05498a109440b"}, "counts": [195, 149], "market_probability": null, "model_version": "tennis-learned-v3", "overall_ratings": [1725.5156922860797, 1665.2492408887429], "p_serve_a": 0.619011303383118, "p_serve_b": 0.5609886966168819, "players": ["Katie Volynets", "Kimberly Birrell"], "rest_days": [1.0, 9.0], "sport": "TENNIS", "surface": "Hard", "surface_counts": [153, 115], "surface_ratings": [1657.223358133049, 1622.5500621588794], "tour": "WTA"}, "market_type": "moneyline", "model_version": "tennis-learned-v3", "observed_at_utc": "2026-10-12T22:26:12.584235+00:00", "probabilities": {"away": 0.5989, "home": 0.4011}, "replay_scope": "Exact full-precision serving state and rounding; upstream historical observation times are not certified.", "schema": "coded-moneyline-replay-v1", "snapshot_hash": "795ab3424f4b13e058ee16875d24bfaa53dcff9c90ec10e6ae7e0b591675344d", "sport": "TENNIS"}</t>
        </is>
      </c>
    </row>
    <row r="1360" ht="36" customHeight="1">
      <c r="A1360" s="24" t="inlineStr">
        <is>
          <t>6c57d49a99dc4aef</t>
        </is>
      </c>
      <c r="B1360" s="24" t="inlineStr">
        <is>
          <t>2026-10-12T22:26:15.686728Z</t>
        </is>
      </c>
      <c r="C1360" s="24" t="inlineStr">
        <is>
          <t>2026-10-13T03:00Z</t>
        </is>
      </c>
      <c r="D1360" s="24" t="inlineStr">
        <is>
          <t>381-2026:185335</t>
        </is>
      </c>
      <c r="E1360" s="24" t="inlineStr">
        <is>
          <t>TENNIS</t>
        </is>
      </c>
      <c r="F1360" s="24" t="inlineStr">
        <is>
          <t>Katie Volynets</t>
        </is>
      </c>
      <c r="G1360" s="24" t="inlineStr">
        <is>
          <t>Kimberly Birrell</t>
        </is>
      </c>
      <c r="H1360" s="24" t="inlineStr">
        <is>
          <t>total</t>
        </is>
      </c>
      <c r="I1360" s="24" t="inlineStr">
        <is>
          <t>under</t>
        </is>
      </c>
      <c r="J1360" s="25" t="n">
        <v>22.5</v>
      </c>
      <c r="K1360" s="24" t="inlineStr">
        <is>
          <t>polymarket_us</t>
        </is>
      </c>
      <c r="L1360" s="26" t="n">
        <v>-127</v>
      </c>
      <c r="M1360" s="27" t="n">
        <v>1.787402</v>
      </c>
      <c r="N1360" s="28" t="n">
        <v>0.5594710000000001</v>
      </c>
      <c r="O1360" s="28" t="n">
        <v>0.5133</v>
      </c>
      <c r="P1360" s="28" t="n">
        <v>0.05</v>
      </c>
      <c r="Q1360" s="28" t="n">
        <v>-0.046171</v>
      </c>
      <c r="R1360" s="26" t="n">
        <v>0</v>
      </c>
      <c r="S1360" s="29" t="n">
        <v>1</v>
      </c>
      <c r="T1360" s="24" t="inlineStr">
        <is>
          <t>tennis-learned-v3</t>
        </is>
      </c>
      <c r="U1360" s="24" t="inlineStr">
        <is>
          <t>settled</t>
        </is>
      </c>
      <c r="V1360" s="24" t="inlineStr">
        <is>
          <t>loss</t>
        </is>
      </c>
      <c r="W1360" s="26" t="n">
        <v>19</v>
      </c>
      <c r="X1360" s="26" t="n">
        <v>16</v>
      </c>
      <c r="Y1360" s="25" t="n"/>
      <c r="Z1360" s="26" t="n"/>
      <c r="AA1360" s="28" t="n"/>
      <c r="AB1360" s="28" t="n"/>
      <c r="AC1360" s="30" t="n">
        <v>-1</v>
      </c>
      <c r="AD1360" s="24" t="inlineStr">
        <is>
          <t>2026-10-13T10:04:46.177837Z</t>
        </is>
      </c>
      <c r="AE1360" s="31" t="inlineStr">
        <is>
          <t>Tennis Markov total games line 22.5: under p=0.513. Executable ask 0.5600 (tsc-wta-kimbir-katvol-2026-10-11-tg-22pt5).</t>
        </is>
      </c>
      <c r="AF1360" s="31" t="inlineStr">
        <is>
          <t>Surface-blended Elo model; singles only, WTA+ATP market coverage, not yet locked-holdout qualified -- promoted by explicit operator directive, not genuine walk-forward validation.</t>
        </is>
      </c>
      <c r="AG1360" s="24" t="inlineStr">
        <is>
          <t>review_required</t>
        </is>
      </c>
      <c r="AH1360" s="24" t="n"/>
      <c r="AI1360" s="31" t="n"/>
      <c r="AJ1360" s="31" t="n"/>
      <c r="AK1360" s="24" t="inlineStr">
        <is>
          <t>paper_call</t>
        </is>
      </c>
      <c r="AL1360" s="26" t="n">
        <v>4</v>
      </c>
      <c r="AM1360" s="24" t="inlineStr">
        <is>
          <t>RESEARCH_OBSERVATION</t>
        </is>
      </c>
      <c r="AN1360" s="24" t="inlineStr">
        <is>
          <t>CALL</t>
        </is>
      </c>
      <c r="AO1360" s="24" t="inlineStr">
        <is>
          <t>PAPER_CALL_LOW_EDGE</t>
        </is>
      </c>
      <c r="AP1360" s="24" t="inlineStr">
        <is>
          <t>Katie Volynets</t>
        </is>
      </c>
      <c r="AQ1360" s="24" t="inlineStr">
        <is>
          <t>Katie Volynets</t>
        </is>
      </c>
      <c r="AR1360" s="24" t="inlineStr">
        <is>
          <t>Katie Volynets</t>
        </is>
      </c>
      <c r="AS1360" s="24" t="inlineStr">
        <is>
          <t>Kimberly Birrell</t>
        </is>
      </c>
      <c r="AT1360" s="24" t="inlineStr">
        <is>
          <t>Kimberly Birrell</t>
        </is>
      </c>
      <c r="AU1360" s="24" t="inlineStr">
        <is>
          <t>Kimberly Birrell</t>
        </is>
      </c>
      <c r="AV1360" s="24" t="n"/>
      <c r="AW1360" s="24" t="n"/>
      <c r="AX1360" s="24" t="inlineStr">
        <is>
          <t>statistical_model</t>
        </is>
      </c>
      <c r="AY1360" s="24" t="n"/>
      <c r="AZ1360" s="24" t="inlineStr">
        <is>
          <t>shadow_qualified</t>
        </is>
      </c>
      <c r="BA1360" s="24" t="inlineStr">
        <is>
          <t>7443acc419841200d57e1edf36b77f1940cdd0c48dce3d43fcd05498a109440b</t>
        </is>
      </c>
      <c r="BB1360" s="24" t="inlineStr">
        <is>
          <t>learned_v3</t>
        </is>
      </c>
      <c r="BC1360" s="24" t="inlineStr">
        <is>
          <t>tennis-learned-v3</t>
        </is>
      </c>
      <c r="BD1360" s="24" t="inlineStr">
        <is>
          <t>7443acc419841200d57e1edf36b77f1940cdd0c48dce3d43fcd05498a109440b</t>
        </is>
      </c>
      <c r="BE1360" s="24" t="inlineStr">
        <is>
          <t>tennis-learned-v3</t>
        </is>
      </c>
      <c r="BF1360" s="24" t="inlineStr">
        <is>
          <t>1</t>
        </is>
      </c>
      <c r="BG1360" s="24" t="inlineStr">
        <is>
          <t>7443acc419841200d57e1edf36b77f1940cdd0c48dce3d43fcd05498a109440b</t>
        </is>
      </c>
      <c r="BH1360" s="24" t="inlineStr">
        <is>
          <t>2026-10-12T22:18:23.011048Z</t>
        </is>
      </c>
      <c r="BI1360" s="24" t="inlineStr">
        <is>
          <t>["same_event","same_team_same_day","same_league_same_day"]</t>
        </is>
      </c>
      <c r="BJ1360" s="25" t="n">
        <v>22.5</v>
      </c>
      <c r="BK1360" s="26" t="n">
        <v>-127</v>
      </c>
      <c r="BL1360" s="27" t="n">
        <v>1.787402</v>
      </c>
      <c r="BM1360" s="28" t="n">
        <v>0.5594710000000001</v>
      </c>
      <c r="BN1360" s="28" t="n"/>
      <c r="BO1360" s="28" t="n"/>
      <c r="BP1360" s="25" t="n"/>
      <c r="BQ1360" s="27" t="n"/>
      <c r="BR1360" s="28" t="n"/>
      <c r="BS1360" s="28" t="n"/>
      <c r="BT1360" s="28" t="n"/>
      <c r="BU1360" s="25" t="n"/>
      <c r="BV1360" s="29" t="n"/>
      <c r="BW1360" s="24" t="n"/>
      <c r="BX1360" s="30" t="n"/>
      <c r="BY1360" s="27" t="n"/>
      <c r="BZ1360" s="24" t="n"/>
      <c r="CA1360" s="31" t="n"/>
      <c r="CB1360" s="24" t="n"/>
      <c r="CC1360" s="24" t="n"/>
      <c r="CD1360" s="24" t="n"/>
      <c r="CE1360" s="24" t="n"/>
      <c r="CF1360" s="24" t="n"/>
      <c r="CG1360" s="24" t="n"/>
      <c r="CH1360" s="24" t="n"/>
      <c r="CI1360" s="24" t="n"/>
      <c r="CJ1360" s="24" t="n"/>
      <c r="CK1360" s="24" t="n"/>
      <c r="CL1360" s="24" t="n"/>
      <c r="CM1360" s="24" t="n"/>
      <c r="CN1360" s="24" t="n"/>
      <c r="CO1360" s="24" t="n"/>
      <c r="CP1360" s="24" t="n"/>
      <c r="CQ1360" s="24" t="n"/>
      <c r="CR1360" s="24" t="n"/>
      <c r="CS1360" s="24" t="inlineStr">
        <is>
          <t>False</t>
        </is>
      </c>
      <c r="CT1360" s="24" t="n"/>
      <c r="CU1360" s="24" t="n"/>
      <c r="CV1360" s="24" t="n"/>
      <c r="CW1360" s="24" t="n"/>
      <c r="CX1360" s="24" t="n"/>
      <c r="CY1360" s="24" t="n"/>
      <c r="CZ1360" s="24" t="n"/>
      <c r="DA1360" s="24" t="n"/>
      <c r="DB1360" s="24" t="n"/>
      <c r="DC1360" s="24" t="n"/>
      <c r="DD1360" s="24" t="inlineStr">
        <is>
          <t>d822ae31ebbe22ce38e422cd4187beeb6f55068a98a270b9609611a1368a1ce7</t>
        </is>
      </c>
      <c r="DE1360" s="24" t="inlineStr">
        <is>
          <t>E:\model-prediction\data\odds\tennis\2026-10-12\polymarket_snapshots.jsonl</t>
        </is>
      </c>
      <c r="DF1360" s="24" t="inlineStr">
        <is>
          <t>1384047:2026-10-12T22:18:23.011048Z</t>
        </is>
      </c>
      <c r="DG1360" s="24" t="n"/>
      <c r="DH1360" s="24" t="n"/>
      <c r="DI1360" s="24" t="n"/>
      <c r="DJ1360" s="24" t="n"/>
      <c r="DK1360" s="24" t="n"/>
      <c r="DL1360" s="24" t="n"/>
      <c r="DM1360" s="24" t="n"/>
      <c r="DN1360" s="24" t="n"/>
      <c r="DO1360" s="24" t="n"/>
      <c r="DP1360" s="24" t="n"/>
      <c r="DQ1360" s="24" t="n"/>
    </row>
    <row r="1361" ht="36" customHeight="1">
      <c r="A1361" s="24" t="inlineStr">
        <is>
          <t>aeecb89a13b54604</t>
        </is>
      </c>
      <c r="B1361" s="24" t="inlineStr">
        <is>
          <t>2026-10-12T22:26:15.686728Z</t>
        </is>
      </c>
      <c r="C1361" s="24" t="inlineStr">
        <is>
          <t>2026-10-13T03:00Z</t>
        </is>
      </c>
      <c r="D1361" s="24" t="inlineStr">
        <is>
          <t>381-2026:185335</t>
        </is>
      </c>
      <c r="E1361" s="24" t="inlineStr">
        <is>
          <t>TENNIS</t>
        </is>
      </c>
      <c r="F1361" s="24" t="inlineStr">
        <is>
          <t>Katie Volynets</t>
        </is>
      </c>
      <c r="G1361" s="24" t="inlineStr">
        <is>
          <t>Kimberly Birrell</t>
        </is>
      </c>
      <c r="H1361" s="24" t="inlineStr">
        <is>
          <t>spread</t>
        </is>
      </c>
      <c r="I1361" s="24" t="inlineStr">
        <is>
          <t>away</t>
        </is>
      </c>
      <c r="J1361" s="25" t="n">
        <v>1.5</v>
      </c>
      <c r="K1361" s="24" t="inlineStr">
        <is>
          <t>polymarket_us</t>
        </is>
      </c>
      <c r="L1361" s="26" t="n">
        <v>133</v>
      </c>
      <c r="M1361" s="27" t="n">
        <v>2.33</v>
      </c>
      <c r="N1361" s="28" t="n">
        <v>0.429185</v>
      </c>
      <c r="O1361" s="28" t="n">
        <v>0.7379</v>
      </c>
      <c r="P1361" s="28" t="n">
        <v>0.05</v>
      </c>
      <c r="Q1361" s="28" t="n">
        <v>0.308715</v>
      </c>
      <c r="R1361" s="26" t="n">
        <v>100</v>
      </c>
      <c r="S1361" s="29" t="n">
        <v>2</v>
      </c>
      <c r="T1361" s="24" t="inlineStr">
        <is>
          <t>tennis-learned-v3</t>
        </is>
      </c>
      <c r="U1361" s="24" t="inlineStr">
        <is>
          <t>settled</t>
        </is>
      </c>
      <c r="V1361" s="24" t="inlineStr">
        <is>
          <t>win</t>
        </is>
      </c>
      <c r="W1361" s="26" t="n">
        <v>19</v>
      </c>
      <c r="X1361" s="26" t="n">
        <v>16</v>
      </c>
      <c r="Y1361" s="25" t="n"/>
      <c r="Z1361" s="26" t="n"/>
      <c r="AA1361" s="28" t="n"/>
      <c r="AB1361" s="28" t="n"/>
      <c r="AC1361" s="30" t="n">
        <v>2.66</v>
      </c>
      <c r="AD1361" s="24" t="inlineStr">
        <is>
          <t>2026-10-13T10:04:51.561840Z</t>
        </is>
      </c>
      <c r="AE1361" s="31" t="inlineStr">
        <is>
          <t>Tennis Markov game spread +1.5 games: away cover p=0.738. Executable ask 0.4300 (asc-wta-kimbir-katvol-2026-10-11-gs-pos-1pt5).</t>
        </is>
      </c>
      <c r="AF1361" s="31" t="inlineStr">
        <is>
          <t>Surface-blended Elo model; singles only, WTA+ATP market coverage, not yet locked-holdout qualified -- promoted by explicit operator directive, not genuine walk-forward validation.</t>
        </is>
      </c>
      <c r="AG1361" s="24" t="inlineStr">
        <is>
          <t>not_applicable</t>
        </is>
      </c>
      <c r="AH1361" s="24" t="n"/>
      <c r="AI1361" s="31" t="n"/>
      <c r="AJ1361" s="31" t="n"/>
      <c r="AK1361" s="24" t="inlineStr">
        <is>
          <t>model_qualified</t>
        </is>
      </c>
      <c r="AL1361" s="26" t="n">
        <v>4</v>
      </c>
      <c r="AM1361" s="24" t="inlineStr">
        <is>
          <t>QUALIFIED_SHADOW_CALL</t>
        </is>
      </c>
      <c r="AN1361" s="24" t="inlineStr">
        <is>
          <t>CALL</t>
        </is>
      </c>
      <c r="AO1361" s="24" t="inlineStr">
        <is>
          <t>QUALIFIED</t>
        </is>
      </c>
      <c r="AP1361" s="24" t="inlineStr">
        <is>
          <t>Katie Volynets</t>
        </is>
      </c>
      <c r="AQ1361" s="24" t="inlineStr">
        <is>
          <t>Katie Volynets</t>
        </is>
      </c>
      <c r="AR1361" s="24" t="inlineStr">
        <is>
          <t>Katie Volynets</t>
        </is>
      </c>
      <c r="AS1361" s="24" t="inlineStr">
        <is>
          <t>Kimberly Birrell</t>
        </is>
      </c>
      <c r="AT1361" s="24" t="inlineStr">
        <is>
          <t>Kimberly Birrell</t>
        </is>
      </c>
      <c r="AU1361" s="24" t="inlineStr">
        <is>
          <t>Kimberly Birrell</t>
        </is>
      </c>
      <c r="AV1361" s="24" t="n"/>
      <c r="AW1361" s="24" t="n"/>
      <c r="AX1361" s="24" t="inlineStr">
        <is>
          <t>statistical_model</t>
        </is>
      </c>
      <c r="AY1361" s="24" t="n"/>
      <c r="AZ1361" s="24" t="inlineStr">
        <is>
          <t>shadow_qualified</t>
        </is>
      </c>
      <c r="BA1361" s="24" t="inlineStr">
        <is>
          <t>7443acc419841200d57e1edf36b77f1940cdd0c48dce3d43fcd05498a109440b</t>
        </is>
      </c>
      <c r="BB1361" s="24" t="inlineStr">
        <is>
          <t>learned_v3</t>
        </is>
      </c>
      <c r="BC1361" s="24" t="inlineStr">
        <is>
          <t>tennis-learned-v3</t>
        </is>
      </c>
      <c r="BD1361" s="24" t="inlineStr">
        <is>
          <t>7443acc419841200d57e1edf36b77f1940cdd0c48dce3d43fcd05498a109440b</t>
        </is>
      </c>
      <c r="BE1361" s="24" t="inlineStr">
        <is>
          <t>tennis-learned-v3</t>
        </is>
      </c>
      <c r="BF1361" s="24" t="inlineStr">
        <is>
          <t>1</t>
        </is>
      </c>
      <c r="BG1361" s="24" t="inlineStr">
        <is>
          <t>7443acc419841200d57e1edf36b77f1940cdd0c48dce3d43fcd05498a109440b</t>
        </is>
      </c>
      <c r="BH1361" s="24" t="inlineStr">
        <is>
          <t>2026-10-12T22:18:43.141032Z</t>
        </is>
      </c>
      <c r="BI1361" s="24" t="inlineStr">
        <is>
          <t>["same_event","same_team_same_day","same_league_same_day"]</t>
        </is>
      </c>
      <c r="BJ1361" s="25" t="n">
        <v>1.5</v>
      </c>
      <c r="BK1361" s="26" t="n">
        <v>133</v>
      </c>
      <c r="BL1361" s="27" t="n">
        <v>2.33</v>
      </c>
      <c r="BM1361" s="28" t="n">
        <v>0.429185</v>
      </c>
      <c r="BN1361" s="28" t="n"/>
      <c r="BO1361" s="28" t="n"/>
      <c r="BP1361" s="25" t="n"/>
      <c r="BQ1361" s="27" t="n"/>
      <c r="BR1361" s="28" t="n"/>
      <c r="BS1361" s="28" t="n"/>
      <c r="BT1361" s="28" t="n"/>
      <c r="BU1361" s="25" t="n"/>
      <c r="BV1361" s="29" t="n"/>
      <c r="BW1361" s="24" t="n"/>
      <c r="BX1361" s="30" t="n"/>
      <c r="BY1361" s="27" t="n"/>
      <c r="BZ1361" s="24" t="n"/>
      <c r="CA1361" s="31" t="n"/>
      <c r="CB1361" s="24" t="n"/>
      <c r="CC1361" s="24" t="n"/>
      <c r="CD1361" s="24" t="n"/>
      <c r="CE1361" s="24" t="n"/>
      <c r="CF1361" s="24" t="n"/>
      <c r="CG1361" s="24" t="n"/>
      <c r="CH1361" s="24" t="n"/>
      <c r="CI1361" s="24" t="n"/>
      <c r="CJ1361" s="24" t="n"/>
      <c r="CK1361" s="24" t="n"/>
      <c r="CL1361" s="24" t="n"/>
      <c r="CM1361" s="24" t="n"/>
      <c r="CN1361" s="24" t="n"/>
      <c r="CO1361" s="24" t="n"/>
      <c r="CP1361" s="24" t="n"/>
      <c r="CQ1361" s="24" t="n"/>
      <c r="CR1361" s="24" t="n"/>
      <c r="CS1361" s="24" t="inlineStr">
        <is>
          <t>True</t>
        </is>
      </c>
      <c r="CT1361" s="24" t="n"/>
      <c r="CU1361" s="24" t="n"/>
      <c r="CV1361" s="24" t="n"/>
      <c r="CW1361" s="24" t="n"/>
      <c r="CX1361" s="24" t="n"/>
      <c r="CY1361" s="24" t="n"/>
      <c r="CZ1361" s="24" t="n"/>
      <c r="DA1361" s="24" t="n"/>
      <c r="DB1361" s="24" t="n"/>
      <c r="DC1361" s="24" t="n"/>
      <c r="DD1361" s="24" t="inlineStr">
        <is>
          <t>62a0eb90b040a66e83448ebff634b4b155595ee45593261a305050777ca41374</t>
        </is>
      </c>
      <c r="DE1361" s="24" t="inlineStr">
        <is>
          <t>E:\model-prediction\data\odds\tennis\2026-10-12\polymarket_snapshots.jsonl</t>
        </is>
      </c>
      <c r="DF1361" s="24" t="inlineStr">
        <is>
          <t>1384071:2026-10-12T22:18:43.141032Z</t>
        </is>
      </c>
      <c r="DG1361" s="24" t="n"/>
      <c r="DH1361" s="24" t="n"/>
      <c r="DI1361" s="24" t="n"/>
      <c r="DJ1361" s="24" t="n"/>
      <c r="DK1361" s="24" t="n"/>
      <c r="DL1361" s="24" t="n"/>
      <c r="DM1361" s="24" t="n"/>
      <c r="DN1361" s="24" t="n"/>
      <c r="DO1361" s="24" t="n"/>
      <c r="DP1361" s="24" t="n"/>
      <c r="DQ1361" s="24" t="n"/>
    </row>
    <row r="1362" ht="36" customHeight="1">
      <c r="A1362" s="24" t="inlineStr">
        <is>
          <t>dd03e04e12154f17</t>
        </is>
      </c>
      <c r="B1362" s="24" t="inlineStr">
        <is>
          <t>2026-10-12T22:26:15.686728Z</t>
        </is>
      </c>
      <c r="C1362" s="24" t="inlineStr">
        <is>
          <t>2026-10-13T04:00Z</t>
        </is>
      </c>
      <c r="D1362" s="24" t="inlineStr">
        <is>
          <t>381-2026:185332</t>
        </is>
      </c>
      <c r="E1362" s="24" t="inlineStr">
        <is>
          <t>TENNIS</t>
        </is>
      </c>
      <c r="F1362" s="24" t="inlineStr">
        <is>
          <t>Maja Chwalinska</t>
        </is>
      </c>
      <c r="G1362" s="24" t="inlineStr">
        <is>
          <t>Mayar Sherif</t>
        </is>
      </c>
      <c r="H1362" s="24" t="inlineStr">
        <is>
          <t>total</t>
        </is>
      </c>
      <c r="I1362" s="24" t="inlineStr">
        <is>
          <t>over</t>
        </is>
      </c>
      <c r="J1362" s="25" t="n">
        <v>22.5</v>
      </c>
      <c r="K1362" s="24" t="inlineStr">
        <is>
          <t>polymarket_us</t>
        </is>
      </c>
      <c r="L1362" s="26" t="n">
        <v>100</v>
      </c>
      <c r="M1362" s="27" t="n">
        <v>2</v>
      </c>
      <c r="N1362" s="28" t="n">
        <v>0.5</v>
      </c>
      <c r="O1362" s="28" t="n">
        <v>0.5772</v>
      </c>
      <c r="P1362" s="28" t="n">
        <v>0.05</v>
      </c>
      <c r="Q1362" s="28" t="n">
        <v>0.0772</v>
      </c>
      <c r="R1362" s="26" t="n">
        <v>59</v>
      </c>
      <c r="S1362" s="29" t="n">
        <v>1.25</v>
      </c>
      <c r="T1362" s="24" t="inlineStr">
        <is>
          <t>tennis-learned-v3</t>
        </is>
      </c>
      <c r="U1362" s="24" t="inlineStr">
        <is>
          <t>settled</t>
        </is>
      </c>
      <c r="V1362" s="24" t="inlineStr">
        <is>
          <t>loss</t>
        </is>
      </c>
      <c r="W1362" s="26" t="n">
        <v>12</v>
      </c>
      <c r="X1362" s="26" t="n">
        <v>5</v>
      </c>
      <c r="Y1362" s="25" t="n"/>
      <c r="Z1362" s="26" t="n"/>
      <c r="AA1362" s="28" t="n"/>
      <c r="AB1362" s="28" t="n"/>
      <c r="AC1362" s="30" t="n">
        <v>-1.25</v>
      </c>
      <c r="AD1362" s="24" t="inlineStr">
        <is>
          <t>2026-10-13T10:04:57.410388Z</t>
        </is>
      </c>
      <c r="AE1362" s="31" t="inlineStr">
        <is>
          <t>Tennis Markov total games line 22.5: over p=0.577. Executable ask 0.5000 (tsc-wta-mayshe-majchw-2026-10-11-tg-22pt5).</t>
        </is>
      </c>
      <c r="AF1362" s="31" t="inlineStr">
        <is>
          <t>Surface-blended Elo model; singles only, WTA+ATP market coverage, not yet locked-holdout qualified -- promoted by explicit operator directive, not genuine walk-forward validation.</t>
        </is>
      </c>
      <c r="AG1362" s="24" t="inlineStr">
        <is>
          <t>review_required</t>
        </is>
      </c>
      <c r="AH1362" s="24" t="n"/>
      <c r="AI1362" s="31" t="n"/>
      <c r="AJ1362" s="31" t="n"/>
      <c r="AK1362" s="24" t="inlineStr">
        <is>
          <t>paper_call</t>
        </is>
      </c>
      <c r="AL1362" s="26" t="n">
        <v>4</v>
      </c>
      <c r="AM1362" s="24" t="inlineStr">
        <is>
          <t>RESEARCH_OBSERVATION</t>
        </is>
      </c>
      <c r="AN1362" s="24" t="inlineStr">
        <is>
          <t>CALL</t>
        </is>
      </c>
      <c r="AO1362" s="24" t="inlineStr">
        <is>
          <t>PAPER_CALL_STALE_DATA</t>
        </is>
      </c>
      <c r="AP1362" s="24" t="inlineStr">
        <is>
          <t>Maja Chwalinska</t>
        </is>
      </c>
      <c r="AQ1362" s="24" t="inlineStr">
        <is>
          <t>Maja Chwalinska</t>
        </is>
      </c>
      <c r="AR1362" s="24" t="inlineStr">
        <is>
          <t>Maja Chwalinska</t>
        </is>
      </c>
      <c r="AS1362" s="24" t="inlineStr">
        <is>
          <t>Mayar Sherif</t>
        </is>
      </c>
      <c r="AT1362" s="24" t="inlineStr">
        <is>
          <t>Mayar Sherif</t>
        </is>
      </c>
      <c r="AU1362" s="24" t="inlineStr">
        <is>
          <t>Mayar Sherif</t>
        </is>
      </c>
      <c r="AV1362" s="24" t="n"/>
      <c r="AW1362" s="24" t="n"/>
      <c r="AX1362" s="24" t="inlineStr">
        <is>
          <t>statistical_model</t>
        </is>
      </c>
      <c r="AY1362" s="24" t="n"/>
      <c r="AZ1362" s="24" t="inlineStr">
        <is>
          <t>shadow_qualified</t>
        </is>
      </c>
      <c r="BA1362" s="24" t="inlineStr">
        <is>
          <t>7443acc419841200d57e1edf36b77f1940cdd0c48dce3d43fcd05498a109440b</t>
        </is>
      </c>
      <c r="BB1362" s="24" t="inlineStr">
        <is>
          <t>learned_v3</t>
        </is>
      </c>
      <c r="BC1362" s="24" t="inlineStr">
        <is>
          <t>tennis-learned-v3</t>
        </is>
      </c>
      <c r="BD1362" s="24" t="inlineStr">
        <is>
          <t>7443acc419841200d57e1edf36b77f1940cdd0c48dce3d43fcd05498a109440b</t>
        </is>
      </c>
      <c r="BE1362" s="24" t="inlineStr">
        <is>
          <t>tennis-learned-v3</t>
        </is>
      </c>
      <c r="BF1362" s="24" t="inlineStr">
        <is>
          <t>1</t>
        </is>
      </c>
      <c r="BG1362" s="24" t="inlineStr">
        <is>
          <t>7443acc419841200d57e1edf36b77f1940cdd0c48dce3d43fcd05498a109440b</t>
        </is>
      </c>
      <c r="BH1362" s="24" t="inlineStr">
        <is>
          <t>2026-10-12T05:04:25.437971Z</t>
        </is>
      </c>
      <c r="BI1362" s="24" t="inlineStr">
        <is>
          <t>["same_event","same_team_same_day","same_league_same_day"]</t>
        </is>
      </c>
      <c r="BJ1362" s="25" t="n">
        <v>22.5</v>
      </c>
      <c r="BK1362" s="26" t="n">
        <v>100</v>
      </c>
      <c r="BL1362" s="27" t="n">
        <v>2</v>
      </c>
      <c r="BM1362" s="28" t="n">
        <v>0.5</v>
      </c>
      <c r="BN1362" s="28" t="n"/>
      <c r="BO1362" s="28" t="n"/>
      <c r="BP1362" s="25" t="n"/>
      <c r="BQ1362" s="27" t="n"/>
      <c r="BR1362" s="28" t="n"/>
      <c r="BS1362" s="28" t="n"/>
      <c r="BT1362" s="28" t="n"/>
      <c r="BU1362" s="25" t="n"/>
      <c r="BV1362" s="29" t="n"/>
      <c r="BW1362" s="24" t="n"/>
      <c r="BX1362" s="30" t="n"/>
      <c r="BY1362" s="27" t="n"/>
      <c r="BZ1362" s="24" t="n"/>
      <c r="CA1362" s="31" t="n"/>
      <c r="CB1362" s="24" t="n"/>
      <c r="CC1362" s="24" t="n"/>
      <c r="CD1362" s="24" t="n"/>
      <c r="CE1362" s="24" t="n"/>
      <c r="CF1362" s="24" t="n"/>
      <c r="CG1362" s="24" t="n"/>
      <c r="CH1362" s="24" t="n"/>
      <c r="CI1362" s="24" t="n"/>
      <c r="CJ1362" s="24" t="n"/>
      <c r="CK1362" s="24" t="n"/>
      <c r="CL1362" s="24" t="n"/>
      <c r="CM1362" s="24" t="n"/>
      <c r="CN1362" s="24" t="n"/>
      <c r="CO1362" s="24" t="n"/>
      <c r="CP1362" s="24" t="n"/>
      <c r="CQ1362" s="24" t="n"/>
      <c r="CR1362" s="24" t="n"/>
      <c r="CS1362" s="24" t="inlineStr">
        <is>
          <t>True</t>
        </is>
      </c>
      <c r="CT1362" s="24" t="n"/>
      <c r="CU1362" s="24" t="n"/>
      <c r="CV1362" s="24" t="n"/>
      <c r="CW1362" s="24" t="n"/>
      <c r="CX1362" s="24" t="n"/>
      <c r="CY1362" s="24" t="n"/>
      <c r="CZ1362" s="24" t="n"/>
      <c r="DA1362" s="24" t="n"/>
      <c r="DB1362" s="24" t="n"/>
      <c r="DC1362" s="24" t="n"/>
      <c r="DD1362" s="24" t="inlineStr">
        <is>
          <t>97f6aaeacdee63ce91828f3c457e99769a2e4f8c8015b21054da32311fe3bced</t>
        </is>
      </c>
      <c r="DE1362" s="24" t="inlineStr">
        <is>
          <t>E:\model-prediction\data\odds\tennis\2026-10-12\polymarket_snapshots.jsonl</t>
        </is>
      </c>
      <c r="DF1362" s="24" t="inlineStr">
        <is>
          <t>1353855:2026-10-12T05:04:25.437971Z</t>
        </is>
      </c>
      <c r="DG1362" s="24" t="n"/>
      <c r="DH1362" s="24" t="n"/>
      <c r="DI1362" s="24" t="n"/>
      <c r="DJ1362" s="24" t="n"/>
      <c r="DK1362" s="24" t="n"/>
      <c r="DL1362" s="24" t="n"/>
      <c r="DM1362" s="24" t="n"/>
      <c r="DN1362" s="24" t="n"/>
      <c r="DO1362" s="24" t="n"/>
      <c r="DP1362" s="24" t="n"/>
      <c r="DQ1362" s="24" t="n"/>
    </row>
    <row r="1363" ht="36" customHeight="1">
      <c r="A1363" s="24" t="inlineStr">
        <is>
          <t>0e8e22fe0cc14812</t>
        </is>
      </c>
      <c r="B1363" s="24" t="inlineStr">
        <is>
          <t>2026-10-12T22:26:15.686728Z</t>
        </is>
      </c>
      <c r="C1363" s="24" t="inlineStr">
        <is>
          <t>2026-10-13T04:00Z</t>
        </is>
      </c>
      <c r="D1363" s="24" t="inlineStr">
        <is>
          <t>381-2026:185332</t>
        </is>
      </c>
      <c r="E1363" s="24" t="inlineStr">
        <is>
          <t>TENNIS</t>
        </is>
      </c>
      <c r="F1363" s="24" t="inlineStr">
        <is>
          <t>Maja Chwalinska</t>
        </is>
      </c>
      <c r="G1363" s="24" t="inlineStr">
        <is>
          <t>Mayar Sherif</t>
        </is>
      </c>
      <c r="H1363" s="24" t="inlineStr">
        <is>
          <t>spread</t>
        </is>
      </c>
      <c r="I1363" s="24" t="inlineStr">
        <is>
          <t>away</t>
        </is>
      </c>
      <c r="J1363" s="25" t="n">
        <v>-4.5</v>
      </c>
      <c r="K1363" s="24" t="inlineStr">
        <is>
          <t>polymarket_us</t>
        </is>
      </c>
      <c r="L1363" s="26" t="n">
        <v>300</v>
      </c>
      <c r="M1363" s="27" t="n">
        <v>4</v>
      </c>
      <c r="N1363" s="28" t="n">
        <v>0.25</v>
      </c>
      <c r="O1363" s="28" t="n">
        <v>0.8091</v>
      </c>
      <c r="P1363" s="28" t="n">
        <v>0.05</v>
      </c>
      <c r="Q1363" s="28" t="n">
        <v>0.5591</v>
      </c>
      <c r="R1363" s="26" t="n">
        <v>100</v>
      </c>
      <c r="S1363" s="29" t="n">
        <v>2</v>
      </c>
      <c r="T1363" s="24" t="inlineStr">
        <is>
          <t>tennis-learned-v3</t>
        </is>
      </c>
      <c r="U1363" s="24" t="inlineStr">
        <is>
          <t>settled</t>
        </is>
      </c>
      <c r="V1363" s="24" t="inlineStr">
        <is>
          <t>win</t>
        </is>
      </c>
      <c r="W1363" s="26" t="n">
        <v>12</v>
      </c>
      <c r="X1363" s="26" t="n">
        <v>5</v>
      </c>
      <c r="Y1363" s="25" t="n"/>
      <c r="Z1363" s="26" t="n"/>
      <c r="AA1363" s="28" t="n"/>
      <c r="AB1363" s="28" t="n"/>
      <c r="AC1363" s="30" t="n">
        <v>6</v>
      </c>
      <c r="AD1363" s="24" t="inlineStr">
        <is>
          <t>2026-10-13T10:05:02.855765Z</t>
        </is>
      </c>
      <c r="AE1363" s="31" t="inlineStr">
        <is>
          <t>Tennis Markov game spread -4.5 games: away cover p=0.809. Executable ask 0.2500 (asc-wta-mayshe-majchw-2026-10-11-gs-neg-4pt5).</t>
        </is>
      </c>
      <c r="AF1363" s="31" t="inlineStr">
        <is>
          <t>Surface-blended Elo model; singles only, WTA+ATP market coverage, not yet locked-holdout qualified -- promoted by explicit operator directive, not genuine walk-forward validation.</t>
        </is>
      </c>
      <c r="AG1363" s="24" t="inlineStr">
        <is>
          <t>not_applicable</t>
        </is>
      </c>
      <c r="AH1363" s="24" t="n"/>
      <c r="AI1363" s="31" t="n"/>
      <c r="AJ1363" s="31" t="n"/>
      <c r="AK1363" s="24" t="inlineStr">
        <is>
          <t>paper_call</t>
        </is>
      </c>
      <c r="AL1363" s="26" t="n">
        <v>4</v>
      </c>
      <c r="AM1363" s="24" t="inlineStr">
        <is>
          <t>RESEARCH_OBSERVATION</t>
        </is>
      </c>
      <c r="AN1363" s="24" t="inlineStr">
        <is>
          <t>CALL</t>
        </is>
      </c>
      <c r="AO1363" s="24" t="inlineStr">
        <is>
          <t>PAPER_CALL_STALE_DATA</t>
        </is>
      </c>
      <c r="AP1363" s="24" t="inlineStr">
        <is>
          <t>Maja Chwalinska</t>
        </is>
      </c>
      <c r="AQ1363" s="24" t="inlineStr">
        <is>
          <t>Maja Chwalinska</t>
        </is>
      </c>
      <c r="AR1363" s="24" t="inlineStr">
        <is>
          <t>Maja Chwalinska</t>
        </is>
      </c>
      <c r="AS1363" s="24" t="inlineStr">
        <is>
          <t>Mayar Sherif</t>
        </is>
      </c>
      <c r="AT1363" s="24" t="inlineStr">
        <is>
          <t>Mayar Sherif</t>
        </is>
      </c>
      <c r="AU1363" s="24" t="inlineStr">
        <is>
          <t>Mayar Sherif</t>
        </is>
      </c>
      <c r="AV1363" s="24" t="n"/>
      <c r="AW1363" s="24" t="n"/>
      <c r="AX1363" s="24" t="inlineStr">
        <is>
          <t>statistical_model</t>
        </is>
      </c>
      <c r="AY1363" s="24" t="n"/>
      <c r="AZ1363" s="24" t="inlineStr">
        <is>
          <t>shadow_qualified</t>
        </is>
      </c>
      <c r="BA1363" s="24" t="inlineStr">
        <is>
          <t>7443acc419841200d57e1edf36b77f1940cdd0c48dce3d43fcd05498a109440b</t>
        </is>
      </c>
      <c r="BB1363" s="24" t="inlineStr">
        <is>
          <t>learned_v3</t>
        </is>
      </c>
      <c r="BC1363" s="24" t="inlineStr">
        <is>
          <t>tennis-learned-v3</t>
        </is>
      </c>
      <c r="BD1363" s="24" t="inlineStr">
        <is>
          <t>7443acc419841200d57e1edf36b77f1940cdd0c48dce3d43fcd05498a109440b</t>
        </is>
      </c>
      <c r="BE1363" s="24" t="inlineStr">
        <is>
          <t>tennis-learned-v3</t>
        </is>
      </c>
      <c r="BF1363" s="24" t="inlineStr">
        <is>
          <t>1</t>
        </is>
      </c>
      <c r="BG1363" s="24" t="inlineStr">
        <is>
          <t>7443acc419841200d57e1edf36b77f1940cdd0c48dce3d43fcd05498a109440b</t>
        </is>
      </c>
      <c r="BH1363" s="24" t="inlineStr">
        <is>
          <t>2026-10-12T05:04:15.481757Z</t>
        </is>
      </c>
      <c r="BI1363" s="24" t="inlineStr">
        <is>
          <t>["same_event","same_team_same_day","same_league_same_day"]</t>
        </is>
      </c>
      <c r="BJ1363" s="25" t="n">
        <v>-4.5</v>
      </c>
      <c r="BK1363" s="26" t="n">
        <v>300</v>
      </c>
      <c r="BL1363" s="27" t="n">
        <v>4</v>
      </c>
      <c r="BM1363" s="28" t="n">
        <v>0.25</v>
      </c>
      <c r="BN1363" s="28" t="n"/>
      <c r="BO1363" s="28" t="n"/>
      <c r="BP1363" s="25" t="n"/>
      <c r="BQ1363" s="27" t="n"/>
      <c r="BR1363" s="28" t="n"/>
      <c r="BS1363" s="28" t="n"/>
      <c r="BT1363" s="28" t="n"/>
      <c r="BU1363" s="25" t="n"/>
      <c r="BV1363" s="29" t="n"/>
      <c r="BW1363" s="24" t="n"/>
      <c r="BX1363" s="30" t="n"/>
      <c r="BY1363" s="27" t="n"/>
      <c r="BZ1363" s="24" t="n"/>
      <c r="CA1363" s="31" t="n"/>
      <c r="CB1363" s="24" t="n"/>
      <c r="CC1363" s="24" t="n"/>
      <c r="CD1363" s="24" t="n"/>
      <c r="CE1363" s="24" t="n"/>
      <c r="CF1363" s="24" t="n"/>
      <c r="CG1363" s="24" t="n"/>
      <c r="CH1363" s="24" t="n"/>
      <c r="CI1363" s="24" t="n"/>
      <c r="CJ1363" s="24" t="n"/>
      <c r="CK1363" s="24" t="n"/>
      <c r="CL1363" s="24" t="n"/>
      <c r="CM1363" s="24" t="n"/>
      <c r="CN1363" s="24" t="n"/>
      <c r="CO1363" s="24" t="n"/>
      <c r="CP1363" s="24" t="n"/>
      <c r="CQ1363" s="24" t="n"/>
      <c r="CR1363" s="24" t="n"/>
      <c r="CS1363" s="24" t="inlineStr">
        <is>
          <t>True</t>
        </is>
      </c>
      <c r="CT1363" s="24" t="n"/>
      <c r="CU1363" s="24" t="n"/>
      <c r="CV1363" s="24" t="n"/>
      <c r="CW1363" s="24" t="n"/>
      <c r="CX1363" s="24" t="n"/>
      <c r="CY1363" s="24" t="n"/>
      <c r="CZ1363" s="24" t="n"/>
      <c r="DA1363" s="24" t="n"/>
      <c r="DB1363" s="24" t="n"/>
      <c r="DC1363" s="24" t="n"/>
      <c r="DD1363" s="24" t="inlineStr">
        <is>
          <t>a78fc7209171131b23e0d4c4ffcaadcd32253d54907d6f832ec722c4cd72df4b</t>
        </is>
      </c>
      <c r="DE1363" s="24" t="inlineStr">
        <is>
          <t>E:\model-prediction\data\odds\tennis\2026-10-12\polymarket_snapshots.jsonl</t>
        </is>
      </c>
      <c r="DF1363" s="24" t="inlineStr">
        <is>
          <t>1353876:2026-10-12T05:04:15.481757Z</t>
        </is>
      </c>
      <c r="DG1363" s="24" t="n"/>
      <c r="DH1363" s="24" t="n"/>
      <c r="DI1363" s="24" t="n"/>
      <c r="DJ1363" s="24" t="n"/>
      <c r="DK1363" s="24" t="n"/>
      <c r="DL1363" s="24" t="n"/>
      <c r="DM1363" s="24" t="n"/>
      <c r="DN1363" s="24" t="n"/>
      <c r="DO1363" s="24" t="n"/>
      <c r="DP1363" s="24" t="n"/>
      <c r="DQ1363" s="24" t="n"/>
    </row>
    <row r="1364" ht="36" customHeight="1">
      <c r="A1364" s="24" t="inlineStr">
        <is>
          <t>d57fce49be0b4725</t>
        </is>
      </c>
      <c r="B1364" s="24" t="inlineStr">
        <is>
          <t>2026-10-12T22:26:15.686728Z</t>
        </is>
      </c>
      <c r="C1364" s="24" t="inlineStr">
        <is>
          <t>2026-10-13T04:30Z</t>
        </is>
      </c>
      <c r="D1364" s="24" t="inlineStr">
        <is>
          <t>381-2026:185320</t>
        </is>
      </c>
      <c r="E1364" s="24" t="inlineStr">
        <is>
          <t>TENNIS</t>
        </is>
      </c>
      <c r="F1364" s="24" t="inlineStr">
        <is>
          <t>Sorana Cirstea</t>
        </is>
      </c>
      <c r="G1364" s="24" t="inlineStr">
        <is>
          <t>Guo Hanyu</t>
        </is>
      </c>
      <c r="H1364" s="24" t="inlineStr">
        <is>
          <t>total</t>
        </is>
      </c>
      <c r="I1364" s="24" t="inlineStr">
        <is>
          <t>under</t>
        </is>
      </c>
      <c r="J1364" s="25" t="n">
        <v>17.5</v>
      </c>
      <c r="K1364" s="24" t="inlineStr">
        <is>
          <t>polymarket_us</t>
        </is>
      </c>
      <c r="L1364" s="26" t="n">
        <v>-122</v>
      </c>
      <c r="M1364" s="27" t="n">
        <v>1.819672</v>
      </c>
      <c r="N1364" s="28" t="n">
        <v>0.54955</v>
      </c>
      <c r="O1364" s="28" t="n">
        <v>0.8739</v>
      </c>
      <c r="P1364" s="28" t="n">
        <v>0.05</v>
      </c>
      <c r="Q1364" s="28" t="n">
        <v>0.32435</v>
      </c>
      <c r="R1364" s="26" t="n">
        <v>100</v>
      </c>
      <c r="S1364" s="29" t="n">
        <v>2</v>
      </c>
      <c r="T1364" s="24" t="inlineStr">
        <is>
          <t>tennis-learned-v3</t>
        </is>
      </c>
      <c r="U1364" s="24" t="inlineStr">
        <is>
          <t>settled</t>
        </is>
      </c>
      <c r="V1364" s="24" t="inlineStr">
        <is>
          <t>loss</t>
        </is>
      </c>
      <c r="W1364" s="26" t="n">
        <v>17</v>
      </c>
      <c r="X1364" s="26" t="n">
        <v>15</v>
      </c>
      <c r="Y1364" s="25" t="n"/>
      <c r="Z1364" s="26" t="n"/>
      <c r="AA1364" s="28" t="n"/>
      <c r="AB1364" s="28" t="n"/>
      <c r="AC1364" s="30" t="n">
        <v>-2</v>
      </c>
      <c r="AD1364" s="24" t="inlineStr">
        <is>
          <t>2026-10-13T10:05:10.040506Z</t>
        </is>
      </c>
      <c r="AE1364" s="31" t="inlineStr">
        <is>
          <t>Tennis Markov total games line 17.5: under p=0.874. Executable ask 0.5500 (tsc-wta-hanguo-sorcir-2026-10-11-tg-17pt5).</t>
        </is>
      </c>
      <c r="AF1364" s="31" t="inlineStr">
        <is>
          <t>Surface-blended Elo model; singles only, WTA+ATP market coverage, not yet locked-holdout qualified -- promoted by explicit operator directive, not genuine walk-forward validation.</t>
        </is>
      </c>
      <c r="AG1364" s="24" t="inlineStr">
        <is>
          <t>review_required</t>
        </is>
      </c>
      <c r="AH1364" s="24" t="n"/>
      <c r="AI1364" s="31" t="n"/>
      <c r="AJ1364" s="31" t="n"/>
      <c r="AK1364" s="24" t="inlineStr">
        <is>
          <t>model_qualified</t>
        </is>
      </c>
      <c r="AL1364" s="26" t="n">
        <v>4</v>
      </c>
      <c r="AM1364" s="24" t="inlineStr">
        <is>
          <t>QUALIFIED_SHADOW_CALL</t>
        </is>
      </c>
      <c r="AN1364" s="24" t="inlineStr">
        <is>
          <t>CALL</t>
        </is>
      </c>
      <c r="AO1364" s="24" t="inlineStr">
        <is>
          <t>QUALIFIED</t>
        </is>
      </c>
      <c r="AP1364" s="24" t="inlineStr">
        <is>
          <t>Sorana Cirstea</t>
        </is>
      </c>
      <c r="AQ1364" s="24" t="inlineStr">
        <is>
          <t>Sorana Cirstea</t>
        </is>
      </c>
      <c r="AR1364" s="24" t="inlineStr">
        <is>
          <t>Sorana Cirstea</t>
        </is>
      </c>
      <c r="AS1364" s="24" t="inlineStr">
        <is>
          <t>Guo Hanyu</t>
        </is>
      </c>
      <c r="AT1364" s="24" t="inlineStr">
        <is>
          <t>Guo Hanyu</t>
        </is>
      </c>
      <c r="AU1364" s="24" t="inlineStr">
        <is>
          <t>Guo Hanyu</t>
        </is>
      </c>
      <c r="AV1364" s="24" t="n"/>
      <c r="AW1364" s="24" t="n"/>
      <c r="AX1364" s="24" t="inlineStr">
        <is>
          <t>statistical_model</t>
        </is>
      </c>
      <c r="AY1364" s="24" t="n"/>
      <c r="AZ1364" s="24" t="inlineStr">
        <is>
          <t>shadow_qualified</t>
        </is>
      </c>
      <c r="BA1364" s="24" t="inlineStr">
        <is>
          <t>7443acc419841200d57e1edf36b77f1940cdd0c48dce3d43fcd05498a109440b</t>
        </is>
      </c>
      <c r="BB1364" s="24" t="inlineStr">
        <is>
          <t>learned_v3</t>
        </is>
      </c>
      <c r="BC1364" s="24" t="inlineStr">
        <is>
          <t>tennis-learned-v3</t>
        </is>
      </c>
      <c r="BD1364" s="24" t="inlineStr">
        <is>
          <t>7443acc419841200d57e1edf36b77f1940cdd0c48dce3d43fcd05498a109440b</t>
        </is>
      </c>
      <c r="BE1364" s="24" t="inlineStr">
        <is>
          <t>tennis-learned-v3</t>
        </is>
      </c>
      <c r="BF1364" s="24" t="inlineStr">
        <is>
          <t>1</t>
        </is>
      </c>
      <c r="BG1364" s="24" t="inlineStr">
        <is>
          <t>7443acc419841200d57e1edf36b77f1940cdd0c48dce3d43fcd05498a109440b</t>
        </is>
      </c>
      <c r="BH1364" s="24" t="inlineStr">
        <is>
          <t>2026-10-12T10:28:52.867624Z</t>
        </is>
      </c>
      <c r="BI1364" s="24" t="inlineStr">
        <is>
          <t>["same_event","same_team_same_day","same_league_same_day"]</t>
        </is>
      </c>
      <c r="BJ1364" s="25" t="n">
        <v>17.5</v>
      </c>
      <c r="BK1364" s="26" t="n">
        <v>-122</v>
      </c>
      <c r="BL1364" s="27" t="n">
        <v>1.819672</v>
      </c>
      <c r="BM1364" s="28" t="n">
        <v>0.54955</v>
      </c>
      <c r="BN1364" s="28" t="n"/>
      <c r="BO1364" s="28" t="n"/>
      <c r="BP1364" s="25" t="n"/>
      <c r="BQ1364" s="27" t="n"/>
      <c r="BR1364" s="28" t="n"/>
      <c r="BS1364" s="28" t="n"/>
      <c r="BT1364" s="28" t="n"/>
      <c r="BU1364" s="25" t="n"/>
      <c r="BV1364" s="29" t="n"/>
      <c r="BW1364" s="24" t="n"/>
      <c r="BX1364" s="30" t="n"/>
      <c r="BY1364" s="27" t="n"/>
      <c r="BZ1364" s="24" t="n"/>
      <c r="CA1364" s="31" t="n"/>
      <c r="CB1364" s="24" t="n"/>
      <c r="CC1364" s="24" t="n"/>
      <c r="CD1364" s="24" t="n"/>
      <c r="CE1364" s="24" t="n"/>
      <c r="CF1364" s="24" t="n"/>
      <c r="CG1364" s="24" t="n"/>
      <c r="CH1364" s="24" t="n"/>
      <c r="CI1364" s="24" t="n"/>
      <c r="CJ1364" s="24" t="n"/>
      <c r="CK1364" s="24" t="n"/>
      <c r="CL1364" s="24" t="n"/>
      <c r="CM1364" s="24" t="n"/>
      <c r="CN1364" s="24" t="n"/>
      <c r="CO1364" s="24" t="n"/>
      <c r="CP1364" s="24" t="n"/>
      <c r="CQ1364" s="24" t="n"/>
      <c r="CR1364" s="24" t="n"/>
      <c r="CS1364" s="24" t="inlineStr">
        <is>
          <t>True</t>
        </is>
      </c>
      <c r="CT1364" s="24" t="n"/>
      <c r="CU1364" s="24" t="n"/>
      <c r="CV1364" s="24" t="n"/>
      <c r="CW1364" s="24" t="n"/>
      <c r="CX1364" s="24" t="n"/>
      <c r="CY1364" s="24" t="n"/>
      <c r="CZ1364" s="24" t="n"/>
      <c r="DA1364" s="24" t="n"/>
      <c r="DB1364" s="24" t="n"/>
      <c r="DC1364" s="24" t="n"/>
      <c r="DD1364" s="24" t="inlineStr">
        <is>
          <t>6f3e051efef4aa0267b43b8a3f7afb5d01e503ab32d1b081781e6081dfe2bd58</t>
        </is>
      </c>
      <c r="DE1364" s="24" t="inlineStr">
        <is>
          <t>E:\model-prediction\data\odds\tennis\2026-10-12\polymarket_snapshots.jsonl</t>
        </is>
      </c>
      <c r="DF1364" s="24" t="inlineStr">
        <is>
          <t>1353911:2026-10-12T10:28:52.867624Z</t>
        </is>
      </c>
      <c r="DG1364" s="24" t="n"/>
      <c r="DH1364" s="24" t="n"/>
      <c r="DI1364" s="24" t="n"/>
      <c r="DJ1364" s="24" t="n"/>
      <c r="DK1364" s="24" t="n"/>
      <c r="DL1364" s="24" t="n"/>
      <c r="DM1364" s="24" t="n"/>
      <c r="DN1364" s="24" t="n"/>
      <c r="DO1364" s="24" t="n"/>
      <c r="DP1364" s="24" t="n"/>
      <c r="DQ1364" s="24" t="n"/>
    </row>
    <row r="1365" ht="36" customHeight="1">
      <c r="A1365" s="24" t="inlineStr">
        <is>
          <t>ed8a2c52b3254bc2</t>
        </is>
      </c>
      <c r="B1365" s="24" t="inlineStr">
        <is>
          <t>2026-10-12T22:26:15.686728Z</t>
        </is>
      </c>
      <c r="C1365" s="24" t="inlineStr">
        <is>
          <t>2026-10-13T04:30Z</t>
        </is>
      </c>
      <c r="D1365" s="24" t="inlineStr">
        <is>
          <t>381-2026:185320</t>
        </is>
      </c>
      <c r="E1365" s="24" t="inlineStr">
        <is>
          <t>TENNIS</t>
        </is>
      </c>
      <c r="F1365" s="24" t="inlineStr">
        <is>
          <t>Sorana Cirstea</t>
        </is>
      </c>
      <c r="G1365" s="24" t="inlineStr">
        <is>
          <t>Guo Hanyu</t>
        </is>
      </c>
      <c r="H1365" s="24" t="inlineStr">
        <is>
          <t>moneyline</t>
        </is>
      </c>
      <c r="I1365" s="24" t="inlineStr">
        <is>
          <t>away</t>
        </is>
      </c>
      <c r="J1365" s="25" t="n"/>
      <c r="K1365" s="24" t="inlineStr">
        <is>
          <t>polymarket_us</t>
        </is>
      </c>
      <c r="L1365" s="26" t="n">
        <v>-733</v>
      </c>
      <c r="M1365" s="27" t="n">
        <v>1.136426</v>
      </c>
      <c r="N1365" s="28" t="n">
        <v>0.879952</v>
      </c>
      <c r="O1365" s="28" t="n">
        <v>0.8751</v>
      </c>
      <c r="P1365" s="28" t="n">
        <v>0.05</v>
      </c>
      <c r="Q1365" s="28" t="n">
        <v>-0.004852</v>
      </c>
      <c r="R1365" s="26" t="n">
        <v>18</v>
      </c>
      <c r="S1365" s="29" t="n">
        <v>1</v>
      </c>
      <c r="T1365" s="24" t="inlineStr">
        <is>
          <t>tennis-learned-v3</t>
        </is>
      </c>
      <c r="U1365" s="24" t="inlineStr">
        <is>
          <t>settled</t>
        </is>
      </c>
      <c r="V1365" s="24" t="inlineStr">
        <is>
          <t>loss</t>
        </is>
      </c>
      <c r="W1365" s="26" t="n">
        <v>0</v>
      </c>
      <c r="X1365" s="26" t="n">
        <v>1</v>
      </c>
      <c r="Y1365" s="25" t="n"/>
      <c r="Z1365" s="26" t="n">
        <v>-733</v>
      </c>
      <c r="AA1365" s="28" t="n">
        <v>0.88</v>
      </c>
      <c r="AB1365" s="28" t="n">
        <v>4.8e-05</v>
      </c>
      <c r="AC1365" s="30" t="n">
        <v>-1</v>
      </c>
      <c r="AD1365" s="24" t="inlineStr">
        <is>
          <t>2026-10-13T10:05:16.424786Z</t>
        </is>
      </c>
      <c r="AE1365" s="31" t="inlineStr">
        <is>
          <t>Tennis v3 Learned Fundamental on Hard (Bo3): Sorana Cirstea p=0.875 vs Guo Hanyu. Executable ask 0.8800 (aec-wta-hanguo-sorcir-2026-10-11).</t>
        </is>
      </c>
      <c r="AF1365" s="31" t="inlineStr">
        <is>
          <t>Surface-blended Elo model; singles only, WTA+ATP market coverage, not yet locked-holdout qualified -- promoted by explicit operator directive, not genuine walk-forward validation.</t>
        </is>
      </c>
      <c r="AG1365" s="24" t="inlineStr">
        <is>
          <t>review_required</t>
        </is>
      </c>
      <c r="AH1365" s="24" t="n"/>
      <c r="AI1365" s="31" t="n"/>
      <c r="AJ1365" s="31" t="n"/>
      <c r="AK1365" s="24" t="inlineStr">
        <is>
          <t>paper_call</t>
        </is>
      </c>
      <c r="AL1365" s="26" t="n">
        <v>4</v>
      </c>
      <c r="AM1365" s="24" t="inlineStr">
        <is>
          <t>RESEARCH_OBSERVATION</t>
        </is>
      </c>
      <c r="AN1365" s="24" t="inlineStr">
        <is>
          <t>CALL</t>
        </is>
      </c>
      <c r="AO1365" s="24" t="inlineStr">
        <is>
          <t>PAPER_CALL_LOW_EDGE</t>
        </is>
      </c>
      <c r="AP1365" s="24" t="inlineStr">
        <is>
          <t>Sorana Cirstea</t>
        </is>
      </c>
      <c r="AQ1365" s="24" t="inlineStr">
        <is>
          <t>Sorana Cirstea</t>
        </is>
      </c>
      <c r="AR1365" s="24" t="inlineStr">
        <is>
          <t>Sorana Cirstea</t>
        </is>
      </c>
      <c r="AS1365" s="24" t="inlineStr">
        <is>
          <t>Guo Hanyu</t>
        </is>
      </c>
      <c r="AT1365" s="24" t="inlineStr">
        <is>
          <t>Guo Hanyu</t>
        </is>
      </c>
      <c r="AU1365" s="24" t="inlineStr">
        <is>
          <t>Guo Hanyu</t>
        </is>
      </c>
      <c r="AV1365" s="24" t="n"/>
      <c r="AW1365" s="24" t="n"/>
      <c r="AX1365" s="24" t="inlineStr">
        <is>
          <t>statistical_model</t>
        </is>
      </c>
      <c r="AY1365" s="24" t="n"/>
      <c r="AZ1365" s="24" t="inlineStr">
        <is>
          <t>shadow_qualified</t>
        </is>
      </c>
      <c r="BA1365" s="24" t="inlineStr">
        <is>
          <t>7443acc419841200d57e1edf36b77f1940cdd0c48dce3d43fcd05498a109440b</t>
        </is>
      </c>
      <c r="BB1365" s="24" t="inlineStr">
        <is>
          <t>learned_v3</t>
        </is>
      </c>
      <c r="BC1365" s="24" t="inlineStr">
        <is>
          <t>tennis-learned-v3</t>
        </is>
      </c>
      <c r="BD1365" s="24" t="inlineStr">
        <is>
          <t>7443acc419841200d57e1edf36b77f1940cdd0c48dce3d43fcd05498a109440b</t>
        </is>
      </c>
      <c r="BE1365" s="24" t="inlineStr">
        <is>
          <t>tennis-learned-v3</t>
        </is>
      </c>
      <c r="BF1365" s="24" t="inlineStr">
        <is>
          <t>1</t>
        </is>
      </c>
      <c r="BG1365" s="24" t="inlineStr">
        <is>
          <t>7443acc419841200d57e1edf36b77f1940cdd0c48dce3d43fcd05498a109440b</t>
        </is>
      </c>
      <c r="BH1365" s="24" t="inlineStr">
        <is>
          <t>2026-10-12T10:28:52.877891Z</t>
        </is>
      </c>
      <c r="BI1365" s="24" t="inlineStr">
        <is>
          <t>["same_event","same_team_same_day","same_league_same_day"]</t>
        </is>
      </c>
      <c r="BJ1365" s="25" t="n"/>
      <c r="BK1365" s="26" t="n">
        <v>-733</v>
      </c>
      <c r="BL1365" s="27" t="n">
        <v>1.136426</v>
      </c>
      <c r="BM1365" s="28" t="n">
        <v>0.879952</v>
      </c>
      <c r="BN1365" s="28" t="n"/>
      <c r="BO1365" s="28" t="n"/>
      <c r="BP1365" s="25" t="n"/>
      <c r="BQ1365" s="27" t="n">
        <v>1.136426</v>
      </c>
      <c r="BR1365" s="28" t="n">
        <v>0.88</v>
      </c>
      <c r="BS1365" s="28" t="n"/>
      <c r="BT1365" s="28" t="n"/>
      <c r="BU1365" s="25" t="n"/>
      <c r="BV1365" s="29" t="n"/>
      <c r="BW1365" s="24" t="n"/>
      <c r="BX1365" s="30" t="n"/>
      <c r="BY1365" s="27" t="n"/>
      <c r="BZ1365" s="24" t="n"/>
      <c r="CA1365" s="31" t="n"/>
      <c r="CB1365" s="24" t="n"/>
      <c r="CC1365" s="24" t="n"/>
      <c r="CD1365" s="24" t="n"/>
      <c r="CE1365" s="24" t="n"/>
      <c r="CF1365" s="24" t="n"/>
      <c r="CG1365" s="24" t="n"/>
      <c r="CH1365" s="24" t="n"/>
      <c r="CI1365" s="24" t="n"/>
      <c r="CJ1365" s="24" t="n"/>
      <c r="CK1365" s="24" t="n"/>
      <c r="CL1365" s="24" t="n"/>
      <c r="CM1365" s="24" t="n"/>
      <c r="CN1365" s="24" t="n"/>
      <c r="CO1365" s="24" t="n"/>
      <c r="CP1365" s="24" t="n"/>
      <c r="CQ1365" s="24" t="n"/>
      <c r="CR1365" s="24" t="n"/>
      <c r="CS1365" s="24" t="inlineStr">
        <is>
          <t>False</t>
        </is>
      </c>
      <c r="CT1365" s="24" t="n"/>
      <c r="CU1365" s="24" t="n"/>
      <c r="CV1365" s="24" t="n"/>
      <c r="CW1365" s="24" t="n"/>
      <c r="CX1365" s="24" t="n"/>
      <c r="CY1365" s="24" t="n"/>
      <c r="CZ1365" s="24" t="n"/>
      <c r="DA1365" s="24" t="n"/>
      <c r="DB1365" s="24" t="n"/>
      <c r="DC1365" s="24" t="n"/>
      <c r="DD1365" s="24" t="inlineStr">
        <is>
          <t>4e0723667c65c2e8ab656f0a78019d0b9c735e226420504ab5d5cb7c76ff595d</t>
        </is>
      </c>
      <c r="DE1365" s="24" t="inlineStr">
        <is>
          <t>E:\model-prediction\data\odds\tennis\2026-10-12\polymarket_snapshots.jsonl</t>
        </is>
      </c>
      <c r="DF1365" s="24" t="inlineStr">
        <is>
          <t>1333565:2026-10-12T10:28:52.877891Z</t>
        </is>
      </c>
      <c r="DG1365" s="24" t="n"/>
      <c r="DH1365" s="24" t="n"/>
      <c r="DI1365" s="24" t="n"/>
      <c r="DJ1365" s="24" t="n"/>
      <c r="DK1365" s="24" t="n"/>
      <c r="DL1365" s="24" t="n"/>
      <c r="DM1365" s="24" t="n"/>
      <c r="DN1365" s="24" t="n"/>
      <c r="DO1365" s="24" t="n"/>
      <c r="DP1365" s="24" t="n"/>
      <c r="DQ1365" s="24" t="inlineStr">
        <is>
          <t>{"artifact_hash": "7443acc419841200d57e1edf36b77f1940cdd0c48dce3d43fcd05498a109440b", "away_team": "Sorana Cirstea", "event_id": "381-2026:185320", "event_start_utc": "2026-10-13T04:30Z", "features": {"elo_p1_surface": 1725.9, "elo_p2_surface": 1491.5, "expected_games_p1": 12.12, "expected_games_p2": 3.23, "expected_total_games": 15.35, "history_matches": 16708, "min_player_matches": 41, "surface": "Hard"}, "historical_source_observation_times_verified": false, "home_team": "Guo Hanyu", "inference_inputs": {"best_of": 3, "code_sha256": {"features/elo_ratings.py": "d6513e79d65448c06cc0f9b9eed0eaa091567835128e1f6647a310da8d78a872", "models/tennis.py": "7443acc419841200d57e1edf36b77f1940cdd0c48dce3d43fcd05498a109440b"}, "counts": [132, 41], "market_probability": null, "model_version": "tennis-learned-v3", "overall_ratings": [1836.891673511952, 1505.6216099257297], "p_serve_a": 0.7309365974293824, "p_serve_b": 0.45, "players": ["Sorana Cirstea", "Guo Hanyu"], "rest_days": [36.0, 7.0], "sport": "TENNIS", "surface": "Hard", "surface_counts": [106, 36], "surface_ratings": [1725.908674249948, 1491.463627260353], "tour": "WTA"}, "market_type": "moneyline", "model_version": "tennis-learned-v3", "observed_at_utc": "2026-10-12T22:26:12.584235+00:00", "probabilities": {"away": 0.8751, "home": 0.1249}, "replay_scope": "Exact full-precision serving state and rounding; upstream historical observation times are not certified.", "schema": "coded-moneyline-replay-v1", "snapshot_hash": "b641514978e41efcd1897ada911a459cd65a139672e8697d68ab1833f25251df", "sport": "TENNIS"}</t>
        </is>
      </c>
    </row>
    <row r="1366" ht="36" customHeight="1">
      <c r="A1366" s="24" t="inlineStr">
        <is>
          <t>76cec708b45e4cee</t>
        </is>
      </c>
      <c r="B1366" s="24" t="inlineStr">
        <is>
          <t>2026-10-12T22:26:15.686728Z</t>
        </is>
      </c>
      <c r="C1366" s="24" t="inlineStr">
        <is>
          <t>2026-10-13T04:30Z</t>
        </is>
      </c>
      <c r="D1366" s="24" t="inlineStr">
        <is>
          <t>381-2026:185323</t>
        </is>
      </c>
      <c r="E1366" s="24" t="inlineStr">
        <is>
          <t>TENNIS</t>
        </is>
      </c>
      <c r="F1366" s="24" t="inlineStr">
        <is>
          <t>Zeynep Sonmez</t>
        </is>
      </c>
      <c r="G1366" s="24" t="inlineStr">
        <is>
          <t>Yulia Putintseva</t>
        </is>
      </c>
      <c r="H1366" s="24" t="inlineStr">
        <is>
          <t>moneyline</t>
        </is>
      </c>
      <c r="I1366" s="24" t="inlineStr">
        <is>
          <t>away</t>
        </is>
      </c>
      <c r="J1366" s="25" t="n"/>
      <c r="K1366" s="24" t="inlineStr">
        <is>
          <t>polymarket_us</t>
        </is>
      </c>
      <c r="L1366" s="26" t="n">
        <v>108</v>
      </c>
      <c r="M1366" s="27" t="n">
        <v>2.08</v>
      </c>
      <c r="N1366" s="28" t="n">
        <v>0.480769</v>
      </c>
      <c r="O1366" s="28" t="n">
        <v>0.5294</v>
      </c>
      <c r="P1366" s="28" t="n">
        <v>0.05</v>
      </c>
      <c r="Q1366" s="28" t="n">
        <v>0.048631</v>
      </c>
      <c r="R1366" s="26" t="n">
        <v>44</v>
      </c>
      <c r="S1366" s="29" t="n">
        <v>1</v>
      </c>
      <c r="T1366" s="24" t="inlineStr">
        <is>
          <t>tennis-learned-v3</t>
        </is>
      </c>
      <c r="U1366" s="24" t="inlineStr">
        <is>
          <t>settled</t>
        </is>
      </c>
      <c r="V1366" s="24" t="inlineStr">
        <is>
          <t>loss</t>
        </is>
      </c>
      <c r="W1366" s="26" t="n">
        <v>0</v>
      </c>
      <c r="X1366" s="26" t="n">
        <v>1</v>
      </c>
      <c r="Y1366" s="25" t="n"/>
      <c r="Z1366" s="26" t="n">
        <v>108</v>
      </c>
      <c r="AA1366" s="28" t="n">
        <v>0.48</v>
      </c>
      <c r="AB1366" s="28" t="n">
        <v>-0.000769</v>
      </c>
      <c r="AC1366" s="30" t="n">
        <v>-1</v>
      </c>
      <c r="AD1366" s="24" t="inlineStr">
        <is>
          <t>2026-10-13T10:05:23.497254Z</t>
        </is>
      </c>
      <c r="AE1366" s="31" t="inlineStr">
        <is>
          <t>Tennis v3 Learned Fundamental on Hard (Bo3): Zeynep Sonmez p=0.529 vs Yulia Putintseva. Executable ask 0.4800 (aec-wta-yulput-zeyson-2026-10-11).</t>
        </is>
      </c>
      <c r="AF1366" s="31" t="inlineStr">
        <is>
          <t>Surface-blended Elo model; singles only, WTA+ATP market coverage, not yet locked-holdout qualified -- promoted by explicit operator directive, not genuine walk-forward validation.</t>
        </is>
      </c>
      <c r="AG1366" s="24" t="inlineStr">
        <is>
          <t>review_required</t>
        </is>
      </c>
      <c r="AH1366" s="24" t="n"/>
      <c r="AI1366" s="31" t="n"/>
      <c r="AJ1366" s="31" t="n"/>
      <c r="AK1366" s="24" t="inlineStr">
        <is>
          <t>paper_call</t>
        </is>
      </c>
      <c r="AL1366" s="26" t="n">
        <v>4</v>
      </c>
      <c r="AM1366" s="24" t="inlineStr">
        <is>
          <t>RESEARCH_OBSERVATION</t>
        </is>
      </c>
      <c r="AN1366" s="24" t="inlineStr">
        <is>
          <t>CALL</t>
        </is>
      </c>
      <c r="AO1366" s="24" t="inlineStr">
        <is>
          <t>PAPER_CALL_LOW_EDGE</t>
        </is>
      </c>
      <c r="AP1366" s="24" t="inlineStr">
        <is>
          <t>Zeynep Sonmez</t>
        </is>
      </c>
      <c r="AQ1366" s="24" t="inlineStr">
        <is>
          <t>Zeynep Sonmez</t>
        </is>
      </c>
      <c r="AR1366" s="24" t="inlineStr">
        <is>
          <t>Zeynep Sonmez</t>
        </is>
      </c>
      <c r="AS1366" s="24" t="inlineStr">
        <is>
          <t>Yulia Putintseva</t>
        </is>
      </c>
      <c r="AT1366" s="24" t="inlineStr">
        <is>
          <t>Yulia Putintseva</t>
        </is>
      </c>
      <c r="AU1366" s="24" t="inlineStr">
        <is>
          <t>Yulia Putintseva</t>
        </is>
      </c>
      <c r="AV1366" s="24" t="n"/>
      <c r="AW1366" s="24" t="n"/>
      <c r="AX1366" s="24" t="inlineStr">
        <is>
          <t>statistical_model</t>
        </is>
      </c>
      <c r="AY1366" s="24" t="n"/>
      <c r="AZ1366" s="24" t="inlineStr">
        <is>
          <t>shadow_qualified</t>
        </is>
      </c>
      <c r="BA1366" s="24" t="inlineStr">
        <is>
          <t>7443acc419841200d57e1edf36b77f1940cdd0c48dce3d43fcd05498a109440b</t>
        </is>
      </c>
      <c r="BB1366" s="24" t="inlineStr">
        <is>
          <t>learned_v3</t>
        </is>
      </c>
      <c r="BC1366" s="24" t="inlineStr">
        <is>
          <t>tennis-learned-v3</t>
        </is>
      </c>
      <c r="BD1366" s="24" t="inlineStr">
        <is>
          <t>7443acc419841200d57e1edf36b77f1940cdd0c48dce3d43fcd05498a109440b</t>
        </is>
      </c>
      <c r="BE1366" s="24" t="inlineStr">
        <is>
          <t>tennis-learned-v3</t>
        </is>
      </c>
      <c r="BF1366" s="24" t="inlineStr">
        <is>
          <t>1</t>
        </is>
      </c>
      <c r="BG1366" s="24" t="inlineStr">
        <is>
          <t>7443acc419841200d57e1edf36b77f1940cdd0c48dce3d43fcd05498a109440b</t>
        </is>
      </c>
      <c r="BH1366" s="24" t="inlineStr">
        <is>
          <t>2026-10-12T05:05:35.868597Z</t>
        </is>
      </c>
      <c r="BI1366" s="24" t="inlineStr">
        <is>
          <t>["same_event","same_team_same_day","same_league_same_day"]</t>
        </is>
      </c>
      <c r="BJ1366" s="25" t="n"/>
      <c r="BK1366" s="26" t="n">
        <v>108</v>
      </c>
      <c r="BL1366" s="27" t="n">
        <v>2.08</v>
      </c>
      <c r="BM1366" s="28" t="n">
        <v>0.480769</v>
      </c>
      <c r="BN1366" s="28" t="n"/>
      <c r="BO1366" s="28" t="n"/>
      <c r="BP1366" s="25" t="n"/>
      <c r="BQ1366" s="27" t="n">
        <v>2.08</v>
      </c>
      <c r="BR1366" s="28" t="n">
        <v>0.48</v>
      </c>
      <c r="BS1366" s="28" t="n"/>
      <c r="BT1366" s="28" t="n"/>
      <c r="BU1366" s="25" t="n"/>
      <c r="BV1366" s="29" t="n"/>
      <c r="BW1366" s="24" t="n"/>
      <c r="BX1366" s="30" t="n"/>
      <c r="BY1366" s="27" t="n"/>
      <c r="BZ1366" s="24" t="n"/>
      <c r="CA1366" s="31" t="n"/>
      <c r="CB1366" s="24" t="n"/>
      <c r="CC1366" s="24" t="n"/>
      <c r="CD1366" s="24" t="n"/>
      <c r="CE1366" s="24" t="n"/>
      <c r="CF1366" s="24" t="n"/>
      <c r="CG1366" s="24" t="n"/>
      <c r="CH1366" s="24" t="n"/>
      <c r="CI1366" s="24" t="n"/>
      <c r="CJ1366" s="24" t="n"/>
      <c r="CK1366" s="24" t="n"/>
      <c r="CL1366" s="24" t="n"/>
      <c r="CM1366" s="24" t="n"/>
      <c r="CN1366" s="24" t="n"/>
      <c r="CO1366" s="24" t="n"/>
      <c r="CP1366" s="24" t="n"/>
      <c r="CQ1366" s="24" t="n"/>
      <c r="CR1366" s="24" t="n"/>
      <c r="CS1366" s="24" t="inlineStr">
        <is>
          <t>True</t>
        </is>
      </c>
      <c r="CT1366" s="24" t="n"/>
      <c r="CU1366" s="24" t="n"/>
      <c r="CV1366" s="24" t="n"/>
      <c r="CW1366" s="24" t="n"/>
      <c r="CX1366" s="24" t="n"/>
      <c r="CY1366" s="24" t="n"/>
      <c r="CZ1366" s="24" t="n"/>
      <c r="DA1366" s="24" t="n"/>
      <c r="DB1366" s="24" t="n"/>
      <c r="DC1366" s="24" t="n"/>
      <c r="DD1366" s="24" t="inlineStr">
        <is>
          <t>5679a0bc53bb5a696a6e2be50f13f69ca57ee92fff99998ad658d1ba1b30797a</t>
        </is>
      </c>
      <c r="DE1366" s="24" t="inlineStr">
        <is>
          <t>E:\model-prediction\data\odds\tennis\2026-10-12\polymarket_snapshots.jsonl</t>
        </is>
      </c>
      <c r="DF1366" s="24" t="inlineStr">
        <is>
          <t>1364413:2026-10-12T05:05:35.868597Z</t>
        </is>
      </c>
      <c r="DG1366" s="24" t="n"/>
      <c r="DH1366" s="24" t="n"/>
      <c r="DI1366" s="24" t="n"/>
      <c r="DJ1366" s="24" t="n"/>
      <c r="DK1366" s="24" t="n"/>
      <c r="DL1366" s="24" t="n"/>
      <c r="DM1366" s="24" t="n"/>
      <c r="DN1366" s="24" t="n"/>
      <c r="DO1366" s="24" t="n"/>
      <c r="DP1366" s="24" t="n"/>
      <c r="DQ1366" s="24" t="inlineStr">
        <is>
          <t>{"artifact_hash": "7443acc419841200d57e1edf36b77f1940cdd0c48dce3d43fcd05498a109440b", "away_team": "Zeynep Sonmez", "event_id": "381-2026:185323", "event_start_utc": "2026-10-13T04:30Z", "features": {"elo_p1_surface": 1610.3, "elo_p2_surface": 1618.3, "expected_games_p1": 12.95, "expected_games_p2": 11.69, "expected_total_games": 24.64, "history_matches": 16708, "min_player_matches": 155, "surface": "Hard"}, "historical_source_observation_times_verified": false, "home_team": "Yulia Putintseva", "inference_inputs": {"best_of": 3, "code_sha256": {"features/elo_ratings.py": "d6513e79d65448c06cc0f9b9eed0eaa091567835128e1f6647a310da8d78a872", "models/tennis.py": "7443acc419841200d57e1edf36b77f1940cdd0c48dce3d43fcd05498a109440b"}, "counts": [155, 158], "market_probability": null, "model_version": "tennis-learned-v3", "overall_ratings": [1689.9548570593488, 1652.00110534277], "p_serve_a": 0.5985201588207331, "p_serve_b": 0.5814798411792669, "players": ["Zeynep Sonmez", "Yulia Putintseva"], "rest_days": [2.0, 2.0], "sport": "TENNIS", "surface": "Hard", "surface_counts": [111, 119], "surface_ratings": [1610.3086966473945, 1618.2724395641796], "tour": "WTA"}, "market_type": "moneyline", "model_version": "tennis-learned-v3", "observed_at_utc": "2026-10-12T22:26:12.584235+00:00", "probabilities": {"away": 0.5294, "home": 0.4706}, "replay_scope": "Exact full-precision serving state and rounding; upstream historical observation times are not certified.", "schema": "coded-moneyline-replay-v1", "snapshot_hash": "47b82144e724d87115b27e8d4f951324b027eedbc6c890127ff8faccb7dfafcd", "sport": "TENNIS"}</t>
        </is>
      </c>
    </row>
    <row r="1367" ht="36" customHeight="1">
      <c r="A1367" s="24" t="inlineStr">
        <is>
          <t>cc0b223fd9374c7b</t>
        </is>
      </c>
      <c r="B1367" s="24" t="inlineStr">
        <is>
          <t>2026-10-12T22:26:15.686728Z</t>
        </is>
      </c>
      <c r="C1367" s="24" t="inlineStr">
        <is>
          <t>2026-10-13T04:30Z</t>
        </is>
      </c>
      <c r="D1367" s="24" t="inlineStr">
        <is>
          <t>381-2026:185324</t>
        </is>
      </c>
      <c r="E1367" s="24" t="inlineStr">
        <is>
          <t>TENNIS</t>
        </is>
      </c>
      <c r="F1367" s="24" t="inlineStr">
        <is>
          <t>Diana Shnaider</t>
        </is>
      </c>
      <c r="G1367" s="24" t="inlineStr">
        <is>
          <t>Katie Boulter</t>
        </is>
      </c>
      <c r="H1367" s="24" t="inlineStr">
        <is>
          <t>spread</t>
        </is>
      </c>
      <c r="I1367" s="24" t="inlineStr">
        <is>
          <t>away</t>
        </is>
      </c>
      <c r="J1367" s="25" t="n">
        <v>-7.5</v>
      </c>
      <c r="K1367" s="24" t="inlineStr">
        <is>
          <t>polymarket_us</t>
        </is>
      </c>
      <c r="L1367" s="26" t="n">
        <v>300</v>
      </c>
      <c r="M1367" s="27" t="n">
        <v>4</v>
      </c>
      <c r="N1367" s="28" t="n">
        <v>0.25</v>
      </c>
      <c r="O1367" s="28" t="n">
        <v>0.9981</v>
      </c>
      <c r="P1367" s="28" t="n">
        <v>0.05</v>
      </c>
      <c r="Q1367" s="28" t="n">
        <v>0.7481</v>
      </c>
      <c r="R1367" s="26" t="n">
        <v>100</v>
      </c>
      <c r="S1367" s="29" t="n">
        <v>2</v>
      </c>
      <c r="T1367" s="24" t="inlineStr">
        <is>
          <t>tennis-learned-v3</t>
        </is>
      </c>
      <c r="U1367" s="24" t="inlineStr">
        <is>
          <t>settled</t>
        </is>
      </c>
      <c r="V1367" s="24" t="inlineStr">
        <is>
          <t>win</t>
        </is>
      </c>
      <c r="W1367" s="26" t="n">
        <v>12</v>
      </c>
      <c r="X1367" s="26" t="n">
        <v>4</v>
      </c>
      <c r="Y1367" s="25" t="n"/>
      <c r="Z1367" s="26" t="n"/>
      <c r="AA1367" s="28" t="n"/>
      <c r="AB1367" s="28" t="n"/>
      <c r="AC1367" s="30" t="n">
        <v>6</v>
      </c>
      <c r="AD1367" s="24" t="inlineStr">
        <is>
          <t>2026-10-13T10:05:30.403204Z</t>
        </is>
      </c>
      <c r="AE1367" s="31" t="inlineStr">
        <is>
          <t>Tennis Markov game spread -7.5 games: away cover p=0.998. Executable ask 0.2500 (asc-wta-katbou-diashn-2026-10-11-gs-neg-7pt5).</t>
        </is>
      </c>
      <c r="AF1367" s="31" t="inlineStr">
        <is>
          <t>Surface-blended Elo model; singles only, WTA+ATP market coverage, not yet locked-holdout qualified -- promoted by explicit operator directive, not genuine walk-forward validation.</t>
        </is>
      </c>
      <c r="AG1367" s="24" t="inlineStr">
        <is>
          <t>not_applicable</t>
        </is>
      </c>
      <c r="AH1367" s="24" t="n"/>
      <c r="AI1367" s="31" t="n"/>
      <c r="AJ1367" s="31" t="n"/>
      <c r="AK1367" s="24" t="inlineStr">
        <is>
          <t>paper_call</t>
        </is>
      </c>
      <c r="AL1367" s="26" t="n">
        <v>4</v>
      </c>
      <c r="AM1367" s="24" t="inlineStr">
        <is>
          <t>RESEARCH_OBSERVATION</t>
        </is>
      </c>
      <c r="AN1367" s="24" t="inlineStr">
        <is>
          <t>CALL</t>
        </is>
      </c>
      <c r="AO1367" s="24" t="inlineStr">
        <is>
          <t>PAPER_CALL_STALE_DATA</t>
        </is>
      </c>
      <c r="AP1367" s="24" t="inlineStr">
        <is>
          <t>Diana Shnaider</t>
        </is>
      </c>
      <c r="AQ1367" s="24" t="inlineStr">
        <is>
          <t>Diana Shnaider</t>
        </is>
      </c>
      <c r="AR1367" s="24" t="inlineStr">
        <is>
          <t>Diana Shnaider</t>
        </is>
      </c>
      <c r="AS1367" s="24" t="inlineStr">
        <is>
          <t>Katie Boulter</t>
        </is>
      </c>
      <c r="AT1367" s="24" t="inlineStr">
        <is>
          <t>Katie Boulter</t>
        </is>
      </c>
      <c r="AU1367" s="24" t="inlineStr">
        <is>
          <t>Katie Boulter</t>
        </is>
      </c>
      <c r="AV1367" s="24" t="n"/>
      <c r="AW1367" s="24" t="n"/>
      <c r="AX1367" s="24" t="inlineStr">
        <is>
          <t>statistical_model</t>
        </is>
      </c>
      <c r="AY1367" s="24" t="n"/>
      <c r="AZ1367" s="24" t="inlineStr">
        <is>
          <t>shadow_qualified</t>
        </is>
      </c>
      <c r="BA1367" s="24" t="inlineStr">
        <is>
          <t>7443acc419841200d57e1edf36b77f1940cdd0c48dce3d43fcd05498a109440b</t>
        </is>
      </c>
      <c r="BB1367" s="24" t="inlineStr">
        <is>
          <t>learned_v3</t>
        </is>
      </c>
      <c r="BC1367" s="24" t="inlineStr">
        <is>
          <t>tennis-learned-v3</t>
        </is>
      </c>
      <c r="BD1367" s="24" t="inlineStr">
        <is>
          <t>7443acc419841200d57e1edf36b77f1940cdd0c48dce3d43fcd05498a109440b</t>
        </is>
      </c>
      <c r="BE1367" s="24" t="inlineStr">
        <is>
          <t>tennis-learned-v3</t>
        </is>
      </c>
      <c r="BF1367" s="24" t="inlineStr">
        <is>
          <t>1</t>
        </is>
      </c>
      <c r="BG1367" s="24" t="inlineStr">
        <is>
          <t>7443acc419841200d57e1edf36b77f1940cdd0c48dce3d43fcd05498a109440b</t>
        </is>
      </c>
      <c r="BH1367" s="24" t="inlineStr">
        <is>
          <t>2026-10-12T05:03:16.009995Z</t>
        </is>
      </c>
      <c r="BI1367" s="24" t="inlineStr">
        <is>
          <t>["same_event","same_team_same_day","same_league_same_day"]</t>
        </is>
      </c>
      <c r="BJ1367" s="25" t="n">
        <v>-7.5</v>
      </c>
      <c r="BK1367" s="26" t="n">
        <v>300</v>
      </c>
      <c r="BL1367" s="27" t="n">
        <v>4</v>
      </c>
      <c r="BM1367" s="28" t="n">
        <v>0.25</v>
      </c>
      <c r="BN1367" s="28" t="n"/>
      <c r="BO1367" s="28" t="n"/>
      <c r="BP1367" s="25" t="n"/>
      <c r="BQ1367" s="27" t="n"/>
      <c r="BR1367" s="28" t="n"/>
      <c r="BS1367" s="28" t="n"/>
      <c r="BT1367" s="28" t="n"/>
      <c r="BU1367" s="25" t="n"/>
      <c r="BV1367" s="29" t="n"/>
      <c r="BW1367" s="24" t="n"/>
      <c r="BX1367" s="30" t="n"/>
      <c r="BY1367" s="27" t="n"/>
      <c r="BZ1367" s="24" t="n"/>
      <c r="CA1367" s="31" t="n"/>
      <c r="CB1367" s="24" t="n"/>
      <c r="CC1367" s="24" t="n"/>
      <c r="CD1367" s="24" t="n"/>
      <c r="CE1367" s="24" t="n"/>
      <c r="CF1367" s="24" t="n"/>
      <c r="CG1367" s="24" t="n"/>
      <c r="CH1367" s="24" t="n"/>
      <c r="CI1367" s="24" t="n"/>
      <c r="CJ1367" s="24" t="n"/>
      <c r="CK1367" s="24" t="n"/>
      <c r="CL1367" s="24" t="n"/>
      <c r="CM1367" s="24" t="n"/>
      <c r="CN1367" s="24" t="n"/>
      <c r="CO1367" s="24" t="n"/>
      <c r="CP1367" s="24" t="n"/>
      <c r="CQ1367" s="24" t="n"/>
      <c r="CR1367" s="24" t="n"/>
      <c r="CS1367" s="24" t="inlineStr">
        <is>
          <t>True</t>
        </is>
      </c>
      <c r="CT1367" s="24" t="n"/>
      <c r="CU1367" s="24" t="n"/>
      <c r="CV1367" s="24" t="n"/>
      <c r="CW1367" s="24" t="n"/>
      <c r="CX1367" s="24" t="n"/>
      <c r="CY1367" s="24" t="n"/>
      <c r="CZ1367" s="24" t="n"/>
      <c r="DA1367" s="24" t="n"/>
      <c r="DB1367" s="24" t="n"/>
      <c r="DC1367" s="24" t="n"/>
      <c r="DD1367" s="24" t="inlineStr">
        <is>
          <t>62086c77974733f1660776e3405d77586eadad60a9af650ffff4bd48659db21f</t>
        </is>
      </c>
      <c r="DE1367" s="24" t="inlineStr">
        <is>
          <t>E:\model-prediction\data\odds\tennis\2026-10-12\polymarket_snapshots.jsonl</t>
        </is>
      </c>
      <c r="DF1367" s="24" t="inlineStr">
        <is>
          <t>1354036:2026-10-12T05:03:16.009995Z</t>
        </is>
      </c>
      <c r="DG1367" s="24" t="n"/>
      <c r="DH1367" s="24" t="n"/>
      <c r="DI1367" s="24" t="n"/>
      <c r="DJ1367" s="24" t="n"/>
      <c r="DK1367" s="24" t="n"/>
      <c r="DL1367" s="24" t="n"/>
      <c r="DM1367" s="24" t="n"/>
      <c r="DN1367" s="24" t="n"/>
      <c r="DO1367" s="24" t="n"/>
      <c r="DP1367" s="24" t="n"/>
      <c r="DQ1367" s="24" t="n"/>
    </row>
    <row r="1368" ht="36" customHeight="1">
      <c r="A1368" s="24" t="inlineStr">
        <is>
          <t>f622f8323b0744e5</t>
        </is>
      </c>
      <c r="B1368" s="24" t="inlineStr">
        <is>
          <t>2026-10-12T22:26:15.686728Z</t>
        </is>
      </c>
      <c r="C1368" s="24" t="inlineStr">
        <is>
          <t>2026-10-13T04:30Z</t>
        </is>
      </c>
      <c r="D1368" s="24" t="inlineStr">
        <is>
          <t>381-2026:185324</t>
        </is>
      </c>
      <c r="E1368" s="24" t="inlineStr">
        <is>
          <t>TENNIS</t>
        </is>
      </c>
      <c r="F1368" s="24" t="inlineStr">
        <is>
          <t>Diana Shnaider</t>
        </is>
      </c>
      <c r="G1368" s="24" t="inlineStr">
        <is>
          <t>Katie Boulter</t>
        </is>
      </c>
      <c r="H1368" s="24" t="inlineStr">
        <is>
          <t>moneyline</t>
        </is>
      </c>
      <c r="I1368" s="24" t="inlineStr">
        <is>
          <t>away</t>
        </is>
      </c>
      <c r="J1368" s="25" t="n"/>
      <c r="K1368" s="24" t="inlineStr">
        <is>
          <t>polymarket_us</t>
        </is>
      </c>
      <c r="L1368" s="26" t="n">
        <v>-355</v>
      </c>
      <c r="M1368" s="27" t="n">
        <v>1.28169</v>
      </c>
      <c r="N1368" s="28" t="n">
        <v>0.78022</v>
      </c>
      <c r="O1368" s="28" t="n">
        <v>0.6521</v>
      </c>
      <c r="P1368" s="28" t="n">
        <v>0.05</v>
      </c>
      <c r="Q1368" s="28" t="n">
        <v>-0.12812</v>
      </c>
      <c r="R1368" s="26" t="n">
        <v>0</v>
      </c>
      <c r="S1368" s="29" t="n">
        <v>1</v>
      </c>
      <c r="T1368" s="24" t="inlineStr">
        <is>
          <t>tennis-learned-v3</t>
        </is>
      </c>
      <c r="U1368" s="24" t="inlineStr">
        <is>
          <t>settled</t>
        </is>
      </c>
      <c r="V1368" s="24" t="inlineStr">
        <is>
          <t>win</t>
        </is>
      </c>
      <c r="W1368" s="26" t="n">
        <v>1</v>
      </c>
      <c r="X1368" s="26" t="n">
        <v>0</v>
      </c>
      <c r="Y1368" s="25" t="n"/>
      <c r="Z1368" s="26" t="n">
        <v>-355</v>
      </c>
      <c r="AA1368" s="28" t="n">
        <v>0.78</v>
      </c>
      <c r="AB1368" s="28" t="n">
        <v>-0.00022</v>
      </c>
      <c r="AC1368" s="30" t="n">
        <v>0.2817</v>
      </c>
      <c r="AD1368" s="24" t="inlineStr">
        <is>
          <t>2026-10-13T10:05:43.741334Z</t>
        </is>
      </c>
      <c r="AE1368" s="31" t="inlineStr">
        <is>
          <t>Tennis v3 Learned Fundamental on Hard (Bo3): Diana Shnaider p=0.652 vs Katie Boulter. Executable ask 0.7800 (aec-wta-katbou-diashn-2026-10-11).</t>
        </is>
      </c>
      <c r="AF1368" s="31" t="inlineStr">
        <is>
          <t>Surface-blended Elo model; singles only, WTA+ATP market coverage, not yet locked-holdout qualified -- promoted by explicit operator directive, not genuine walk-forward validation.</t>
        </is>
      </c>
      <c r="AG1368" s="24" t="inlineStr">
        <is>
          <t>not_applicable</t>
        </is>
      </c>
      <c r="AH1368" s="24" t="n"/>
      <c r="AI1368" s="31" t="n"/>
      <c r="AJ1368" s="31" t="n"/>
      <c r="AK1368" s="24" t="inlineStr">
        <is>
          <t>paper_call</t>
        </is>
      </c>
      <c r="AL1368" s="26" t="n">
        <v>4</v>
      </c>
      <c r="AM1368" s="24" t="inlineStr">
        <is>
          <t>RESEARCH_OBSERVATION</t>
        </is>
      </c>
      <c r="AN1368" s="24" t="inlineStr">
        <is>
          <t>CALL</t>
        </is>
      </c>
      <c r="AO1368" s="24" t="inlineStr">
        <is>
          <t>PAPER_CALL_LOW_EDGE</t>
        </is>
      </c>
      <c r="AP1368" s="24" t="inlineStr">
        <is>
          <t>Diana Shnaider</t>
        </is>
      </c>
      <c r="AQ1368" s="24" t="inlineStr">
        <is>
          <t>Diana Shnaider</t>
        </is>
      </c>
      <c r="AR1368" s="24" t="inlineStr">
        <is>
          <t>Diana Shnaider</t>
        </is>
      </c>
      <c r="AS1368" s="24" t="inlineStr">
        <is>
          <t>Katie Boulter</t>
        </is>
      </c>
      <c r="AT1368" s="24" t="inlineStr">
        <is>
          <t>Katie Boulter</t>
        </is>
      </c>
      <c r="AU1368" s="24" t="inlineStr">
        <is>
          <t>Katie Boulter</t>
        </is>
      </c>
      <c r="AV1368" s="24" t="n"/>
      <c r="AW1368" s="24" t="n"/>
      <c r="AX1368" s="24" t="inlineStr">
        <is>
          <t>statistical_model</t>
        </is>
      </c>
      <c r="AY1368" s="24" t="n"/>
      <c r="AZ1368" s="24" t="inlineStr">
        <is>
          <t>shadow_qualified</t>
        </is>
      </c>
      <c r="BA1368" s="24" t="inlineStr">
        <is>
          <t>7443acc419841200d57e1edf36b77f1940cdd0c48dce3d43fcd05498a109440b</t>
        </is>
      </c>
      <c r="BB1368" s="24" t="inlineStr">
        <is>
          <t>learned_v3</t>
        </is>
      </c>
      <c r="BC1368" s="24" t="inlineStr">
        <is>
          <t>tennis-learned-v3</t>
        </is>
      </c>
      <c r="BD1368" s="24" t="inlineStr">
        <is>
          <t>7443acc419841200d57e1edf36b77f1940cdd0c48dce3d43fcd05498a109440b</t>
        </is>
      </c>
      <c r="BE1368" s="24" t="inlineStr">
        <is>
          <t>tennis-learned-v3</t>
        </is>
      </c>
      <c r="BF1368" s="24" t="inlineStr">
        <is>
          <t>1</t>
        </is>
      </c>
      <c r="BG1368" s="24" t="inlineStr">
        <is>
          <t>7443acc419841200d57e1edf36b77f1940cdd0c48dce3d43fcd05498a109440b</t>
        </is>
      </c>
      <c r="BH1368" s="24" t="inlineStr">
        <is>
          <t>2026-10-12T05:03:36.119912Z</t>
        </is>
      </c>
      <c r="BI1368" s="24" t="inlineStr">
        <is>
          <t>["same_event","same_team_same_day","same_league_same_day"]</t>
        </is>
      </c>
      <c r="BJ1368" s="25" t="n"/>
      <c r="BK1368" s="26" t="n">
        <v>-355</v>
      </c>
      <c r="BL1368" s="27" t="n">
        <v>1.28169</v>
      </c>
      <c r="BM1368" s="28" t="n">
        <v>0.78022</v>
      </c>
      <c r="BN1368" s="28" t="n"/>
      <c r="BO1368" s="28" t="n"/>
      <c r="BP1368" s="25" t="n"/>
      <c r="BQ1368" s="27" t="n">
        <v>1.28169</v>
      </c>
      <c r="BR1368" s="28" t="n">
        <v>0.78</v>
      </c>
      <c r="BS1368" s="28" t="n"/>
      <c r="BT1368" s="28" t="n"/>
      <c r="BU1368" s="25" t="n"/>
      <c r="BV1368" s="29" t="n"/>
      <c r="BW1368" s="24" t="n"/>
      <c r="BX1368" s="30" t="n"/>
      <c r="BY1368" s="27" t="n"/>
      <c r="BZ1368" s="24" t="n"/>
      <c r="CA1368" s="31" t="n"/>
      <c r="CB1368" s="24" t="n"/>
      <c r="CC1368" s="24" t="n"/>
      <c r="CD1368" s="24" t="n"/>
      <c r="CE1368" s="24" t="n"/>
      <c r="CF1368" s="24" t="n"/>
      <c r="CG1368" s="24" t="n"/>
      <c r="CH1368" s="24" t="n"/>
      <c r="CI1368" s="24" t="n"/>
      <c r="CJ1368" s="24" t="n"/>
      <c r="CK1368" s="24" t="n"/>
      <c r="CL1368" s="24" t="n"/>
      <c r="CM1368" s="24" t="n"/>
      <c r="CN1368" s="24" t="n"/>
      <c r="CO1368" s="24" t="n"/>
      <c r="CP1368" s="24" t="n"/>
      <c r="CQ1368" s="24" t="n"/>
      <c r="CR1368" s="24" t="n"/>
      <c r="CS1368" s="24" t="inlineStr">
        <is>
          <t>False</t>
        </is>
      </c>
      <c r="CT1368" s="24" t="n"/>
      <c r="CU1368" s="24" t="n"/>
      <c r="CV1368" s="24" t="n"/>
      <c r="CW1368" s="24" t="n"/>
      <c r="CX1368" s="24" t="n"/>
      <c r="CY1368" s="24" t="n"/>
      <c r="CZ1368" s="24" t="n"/>
      <c r="DA1368" s="24" t="n"/>
      <c r="DB1368" s="24" t="n"/>
      <c r="DC1368" s="24" t="n"/>
      <c r="DD1368" s="24" t="inlineStr">
        <is>
          <t>5eb2d813557c156bfc6f18097c16c1f108f359ca484a8104010a6eb48c7b7fd2</t>
        </is>
      </c>
      <c r="DE1368" s="24" t="inlineStr">
        <is>
          <t>E:\model-prediction\data\odds\tennis\2026-10-12\polymarket_snapshots.jsonl</t>
        </is>
      </c>
      <c r="DF1368" s="24" t="inlineStr">
        <is>
          <t>1333561:2026-10-12T05:03:36.119912Z</t>
        </is>
      </c>
      <c r="DG1368" s="24" t="n"/>
      <c r="DH1368" s="24" t="n"/>
      <c r="DI1368" s="24" t="n"/>
      <c r="DJ1368" s="24" t="n"/>
      <c r="DK1368" s="24" t="n"/>
      <c r="DL1368" s="24" t="n"/>
      <c r="DM1368" s="24" t="n"/>
      <c r="DN1368" s="24" t="n"/>
      <c r="DO1368" s="24" t="n"/>
      <c r="DP1368" s="24" t="n"/>
      <c r="DQ1368" s="24" t="inlineStr">
        <is>
          <t>{"artifact_hash": "7443acc419841200d57e1edf36b77f1940cdd0c48dce3d43fcd05498a109440b", "away_team": "Diana Shnaider", "event_id": "381-2026:185324", "event_start_utc": "2026-10-13T04:30Z", "features": {"elo_p1_surface": 1676.8, "elo_p2_surface": 1621.7, "expected_games_p1": 13.41, "expected_games_p2": 8.68, "expected_total_games": 22.09, "history_matches": 16708, "min_player_matches": 131, "surface": "Hard"}, "historical_source_observation_times_verified": false, "home_team": "Katie Boulter", "inference_inputs": {"best_of": 3, "code_sha256": {"features/elo_ratings.py": "d6513e79d65448c06cc0f9b9eed0eaa091567835128e1f6647a310da8d78a872", "models/tennis.py": "7443acc419841200d57e1edf36b77f1940cdd0c48dce3d43fcd05498a109440b"}, "counts": [178, 131], "market_probability": null, "model_version": "tennis-learned-v3", "overall_ratings": [1774.1060641957818, 1660.9374040891203], "p_serve_a": 0.6354704242649007, "p_serve_b": 0.5445295757350992, "players": ["Diana Shnaider", "Katie Boulter"], "rest_days": [8.0, 10.0], "sport": "TENNIS", "surface": "Hard", "surface_counts": [141, 101], "surface_ratings": [1676.787410706687, 1621.749734020707], "tour": "WTA"}, "market_type": "moneyline", "model_version": "tennis-learned-v3", "observed_at_utc": "2026-10-12T22:26:12.584235+00:00", "probabilities": {"away": 0.6521, "home": 0.3479}, "replay_scope": "Exact full-precision serving state and rounding; upstream historical observation times are not certified.", "schema": "coded-moneyline-replay-v1", "snapshot_hash": "04fc078edc33c2ce3fecf7179966b200650e647f59671606296a2a0b94dc5dc2", "sport": "TENNIS"}</t>
        </is>
      </c>
    </row>
    <row r="1369" ht="36" customHeight="1">
      <c r="A1369" s="24" t="inlineStr">
        <is>
          <t>2e3cfe8cb8734365</t>
        </is>
      </c>
      <c r="B1369" s="24" t="inlineStr">
        <is>
          <t>2026-10-12T22:26:15.686728Z</t>
        </is>
      </c>
      <c r="C1369" s="24" t="inlineStr">
        <is>
          <t>2026-10-13T05:30Z</t>
        </is>
      </c>
      <c r="D1369" s="24" t="inlineStr">
        <is>
          <t>381-2026:185322</t>
        </is>
      </c>
      <c r="E1369" s="24" t="inlineStr">
        <is>
          <t>TENNIS</t>
        </is>
      </c>
      <c r="F1369" s="24" t="inlineStr">
        <is>
          <t>Nikola Bartunkova</t>
        </is>
      </c>
      <c r="G1369" s="24" t="inlineStr">
        <is>
          <t>Lilli Tagger</t>
        </is>
      </c>
      <c r="H1369" s="24" t="inlineStr">
        <is>
          <t>spread</t>
        </is>
      </c>
      <c r="I1369" s="24" t="inlineStr">
        <is>
          <t>away</t>
        </is>
      </c>
      <c r="J1369" s="25" t="n">
        <v>1.5</v>
      </c>
      <c r="K1369" s="24" t="inlineStr">
        <is>
          <t>polymarket_us</t>
        </is>
      </c>
      <c r="L1369" s="26" t="n">
        <v>-144</v>
      </c>
      <c r="M1369" s="27" t="n">
        <v>1.694444</v>
      </c>
      <c r="N1369" s="28" t="n">
        <v>0.590164</v>
      </c>
      <c r="O1369" s="28" t="n">
        <v>0.9156</v>
      </c>
      <c r="P1369" s="28" t="n">
        <v>0.05</v>
      </c>
      <c r="Q1369" s="28" t="n">
        <v>0.325436</v>
      </c>
      <c r="R1369" s="26" t="n">
        <v>100</v>
      </c>
      <c r="S1369" s="29" t="n">
        <v>2</v>
      </c>
      <c r="T1369" s="24" t="inlineStr">
        <is>
          <t>tennis-learned-v3</t>
        </is>
      </c>
      <c r="U1369" s="24" t="inlineStr">
        <is>
          <t>settled</t>
        </is>
      </c>
      <c r="V1369" s="24" t="inlineStr">
        <is>
          <t>win</t>
        </is>
      </c>
      <c r="W1369" s="26" t="n">
        <v>15</v>
      </c>
      <c r="X1369" s="26" t="n">
        <v>13</v>
      </c>
      <c r="Y1369" s="25" t="n"/>
      <c r="Z1369" s="26" t="n"/>
      <c r="AA1369" s="28" t="n"/>
      <c r="AB1369" s="28" t="n"/>
      <c r="AC1369" s="30" t="n">
        <v>1.3889</v>
      </c>
      <c r="AD1369" s="24" t="inlineStr">
        <is>
          <t>2026-10-13T10:05:50.213542Z</t>
        </is>
      </c>
      <c r="AE1369" s="31" t="inlineStr">
        <is>
          <t>Tennis Markov game spread +1.5 games: away cover p=0.916. Executable ask 0.5900 (asc-wta-liltag-nikbar-2026-10-11-gs-pos-1pt5).</t>
        </is>
      </c>
      <c r="AF1369" s="31" t="inlineStr">
        <is>
          <t>Surface-blended Elo model; singles only, WTA+ATP market coverage, not yet locked-holdout qualified -- promoted by explicit operator directive, not genuine walk-forward validation.</t>
        </is>
      </c>
      <c r="AG1369" s="24" t="inlineStr">
        <is>
          <t>not_applicable</t>
        </is>
      </c>
      <c r="AH1369" s="24" t="n"/>
      <c r="AI1369" s="31" t="n"/>
      <c r="AJ1369" s="31" t="n"/>
      <c r="AK1369" s="24" t="inlineStr">
        <is>
          <t>paper_call</t>
        </is>
      </c>
      <c r="AL1369" s="26" t="n">
        <v>4</v>
      </c>
      <c r="AM1369" s="24" t="inlineStr">
        <is>
          <t>RESEARCH_OBSERVATION</t>
        </is>
      </c>
      <c r="AN1369" s="24" t="inlineStr">
        <is>
          <t>CALL</t>
        </is>
      </c>
      <c r="AO1369" s="24" t="inlineStr">
        <is>
          <t>PAPER_CALL_STALE_DATA</t>
        </is>
      </c>
      <c r="AP1369" s="24" t="inlineStr">
        <is>
          <t>Nikola Bartunkova</t>
        </is>
      </c>
      <c r="AQ1369" s="24" t="inlineStr">
        <is>
          <t>Nikola Bartunkova</t>
        </is>
      </c>
      <c r="AR1369" s="24" t="inlineStr">
        <is>
          <t>Nikola Bartunkova</t>
        </is>
      </c>
      <c r="AS1369" s="24" t="inlineStr">
        <is>
          <t>Lilli Tagger</t>
        </is>
      </c>
      <c r="AT1369" s="24" t="inlineStr">
        <is>
          <t>Lilli Tagger</t>
        </is>
      </c>
      <c r="AU1369" s="24" t="inlineStr">
        <is>
          <t>Lilli Tagger</t>
        </is>
      </c>
      <c r="AV1369" s="24" t="n"/>
      <c r="AW1369" s="24" t="n"/>
      <c r="AX1369" s="24" t="inlineStr">
        <is>
          <t>statistical_model</t>
        </is>
      </c>
      <c r="AY1369" s="24" t="n"/>
      <c r="AZ1369" s="24" t="inlineStr">
        <is>
          <t>shadow_qualified</t>
        </is>
      </c>
      <c r="BA1369" s="24" t="inlineStr">
        <is>
          <t>7443acc419841200d57e1edf36b77f1940cdd0c48dce3d43fcd05498a109440b</t>
        </is>
      </c>
      <c r="BB1369" s="24" t="inlineStr">
        <is>
          <t>learned_v3</t>
        </is>
      </c>
      <c r="BC1369" s="24" t="inlineStr">
        <is>
          <t>tennis-learned-v3</t>
        </is>
      </c>
      <c r="BD1369" s="24" t="inlineStr">
        <is>
          <t>7443acc419841200d57e1edf36b77f1940cdd0c48dce3d43fcd05498a109440b</t>
        </is>
      </c>
      <c r="BE1369" s="24" t="inlineStr">
        <is>
          <t>tennis-learned-v3</t>
        </is>
      </c>
      <c r="BF1369" s="24" t="inlineStr">
        <is>
          <t>1</t>
        </is>
      </c>
      <c r="BG1369" s="24" t="inlineStr">
        <is>
          <t>7443acc419841200d57e1edf36b77f1940cdd0c48dce3d43fcd05498a109440b</t>
        </is>
      </c>
      <c r="BH1369" s="24" t="inlineStr">
        <is>
          <t>2026-10-12T05:03:36.120912Z</t>
        </is>
      </c>
      <c r="BI1369" s="24" t="inlineStr">
        <is>
          <t>["same_event","same_team_same_day","same_league_same_day"]</t>
        </is>
      </c>
      <c r="BJ1369" s="25" t="n">
        <v>1.5</v>
      </c>
      <c r="BK1369" s="26" t="n">
        <v>-144</v>
      </c>
      <c r="BL1369" s="27" t="n">
        <v>1.694444</v>
      </c>
      <c r="BM1369" s="28" t="n">
        <v>0.590164</v>
      </c>
      <c r="BN1369" s="28" t="n"/>
      <c r="BO1369" s="28" t="n"/>
      <c r="BP1369" s="25" t="n"/>
      <c r="BQ1369" s="27" t="n"/>
      <c r="BR1369" s="28" t="n"/>
      <c r="BS1369" s="28" t="n"/>
      <c r="BT1369" s="28" t="n"/>
      <c r="BU1369" s="25" t="n"/>
      <c r="BV1369" s="29" t="n"/>
      <c r="BW1369" s="24" t="n"/>
      <c r="BX1369" s="30" t="n"/>
      <c r="BY1369" s="27" t="n"/>
      <c r="BZ1369" s="24" t="n"/>
      <c r="CA1369" s="31" t="n"/>
      <c r="CB1369" s="24" t="n"/>
      <c r="CC1369" s="24" t="n"/>
      <c r="CD1369" s="24" t="n"/>
      <c r="CE1369" s="24" t="n"/>
      <c r="CF1369" s="24" t="n"/>
      <c r="CG1369" s="24" t="n"/>
      <c r="CH1369" s="24" t="n"/>
      <c r="CI1369" s="24" t="n"/>
      <c r="CJ1369" s="24" t="n"/>
      <c r="CK1369" s="24" t="n"/>
      <c r="CL1369" s="24" t="n"/>
      <c r="CM1369" s="24" t="n"/>
      <c r="CN1369" s="24" t="n"/>
      <c r="CO1369" s="24" t="n"/>
      <c r="CP1369" s="24" t="n"/>
      <c r="CQ1369" s="24" t="n"/>
      <c r="CR1369" s="24" t="n"/>
      <c r="CS1369" s="24" t="inlineStr">
        <is>
          <t>True</t>
        </is>
      </c>
      <c r="CT1369" s="24" t="n"/>
      <c r="CU1369" s="24" t="n"/>
      <c r="CV1369" s="24" t="n"/>
      <c r="CW1369" s="24" t="n"/>
      <c r="CX1369" s="24" t="n"/>
      <c r="CY1369" s="24" t="n"/>
      <c r="CZ1369" s="24" t="n"/>
      <c r="DA1369" s="24" t="n"/>
      <c r="DB1369" s="24" t="n"/>
      <c r="DC1369" s="24" t="n"/>
      <c r="DD1369" s="24" t="inlineStr">
        <is>
          <t>714803ef68764121b3ed4903c3469bc01159b8d2f659c7a934634af140354d9a</t>
        </is>
      </c>
      <c r="DE1369" s="24" t="inlineStr">
        <is>
          <t>E:\model-prediction\data\odds\tennis\2026-10-12\polymarket_snapshots.jsonl</t>
        </is>
      </c>
      <c r="DF1369" s="24" t="inlineStr">
        <is>
          <t>1353989:2026-10-12T05:03:36.120912Z</t>
        </is>
      </c>
      <c r="DG1369" s="24" t="n"/>
      <c r="DH1369" s="24" t="n"/>
      <c r="DI1369" s="24" t="n"/>
      <c r="DJ1369" s="24" t="n"/>
      <c r="DK1369" s="24" t="n"/>
      <c r="DL1369" s="24" t="n"/>
      <c r="DM1369" s="24" t="n"/>
      <c r="DN1369" s="24" t="n"/>
      <c r="DO1369" s="24" t="n"/>
      <c r="DP1369" s="24" t="n"/>
      <c r="DQ1369" s="24" t="n"/>
    </row>
    <row r="1370" ht="36" customHeight="1">
      <c r="A1370" s="24" t="inlineStr">
        <is>
          <t>c93e0b6352db4e4a</t>
        </is>
      </c>
      <c r="B1370" s="24" t="inlineStr">
        <is>
          <t>2026-10-12T22:26:15.686728Z</t>
        </is>
      </c>
      <c r="C1370" s="24" t="inlineStr">
        <is>
          <t>2026-10-13T05:30Z</t>
        </is>
      </c>
      <c r="D1370" s="24" t="inlineStr">
        <is>
          <t>381-2026:185322</t>
        </is>
      </c>
      <c r="E1370" s="24" t="inlineStr">
        <is>
          <t>TENNIS</t>
        </is>
      </c>
      <c r="F1370" s="24" t="inlineStr">
        <is>
          <t>Nikola Bartunkova</t>
        </is>
      </c>
      <c r="G1370" s="24" t="inlineStr">
        <is>
          <t>Lilli Tagger</t>
        </is>
      </c>
      <c r="H1370" s="24" t="inlineStr">
        <is>
          <t>total</t>
        </is>
      </c>
      <c r="I1370" s="24" t="inlineStr">
        <is>
          <t>under</t>
        </is>
      </c>
      <c r="J1370" s="25" t="n">
        <v>22.5</v>
      </c>
      <c r="K1370" s="24" t="inlineStr">
        <is>
          <t>polymarket_us</t>
        </is>
      </c>
      <c r="L1370" s="26" t="n">
        <v>-144</v>
      </c>
      <c r="M1370" s="27" t="n">
        <v>1.694444</v>
      </c>
      <c r="N1370" s="28" t="n">
        <v>0.590164</v>
      </c>
      <c r="O1370" s="28" t="n">
        <v>0.6932</v>
      </c>
      <c r="P1370" s="28" t="n">
        <v>0.05</v>
      </c>
      <c r="Q1370" s="28" t="n">
        <v>0.103036</v>
      </c>
      <c r="R1370" s="26" t="n">
        <v>72</v>
      </c>
      <c r="S1370" s="29" t="n">
        <v>1.25</v>
      </c>
      <c r="T1370" s="24" t="inlineStr">
        <is>
          <t>tennis-learned-v3</t>
        </is>
      </c>
      <c r="U1370" s="24" t="inlineStr">
        <is>
          <t>settled</t>
        </is>
      </c>
      <c r="V1370" s="24" t="inlineStr">
        <is>
          <t>loss</t>
        </is>
      </c>
      <c r="W1370" s="26" t="n">
        <v>15</v>
      </c>
      <c r="X1370" s="26" t="n">
        <v>13</v>
      </c>
      <c r="Y1370" s="25" t="n"/>
      <c r="Z1370" s="26" t="n"/>
      <c r="AA1370" s="28" t="n"/>
      <c r="AB1370" s="28" t="n"/>
      <c r="AC1370" s="30" t="n">
        <v>-1.25</v>
      </c>
      <c r="AD1370" s="24" t="inlineStr">
        <is>
          <t>2026-10-13T10:05:55.558515Z</t>
        </is>
      </c>
      <c r="AE1370" s="31" t="inlineStr">
        <is>
          <t>Tennis Markov total games line 22.5: under p=0.693. Executable ask 0.5900 (tsc-wta-liltag-nikbar-2026-10-11-tg-22pt5).</t>
        </is>
      </c>
      <c r="AF1370" s="31" t="inlineStr">
        <is>
          <t>Surface-blended Elo model; singles only, WTA+ATP market coverage, not yet locked-holdout qualified -- promoted by explicit operator directive, not genuine walk-forward validation.</t>
        </is>
      </c>
      <c r="AG1370" s="24" t="inlineStr">
        <is>
          <t>review_required</t>
        </is>
      </c>
      <c r="AH1370" s="24" t="n"/>
      <c r="AI1370" s="31" t="n"/>
      <c r="AJ1370" s="31" t="n"/>
      <c r="AK1370" s="24" t="inlineStr">
        <is>
          <t>paper_call</t>
        </is>
      </c>
      <c r="AL1370" s="26" t="n">
        <v>4</v>
      </c>
      <c r="AM1370" s="24" t="inlineStr">
        <is>
          <t>RESEARCH_OBSERVATION</t>
        </is>
      </c>
      <c r="AN1370" s="24" t="inlineStr">
        <is>
          <t>CALL</t>
        </is>
      </c>
      <c r="AO1370" s="24" t="inlineStr">
        <is>
          <t>PAPER_CALL_STALE_DATA</t>
        </is>
      </c>
      <c r="AP1370" s="24" t="inlineStr">
        <is>
          <t>Nikola Bartunkova</t>
        </is>
      </c>
      <c r="AQ1370" s="24" t="inlineStr">
        <is>
          <t>Nikola Bartunkova</t>
        </is>
      </c>
      <c r="AR1370" s="24" t="inlineStr">
        <is>
          <t>Nikola Bartunkova</t>
        </is>
      </c>
      <c r="AS1370" s="24" t="inlineStr">
        <is>
          <t>Lilli Tagger</t>
        </is>
      </c>
      <c r="AT1370" s="24" t="inlineStr">
        <is>
          <t>Lilli Tagger</t>
        </is>
      </c>
      <c r="AU1370" s="24" t="inlineStr">
        <is>
          <t>Lilli Tagger</t>
        </is>
      </c>
      <c r="AV1370" s="24" t="n"/>
      <c r="AW1370" s="24" t="n"/>
      <c r="AX1370" s="24" t="inlineStr">
        <is>
          <t>statistical_model</t>
        </is>
      </c>
      <c r="AY1370" s="24" t="n"/>
      <c r="AZ1370" s="24" t="inlineStr">
        <is>
          <t>shadow_qualified</t>
        </is>
      </c>
      <c r="BA1370" s="24" t="inlineStr">
        <is>
          <t>7443acc419841200d57e1edf36b77f1940cdd0c48dce3d43fcd05498a109440b</t>
        </is>
      </c>
      <c r="BB1370" s="24" t="inlineStr">
        <is>
          <t>learned_v3</t>
        </is>
      </c>
      <c r="BC1370" s="24" t="inlineStr">
        <is>
          <t>tennis-learned-v3</t>
        </is>
      </c>
      <c r="BD1370" s="24" t="inlineStr">
        <is>
          <t>7443acc419841200d57e1edf36b77f1940cdd0c48dce3d43fcd05498a109440b</t>
        </is>
      </c>
      <c r="BE1370" s="24" t="inlineStr">
        <is>
          <t>tennis-learned-v3</t>
        </is>
      </c>
      <c r="BF1370" s="24" t="inlineStr">
        <is>
          <t>1</t>
        </is>
      </c>
      <c r="BG1370" s="24" t="inlineStr">
        <is>
          <t>7443acc419841200d57e1edf36b77f1940cdd0c48dce3d43fcd05498a109440b</t>
        </is>
      </c>
      <c r="BH1370" s="24" t="inlineStr">
        <is>
          <t>2026-10-12T05:03:36.127967Z</t>
        </is>
      </c>
      <c r="BI1370" s="24" t="inlineStr">
        <is>
          <t>["same_event","same_team_same_day","same_league_same_day"]</t>
        </is>
      </c>
      <c r="BJ1370" s="25" t="n">
        <v>22.5</v>
      </c>
      <c r="BK1370" s="26" t="n">
        <v>-144</v>
      </c>
      <c r="BL1370" s="27" t="n">
        <v>1.694444</v>
      </c>
      <c r="BM1370" s="28" t="n">
        <v>0.590164</v>
      </c>
      <c r="BN1370" s="28" t="n"/>
      <c r="BO1370" s="28" t="n"/>
      <c r="BP1370" s="25" t="n"/>
      <c r="BQ1370" s="27" t="n"/>
      <c r="BR1370" s="28" t="n"/>
      <c r="BS1370" s="28" t="n"/>
      <c r="BT1370" s="28" t="n"/>
      <c r="BU1370" s="25" t="n"/>
      <c r="BV1370" s="29" t="n"/>
      <c r="BW1370" s="24" t="n"/>
      <c r="BX1370" s="30" t="n"/>
      <c r="BY1370" s="27" t="n"/>
      <c r="BZ1370" s="24" t="n"/>
      <c r="CA1370" s="31" t="n"/>
      <c r="CB1370" s="24" t="n"/>
      <c r="CC1370" s="24" t="n"/>
      <c r="CD1370" s="24" t="n"/>
      <c r="CE1370" s="24" t="n"/>
      <c r="CF1370" s="24" t="n"/>
      <c r="CG1370" s="24" t="n"/>
      <c r="CH1370" s="24" t="n"/>
      <c r="CI1370" s="24" t="n"/>
      <c r="CJ1370" s="24" t="n"/>
      <c r="CK1370" s="24" t="n"/>
      <c r="CL1370" s="24" t="n"/>
      <c r="CM1370" s="24" t="n"/>
      <c r="CN1370" s="24" t="n"/>
      <c r="CO1370" s="24" t="n"/>
      <c r="CP1370" s="24" t="n"/>
      <c r="CQ1370" s="24" t="n"/>
      <c r="CR1370" s="24" t="n"/>
      <c r="CS1370" s="24" t="inlineStr">
        <is>
          <t>True</t>
        </is>
      </c>
      <c r="CT1370" s="24" t="n"/>
      <c r="CU1370" s="24" t="n"/>
      <c r="CV1370" s="24" t="n"/>
      <c r="CW1370" s="24" t="n"/>
      <c r="CX1370" s="24" t="n"/>
      <c r="CY1370" s="24" t="n"/>
      <c r="CZ1370" s="24" t="n"/>
      <c r="DA1370" s="24" t="n"/>
      <c r="DB1370" s="24" t="n"/>
      <c r="DC1370" s="24" t="n"/>
      <c r="DD1370" s="24" t="inlineStr">
        <is>
          <t>1cf855a8a07c2d25357c5f3a0da1ffcffd5b02dfb29ea7df20c8af24ae6c5c7b</t>
        </is>
      </c>
      <c r="DE1370" s="24" t="inlineStr">
        <is>
          <t>E:\model-prediction\data\odds\tennis\2026-10-12\polymarket_snapshots.jsonl</t>
        </is>
      </c>
      <c r="DF1370" s="24" t="inlineStr">
        <is>
          <t>1353906:2026-10-12T05:03:36.127967Z</t>
        </is>
      </c>
      <c r="DG1370" s="24" t="n"/>
      <c r="DH1370" s="24" t="n"/>
      <c r="DI1370" s="24" t="n"/>
      <c r="DJ1370" s="24" t="n"/>
      <c r="DK1370" s="24" t="n"/>
      <c r="DL1370" s="24" t="n"/>
      <c r="DM1370" s="24" t="n"/>
      <c r="DN1370" s="24" t="n"/>
      <c r="DO1370" s="24" t="n"/>
      <c r="DP1370" s="24" t="n"/>
      <c r="DQ1370" s="24" t="n"/>
    </row>
    <row r="1371" ht="36" customHeight="1">
      <c r="A1371" s="24" t="inlineStr">
        <is>
          <t>27680057003b42f1</t>
        </is>
      </c>
      <c r="B1371" s="24" t="inlineStr">
        <is>
          <t>2026-10-13T05:49:22.014322Z</t>
        </is>
      </c>
      <c r="C1371" s="24" t="inlineStr">
        <is>
          <t>2026-10-13T06:00Z</t>
        </is>
      </c>
      <c r="D1371" s="24" t="inlineStr">
        <is>
          <t>381-2026:185324</t>
        </is>
      </c>
      <c r="E1371" s="24" t="inlineStr">
        <is>
          <t>TENNIS</t>
        </is>
      </c>
      <c r="F1371" s="24" t="inlineStr">
        <is>
          <t>Diana Shnaider</t>
        </is>
      </c>
      <c r="G1371" s="24" t="inlineStr">
        <is>
          <t>Katie Boulter</t>
        </is>
      </c>
      <c r="H1371" s="24" t="inlineStr">
        <is>
          <t>total</t>
        </is>
      </c>
      <c r="I1371" s="24" t="inlineStr">
        <is>
          <t>under</t>
        </is>
      </c>
      <c r="J1371" s="25" t="n">
        <v>22.5</v>
      </c>
      <c r="K1371" s="24" t="inlineStr">
        <is>
          <t>polymarket_us</t>
        </is>
      </c>
      <c r="L1371" s="26" t="n">
        <v>-150</v>
      </c>
      <c r="M1371" s="27" t="n">
        <v>1.666667</v>
      </c>
      <c r="N1371" s="28" t="n">
        <v>0.6</v>
      </c>
      <c r="O1371" s="28" t="n">
        <v>0.6137</v>
      </c>
      <c r="P1371" s="28" t="n">
        <v>0.05</v>
      </c>
      <c r="Q1371" s="28" t="n">
        <v>0.0137</v>
      </c>
      <c r="R1371" s="26" t="n">
        <v>27</v>
      </c>
      <c r="S1371" s="29" t="n">
        <v>1</v>
      </c>
      <c r="T1371" s="24" t="inlineStr">
        <is>
          <t>tennis-learned-v3</t>
        </is>
      </c>
      <c r="U1371" s="24" t="inlineStr">
        <is>
          <t>settled</t>
        </is>
      </c>
      <c r="V1371" s="24" t="inlineStr">
        <is>
          <t>win</t>
        </is>
      </c>
      <c r="W1371" s="26" t="n">
        <v>12</v>
      </c>
      <c r="X1371" s="26" t="n">
        <v>4</v>
      </c>
      <c r="Y1371" s="25" t="n"/>
      <c r="Z1371" s="26" t="n"/>
      <c r="AA1371" s="28" t="n"/>
      <c r="AB1371" s="28" t="n"/>
      <c r="AC1371" s="30" t="n">
        <v>0.6667</v>
      </c>
      <c r="AD1371" s="24" t="inlineStr">
        <is>
          <t>2026-10-13T10:06:01.538240Z</t>
        </is>
      </c>
      <c r="AE1371" s="31" t="inlineStr">
        <is>
          <t>Tennis Markov total games line 22.5: under p=0.614. Executable ask 0.6000 (tsc-wta-katbou-diashn-2026-10-11-tg-22pt5).</t>
        </is>
      </c>
      <c r="AF1371" s="31" t="inlineStr">
        <is>
          <t>Surface-blended Elo model; singles only, WTA+ATP market coverage, not yet locked-holdout qualified -- promoted by explicit operator directive, not genuine walk-forward validation.</t>
        </is>
      </c>
      <c r="AG1371" s="24" t="inlineStr">
        <is>
          <t>not_applicable</t>
        </is>
      </c>
      <c r="AH1371" s="24" t="n"/>
      <c r="AI1371" s="31" t="n"/>
      <c r="AJ1371" s="31" t="n"/>
      <c r="AK1371" s="24" t="inlineStr">
        <is>
          <t>paper_call</t>
        </is>
      </c>
      <c r="AL1371" s="26" t="n">
        <v>4</v>
      </c>
      <c r="AM1371" s="24" t="inlineStr">
        <is>
          <t>RESEARCH_OBSERVATION</t>
        </is>
      </c>
      <c r="AN1371" s="24" t="inlineStr">
        <is>
          <t>CALL</t>
        </is>
      </c>
      <c r="AO1371" s="24" t="inlineStr">
        <is>
          <t>PAPER_CALL_LOW_EDGE</t>
        </is>
      </c>
      <c r="AP1371" s="24" t="inlineStr">
        <is>
          <t>Diana Shnaider</t>
        </is>
      </c>
      <c r="AQ1371" s="24" t="inlineStr">
        <is>
          <t>Diana Shnaider</t>
        </is>
      </c>
      <c r="AR1371" s="24" t="inlineStr">
        <is>
          <t>Diana Shnaider</t>
        </is>
      </c>
      <c r="AS1371" s="24" t="inlineStr">
        <is>
          <t>Katie Boulter</t>
        </is>
      </c>
      <c r="AT1371" s="24" t="inlineStr">
        <is>
          <t>Katie Boulter</t>
        </is>
      </c>
      <c r="AU1371" s="24" t="inlineStr">
        <is>
          <t>Katie Boulter</t>
        </is>
      </c>
      <c r="AV1371" s="24" t="n"/>
      <c r="AW1371" s="24" t="n"/>
      <c r="AX1371" s="24" t="inlineStr">
        <is>
          <t>statistical_model</t>
        </is>
      </c>
      <c r="AY1371" s="24" t="n"/>
      <c r="AZ1371" s="24" t="inlineStr">
        <is>
          <t>shadow_qualified</t>
        </is>
      </c>
      <c r="BA1371" s="24" t="inlineStr">
        <is>
          <t>7443acc419841200d57e1edf36b77f1940cdd0c48dce3d43fcd05498a109440b</t>
        </is>
      </c>
      <c r="BB1371" s="24" t="inlineStr">
        <is>
          <t>learned_v3</t>
        </is>
      </c>
      <c r="BC1371" s="24" t="inlineStr">
        <is>
          <t>tennis-learned-v3</t>
        </is>
      </c>
      <c r="BD1371" s="24" t="inlineStr">
        <is>
          <t>7443acc419841200d57e1edf36b77f1940cdd0c48dce3d43fcd05498a109440b</t>
        </is>
      </c>
      <c r="BE1371" s="24" t="inlineStr">
        <is>
          <t>tennis-learned-v3</t>
        </is>
      </c>
      <c r="BF1371" s="24" t="inlineStr">
        <is>
          <t>1</t>
        </is>
      </c>
      <c r="BG1371" s="24" t="inlineStr">
        <is>
          <t>7443acc419841200d57e1edf36b77f1940cdd0c48dce3d43fcd05498a109440b</t>
        </is>
      </c>
      <c r="BH1371" s="24" t="inlineStr">
        <is>
          <t>2026-10-13T04:58:55.019893Z</t>
        </is>
      </c>
      <c r="BI1371" s="24" t="inlineStr">
        <is>
          <t>["same_event","same_team_same_day","same_league_same_day"]</t>
        </is>
      </c>
      <c r="BJ1371" s="25" t="n">
        <v>22.5</v>
      </c>
      <c r="BK1371" s="26" t="n">
        <v>-150</v>
      </c>
      <c r="BL1371" s="27" t="n">
        <v>1.666667</v>
      </c>
      <c r="BM1371" s="28" t="n">
        <v>0.6</v>
      </c>
      <c r="BN1371" s="28" t="n"/>
      <c r="BO1371" s="28" t="n"/>
      <c r="BP1371" s="25" t="n"/>
      <c r="BQ1371" s="27" t="n"/>
      <c r="BR1371" s="28" t="n"/>
      <c r="BS1371" s="28" t="n"/>
      <c r="BT1371" s="28" t="n"/>
      <c r="BU1371" s="25" t="n"/>
      <c r="BV1371" s="29" t="n"/>
      <c r="BW1371" s="24" t="n"/>
      <c r="BX1371" s="30" t="n"/>
      <c r="BY1371" s="27" t="n"/>
      <c r="BZ1371" s="24" t="n"/>
      <c r="CA1371" s="31" t="n"/>
      <c r="CB1371" s="24" t="n"/>
      <c r="CC1371" s="24" t="n"/>
      <c r="CD1371" s="24" t="n"/>
      <c r="CE1371" s="24" t="n"/>
      <c r="CF1371" s="24" t="n"/>
      <c r="CG1371" s="24" t="n"/>
      <c r="CH1371" s="24" t="n"/>
      <c r="CI1371" s="24" t="n"/>
      <c r="CJ1371" s="24" t="n"/>
      <c r="CK1371" s="24" t="n"/>
      <c r="CL1371" s="24" t="n"/>
      <c r="CM1371" s="24" t="n"/>
      <c r="CN1371" s="24" t="n"/>
      <c r="CO1371" s="24" t="n"/>
      <c r="CP1371" s="24" t="n"/>
      <c r="CQ1371" s="24" t="n"/>
      <c r="CR1371" s="24" t="n"/>
      <c r="CS1371" s="24" t="inlineStr">
        <is>
          <t>True</t>
        </is>
      </c>
      <c r="CT1371" s="24" t="n"/>
      <c r="CU1371" s="24" t="n"/>
      <c r="CV1371" s="24" t="n"/>
      <c r="CW1371" s="24" t="n"/>
      <c r="CX1371" s="24" t="n"/>
      <c r="CY1371" s="24" t="n"/>
      <c r="CZ1371" s="24" t="n"/>
      <c r="DA1371" s="24" t="n"/>
      <c r="DB1371" s="24" t="n"/>
      <c r="DC1371" s="24" t="n"/>
      <c r="DD1371" s="24" t="inlineStr">
        <is>
          <t>4a3d376f89b90817320639ba757a4ae4116f6396b28f50e5882e773b9a67d3ce</t>
        </is>
      </c>
      <c r="DE1371" s="24" t="inlineStr">
        <is>
          <t>E:\model-prediction\data\odds\tennis\2026-10-13\polymarket_snapshots.jsonl</t>
        </is>
      </c>
      <c r="DF1371" s="24" t="inlineStr">
        <is>
          <t>1354023:2026-10-13T04:58:55.019893Z</t>
        </is>
      </c>
      <c r="DG1371" s="24" t="n"/>
      <c r="DH1371" s="24" t="n"/>
      <c r="DI1371" s="24" t="n"/>
      <c r="DJ1371" s="24" t="n"/>
      <c r="DK1371" s="24" t="n"/>
      <c r="DL1371" s="24" t="n"/>
      <c r="DM1371" s="24" t="n"/>
      <c r="DN1371" s="24" t="n"/>
      <c r="DO1371" s="24" t="n"/>
      <c r="DP1371" s="24" t="n"/>
      <c r="DQ1371" s="24" t="n"/>
    </row>
    <row r="1372" ht="36" customHeight="1">
      <c r="A1372" s="24" t="inlineStr">
        <is>
          <t>de3ee7d94a1d4e70</t>
        </is>
      </c>
      <c r="B1372" s="24" t="inlineStr">
        <is>
          <t>2026-10-13T05:49:22.014322Z</t>
        </is>
      </c>
      <c r="C1372" s="24" t="inlineStr">
        <is>
          <t>2026-10-13T06:00Z</t>
        </is>
      </c>
      <c r="D1372" s="24" t="inlineStr">
        <is>
          <t>381-2026:185324</t>
        </is>
      </c>
      <c r="E1372" s="24" t="inlineStr">
        <is>
          <t>TENNIS</t>
        </is>
      </c>
      <c r="F1372" s="24" t="inlineStr">
        <is>
          <t>Diana Shnaider</t>
        </is>
      </c>
      <c r="G1372" s="24" t="inlineStr">
        <is>
          <t>Katie Boulter</t>
        </is>
      </c>
      <c r="H1372" s="24" t="inlineStr">
        <is>
          <t>spread</t>
        </is>
      </c>
      <c r="I1372" s="24" t="inlineStr">
        <is>
          <t>away</t>
        </is>
      </c>
      <c r="J1372" s="25" t="n">
        <v>-4.5</v>
      </c>
      <c r="K1372" s="24" t="inlineStr">
        <is>
          <t>polymarket_us</t>
        </is>
      </c>
      <c r="L1372" s="26" t="n">
        <v>194</v>
      </c>
      <c r="M1372" s="27" t="n">
        <v>2.94</v>
      </c>
      <c r="N1372" s="28" t="n">
        <v>0.340136</v>
      </c>
      <c r="O1372" s="28" t="n">
        <v>0.9762999999999999</v>
      </c>
      <c r="P1372" s="28" t="n">
        <v>0.05</v>
      </c>
      <c r="Q1372" s="28" t="n">
        <v>0.636164</v>
      </c>
      <c r="R1372" s="26" t="n">
        <v>100</v>
      </c>
      <c r="S1372" s="29" t="n">
        <v>2</v>
      </c>
      <c r="T1372" s="24" t="inlineStr">
        <is>
          <t>tennis-learned-v3</t>
        </is>
      </c>
      <c r="U1372" s="24" t="inlineStr">
        <is>
          <t>settled</t>
        </is>
      </c>
      <c r="V1372" s="24" t="inlineStr">
        <is>
          <t>win</t>
        </is>
      </c>
      <c r="W1372" s="26" t="n">
        <v>12</v>
      </c>
      <c r="X1372" s="26" t="n">
        <v>4</v>
      </c>
      <c r="Y1372" s="25" t="n"/>
      <c r="Z1372" s="26" t="n"/>
      <c r="AA1372" s="28" t="n"/>
      <c r="AB1372" s="28" t="n"/>
      <c r="AC1372" s="30" t="n">
        <v>3.88</v>
      </c>
      <c r="AD1372" s="24" t="inlineStr">
        <is>
          <t>2026-10-13T10:06:07.638285Z</t>
        </is>
      </c>
      <c r="AE1372" s="31" t="inlineStr">
        <is>
          <t>Tennis Markov game spread -4.5 games: away cover p=0.976. Executable ask 0.3400 (asc-wta-katbou-diashn-2026-10-11-gs-neg-4pt5).</t>
        </is>
      </c>
      <c r="AF1372" s="31" t="inlineStr">
        <is>
          <t>Surface-blended Elo model; singles only, WTA+ATP market coverage, not yet locked-holdout qualified -- promoted by explicit operator directive, not genuine walk-forward validation.</t>
        </is>
      </c>
      <c r="AG1372" s="24" t="inlineStr">
        <is>
          <t>not_applicable</t>
        </is>
      </c>
      <c r="AH1372" s="24" t="n"/>
      <c r="AI1372" s="31" t="n"/>
      <c r="AJ1372" s="31" t="n"/>
      <c r="AK1372" s="24" t="inlineStr">
        <is>
          <t>model_qualified</t>
        </is>
      </c>
      <c r="AL1372" s="26" t="n">
        <v>4</v>
      </c>
      <c r="AM1372" s="24" t="inlineStr">
        <is>
          <t>QUALIFIED_SHADOW_CALL</t>
        </is>
      </c>
      <c r="AN1372" s="24" t="inlineStr">
        <is>
          <t>CALL</t>
        </is>
      </c>
      <c r="AO1372" s="24" t="inlineStr">
        <is>
          <t>QUALIFIED</t>
        </is>
      </c>
      <c r="AP1372" s="24" t="inlineStr">
        <is>
          <t>Diana Shnaider</t>
        </is>
      </c>
      <c r="AQ1372" s="24" t="inlineStr">
        <is>
          <t>Diana Shnaider</t>
        </is>
      </c>
      <c r="AR1372" s="24" t="inlineStr">
        <is>
          <t>Diana Shnaider</t>
        </is>
      </c>
      <c r="AS1372" s="24" t="inlineStr">
        <is>
          <t>Katie Boulter</t>
        </is>
      </c>
      <c r="AT1372" s="24" t="inlineStr">
        <is>
          <t>Katie Boulter</t>
        </is>
      </c>
      <c r="AU1372" s="24" t="inlineStr">
        <is>
          <t>Katie Boulter</t>
        </is>
      </c>
      <c r="AV1372" s="24" t="n"/>
      <c r="AW1372" s="24" t="n"/>
      <c r="AX1372" s="24" t="inlineStr">
        <is>
          <t>statistical_model</t>
        </is>
      </c>
      <c r="AY1372" s="24" t="n"/>
      <c r="AZ1372" s="24" t="inlineStr">
        <is>
          <t>shadow_qualified</t>
        </is>
      </c>
      <c r="BA1372" s="24" t="inlineStr">
        <is>
          <t>7443acc419841200d57e1edf36b77f1940cdd0c48dce3d43fcd05498a109440b</t>
        </is>
      </c>
      <c r="BB1372" s="24" t="inlineStr">
        <is>
          <t>learned_v3</t>
        </is>
      </c>
      <c r="BC1372" s="24" t="inlineStr">
        <is>
          <t>tennis-learned-v3</t>
        </is>
      </c>
      <c r="BD1372" s="24" t="inlineStr">
        <is>
          <t>7443acc419841200d57e1edf36b77f1940cdd0c48dce3d43fcd05498a109440b</t>
        </is>
      </c>
      <c r="BE1372" s="24" t="inlineStr">
        <is>
          <t>tennis-learned-v3</t>
        </is>
      </c>
      <c r="BF1372" s="24" t="inlineStr">
        <is>
          <t>1</t>
        </is>
      </c>
      <c r="BG1372" s="24" t="inlineStr">
        <is>
          <t>7443acc419841200d57e1edf36b77f1940cdd0c48dce3d43fcd05498a109440b</t>
        </is>
      </c>
      <c r="BH1372" s="24" t="inlineStr">
        <is>
          <t>2026-10-13T04:59:06.150319Z</t>
        </is>
      </c>
      <c r="BI1372" s="24" t="inlineStr">
        <is>
          <t>["same_event","same_team_same_day","same_league_same_day"]</t>
        </is>
      </c>
      <c r="BJ1372" s="25" t="n">
        <v>-4.5</v>
      </c>
      <c r="BK1372" s="26" t="n">
        <v>194</v>
      </c>
      <c r="BL1372" s="27" t="n">
        <v>2.94</v>
      </c>
      <c r="BM1372" s="28" t="n">
        <v>0.340136</v>
      </c>
      <c r="BN1372" s="28" t="n"/>
      <c r="BO1372" s="28" t="n"/>
      <c r="BP1372" s="25" t="n"/>
      <c r="BQ1372" s="27" t="n"/>
      <c r="BR1372" s="28" t="n"/>
      <c r="BS1372" s="28" t="n"/>
      <c r="BT1372" s="28" t="n"/>
      <c r="BU1372" s="25" t="n"/>
      <c r="BV1372" s="29" t="n"/>
      <c r="BW1372" s="24" t="n"/>
      <c r="BX1372" s="30" t="n"/>
      <c r="BY1372" s="27" t="n"/>
      <c r="BZ1372" s="24" t="n"/>
      <c r="CA1372" s="31" t="n"/>
      <c r="CB1372" s="24" t="n"/>
      <c r="CC1372" s="24" t="n"/>
      <c r="CD1372" s="24" t="n"/>
      <c r="CE1372" s="24" t="n"/>
      <c r="CF1372" s="24" t="n"/>
      <c r="CG1372" s="24" t="n"/>
      <c r="CH1372" s="24" t="n"/>
      <c r="CI1372" s="24" t="n"/>
      <c r="CJ1372" s="24" t="n"/>
      <c r="CK1372" s="24" t="n"/>
      <c r="CL1372" s="24" t="n"/>
      <c r="CM1372" s="24" t="n"/>
      <c r="CN1372" s="24" t="n"/>
      <c r="CO1372" s="24" t="n"/>
      <c r="CP1372" s="24" t="n"/>
      <c r="CQ1372" s="24" t="n"/>
      <c r="CR1372" s="24" t="n"/>
      <c r="CS1372" s="24" t="inlineStr">
        <is>
          <t>True</t>
        </is>
      </c>
      <c r="CT1372" s="24" t="n"/>
      <c r="CU1372" s="24" t="n"/>
      <c r="CV1372" s="24" t="n"/>
      <c r="CW1372" s="24" t="n"/>
      <c r="CX1372" s="24" t="n"/>
      <c r="CY1372" s="24" t="n"/>
      <c r="CZ1372" s="24" t="n"/>
      <c r="DA1372" s="24" t="n"/>
      <c r="DB1372" s="24" t="n"/>
      <c r="DC1372" s="24" t="n"/>
      <c r="DD1372" s="24" t="inlineStr">
        <is>
          <t>04f936673153520f9bfbdcab2a37344247a8d8bb6724d861c5ae3cd77ec9e6a1</t>
        </is>
      </c>
      <c r="DE1372" s="24" t="inlineStr">
        <is>
          <t>E:\model-prediction\data\odds\tennis\2026-10-13\polymarket_snapshots.jsonl</t>
        </is>
      </c>
      <c r="DF1372" s="24" t="inlineStr">
        <is>
          <t>1354041:2026-10-13T04:59:06.150319Z</t>
        </is>
      </c>
      <c r="DG1372" s="24" t="n"/>
      <c r="DH1372" s="24" t="n"/>
      <c r="DI1372" s="24" t="n"/>
      <c r="DJ1372" s="24" t="n"/>
      <c r="DK1372" s="24" t="n"/>
      <c r="DL1372" s="24" t="n"/>
      <c r="DM1372" s="24" t="n"/>
      <c r="DN1372" s="24" t="n"/>
      <c r="DO1372" s="24" t="n"/>
      <c r="DP1372" s="24" t="n"/>
      <c r="DQ1372" s="24" t="n"/>
    </row>
    <row r="1373" ht="36" customHeight="1">
      <c r="A1373" s="24" t="inlineStr">
        <is>
          <t>d671d1f2610948a9</t>
        </is>
      </c>
      <c r="B1373" s="24" t="inlineStr">
        <is>
          <t>2026-10-13T05:49:22.014322Z</t>
        </is>
      </c>
      <c r="C1373" s="24" t="inlineStr">
        <is>
          <t>2026-10-13T06:00Z</t>
        </is>
      </c>
      <c r="D1373" s="24" t="inlineStr">
        <is>
          <t>381-2026:185337</t>
        </is>
      </c>
      <c r="E1373" s="24" t="inlineStr">
        <is>
          <t>TENNIS</t>
        </is>
      </c>
      <c r="F1373" s="24" t="inlineStr">
        <is>
          <t>Jelena Ostapenko</t>
        </is>
      </c>
      <c r="G1373" s="24" t="inlineStr">
        <is>
          <t>Daria Kasatkina</t>
        </is>
      </c>
      <c r="H1373" s="24" t="inlineStr">
        <is>
          <t>spread</t>
        </is>
      </c>
      <c r="I1373" s="24" t="inlineStr">
        <is>
          <t>home</t>
        </is>
      </c>
      <c r="J1373" s="25" t="n">
        <v>1.5</v>
      </c>
      <c r="K1373" s="24" t="inlineStr">
        <is>
          <t>polymarket_us</t>
        </is>
      </c>
      <c r="L1373" s="26" t="n">
        <v>108</v>
      </c>
      <c r="M1373" s="27" t="n">
        <v>2.08</v>
      </c>
      <c r="N1373" s="28" t="n">
        <v>0.480769</v>
      </c>
      <c r="O1373" s="28" t="n">
        <v>0.5713</v>
      </c>
      <c r="P1373" s="28" t="n">
        <v>0.05</v>
      </c>
      <c r="Q1373" s="28" t="n">
        <v>0.090531</v>
      </c>
      <c r="R1373" s="26" t="n">
        <v>65</v>
      </c>
      <c r="S1373" s="29" t="n">
        <v>1.25</v>
      </c>
      <c r="T1373" s="24" t="inlineStr">
        <is>
          <t>tennis-learned-v3</t>
        </is>
      </c>
      <c r="U1373" s="24" t="inlineStr">
        <is>
          <t>settled</t>
        </is>
      </c>
      <c r="V1373" s="24" t="inlineStr">
        <is>
          <t>loss</t>
        </is>
      </c>
      <c r="W1373" s="26" t="n">
        <v>12</v>
      </c>
      <c r="X1373" s="26" t="n">
        <v>2</v>
      </c>
      <c r="Y1373" s="25" t="n"/>
      <c r="Z1373" s="26" t="n"/>
      <c r="AA1373" s="28" t="n"/>
      <c r="AB1373" s="28" t="n"/>
      <c r="AC1373" s="30" t="n">
        <v>-1.25</v>
      </c>
      <c r="AD1373" s="24" t="inlineStr">
        <is>
          <t>2026-10-13T10:06:13.459505Z</t>
        </is>
      </c>
      <c r="AE1373" s="31" t="inlineStr">
        <is>
          <t>Tennis Markov game spread +1.5 games: home cover p=0.571. Executable ask 0.4800 (asc-wta-darkas-jelost-2026-10-11-gs-pos-1pt5).</t>
        </is>
      </c>
      <c r="AF1373" s="31" t="inlineStr">
        <is>
          <t>Surface-blended Elo model; singles only, WTA+ATP market coverage, not yet locked-holdout qualified -- promoted by explicit operator directive, not genuine walk-forward validation.</t>
        </is>
      </c>
      <c r="AG1373" s="24" t="inlineStr">
        <is>
          <t>review_required</t>
        </is>
      </c>
      <c r="AH1373" s="24" t="n"/>
      <c r="AI1373" s="31" t="n"/>
      <c r="AJ1373" s="31" t="n"/>
      <c r="AK1373" s="24" t="inlineStr">
        <is>
          <t>model_qualified</t>
        </is>
      </c>
      <c r="AL1373" s="26" t="n">
        <v>4</v>
      </c>
      <c r="AM1373" s="24" t="inlineStr">
        <is>
          <t>QUALIFIED_SHADOW_CALL</t>
        </is>
      </c>
      <c r="AN1373" s="24" t="inlineStr">
        <is>
          <t>CALL</t>
        </is>
      </c>
      <c r="AO1373" s="24" t="inlineStr">
        <is>
          <t>QUALIFIED</t>
        </is>
      </c>
      <c r="AP1373" s="24" t="inlineStr">
        <is>
          <t>Jelena Ostapenko</t>
        </is>
      </c>
      <c r="AQ1373" s="24" t="inlineStr">
        <is>
          <t>Jelena Ostapenko</t>
        </is>
      </c>
      <c r="AR1373" s="24" t="inlineStr">
        <is>
          <t>Jelena Ostapenko</t>
        </is>
      </c>
      <c r="AS1373" s="24" t="inlineStr">
        <is>
          <t>Daria Kasatkina</t>
        </is>
      </c>
      <c r="AT1373" s="24" t="inlineStr">
        <is>
          <t>Daria Kasatkina</t>
        </is>
      </c>
      <c r="AU1373" s="24" t="inlineStr">
        <is>
          <t>Daria Kasatkina</t>
        </is>
      </c>
      <c r="AV1373" s="24" t="n"/>
      <c r="AW1373" s="24" t="n"/>
      <c r="AX1373" s="24" t="inlineStr">
        <is>
          <t>statistical_model</t>
        </is>
      </c>
      <c r="AY1373" s="24" t="n"/>
      <c r="AZ1373" s="24" t="inlineStr">
        <is>
          <t>shadow_qualified</t>
        </is>
      </c>
      <c r="BA1373" s="24" t="inlineStr">
        <is>
          <t>7443acc419841200d57e1edf36b77f1940cdd0c48dce3d43fcd05498a109440b</t>
        </is>
      </c>
      <c r="BB1373" s="24" t="inlineStr">
        <is>
          <t>learned_v3</t>
        </is>
      </c>
      <c r="BC1373" s="24" t="inlineStr">
        <is>
          <t>tennis-learned-v3</t>
        </is>
      </c>
      <c r="BD1373" s="24" t="inlineStr">
        <is>
          <t>7443acc419841200d57e1edf36b77f1940cdd0c48dce3d43fcd05498a109440b</t>
        </is>
      </c>
      <c r="BE1373" s="24" t="inlineStr">
        <is>
          <t>tennis-learned-v3</t>
        </is>
      </c>
      <c r="BF1373" s="24" t="inlineStr">
        <is>
          <t>1</t>
        </is>
      </c>
      <c r="BG1373" s="24" t="inlineStr">
        <is>
          <t>7443acc419841200d57e1edf36b77f1940cdd0c48dce3d43fcd05498a109440b</t>
        </is>
      </c>
      <c r="BH1373" s="24" t="inlineStr">
        <is>
          <t>2026-10-13T05:00:44.760572Z</t>
        </is>
      </c>
      <c r="BI1373" s="24" t="inlineStr">
        <is>
          <t>["same_event","same_team_same_day","same_league_same_day"]</t>
        </is>
      </c>
      <c r="BJ1373" s="25" t="n">
        <v>1.5</v>
      </c>
      <c r="BK1373" s="26" t="n">
        <v>108</v>
      </c>
      <c r="BL1373" s="27" t="n">
        <v>2.08</v>
      </c>
      <c r="BM1373" s="28" t="n">
        <v>0.480769</v>
      </c>
      <c r="BN1373" s="28" t="n"/>
      <c r="BO1373" s="28" t="n"/>
      <c r="BP1373" s="25" t="n"/>
      <c r="BQ1373" s="27" t="n"/>
      <c r="BR1373" s="28" t="n"/>
      <c r="BS1373" s="28" t="n"/>
      <c r="BT1373" s="28" t="n"/>
      <c r="BU1373" s="25" t="n"/>
      <c r="BV1373" s="29" t="n"/>
      <c r="BW1373" s="24" t="n"/>
      <c r="BX1373" s="30" t="n"/>
      <c r="BY1373" s="27" t="n"/>
      <c r="BZ1373" s="24" t="n"/>
      <c r="CA1373" s="31" t="n"/>
      <c r="CB1373" s="24" t="n"/>
      <c r="CC1373" s="24" t="n"/>
      <c r="CD1373" s="24" t="n"/>
      <c r="CE1373" s="24" t="n"/>
      <c r="CF1373" s="24" t="n"/>
      <c r="CG1373" s="24" t="n"/>
      <c r="CH1373" s="24" t="n"/>
      <c r="CI1373" s="24" t="n"/>
      <c r="CJ1373" s="24" t="n"/>
      <c r="CK1373" s="24" t="n"/>
      <c r="CL1373" s="24" t="n"/>
      <c r="CM1373" s="24" t="n"/>
      <c r="CN1373" s="24" t="n"/>
      <c r="CO1373" s="24" t="n"/>
      <c r="CP1373" s="24" t="n"/>
      <c r="CQ1373" s="24" t="n"/>
      <c r="CR1373" s="24" t="n"/>
      <c r="CS1373" s="24" t="inlineStr">
        <is>
          <t>True</t>
        </is>
      </c>
      <c r="CT1373" s="24" t="n"/>
      <c r="CU1373" s="24" t="n"/>
      <c r="CV1373" s="24" t="n"/>
      <c r="CW1373" s="24" t="n"/>
      <c r="CX1373" s="24" t="n"/>
      <c r="CY1373" s="24" t="n"/>
      <c r="CZ1373" s="24" t="n"/>
      <c r="DA1373" s="24" t="n"/>
      <c r="DB1373" s="24" t="n"/>
      <c r="DC1373" s="24" t="n"/>
      <c r="DD1373" s="24" t="inlineStr">
        <is>
          <t>79a6b263faa0bee3db949028a785cba5ea4c02cea850af21aa590141780f34ca</t>
        </is>
      </c>
      <c r="DE1373" s="24" t="inlineStr">
        <is>
          <t>E:\model-prediction\data\odds\tennis\2026-10-13\polymarket_snapshots.jsonl</t>
        </is>
      </c>
      <c r="DF1373" s="24" t="inlineStr">
        <is>
          <t>1384078:2026-10-13T05:00:44.760572Z</t>
        </is>
      </c>
      <c r="DG1373" s="24" t="n"/>
      <c r="DH1373" s="24" t="n"/>
      <c r="DI1373" s="24" t="n"/>
      <c r="DJ1373" s="24" t="n"/>
      <c r="DK1373" s="24" t="n"/>
      <c r="DL1373" s="24" t="n"/>
      <c r="DM1373" s="24" t="n"/>
      <c r="DN1373" s="24" t="n"/>
      <c r="DO1373" s="24" t="n"/>
      <c r="DP1373" s="24" t="n"/>
      <c r="DQ1373" s="24" t="n"/>
    </row>
    <row r="1374" ht="36" customHeight="1">
      <c r="A1374" s="24" t="inlineStr">
        <is>
          <t>610d16f817774a08</t>
        </is>
      </c>
      <c r="B1374" s="24" t="inlineStr">
        <is>
          <t>2026-10-13T05:49:22.014322Z</t>
        </is>
      </c>
      <c r="C1374" s="24" t="inlineStr">
        <is>
          <t>2026-10-13T06:00Z</t>
        </is>
      </c>
      <c r="D1374" s="24" t="inlineStr">
        <is>
          <t>381-2026:185337</t>
        </is>
      </c>
      <c r="E1374" s="24" t="inlineStr">
        <is>
          <t>TENNIS</t>
        </is>
      </c>
      <c r="F1374" s="24" t="inlineStr">
        <is>
          <t>Jelena Ostapenko</t>
        </is>
      </c>
      <c r="G1374" s="24" t="inlineStr">
        <is>
          <t>Daria Kasatkina</t>
        </is>
      </c>
      <c r="H1374" s="24" t="inlineStr">
        <is>
          <t>total</t>
        </is>
      </c>
      <c r="I1374" s="24" t="inlineStr">
        <is>
          <t>over</t>
        </is>
      </c>
      <c r="J1374" s="25" t="n">
        <v>22.5</v>
      </c>
      <c r="K1374" s="24" t="inlineStr">
        <is>
          <t>polymarket_us</t>
        </is>
      </c>
      <c r="L1374" s="26" t="n">
        <v>122</v>
      </c>
      <c r="M1374" s="27" t="n">
        <v>2.22</v>
      </c>
      <c r="N1374" s="28" t="n">
        <v>0.45045</v>
      </c>
      <c r="O1374" s="28" t="n">
        <v>0.5774</v>
      </c>
      <c r="P1374" s="28" t="n">
        <v>0.05</v>
      </c>
      <c r="Q1374" s="28" t="n">
        <v>0.12695</v>
      </c>
      <c r="R1374" s="26" t="n">
        <v>83</v>
      </c>
      <c r="S1374" s="29" t="n">
        <v>1.5</v>
      </c>
      <c r="T1374" s="24" t="inlineStr">
        <is>
          <t>tennis-learned-v3</t>
        </is>
      </c>
      <c r="U1374" s="24" t="inlineStr">
        <is>
          <t>settled</t>
        </is>
      </c>
      <c r="V1374" s="24" t="inlineStr">
        <is>
          <t>loss</t>
        </is>
      </c>
      <c r="W1374" s="26" t="n">
        <v>12</v>
      </c>
      <c r="X1374" s="26" t="n">
        <v>2</v>
      </c>
      <c r="Y1374" s="25" t="n"/>
      <c r="Z1374" s="26" t="n"/>
      <c r="AA1374" s="28" t="n"/>
      <c r="AB1374" s="28" t="n"/>
      <c r="AC1374" s="30" t="n">
        <v>-1.5</v>
      </c>
      <c r="AD1374" s="24" t="inlineStr">
        <is>
          <t>2026-10-13T10:06:19.085722Z</t>
        </is>
      </c>
      <c r="AE1374" s="31" t="inlineStr">
        <is>
          <t>Tennis Markov total games line 22.5: over p=0.577. Executable ask 0.4500 (tsc-wta-darkas-jelost-2026-10-11-tg-22pt5).</t>
        </is>
      </c>
      <c r="AF1374" s="31" t="inlineStr">
        <is>
          <t>Surface-blended Elo model; singles only, WTA+ATP market coverage, not yet locked-holdout qualified -- promoted by explicit operator directive, not genuine walk-forward validation.</t>
        </is>
      </c>
      <c r="AG1374" s="24" t="inlineStr">
        <is>
          <t>review_required</t>
        </is>
      </c>
      <c r="AH1374" s="24" t="n"/>
      <c r="AI1374" s="31" t="n"/>
      <c r="AJ1374" s="31" t="n"/>
      <c r="AK1374" s="24" t="inlineStr">
        <is>
          <t>model_qualified</t>
        </is>
      </c>
      <c r="AL1374" s="26" t="n">
        <v>4</v>
      </c>
      <c r="AM1374" s="24" t="inlineStr">
        <is>
          <t>QUALIFIED_SHADOW_CALL</t>
        </is>
      </c>
      <c r="AN1374" s="24" t="inlineStr">
        <is>
          <t>CALL</t>
        </is>
      </c>
      <c r="AO1374" s="24" t="inlineStr">
        <is>
          <t>QUALIFIED</t>
        </is>
      </c>
      <c r="AP1374" s="24" t="inlineStr">
        <is>
          <t>Jelena Ostapenko</t>
        </is>
      </c>
      <c r="AQ1374" s="24" t="inlineStr">
        <is>
          <t>Jelena Ostapenko</t>
        </is>
      </c>
      <c r="AR1374" s="24" t="inlineStr">
        <is>
          <t>Jelena Ostapenko</t>
        </is>
      </c>
      <c r="AS1374" s="24" t="inlineStr">
        <is>
          <t>Daria Kasatkina</t>
        </is>
      </c>
      <c r="AT1374" s="24" t="inlineStr">
        <is>
          <t>Daria Kasatkina</t>
        </is>
      </c>
      <c r="AU1374" s="24" t="inlineStr">
        <is>
          <t>Daria Kasatkina</t>
        </is>
      </c>
      <c r="AV1374" s="24" t="n"/>
      <c r="AW1374" s="24" t="n"/>
      <c r="AX1374" s="24" t="inlineStr">
        <is>
          <t>statistical_model</t>
        </is>
      </c>
      <c r="AY1374" s="24" t="n"/>
      <c r="AZ1374" s="24" t="inlineStr">
        <is>
          <t>shadow_qualified</t>
        </is>
      </c>
      <c r="BA1374" s="24" t="inlineStr">
        <is>
          <t>7443acc419841200d57e1edf36b77f1940cdd0c48dce3d43fcd05498a109440b</t>
        </is>
      </c>
      <c r="BB1374" s="24" t="inlineStr">
        <is>
          <t>learned_v3</t>
        </is>
      </c>
      <c r="BC1374" s="24" t="inlineStr">
        <is>
          <t>tennis-learned-v3</t>
        </is>
      </c>
      <c r="BD1374" s="24" t="inlineStr">
        <is>
          <t>7443acc419841200d57e1edf36b77f1940cdd0c48dce3d43fcd05498a109440b</t>
        </is>
      </c>
      <c r="BE1374" s="24" t="inlineStr">
        <is>
          <t>tennis-learned-v3</t>
        </is>
      </c>
      <c r="BF1374" s="24" t="inlineStr">
        <is>
          <t>1</t>
        </is>
      </c>
      <c r="BG1374" s="24" t="inlineStr">
        <is>
          <t>7443acc419841200d57e1edf36b77f1940cdd0c48dce3d43fcd05498a109440b</t>
        </is>
      </c>
      <c r="BH1374" s="24" t="inlineStr">
        <is>
          <t>2026-10-13T05:00:34.771392Z</t>
        </is>
      </c>
      <c r="BI1374" s="24" t="inlineStr">
        <is>
          <t>["same_event","same_team_same_day","same_league_same_day"]</t>
        </is>
      </c>
      <c r="BJ1374" s="25" t="n">
        <v>22.5</v>
      </c>
      <c r="BK1374" s="26" t="n">
        <v>122</v>
      </c>
      <c r="BL1374" s="27" t="n">
        <v>2.22</v>
      </c>
      <c r="BM1374" s="28" t="n">
        <v>0.45045</v>
      </c>
      <c r="BN1374" s="28" t="n"/>
      <c r="BO1374" s="28" t="n"/>
      <c r="BP1374" s="25" t="n"/>
      <c r="BQ1374" s="27" t="n"/>
      <c r="BR1374" s="28" t="n"/>
      <c r="BS1374" s="28" t="n"/>
      <c r="BT1374" s="28" t="n"/>
      <c r="BU1374" s="25" t="n"/>
      <c r="BV1374" s="29" t="n"/>
      <c r="BW1374" s="24" t="n"/>
      <c r="BX1374" s="30" t="n"/>
      <c r="BY1374" s="27" t="n"/>
      <c r="BZ1374" s="24" t="n"/>
      <c r="CA1374" s="31" t="n"/>
      <c r="CB1374" s="24" t="n"/>
      <c r="CC1374" s="24" t="n"/>
      <c r="CD1374" s="24" t="n"/>
      <c r="CE1374" s="24" t="n"/>
      <c r="CF1374" s="24" t="n"/>
      <c r="CG1374" s="24" t="n"/>
      <c r="CH1374" s="24" t="n"/>
      <c r="CI1374" s="24" t="n"/>
      <c r="CJ1374" s="24" t="n"/>
      <c r="CK1374" s="24" t="n"/>
      <c r="CL1374" s="24" t="n"/>
      <c r="CM1374" s="24" t="n"/>
      <c r="CN1374" s="24" t="n"/>
      <c r="CO1374" s="24" t="n"/>
      <c r="CP1374" s="24" t="n"/>
      <c r="CQ1374" s="24" t="n"/>
      <c r="CR1374" s="24" t="n"/>
      <c r="CS1374" s="24" t="inlineStr">
        <is>
          <t>True</t>
        </is>
      </c>
      <c r="CT1374" s="24" t="n"/>
      <c r="CU1374" s="24" t="n"/>
      <c r="CV1374" s="24" t="n"/>
      <c r="CW1374" s="24" t="n"/>
      <c r="CX1374" s="24" t="n"/>
      <c r="CY1374" s="24" t="n"/>
      <c r="CZ1374" s="24" t="n"/>
      <c r="DA1374" s="24" t="n"/>
      <c r="DB1374" s="24" t="n"/>
      <c r="DC1374" s="24" t="n"/>
      <c r="DD1374" s="24" t="inlineStr">
        <is>
          <t>09204c7abbcb57d0c2d915e30fc92cd6acfe8f9321af8df87f29ee454cda593a</t>
        </is>
      </c>
      <c r="DE1374" s="24" t="inlineStr">
        <is>
          <t>E:\model-prediction\data\odds\tennis\2026-10-13\polymarket_snapshots.jsonl</t>
        </is>
      </c>
      <c r="DF1374" s="24" t="inlineStr">
        <is>
          <t>1384057:2026-10-13T05:00:34.771392Z</t>
        </is>
      </c>
      <c r="DG1374" s="24" t="n"/>
      <c r="DH1374" s="24" t="n"/>
      <c r="DI1374" s="24" t="n"/>
      <c r="DJ1374" s="24" t="n"/>
      <c r="DK1374" s="24" t="n"/>
      <c r="DL1374" s="24" t="n"/>
      <c r="DM1374" s="24" t="n"/>
      <c r="DN1374" s="24" t="n"/>
      <c r="DO1374" s="24" t="n"/>
      <c r="DP1374" s="24" t="n"/>
      <c r="DQ1374" s="24" t="n"/>
    </row>
    <row r="1375" ht="36" customHeight="1">
      <c r="A1375" s="24" t="inlineStr">
        <is>
          <t>560a2ff32bc84b00</t>
        </is>
      </c>
      <c r="B1375" s="24" t="inlineStr">
        <is>
          <t>2026-10-13T05:49:22.014322Z</t>
        </is>
      </c>
      <c r="C1375" s="24" t="inlineStr">
        <is>
          <t>2026-10-13T06:00Z</t>
        </is>
      </c>
      <c r="D1375" s="24" t="inlineStr">
        <is>
          <t>381-2026:185337</t>
        </is>
      </c>
      <c r="E1375" s="24" t="inlineStr">
        <is>
          <t>TENNIS</t>
        </is>
      </c>
      <c r="F1375" s="24" t="inlineStr">
        <is>
          <t>Jelena Ostapenko</t>
        </is>
      </c>
      <c r="G1375" s="24" t="inlineStr">
        <is>
          <t>Daria Kasatkina</t>
        </is>
      </c>
      <c r="H1375" s="24" t="inlineStr">
        <is>
          <t>moneyline</t>
        </is>
      </c>
      <c r="I1375" s="24" t="inlineStr">
        <is>
          <t>home</t>
        </is>
      </c>
      <c r="J1375" s="25" t="n"/>
      <c r="K1375" s="24" t="inlineStr">
        <is>
          <t>polymarket_us</t>
        </is>
      </c>
      <c r="L1375" s="26" t="n">
        <v>127</v>
      </c>
      <c r="M1375" s="27" t="n">
        <v>2.27</v>
      </c>
      <c r="N1375" s="28" t="n">
        <v>0.440529</v>
      </c>
      <c r="O1375" s="28" t="n">
        <v>0.5068</v>
      </c>
      <c r="P1375" s="28" t="n">
        <v>0.05</v>
      </c>
      <c r="Q1375" s="28" t="n">
        <v>0.066271</v>
      </c>
      <c r="R1375" s="26" t="n">
        <v>53</v>
      </c>
      <c r="S1375" s="29" t="n">
        <v>1</v>
      </c>
      <c r="T1375" s="24" t="inlineStr">
        <is>
          <t>tennis-learned-v3</t>
        </is>
      </c>
      <c r="U1375" s="24" t="inlineStr">
        <is>
          <t>settled</t>
        </is>
      </c>
      <c r="V1375" s="24" t="inlineStr">
        <is>
          <t>loss</t>
        </is>
      </c>
      <c r="W1375" s="26" t="n">
        <v>1</v>
      </c>
      <c r="X1375" s="26" t="n">
        <v>0</v>
      </c>
      <c r="Y1375" s="25" t="n"/>
      <c r="Z1375" s="26" t="n">
        <v>127</v>
      </c>
      <c r="AA1375" s="28" t="n">
        <v>0.44</v>
      </c>
      <c r="AB1375" s="28" t="n">
        <v>-0.000529</v>
      </c>
      <c r="AC1375" s="30" t="n">
        <v>-1</v>
      </c>
      <c r="AD1375" s="24" t="inlineStr">
        <is>
          <t>2026-10-13T10:06:25.320884Z</t>
        </is>
      </c>
      <c r="AE1375" s="31" t="inlineStr">
        <is>
          <t>Tennis v3 Learned Fundamental on Hard (Bo3): Jelena Ostapenko p=0.493 vs Daria Kasatkina. Executable ask 0.4400 (aec-wta-darkas-jelost-2026-10-11).</t>
        </is>
      </c>
      <c r="AF1375" s="31" t="inlineStr">
        <is>
          <t>Surface-blended Elo model; singles only, WTA+ATP market coverage, not yet locked-holdout qualified -- promoted by explicit operator directive, not genuine walk-forward validation.</t>
        </is>
      </c>
      <c r="AG1375" s="24" t="inlineStr">
        <is>
          <t>review_required</t>
        </is>
      </c>
      <c r="AH1375" s="24" t="n"/>
      <c r="AI1375" s="31" t="n"/>
      <c r="AJ1375" s="31" t="n"/>
      <c r="AK1375" s="24" t="inlineStr">
        <is>
          <t>paper_call</t>
        </is>
      </c>
      <c r="AL1375" s="26" t="n">
        <v>4</v>
      </c>
      <c r="AM1375" s="24" t="inlineStr">
        <is>
          <t>RESEARCH_OBSERVATION</t>
        </is>
      </c>
      <c r="AN1375" s="24" t="inlineStr">
        <is>
          <t>CALL</t>
        </is>
      </c>
      <c r="AO1375" s="24" t="inlineStr">
        <is>
          <t>PAPER_CALL_LOW_EDGE</t>
        </is>
      </c>
      <c r="AP1375" s="24" t="inlineStr">
        <is>
          <t>Jelena Ostapenko</t>
        </is>
      </c>
      <c r="AQ1375" s="24" t="inlineStr">
        <is>
          <t>Jelena Ostapenko</t>
        </is>
      </c>
      <c r="AR1375" s="24" t="inlineStr">
        <is>
          <t>Jelena Ostapenko</t>
        </is>
      </c>
      <c r="AS1375" s="24" t="inlineStr">
        <is>
          <t>Daria Kasatkina</t>
        </is>
      </c>
      <c r="AT1375" s="24" t="inlineStr">
        <is>
          <t>Daria Kasatkina</t>
        </is>
      </c>
      <c r="AU1375" s="24" t="inlineStr">
        <is>
          <t>Daria Kasatkina</t>
        </is>
      </c>
      <c r="AV1375" s="24" t="n"/>
      <c r="AW1375" s="24" t="n"/>
      <c r="AX1375" s="24" t="inlineStr">
        <is>
          <t>statistical_model</t>
        </is>
      </c>
      <c r="AY1375" s="24" t="n"/>
      <c r="AZ1375" s="24" t="inlineStr">
        <is>
          <t>shadow_qualified</t>
        </is>
      </c>
      <c r="BA1375" s="24" t="inlineStr">
        <is>
          <t>7443acc419841200d57e1edf36b77f1940cdd0c48dce3d43fcd05498a109440b</t>
        </is>
      </c>
      <c r="BB1375" s="24" t="inlineStr">
        <is>
          <t>learned_v3</t>
        </is>
      </c>
      <c r="BC1375" s="24" t="inlineStr">
        <is>
          <t>tennis-learned-v3</t>
        </is>
      </c>
      <c r="BD1375" s="24" t="inlineStr">
        <is>
          <t>7443acc419841200d57e1edf36b77f1940cdd0c48dce3d43fcd05498a109440b</t>
        </is>
      </c>
      <c r="BE1375" s="24" t="inlineStr">
        <is>
          <t>tennis-learned-v3</t>
        </is>
      </c>
      <c r="BF1375" s="24" t="inlineStr">
        <is>
          <t>1</t>
        </is>
      </c>
      <c r="BG1375" s="24" t="inlineStr">
        <is>
          <t>7443acc419841200d57e1edf36b77f1940cdd0c48dce3d43fcd05498a109440b</t>
        </is>
      </c>
      <c r="BH1375" s="24" t="inlineStr">
        <is>
          <t>2026-10-13T05:00:54.794545Z</t>
        </is>
      </c>
      <c r="BI1375" s="24" t="inlineStr">
        <is>
          <t>["same_event","same_team_same_day","same_league_same_day"]</t>
        </is>
      </c>
      <c r="BJ1375" s="25" t="n"/>
      <c r="BK1375" s="26" t="n">
        <v>127</v>
      </c>
      <c r="BL1375" s="27" t="n">
        <v>2.27</v>
      </c>
      <c r="BM1375" s="28" t="n">
        <v>0.440529</v>
      </c>
      <c r="BN1375" s="28" t="n"/>
      <c r="BO1375" s="28" t="n"/>
      <c r="BP1375" s="25" t="n"/>
      <c r="BQ1375" s="27" t="n">
        <v>2.27</v>
      </c>
      <c r="BR1375" s="28" t="n">
        <v>0.44</v>
      </c>
      <c r="BS1375" s="28" t="n"/>
      <c r="BT1375" s="28" t="n"/>
      <c r="BU1375" s="25" t="n"/>
      <c r="BV1375" s="29" t="n"/>
      <c r="BW1375" s="24" t="n"/>
      <c r="BX1375" s="30" t="n"/>
      <c r="BY1375" s="27" t="n"/>
      <c r="BZ1375" s="24" t="n"/>
      <c r="CA1375" s="31" t="n"/>
      <c r="CB1375" s="24" t="n"/>
      <c r="CC1375" s="24" t="n"/>
      <c r="CD1375" s="24" t="n"/>
      <c r="CE1375" s="24" t="n"/>
      <c r="CF1375" s="24" t="n"/>
      <c r="CG1375" s="24" t="n"/>
      <c r="CH1375" s="24" t="n"/>
      <c r="CI1375" s="24" t="n"/>
      <c r="CJ1375" s="24" t="n"/>
      <c r="CK1375" s="24" t="n"/>
      <c r="CL1375" s="24" t="n"/>
      <c r="CM1375" s="24" t="n"/>
      <c r="CN1375" s="24" t="n"/>
      <c r="CO1375" s="24" t="n"/>
      <c r="CP1375" s="24" t="n"/>
      <c r="CQ1375" s="24" t="n"/>
      <c r="CR1375" s="24" t="n"/>
      <c r="CS1375" s="24" t="inlineStr">
        <is>
          <t>True</t>
        </is>
      </c>
      <c r="CT1375" s="24" t="n"/>
      <c r="CU1375" s="24" t="n"/>
      <c r="CV1375" s="24" t="n"/>
      <c r="CW1375" s="24" t="n"/>
      <c r="CX1375" s="24" t="n"/>
      <c r="CY1375" s="24" t="n"/>
      <c r="CZ1375" s="24" t="n"/>
      <c r="DA1375" s="24" t="n"/>
      <c r="DB1375" s="24" t="n"/>
      <c r="DC1375" s="24" t="n"/>
      <c r="DD1375" s="24" t="inlineStr">
        <is>
          <t>7a55bf33912438466cfd42334a9a1dc58434050d0f4304790b604e4741497007</t>
        </is>
      </c>
      <c r="DE1375" s="24" t="inlineStr">
        <is>
          <t>E:\model-prediction\data\odds\tennis\2026-10-13\polymarket_snapshots.jsonl</t>
        </is>
      </c>
      <c r="DF1375" s="24" t="inlineStr">
        <is>
          <t>1364411:2026-10-13T05:00:54.794545Z</t>
        </is>
      </c>
      <c r="DG1375" s="24" t="n"/>
      <c r="DH1375" s="24" t="n"/>
      <c r="DI1375" s="24" t="n"/>
      <c r="DJ1375" s="24" t="n"/>
      <c r="DK1375" s="24" t="n"/>
      <c r="DL1375" s="24" t="n"/>
      <c r="DM1375" s="24" t="n"/>
      <c r="DN1375" s="24" t="n"/>
      <c r="DO1375" s="24" t="n"/>
      <c r="DP1375" s="24" t="n"/>
      <c r="DQ1375" s="24" t="inlineStr">
        <is>
          <t>{"artifact_hash": "7443acc419841200d57e1edf36b77f1940cdd0c48dce3d43fcd05498a109440b", "away_team": "Jelena Ostapenko", "event_id": "381-2026:185337", "event_start_utc": "2026-10-13T06:00Z", "features": {"elo_p1_surface": 1567.8, "elo_p2_surface": 1600.8, "expected_games_p1": 12.45, "expected_games_p2": 12.34, "expected_total_games": 24.79, "history_matches": 16744, "min_player_matches": 128, "surface": "Hard"}, "historical_source_observation_times_verified": false, "home_team": "Daria Kasatkina", "inference_inputs": {"best_of": 3, "code_sha256": {"features/elo_ratings.py": "d6513e79d65448c06cc0f9b9eed0eaa091567835128e1f6647a310da8d78a872", "models/tennis.py": "7443acc419841200d57e1edf36b77f1940cdd0c48dce3d43fcd05498a109440b"}, "counts": [128, 148], "market_probability": null, "model_version": "tennis-learned-v3", "overall_ratings": [1672.3079450279927, 1644.9498593769772], "p_serve_a": 0.5880434417126184, "p_serve_b": 0.5919565582873816, "players": ["Jelena Ostapenko", "Daria Kasatkina"], "rest_days": [7.0, 2.0], "sport": "TENNIS", "surface": "Hard", "surface_counts": [86, 109], "surface_ratings": [1567.7953043504117, 1600.8338557855964], "tour": "WTA"}, "market_type": "moneyline", "model_version": "tennis-learned-v3", "observed_at_utc": "2026-10-13T05:49:19.315977+00:00", "probabilities": {"away": 0.4932, "home": 0.5068}, "replay_scope": "Exact full-precision serving state and rounding; upstream historical observation times are not certified.", "schema": "coded-moneyline-replay-v1", "snapshot_hash": "5729198dfa3bc7c9c8108e8773310e94b39ec285477867688843d9aabe488fd3", "sport": "TENNIS"}</t>
        </is>
      </c>
    </row>
    <row r="1376" ht="36" customHeight="1">
      <c r="A1376" s="24" t="inlineStr">
        <is>
          <t>01ef9da4c3d04882</t>
        </is>
      </c>
      <c r="B1376" s="24" t="inlineStr">
        <is>
          <t>2026-10-13T05:49:22.014322Z</t>
        </is>
      </c>
      <c r="C1376" s="24" t="inlineStr">
        <is>
          <t>2026-10-13T06:30Z</t>
        </is>
      </c>
      <c r="D1376" s="24" t="inlineStr">
        <is>
          <t>381-2026:185322</t>
        </is>
      </c>
      <c r="E1376" s="24" t="inlineStr">
        <is>
          <t>TENNIS</t>
        </is>
      </c>
      <c r="F1376" s="24" t="inlineStr">
        <is>
          <t>Nikola Bartunkova</t>
        </is>
      </c>
      <c r="G1376" s="24" t="inlineStr">
        <is>
          <t>Lilli Tagger</t>
        </is>
      </c>
      <c r="H1376" s="24" t="inlineStr">
        <is>
          <t>moneyline</t>
        </is>
      </c>
      <c r="I1376" s="24" t="inlineStr">
        <is>
          <t>away</t>
        </is>
      </c>
      <c r="J1376" s="25" t="n"/>
      <c r="K1376" s="24" t="inlineStr">
        <is>
          <t>polymarket_us</t>
        </is>
      </c>
      <c r="L1376" s="26" t="n">
        <v>-233</v>
      </c>
      <c r="M1376" s="27" t="n">
        <v>1.429185</v>
      </c>
      <c r="N1376" s="28" t="n">
        <v>0.6997</v>
      </c>
      <c r="O1376" s="28" t="n">
        <v>0.6876</v>
      </c>
      <c r="P1376" s="28" t="n">
        <v>0.05</v>
      </c>
      <c r="Q1376" s="28" t="n">
        <v>-0.0121</v>
      </c>
      <c r="R1376" s="26" t="n">
        <v>14</v>
      </c>
      <c r="S1376" s="29" t="n">
        <v>1</v>
      </c>
      <c r="T1376" s="24" t="inlineStr">
        <is>
          <t>tennis-learned-v3</t>
        </is>
      </c>
      <c r="U1376" s="24" t="inlineStr">
        <is>
          <t>settled</t>
        </is>
      </c>
      <c r="V1376" s="24" t="inlineStr">
        <is>
          <t>win</t>
        </is>
      </c>
      <c r="W1376" s="26" t="n">
        <v>1</v>
      </c>
      <c r="X1376" s="26" t="n">
        <v>0</v>
      </c>
      <c r="Y1376" s="25" t="n"/>
      <c r="Z1376" s="26" t="n">
        <v>-233</v>
      </c>
      <c r="AA1376" s="28" t="n">
        <v>0.7</v>
      </c>
      <c r="AB1376" s="28" t="n">
        <v>0.0003</v>
      </c>
      <c r="AC1376" s="30" t="n">
        <v>0.4292</v>
      </c>
      <c r="AD1376" s="24" t="inlineStr">
        <is>
          <t>2026-10-13T10:06:32.424734Z</t>
        </is>
      </c>
      <c r="AE1376" s="31" t="inlineStr">
        <is>
          <t>Tennis v3 Learned Fundamental on Hard (Bo3): Nikola Bartunkova p=0.688 vs Lilli Tagger. Executable ask 0.7000 (aec-wta-liltag-nikbar-2026-10-11).</t>
        </is>
      </c>
      <c r="AF1376" s="31" t="inlineStr">
        <is>
          <t>Surface-blended Elo model; singles only, WTA+ATP market coverage, not yet locked-holdout qualified -- promoted by explicit operator directive, not genuine walk-forward validation.</t>
        </is>
      </c>
      <c r="AG1376" s="24" t="inlineStr">
        <is>
          <t>not_applicable</t>
        </is>
      </c>
      <c r="AH1376" s="24" t="n"/>
      <c r="AI1376" s="31" t="n"/>
      <c r="AJ1376" s="31" t="n"/>
      <c r="AK1376" s="24" t="inlineStr">
        <is>
          <t>paper_call</t>
        </is>
      </c>
      <c r="AL1376" s="26" t="n">
        <v>4</v>
      </c>
      <c r="AM1376" s="24" t="inlineStr">
        <is>
          <t>RESEARCH_OBSERVATION</t>
        </is>
      </c>
      <c r="AN1376" s="24" t="inlineStr">
        <is>
          <t>CALL</t>
        </is>
      </c>
      <c r="AO1376" s="24" t="inlineStr">
        <is>
          <t>PAPER_CALL_LOW_EDGE</t>
        </is>
      </c>
      <c r="AP1376" s="24" t="inlineStr">
        <is>
          <t>Nikola Bartunkova</t>
        </is>
      </c>
      <c r="AQ1376" s="24" t="inlineStr">
        <is>
          <t>Nikola Bartunkova</t>
        </is>
      </c>
      <c r="AR1376" s="24" t="inlineStr">
        <is>
          <t>Nikola Bartunkova</t>
        </is>
      </c>
      <c r="AS1376" s="24" t="inlineStr">
        <is>
          <t>Lilli Tagger</t>
        </is>
      </c>
      <c r="AT1376" s="24" t="inlineStr">
        <is>
          <t>Lilli Tagger</t>
        </is>
      </c>
      <c r="AU1376" s="24" t="inlineStr">
        <is>
          <t>Lilli Tagger</t>
        </is>
      </c>
      <c r="AV1376" s="24" t="n"/>
      <c r="AW1376" s="24" t="n"/>
      <c r="AX1376" s="24" t="inlineStr">
        <is>
          <t>statistical_model</t>
        </is>
      </c>
      <c r="AY1376" s="24" t="n"/>
      <c r="AZ1376" s="24" t="inlineStr">
        <is>
          <t>shadow_qualified</t>
        </is>
      </c>
      <c r="BA1376" s="24" t="inlineStr">
        <is>
          <t>7443acc419841200d57e1edf36b77f1940cdd0c48dce3d43fcd05498a109440b</t>
        </is>
      </c>
      <c r="BB1376" s="24" t="inlineStr">
        <is>
          <t>learned_v3</t>
        </is>
      </c>
      <c r="BC1376" s="24" t="inlineStr">
        <is>
          <t>tennis-learned-v3</t>
        </is>
      </c>
      <c r="BD1376" s="24" t="inlineStr">
        <is>
          <t>7443acc419841200d57e1edf36b77f1940cdd0c48dce3d43fcd05498a109440b</t>
        </is>
      </c>
      <c r="BE1376" s="24" t="inlineStr">
        <is>
          <t>tennis-learned-v3</t>
        </is>
      </c>
      <c r="BF1376" s="24" t="inlineStr">
        <is>
          <t>1</t>
        </is>
      </c>
      <c r="BG1376" s="24" t="inlineStr">
        <is>
          <t>7443acc419841200d57e1edf36b77f1940cdd0c48dce3d43fcd05498a109440b</t>
        </is>
      </c>
      <c r="BH1376" s="24" t="inlineStr">
        <is>
          <t>2026-10-13T05:00:05.520164Z</t>
        </is>
      </c>
      <c r="BI1376" s="24" t="inlineStr">
        <is>
          <t>["same_event","same_team_same_day","same_league_same_day"]</t>
        </is>
      </c>
      <c r="BJ1376" s="25" t="n"/>
      <c r="BK1376" s="26" t="n">
        <v>-233</v>
      </c>
      <c r="BL1376" s="27" t="n">
        <v>1.429185</v>
      </c>
      <c r="BM1376" s="28" t="n">
        <v>0.6997</v>
      </c>
      <c r="BN1376" s="28" t="n"/>
      <c r="BO1376" s="28" t="n"/>
      <c r="BP1376" s="25" t="n"/>
      <c r="BQ1376" s="27" t="n">
        <v>1.429185</v>
      </c>
      <c r="BR1376" s="28" t="n">
        <v>0.7</v>
      </c>
      <c r="BS1376" s="28" t="n"/>
      <c r="BT1376" s="28" t="n"/>
      <c r="BU1376" s="25" t="n"/>
      <c r="BV1376" s="29" t="n"/>
      <c r="BW1376" s="24" t="n"/>
      <c r="BX1376" s="30" t="n"/>
      <c r="BY1376" s="27" t="n"/>
      <c r="BZ1376" s="24" t="n"/>
      <c r="CA1376" s="31" t="n"/>
      <c r="CB1376" s="24" t="n"/>
      <c r="CC1376" s="24" t="n"/>
      <c r="CD1376" s="24" t="n"/>
      <c r="CE1376" s="24" t="n"/>
      <c r="CF1376" s="24" t="n"/>
      <c r="CG1376" s="24" t="n"/>
      <c r="CH1376" s="24" t="n"/>
      <c r="CI1376" s="24" t="n"/>
      <c r="CJ1376" s="24" t="n"/>
      <c r="CK1376" s="24" t="n"/>
      <c r="CL1376" s="24" t="n"/>
      <c r="CM1376" s="24" t="n"/>
      <c r="CN1376" s="24" t="n"/>
      <c r="CO1376" s="24" t="n"/>
      <c r="CP1376" s="24" t="n"/>
      <c r="CQ1376" s="24" t="n"/>
      <c r="CR1376" s="24" t="n"/>
      <c r="CS1376" s="24" t="inlineStr">
        <is>
          <t>False</t>
        </is>
      </c>
      <c r="CT1376" s="24" t="n"/>
      <c r="CU1376" s="24" t="n"/>
      <c r="CV1376" s="24" t="n"/>
      <c r="CW1376" s="24" t="n"/>
      <c r="CX1376" s="24" t="n"/>
      <c r="CY1376" s="24" t="n"/>
      <c r="CZ1376" s="24" t="n"/>
      <c r="DA1376" s="24" t="n"/>
      <c r="DB1376" s="24" t="n"/>
      <c r="DC1376" s="24" t="n"/>
      <c r="DD1376" s="24" t="inlineStr">
        <is>
          <t>6602211bcfe4777df2d1239316cec562f3ce3a6b6fc99b8b6078ddb978bf213f</t>
        </is>
      </c>
      <c r="DE1376" s="24" t="inlineStr">
        <is>
          <t>E:\model-prediction\data\odds\tennis\2026-10-13\polymarket_snapshots.jsonl</t>
        </is>
      </c>
      <c r="DF1376" s="24" t="inlineStr">
        <is>
          <t>1333563:2026-10-13T05:00:05.520164Z</t>
        </is>
      </c>
      <c r="DG1376" s="24" t="n"/>
      <c r="DH1376" s="24" t="n"/>
      <c r="DI1376" s="24" t="n"/>
      <c r="DJ1376" s="24" t="n"/>
      <c r="DK1376" s="24" t="n"/>
      <c r="DL1376" s="24" t="n"/>
      <c r="DM1376" s="24" t="n"/>
      <c r="DN1376" s="24" t="n"/>
      <c r="DO1376" s="24" t="n"/>
      <c r="DP1376" s="24" t="n"/>
      <c r="DQ1376" s="24" t="inlineStr">
        <is>
          <t>{"artifact_hash": "7443acc419841200d57e1edf36b77f1940cdd0c48dce3d43fcd05498a109440b", "away_team": "Nikola Bartunkova", "event_id": "381-2026:185322", "event_start_utc": "2026-10-13T06:30Z", "features": {"elo_p1_surface": 1661.9, "elo_p2_surface": 1611.2, "expected_games_p1": 13.25, "expected_games_p2": 7.72, "expected_total_games": 20.96, "history_matches": 16744, "min_player_matches": 53, "surface": "Hard"}, "historical_source_observation_times_verified": false, "home_team": "Lilli Tagger", "inference_inputs": {"best_of": 3, "code_sha256": {"features/elo_ratings.py": "d6513e79d65448c06cc0f9b9eed0eaa091567835128e1f6647a310da8d78a872", "models/tennis.py": "7443acc419841200d57e1edf36b77f1940cdd0c48dce3d43fcd05498a109440b"}, "counts": [72, 53], "market_probability": null, "model_version": "tennis-learned-v3", "overall_ratings": [1781.991775921902, 1632.3319164723312], "p_serve_a": 0.6471181787563868, "p_serve_b": 0.5328818212436132, "players": ["Nikola Bartunkova", "Lilli Tagger"], "rest_days": [2.0, 13.0], "sport": "TENNIS", "surface": "Hard", "surface_counts": [51, 45], "surface_ratings": [1661.9012269542857, 1611.1589686533432], "tour": "WTA"}, "market_type": "moneyline", "model_version": "tennis-learned-v3", "observed_at_utc": "2026-10-13T05:49:19.315977+00:00", "probabilities": {"away": 0.6876, "home": 0.3124}, "replay_scope": "Exact full-precision serving state and rounding; upstream historical observation times are not certified.", "schema": "coded-moneyline-replay-v1", "snapshot_hash": "ddb645c2af389e6227fd1716093f73b543cc245d3a7e7f956e1886aa079c106e", "sport": "TENNIS"}</t>
        </is>
      </c>
    </row>
    <row r="1377" ht="36" customHeight="1">
      <c r="A1377" s="24" t="inlineStr">
        <is>
          <t>be699a3f3dbb482b</t>
        </is>
      </c>
      <c r="B1377" s="24" t="inlineStr">
        <is>
          <t>2026-10-13T05:49:22.014322Z</t>
        </is>
      </c>
      <c r="C1377" s="24" t="inlineStr">
        <is>
          <t>2026-10-13T06:30Z</t>
        </is>
      </c>
      <c r="D1377" s="24" t="inlineStr">
        <is>
          <t>381-2026:185360</t>
        </is>
      </c>
      <c r="E1377" s="24" t="inlineStr">
        <is>
          <t>TENNIS</t>
        </is>
      </c>
      <c r="F1377" s="24" t="inlineStr">
        <is>
          <t>Marta Kostyuk</t>
        </is>
      </c>
      <c r="G1377" s="24" t="inlineStr">
        <is>
          <t>Maria Sakkari</t>
        </is>
      </c>
      <c r="H1377" s="24" t="inlineStr">
        <is>
          <t>spread</t>
        </is>
      </c>
      <c r="I1377" s="24" t="inlineStr">
        <is>
          <t>away</t>
        </is>
      </c>
      <c r="J1377" s="25" t="n">
        <v>1.5</v>
      </c>
      <c r="K1377" s="24" t="inlineStr">
        <is>
          <t>polymarket_us</t>
        </is>
      </c>
      <c r="L1377" s="26" t="n">
        <v>144</v>
      </c>
      <c r="M1377" s="27" t="n">
        <v>2.44</v>
      </c>
      <c r="N1377" s="28" t="n">
        <v>0.409836</v>
      </c>
      <c r="O1377" s="28" t="n">
        <v>0.951</v>
      </c>
      <c r="P1377" s="28" t="n">
        <v>0.05</v>
      </c>
      <c r="Q1377" s="28" t="n">
        <v>0.541164</v>
      </c>
      <c r="R1377" s="26" t="n">
        <v>100</v>
      </c>
      <c r="S1377" s="29" t="n">
        <v>2</v>
      </c>
      <c r="T1377" s="24" t="inlineStr">
        <is>
          <t>tennis-learned-v3</t>
        </is>
      </c>
      <c r="U1377" s="24" t="inlineStr">
        <is>
          <t>settled</t>
        </is>
      </c>
      <c r="V1377" s="24" t="inlineStr">
        <is>
          <t>loss</t>
        </is>
      </c>
      <c r="W1377" s="26" t="n">
        <v>10</v>
      </c>
      <c r="X1377" s="26" t="n">
        <v>16</v>
      </c>
      <c r="Y1377" s="25" t="n"/>
      <c r="Z1377" s="26" t="n"/>
      <c r="AA1377" s="28" t="n"/>
      <c r="AB1377" s="28" t="n"/>
      <c r="AC1377" s="30" t="n">
        <v>-2</v>
      </c>
      <c r="AD1377" s="24" t="inlineStr">
        <is>
          <t>2026-10-13T16:07:04.230102Z</t>
        </is>
      </c>
      <c r="AE1377" s="31" t="inlineStr">
        <is>
          <t>Tennis Markov game spread +1.5 games: away cover p=0.951. Executable ask 0.4100 (asc-wta-marsak-markos-2026-10-13-gs-pos-1pt5).</t>
        </is>
      </c>
      <c r="AF1377" s="31" t="inlineStr">
        <is>
          <t>Surface-blended Elo model; singles only, WTA+ATP market coverage, not yet locked-holdout qualified -- promoted by explicit operator directive, not genuine walk-forward validation.</t>
        </is>
      </c>
      <c r="AG1377" s="24" t="inlineStr">
        <is>
          <t>review_required</t>
        </is>
      </c>
      <c r="AH1377" s="24" t="n"/>
      <c r="AI1377" s="31" t="n"/>
      <c r="AJ1377" s="31" t="n"/>
      <c r="AK1377" s="24" t="inlineStr">
        <is>
          <t>model_qualified</t>
        </is>
      </c>
      <c r="AL1377" s="26" t="n">
        <v>4</v>
      </c>
      <c r="AM1377" s="24" t="inlineStr">
        <is>
          <t>QUALIFIED_SHADOW_CALL</t>
        </is>
      </c>
      <c r="AN1377" s="24" t="inlineStr">
        <is>
          <t>CALL</t>
        </is>
      </c>
      <c r="AO1377" s="24" t="inlineStr">
        <is>
          <t>QUALIFIED</t>
        </is>
      </c>
      <c r="AP1377" s="24" t="inlineStr">
        <is>
          <t>Marta Kostyuk</t>
        </is>
      </c>
      <c r="AQ1377" s="24" t="inlineStr">
        <is>
          <t>Marta Kostyuk</t>
        </is>
      </c>
      <c r="AR1377" s="24" t="inlineStr">
        <is>
          <t>Marta Kostyuk</t>
        </is>
      </c>
      <c r="AS1377" s="24" t="inlineStr">
        <is>
          <t>Maria Sakkari</t>
        </is>
      </c>
      <c r="AT1377" s="24" t="inlineStr">
        <is>
          <t>Maria Sakkari</t>
        </is>
      </c>
      <c r="AU1377" s="24" t="inlineStr">
        <is>
          <t>Maria Sakkari</t>
        </is>
      </c>
      <c r="AV1377" s="24" t="n"/>
      <c r="AW1377" s="24" t="n"/>
      <c r="AX1377" s="24" t="inlineStr">
        <is>
          <t>statistical_model</t>
        </is>
      </c>
      <c r="AY1377" s="24" t="n"/>
      <c r="AZ1377" s="24" t="inlineStr">
        <is>
          <t>shadow_qualified</t>
        </is>
      </c>
      <c r="BA1377" s="24" t="inlineStr">
        <is>
          <t>7443acc419841200d57e1edf36b77f1940cdd0c48dce3d43fcd05498a109440b</t>
        </is>
      </c>
      <c r="BB1377" s="24" t="inlineStr">
        <is>
          <t>learned_v3</t>
        </is>
      </c>
      <c r="BC1377" s="24" t="inlineStr">
        <is>
          <t>tennis-learned-v3</t>
        </is>
      </c>
      <c r="BD1377" s="24" t="inlineStr">
        <is>
          <t>7443acc419841200d57e1edf36b77f1940cdd0c48dce3d43fcd05498a109440b</t>
        </is>
      </c>
      <c r="BE1377" s="24" t="inlineStr">
        <is>
          <t>tennis-learned-v3</t>
        </is>
      </c>
      <c r="BF1377" s="24" t="inlineStr">
        <is>
          <t>1</t>
        </is>
      </c>
      <c r="BG1377" s="24" t="inlineStr">
        <is>
          <t>7443acc419841200d57e1edf36b77f1940cdd0c48dce3d43fcd05498a109440b</t>
        </is>
      </c>
      <c r="BH1377" s="24" t="inlineStr">
        <is>
          <t>2026-10-13T05:00:54.895637Z</t>
        </is>
      </c>
      <c r="BI1377" s="24" t="inlineStr">
        <is>
          <t>["same_event","same_team_same_day","same_league_same_day"]</t>
        </is>
      </c>
      <c r="BJ1377" s="25" t="n">
        <v>1.5</v>
      </c>
      <c r="BK1377" s="26" t="n">
        <v>144</v>
      </c>
      <c r="BL1377" s="27" t="n">
        <v>2.44</v>
      </c>
      <c r="BM1377" s="28" t="n">
        <v>0.409836</v>
      </c>
      <c r="BN1377" s="28" t="n"/>
      <c r="BO1377" s="28" t="n"/>
      <c r="BP1377" s="25" t="n"/>
      <c r="BQ1377" s="27" t="n"/>
      <c r="BR1377" s="28" t="n"/>
      <c r="BS1377" s="28" t="n"/>
      <c r="BT1377" s="28" t="n"/>
      <c r="BU1377" s="25" t="n"/>
      <c r="BV1377" s="29" t="n"/>
      <c r="BW1377" s="24" t="n"/>
      <c r="BX1377" s="30" t="n"/>
      <c r="BY1377" s="27" t="n"/>
      <c r="BZ1377" s="24" t="n"/>
      <c r="CA1377" s="31" t="n"/>
      <c r="CB1377" s="24" t="n"/>
      <c r="CC1377" s="24" t="n"/>
      <c r="CD1377" s="24" t="n"/>
      <c r="CE1377" s="24" t="n"/>
      <c r="CF1377" s="24" t="n"/>
      <c r="CG1377" s="24" t="n"/>
      <c r="CH1377" s="24" t="n"/>
      <c r="CI1377" s="24" t="n"/>
      <c r="CJ1377" s="24" t="n"/>
      <c r="CK1377" s="24" t="n"/>
      <c r="CL1377" s="24" t="n"/>
      <c r="CM1377" s="24" t="n"/>
      <c r="CN1377" s="24" t="n"/>
      <c r="CO1377" s="24" t="n"/>
      <c r="CP1377" s="24" t="n"/>
      <c r="CQ1377" s="24" t="n"/>
      <c r="CR1377" s="24" t="n"/>
      <c r="CS1377" s="24" t="inlineStr">
        <is>
          <t>True</t>
        </is>
      </c>
      <c r="CT1377" s="24" t="n"/>
      <c r="CU1377" s="24" t="n"/>
      <c r="CV1377" s="24" t="n"/>
      <c r="CW1377" s="24" t="n"/>
      <c r="CX1377" s="24" t="n"/>
      <c r="CY1377" s="24" t="n"/>
      <c r="CZ1377" s="24" t="n"/>
      <c r="DA1377" s="24" t="n"/>
      <c r="DB1377" s="24" t="n"/>
      <c r="DC1377" s="24" t="n"/>
      <c r="DD1377" s="24" t="inlineStr">
        <is>
          <t>4d84d6e79024388f22799e8e977c287a731b91aabb7c4282a1bc1ca14e9d84fd</t>
        </is>
      </c>
      <c r="DE1377" s="24" t="inlineStr">
        <is>
          <t>E:\model-prediction\data\odds\tennis\2026-10-13\polymarket_snapshots.jsonl</t>
        </is>
      </c>
      <c r="DF1377" s="24" t="inlineStr">
        <is>
          <t>1390766:2026-10-13T05:00:54.895637Z</t>
        </is>
      </c>
      <c r="DG1377" s="24" t="n"/>
      <c r="DH1377" s="24" t="n"/>
      <c r="DI1377" s="24" t="n"/>
      <c r="DJ1377" s="24" t="n"/>
      <c r="DK1377" s="24" t="n"/>
      <c r="DL1377" s="24" t="n"/>
      <c r="DM1377" s="24" t="n"/>
      <c r="DN1377" s="24" t="n"/>
      <c r="DO1377" s="24" t="n"/>
      <c r="DP1377" s="24" t="n"/>
      <c r="DQ1377" s="24" t="n"/>
    </row>
    <row r="1378" ht="36" customHeight="1">
      <c r="A1378" s="24" t="inlineStr">
        <is>
          <t>e5e6acfdb43b484f</t>
        </is>
      </c>
      <c r="B1378" s="24" t="inlineStr">
        <is>
          <t>2026-10-13T05:49:22.014322Z</t>
        </is>
      </c>
      <c r="C1378" s="24" t="inlineStr">
        <is>
          <t>2026-10-13T06:30Z</t>
        </is>
      </c>
      <c r="D1378" s="24" t="inlineStr">
        <is>
          <t>381-2026:185360</t>
        </is>
      </c>
      <c r="E1378" s="24" t="inlineStr">
        <is>
          <t>TENNIS</t>
        </is>
      </c>
      <c r="F1378" s="24" t="inlineStr">
        <is>
          <t>Marta Kostyuk</t>
        </is>
      </c>
      <c r="G1378" s="24" t="inlineStr">
        <is>
          <t>Maria Sakkari</t>
        </is>
      </c>
      <c r="H1378" s="24" t="inlineStr">
        <is>
          <t>moneyline</t>
        </is>
      </c>
      <c r="I1378" s="24" t="inlineStr">
        <is>
          <t>away</t>
        </is>
      </c>
      <c r="J1378" s="25" t="n"/>
      <c r="K1378" s="24" t="inlineStr">
        <is>
          <t>polymarket_us</t>
        </is>
      </c>
      <c r="L1378" s="26" t="n">
        <v>-194</v>
      </c>
      <c r="M1378" s="27" t="n">
        <v>1.515464</v>
      </c>
      <c r="N1378" s="28" t="n">
        <v>0.659864</v>
      </c>
      <c r="O1378" s="28" t="n">
        <v>0.7183</v>
      </c>
      <c r="P1378" s="28" t="n">
        <v>0.05</v>
      </c>
      <c r="Q1378" s="28" t="n">
        <v>0.058436</v>
      </c>
      <c r="R1378" s="26" t="n">
        <v>49</v>
      </c>
      <c r="S1378" s="29" t="n">
        <v>1</v>
      </c>
      <c r="T1378" s="24" t="inlineStr">
        <is>
          <t>tennis-learned-v3</t>
        </is>
      </c>
      <c r="U1378" s="24" t="inlineStr">
        <is>
          <t>settled</t>
        </is>
      </c>
      <c r="V1378" s="24" t="inlineStr">
        <is>
          <t>loss</t>
        </is>
      </c>
      <c r="W1378" s="26" t="n">
        <v>0</v>
      </c>
      <c r="X1378" s="26" t="n">
        <v>1</v>
      </c>
      <c r="Y1378" s="25" t="n"/>
      <c r="Z1378" s="26" t="n">
        <v>-194</v>
      </c>
      <c r="AA1378" s="28" t="n">
        <v>0.66</v>
      </c>
      <c r="AB1378" s="28" t="n">
        <v>0.000136</v>
      </c>
      <c r="AC1378" s="30" t="n">
        <v>-1</v>
      </c>
      <c r="AD1378" s="24" t="inlineStr">
        <is>
          <t>2026-10-13T16:07:15.083418Z</t>
        </is>
      </c>
      <c r="AE1378" s="31" t="inlineStr">
        <is>
          <t>Tennis v3 Learned Fundamental on Hard (Bo3): Marta Kostyuk p=0.718 vs Maria Sakkari. Executable ask 0.6600 (aec-wta-marsak-markos-2026-10-13).</t>
        </is>
      </c>
      <c r="AF1378" s="31" t="inlineStr">
        <is>
          <t>Surface-blended Elo model; singles only, WTA+ATP market coverage, not yet locked-holdout qualified -- promoted by explicit operator directive, not genuine walk-forward validation.</t>
        </is>
      </c>
      <c r="AG1378" s="24" t="inlineStr">
        <is>
          <t>review_required</t>
        </is>
      </c>
      <c r="AH1378" s="24" t="n"/>
      <c r="AI1378" s="31" t="n"/>
      <c r="AJ1378" s="31" t="n"/>
      <c r="AK1378" s="24" t="inlineStr">
        <is>
          <t>model_qualified</t>
        </is>
      </c>
      <c r="AL1378" s="26" t="n">
        <v>4</v>
      </c>
      <c r="AM1378" s="24" t="inlineStr">
        <is>
          <t>QUALIFIED_SHADOW_CALL</t>
        </is>
      </c>
      <c r="AN1378" s="24" t="inlineStr">
        <is>
          <t>CALL</t>
        </is>
      </c>
      <c r="AO1378" s="24" t="inlineStr">
        <is>
          <t>QUALIFIED</t>
        </is>
      </c>
      <c r="AP1378" s="24" t="inlineStr">
        <is>
          <t>Marta Kostyuk</t>
        </is>
      </c>
      <c r="AQ1378" s="24" t="inlineStr">
        <is>
          <t>Marta Kostyuk</t>
        </is>
      </c>
      <c r="AR1378" s="24" t="inlineStr">
        <is>
          <t>Marta Kostyuk</t>
        </is>
      </c>
      <c r="AS1378" s="24" t="inlineStr">
        <is>
          <t>Maria Sakkari</t>
        </is>
      </c>
      <c r="AT1378" s="24" t="inlineStr">
        <is>
          <t>Maria Sakkari</t>
        </is>
      </c>
      <c r="AU1378" s="24" t="inlineStr">
        <is>
          <t>Maria Sakkari</t>
        </is>
      </c>
      <c r="AV1378" s="24" t="n"/>
      <c r="AW1378" s="24" t="n"/>
      <c r="AX1378" s="24" t="inlineStr">
        <is>
          <t>statistical_model</t>
        </is>
      </c>
      <c r="AY1378" s="24" t="n"/>
      <c r="AZ1378" s="24" t="inlineStr">
        <is>
          <t>shadow_qualified</t>
        </is>
      </c>
      <c r="BA1378" s="24" t="inlineStr">
        <is>
          <t>7443acc419841200d57e1edf36b77f1940cdd0c48dce3d43fcd05498a109440b</t>
        </is>
      </c>
      <c r="BB1378" s="24" t="inlineStr">
        <is>
          <t>learned_v3</t>
        </is>
      </c>
      <c r="BC1378" s="24" t="inlineStr">
        <is>
          <t>tennis-learned-v3</t>
        </is>
      </c>
      <c r="BD1378" s="24" t="inlineStr">
        <is>
          <t>7443acc419841200d57e1edf36b77f1940cdd0c48dce3d43fcd05498a109440b</t>
        </is>
      </c>
      <c r="BE1378" s="24" t="inlineStr">
        <is>
          <t>tennis-learned-v3</t>
        </is>
      </c>
      <c r="BF1378" s="24" t="inlineStr">
        <is>
          <t>1</t>
        </is>
      </c>
      <c r="BG1378" s="24" t="inlineStr">
        <is>
          <t>7443acc419841200d57e1edf36b77f1940cdd0c48dce3d43fcd05498a109440b</t>
        </is>
      </c>
      <c r="BH1378" s="24" t="inlineStr">
        <is>
          <t>2026-10-13T05:00:34.761016Z</t>
        </is>
      </c>
      <c r="BI1378" s="24" t="inlineStr">
        <is>
          <t>["same_event","same_team_same_day","same_league_same_day"]</t>
        </is>
      </c>
      <c r="BJ1378" s="25" t="n"/>
      <c r="BK1378" s="26" t="n">
        <v>-194</v>
      </c>
      <c r="BL1378" s="27" t="n">
        <v>1.515464</v>
      </c>
      <c r="BM1378" s="28" t="n">
        <v>0.659864</v>
      </c>
      <c r="BN1378" s="28" t="n"/>
      <c r="BO1378" s="28" t="n"/>
      <c r="BP1378" s="25" t="n"/>
      <c r="BQ1378" s="27" t="n">
        <v>1.515464</v>
      </c>
      <c r="BR1378" s="28" t="n">
        <v>0.66</v>
      </c>
      <c r="BS1378" s="28" t="n"/>
      <c r="BT1378" s="28" t="n"/>
      <c r="BU1378" s="25" t="n"/>
      <c r="BV1378" s="29" t="n"/>
      <c r="BW1378" s="24" t="n"/>
      <c r="BX1378" s="30" t="n"/>
      <c r="BY1378" s="27" t="n"/>
      <c r="BZ1378" s="24" t="n"/>
      <c r="CA1378" s="31" t="n"/>
      <c r="CB1378" s="24" t="n"/>
      <c r="CC1378" s="24" t="n"/>
      <c r="CD1378" s="24" t="n"/>
      <c r="CE1378" s="24" t="n"/>
      <c r="CF1378" s="24" t="n"/>
      <c r="CG1378" s="24" t="n"/>
      <c r="CH1378" s="24" t="n"/>
      <c r="CI1378" s="24" t="n"/>
      <c r="CJ1378" s="24" t="n"/>
      <c r="CK1378" s="24" t="n"/>
      <c r="CL1378" s="24" t="n"/>
      <c r="CM1378" s="24" t="n"/>
      <c r="CN1378" s="24" t="n"/>
      <c r="CO1378" s="24" t="n"/>
      <c r="CP1378" s="24" t="n"/>
      <c r="CQ1378" s="24" t="n"/>
      <c r="CR1378" s="24" t="n"/>
      <c r="CS1378" s="24" t="inlineStr">
        <is>
          <t>True</t>
        </is>
      </c>
      <c r="CT1378" s="24" t="n"/>
      <c r="CU1378" s="24" t="n"/>
      <c r="CV1378" s="24" t="n"/>
      <c r="CW1378" s="24" t="n"/>
      <c r="CX1378" s="24" t="n"/>
      <c r="CY1378" s="24" t="n"/>
      <c r="CZ1378" s="24" t="n"/>
      <c r="DA1378" s="24" t="n"/>
      <c r="DB1378" s="24" t="n"/>
      <c r="DC1378" s="24" t="n"/>
      <c r="DD1378" s="24" t="inlineStr">
        <is>
          <t>0fb3c9bff255b78f101f376a6fa90253a8b5b57f4453ad49e33205c1bda9774e</t>
        </is>
      </c>
      <c r="DE1378" s="24" t="inlineStr">
        <is>
          <t>E:\model-prediction\data\odds\tennis\2026-10-13\polymarket_snapshots.jsonl</t>
        </is>
      </c>
      <c r="DF1378" s="24" t="inlineStr">
        <is>
          <t>1390711:2026-10-13T05:00:34.761016Z</t>
        </is>
      </c>
      <c r="DG1378" s="24" t="n"/>
      <c r="DH1378" s="24" t="n"/>
      <c r="DI1378" s="24" t="n"/>
      <c r="DJ1378" s="24" t="n"/>
      <c r="DK1378" s="24" t="n"/>
      <c r="DL1378" s="24" t="n"/>
      <c r="DM1378" s="24" t="n"/>
      <c r="DN1378" s="24" t="n"/>
      <c r="DO1378" s="24" t="n"/>
      <c r="DP1378" s="24" t="n"/>
      <c r="DQ1378" s="24" t="inlineStr">
        <is>
          <t>{"artifact_hash": "7443acc419841200d57e1edf36b77f1940cdd0c48dce3d43fcd05498a109440b", "away_team": "Marta Kostyuk", "event_id": "381-2026:185360", "event_start_utc": "2026-10-13T06:30Z", "features": {"elo_p1_surface": 1726.1, "elo_p2_surface": 1612.6, "expected_games_p1": 13.05, "expected_games_p2": 6.9, "expected_total_games": 19.95, "history_matches": 16744, "min_player_matches": 129, "surface": "Hard"}, "historical_source_observation_times_verified": false, "home_team": "Maria Sakkari", "inference_inputs": {"best_of": 3, "code_sha256": {"features/elo_ratings.py": "d6513e79d65448c06cc0f9b9eed0eaa091567835128e1f6647a310da8d78a872", "models/tennis.py": "7443acc419841200d57e1edf36b77f1940cdd0c48dce3d43fcd05498a109440b"}, "counts": [147, 129], "market_probability": null, "model_version": "tennis-learned-v3", "overall_ratings": [1901.3236165627225, 1697.2804328977177], "p_serve_a": 0.6577475238254551, "p_serve_b": 0.5222524761745448, "players": ["Marta Kostyuk", "Maria Sakkari"], "rest_days": [25.0, 0.0], "sport": "TENNIS", "surface": "Hard", "surface_counts": [109, 96], "surface_ratings": [1726.086401530072, 1612.6349873190584], "tour": "WTA"}, "market_type": "moneyline", "model_version": "tennis-learned-v3", "observed_at_utc": "2026-10-13T05:49:19.315977+00:00", "probabilities": {"away": 0.7183, "home": 0.2817}, "replay_scope": "Exact full-precision serving state and rounding; upstream historical observation times are not certified.", "schema": "coded-moneyline-replay-v1", "snapshot_hash": "24b97c1ce25084362586c627cccc59ebef9c28295863e711bd2c90b00dded300", "sport": "TENNIS"}</t>
        </is>
      </c>
    </row>
    <row r="1379" ht="36" customHeight="1">
      <c r="A1379" s="24" t="inlineStr">
        <is>
          <t>942e21790d874a34</t>
        </is>
      </c>
      <c r="B1379" s="24" t="inlineStr">
        <is>
          <t>2026-10-13T05:49:22.014322Z</t>
        </is>
      </c>
      <c r="C1379" s="24" t="inlineStr">
        <is>
          <t>2026-10-13T06:30Z</t>
        </is>
      </c>
      <c r="D1379" s="24" t="inlineStr">
        <is>
          <t>381-2026:185360</t>
        </is>
      </c>
      <c r="E1379" s="24" t="inlineStr">
        <is>
          <t>TENNIS</t>
        </is>
      </c>
      <c r="F1379" s="24" t="inlineStr">
        <is>
          <t>Marta Kostyuk</t>
        </is>
      </c>
      <c r="G1379" s="24" t="inlineStr">
        <is>
          <t>Maria Sakkari</t>
        </is>
      </c>
      <c r="H1379" s="24" t="inlineStr">
        <is>
          <t>total</t>
        </is>
      </c>
      <c r="I1379" s="24" t="inlineStr">
        <is>
          <t>under</t>
        </is>
      </c>
      <c r="J1379" s="25" t="n">
        <v>27.5</v>
      </c>
      <c r="K1379" s="24" t="inlineStr">
        <is>
          <t>polymarket_us</t>
        </is>
      </c>
      <c r="L1379" s="26" t="n">
        <v>-9900</v>
      </c>
      <c r="M1379" s="27" t="n">
        <v>1.010101</v>
      </c>
      <c r="N1379" s="28" t="n">
        <v>0.99</v>
      </c>
      <c r="O1379" s="28" t="n">
        <v>0.8777</v>
      </c>
      <c r="P1379" s="28" t="n">
        <v>0.05</v>
      </c>
      <c r="Q1379" s="28" t="n">
        <v>-0.1123</v>
      </c>
      <c r="R1379" s="26" t="n">
        <v>0</v>
      </c>
      <c r="S1379" s="29" t="n">
        <v>1</v>
      </c>
      <c r="T1379" s="24" t="inlineStr">
        <is>
          <t>tennis-learned-v3</t>
        </is>
      </c>
      <c r="U1379" s="24" t="inlineStr">
        <is>
          <t>settled</t>
        </is>
      </c>
      <c r="V1379" s="24" t="inlineStr">
        <is>
          <t>win</t>
        </is>
      </c>
      <c r="W1379" s="26" t="n">
        <v>10</v>
      </c>
      <c r="X1379" s="26" t="n">
        <v>16</v>
      </c>
      <c r="Y1379" s="25" t="n"/>
      <c r="Z1379" s="26" t="n"/>
      <c r="AA1379" s="28" t="n"/>
      <c r="AB1379" s="28" t="n"/>
      <c r="AC1379" s="30" t="n">
        <v>0.0101</v>
      </c>
      <c r="AD1379" s="24" t="inlineStr">
        <is>
          <t>2026-10-13T16:07:21.416118Z</t>
        </is>
      </c>
      <c r="AE1379" s="31" t="inlineStr">
        <is>
          <t>Tennis Markov total games line 27.5: under p=0.878. Executable ask 0.9900 (tsc-wta-marsak-markos-2026-10-13-tg-27pt5).</t>
        </is>
      </c>
      <c r="AF1379" s="31" t="inlineStr">
        <is>
          <t>Surface-blended Elo model; singles only, WTA+ATP market coverage, not yet locked-holdout qualified -- promoted by explicit operator directive, not genuine walk-forward validation.</t>
        </is>
      </c>
      <c r="AG1379" s="24" t="inlineStr">
        <is>
          <t>not_applicable</t>
        </is>
      </c>
      <c r="AH1379" s="24" t="n"/>
      <c r="AI1379" s="31" t="n"/>
      <c r="AJ1379" s="31" t="n"/>
      <c r="AK1379" s="24" t="inlineStr">
        <is>
          <t>paper_call</t>
        </is>
      </c>
      <c r="AL1379" s="26" t="n">
        <v>4</v>
      </c>
      <c r="AM1379" s="24" t="inlineStr">
        <is>
          <t>RESEARCH_OBSERVATION</t>
        </is>
      </c>
      <c r="AN1379" s="24" t="inlineStr">
        <is>
          <t>CALL</t>
        </is>
      </c>
      <c r="AO1379" s="24" t="inlineStr">
        <is>
          <t>PAPER_CALL_LOW_EDGE</t>
        </is>
      </c>
      <c r="AP1379" s="24" t="inlineStr">
        <is>
          <t>Marta Kostyuk</t>
        </is>
      </c>
      <c r="AQ1379" s="24" t="inlineStr">
        <is>
          <t>Marta Kostyuk</t>
        </is>
      </c>
      <c r="AR1379" s="24" t="inlineStr">
        <is>
          <t>Marta Kostyuk</t>
        </is>
      </c>
      <c r="AS1379" s="24" t="inlineStr">
        <is>
          <t>Maria Sakkari</t>
        </is>
      </c>
      <c r="AT1379" s="24" t="inlineStr">
        <is>
          <t>Maria Sakkari</t>
        </is>
      </c>
      <c r="AU1379" s="24" t="inlineStr">
        <is>
          <t>Maria Sakkari</t>
        </is>
      </c>
      <c r="AV1379" s="24" t="n"/>
      <c r="AW1379" s="24" t="n"/>
      <c r="AX1379" s="24" t="inlineStr">
        <is>
          <t>statistical_model</t>
        </is>
      </c>
      <c r="AY1379" s="24" t="n"/>
      <c r="AZ1379" s="24" t="inlineStr">
        <is>
          <t>shadow_qualified</t>
        </is>
      </c>
      <c r="BA1379" s="24" t="inlineStr">
        <is>
          <t>7443acc419841200d57e1edf36b77f1940cdd0c48dce3d43fcd05498a109440b</t>
        </is>
      </c>
      <c r="BB1379" s="24" t="inlineStr">
        <is>
          <t>learned_v3</t>
        </is>
      </c>
      <c r="BC1379" s="24" t="inlineStr">
        <is>
          <t>tennis-learned-v3</t>
        </is>
      </c>
      <c r="BD1379" s="24" t="inlineStr">
        <is>
          <t>7443acc419841200d57e1edf36b77f1940cdd0c48dce3d43fcd05498a109440b</t>
        </is>
      </c>
      <c r="BE1379" s="24" t="inlineStr">
        <is>
          <t>tennis-learned-v3</t>
        </is>
      </c>
      <c r="BF1379" s="24" t="inlineStr">
        <is>
          <t>1</t>
        </is>
      </c>
      <c r="BG1379" s="24" t="inlineStr">
        <is>
          <t>7443acc419841200d57e1edf36b77f1940cdd0c48dce3d43fcd05498a109440b</t>
        </is>
      </c>
      <c r="BH1379" s="24" t="inlineStr">
        <is>
          <t>2026-10-13T05:00:54.879385Z</t>
        </is>
      </c>
      <c r="BI1379" s="24" t="inlineStr">
        <is>
          <t>["same_event","same_team_same_day","same_league_same_day"]</t>
        </is>
      </c>
      <c r="BJ1379" s="25" t="n">
        <v>27.5</v>
      </c>
      <c r="BK1379" s="26" t="n">
        <v>-9900</v>
      </c>
      <c r="BL1379" s="27" t="n">
        <v>1.010101</v>
      </c>
      <c r="BM1379" s="28" t="n">
        <v>0.99</v>
      </c>
      <c r="BN1379" s="28" t="n"/>
      <c r="BO1379" s="28" t="n"/>
      <c r="BP1379" s="25" t="n"/>
      <c r="BQ1379" s="27" t="n"/>
      <c r="BR1379" s="28" t="n"/>
      <c r="BS1379" s="28" t="n"/>
      <c r="BT1379" s="28" t="n"/>
      <c r="BU1379" s="25" t="n"/>
      <c r="BV1379" s="29" t="n"/>
      <c r="BW1379" s="24" t="n"/>
      <c r="BX1379" s="30" t="n"/>
      <c r="BY1379" s="27" t="n"/>
      <c r="BZ1379" s="24" t="n"/>
      <c r="CA1379" s="31" t="n"/>
      <c r="CB1379" s="24" t="n"/>
      <c r="CC1379" s="24" t="n"/>
      <c r="CD1379" s="24" t="n"/>
      <c r="CE1379" s="24" t="n"/>
      <c r="CF1379" s="24" t="n"/>
      <c r="CG1379" s="24" t="n"/>
      <c r="CH1379" s="24" t="n"/>
      <c r="CI1379" s="24" t="n"/>
      <c r="CJ1379" s="24" t="n"/>
      <c r="CK1379" s="24" t="n"/>
      <c r="CL1379" s="24" t="n"/>
      <c r="CM1379" s="24" t="n"/>
      <c r="CN1379" s="24" t="n"/>
      <c r="CO1379" s="24" t="n"/>
      <c r="CP1379" s="24" t="n"/>
      <c r="CQ1379" s="24" t="n"/>
      <c r="CR1379" s="24" t="n"/>
      <c r="CS1379" s="24" t="inlineStr">
        <is>
          <t>False</t>
        </is>
      </c>
      <c r="CT1379" s="24" t="n"/>
      <c r="CU1379" s="24" t="n"/>
      <c r="CV1379" s="24" t="n"/>
      <c r="CW1379" s="24" t="n"/>
      <c r="CX1379" s="24" t="n"/>
      <c r="CY1379" s="24" t="n"/>
      <c r="CZ1379" s="24" t="n"/>
      <c r="DA1379" s="24" t="n"/>
      <c r="DB1379" s="24" t="n"/>
      <c r="DC1379" s="24" t="n"/>
      <c r="DD1379" s="24" t="inlineStr">
        <is>
          <t>3d8a1ce74340bd9d8d4d34ce02ddb3cd3207c8131c93d1f71c985238b84dc64d</t>
        </is>
      </c>
      <c r="DE1379" s="24" t="inlineStr">
        <is>
          <t>E:\model-prediction\data\odds\tennis\2026-10-13\polymarket_snapshots.jsonl</t>
        </is>
      </c>
      <c r="DF1379" s="24" t="inlineStr">
        <is>
          <t>1390756:2026-10-13T05:00:54.879385Z</t>
        </is>
      </c>
      <c r="DG1379" s="24" t="n"/>
      <c r="DH1379" s="24" t="n"/>
      <c r="DI1379" s="24" t="n"/>
      <c r="DJ1379" s="24" t="n"/>
      <c r="DK1379" s="24" t="n"/>
      <c r="DL1379" s="24" t="n"/>
      <c r="DM1379" s="24" t="n"/>
      <c r="DN1379" s="24" t="n"/>
      <c r="DO1379" s="24" t="n"/>
      <c r="DP1379" s="24" t="n"/>
      <c r="DQ1379" s="24" t="n"/>
    </row>
    <row r="1380" ht="36" customHeight="1">
      <c r="A1380" s="24" t="inlineStr">
        <is>
          <t>42a1cd330d584ac3</t>
        </is>
      </c>
      <c r="B1380" s="24" t="inlineStr">
        <is>
          <t>2026-10-13T05:49:22.014322Z</t>
        </is>
      </c>
      <c r="C1380" s="24" t="inlineStr">
        <is>
          <t>2026-10-13T07:00Z</t>
        </is>
      </c>
      <c r="D1380" s="24" t="inlineStr">
        <is>
          <t>381-2026:185339</t>
        </is>
      </c>
      <c r="E1380" s="24" t="inlineStr">
        <is>
          <t>TENNIS</t>
        </is>
      </c>
      <c r="F1380" s="24" t="inlineStr">
        <is>
          <t>Elise Mertens</t>
        </is>
      </c>
      <c r="G1380" s="24" t="inlineStr">
        <is>
          <t>Daria Snigur</t>
        </is>
      </c>
      <c r="H1380" s="24" t="inlineStr">
        <is>
          <t>total</t>
        </is>
      </c>
      <c r="I1380" s="24" t="inlineStr">
        <is>
          <t>under</t>
        </is>
      </c>
      <c r="J1380" s="25" t="n">
        <v>22.5</v>
      </c>
      <c r="K1380" s="24" t="inlineStr">
        <is>
          <t>polymarket_us</t>
        </is>
      </c>
      <c r="L1380" s="26" t="n">
        <v>-194</v>
      </c>
      <c r="M1380" s="27" t="n">
        <v>1.515464</v>
      </c>
      <c r="N1380" s="28" t="n">
        <v>0.659864</v>
      </c>
      <c r="O1380" s="28" t="n">
        <v>0.5686</v>
      </c>
      <c r="P1380" s="28" t="n">
        <v>0.05</v>
      </c>
      <c r="Q1380" s="28" t="n">
        <v>-0.091264</v>
      </c>
      <c r="R1380" s="26" t="n">
        <v>0</v>
      </c>
      <c r="S1380" s="29" t="n">
        <v>1</v>
      </c>
      <c r="T1380" s="24" t="inlineStr">
        <is>
          <t>tennis-learned-v3</t>
        </is>
      </c>
      <c r="U1380" s="24" t="inlineStr">
        <is>
          <t>settled</t>
        </is>
      </c>
      <c r="V1380" s="24" t="inlineStr">
        <is>
          <t>win</t>
        </is>
      </c>
      <c r="W1380" s="26" t="n">
        <v>9</v>
      </c>
      <c r="X1380" s="26" t="n">
        <v>13</v>
      </c>
      <c r="Y1380" s="25" t="n"/>
      <c r="Z1380" s="26" t="n"/>
      <c r="AA1380" s="28" t="n"/>
      <c r="AB1380" s="28" t="n"/>
      <c r="AC1380" s="30" t="n">
        <v>0.5155</v>
      </c>
      <c r="AD1380" s="24" t="inlineStr">
        <is>
          <t>2026-10-13T16:07:31.930106Z</t>
        </is>
      </c>
      <c r="AE1380" s="31" t="inlineStr">
        <is>
          <t>Tennis Markov total games line 22.5: under p=0.569. Executable ask 0.6600 (tsc-wta-darsni-elimer-2026-10-11-tg-22pt5).</t>
        </is>
      </c>
      <c r="AF1380" s="31" t="inlineStr">
        <is>
          <t>Surface-blended Elo model; singles only, WTA+ATP market coverage, not yet locked-holdout qualified -- promoted by explicit operator directive, not genuine walk-forward validation.</t>
        </is>
      </c>
      <c r="AG1380" s="24" t="inlineStr">
        <is>
          <t>not_applicable</t>
        </is>
      </c>
      <c r="AH1380" s="24" t="n"/>
      <c r="AI1380" s="31" t="n"/>
      <c r="AJ1380" s="31" t="n"/>
      <c r="AK1380" s="24" t="inlineStr">
        <is>
          <t>paper_call</t>
        </is>
      </c>
      <c r="AL1380" s="26" t="n">
        <v>4</v>
      </c>
      <c r="AM1380" s="24" t="inlineStr">
        <is>
          <t>RESEARCH_OBSERVATION</t>
        </is>
      </c>
      <c r="AN1380" s="24" t="inlineStr">
        <is>
          <t>CALL</t>
        </is>
      </c>
      <c r="AO1380" s="24" t="inlineStr">
        <is>
          <t>PAPER_CALL_LOW_EDGE</t>
        </is>
      </c>
      <c r="AP1380" s="24" t="inlineStr">
        <is>
          <t>Elise Mertens</t>
        </is>
      </c>
      <c r="AQ1380" s="24" t="inlineStr">
        <is>
          <t>Elise Mertens</t>
        </is>
      </c>
      <c r="AR1380" s="24" t="inlineStr">
        <is>
          <t>Elise Mertens</t>
        </is>
      </c>
      <c r="AS1380" s="24" t="inlineStr">
        <is>
          <t>Daria Snigur</t>
        </is>
      </c>
      <c r="AT1380" s="24" t="inlineStr">
        <is>
          <t>Daria Snigur</t>
        </is>
      </c>
      <c r="AU1380" s="24" t="inlineStr">
        <is>
          <t>Daria Snigur</t>
        </is>
      </c>
      <c r="AV1380" s="24" t="n"/>
      <c r="AW1380" s="24" t="n"/>
      <c r="AX1380" s="24" t="inlineStr">
        <is>
          <t>statistical_model</t>
        </is>
      </c>
      <c r="AY1380" s="24" t="n"/>
      <c r="AZ1380" s="24" t="inlineStr">
        <is>
          <t>shadow_qualified</t>
        </is>
      </c>
      <c r="BA1380" s="24" t="inlineStr">
        <is>
          <t>7443acc419841200d57e1edf36b77f1940cdd0c48dce3d43fcd05498a109440b</t>
        </is>
      </c>
      <c r="BB1380" s="24" t="inlineStr">
        <is>
          <t>learned_v3</t>
        </is>
      </c>
      <c r="BC1380" s="24" t="inlineStr">
        <is>
          <t>tennis-learned-v3</t>
        </is>
      </c>
      <c r="BD1380" s="24" t="inlineStr">
        <is>
          <t>7443acc419841200d57e1edf36b77f1940cdd0c48dce3d43fcd05498a109440b</t>
        </is>
      </c>
      <c r="BE1380" s="24" t="inlineStr">
        <is>
          <t>tennis-learned-v3</t>
        </is>
      </c>
      <c r="BF1380" s="24" t="inlineStr">
        <is>
          <t>1</t>
        </is>
      </c>
      <c r="BG1380" s="24" t="inlineStr">
        <is>
          <t>7443acc419841200d57e1edf36b77f1940cdd0c48dce3d43fcd05498a109440b</t>
        </is>
      </c>
      <c r="BH1380" s="24" t="inlineStr">
        <is>
          <t>2026-10-13T05:00:05.597363Z</t>
        </is>
      </c>
      <c r="BI1380" s="24" t="inlineStr">
        <is>
          <t>["same_event","same_team_same_day","same_league_same_day"]</t>
        </is>
      </c>
      <c r="BJ1380" s="25" t="n">
        <v>22.5</v>
      </c>
      <c r="BK1380" s="26" t="n">
        <v>-194</v>
      </c>
      <c r="BL1380" s="27" t="n">
        <v>1.515464</v>
      </c>
      <c r="BM1380" s="28" t="n">
        <v>0.659864</v>
      </c>
      <c r="BN1380" s="28" t="n"/>
      <c r="BO1380" s="28" t="n"/>
      <c r="BP1380" s="25" t="n"/>
      <c r="BQ1380" s="27" t="n"/>
      <c r="BR1380" s="28" t="n"/>
      <c r="BS1380" s="28" t="n"/>
      <c r="BT1380" s="28" t="n"/>
      <c r="BU1380" s="25" t="n"/>
      <c r="BV1380" s="29" t="n"/>
      <c r="BW1380" s="24" t="n"/>
      <c r="BX1380" s="30" t="n"/>
      <c r="BY1380" s="27" t="n"/>
      <c r="BZ1380" s="24" t="n"/>
      <c r="CA1380" s="31" t="n"/>
      <c r="CB1380" s="24" t="n"/>
      <c r="CC1380" s="24" t="n"/>
      <c r="CD1380" s="24" t="n"/>
      <c r="CE1380" s="24" t="n"/>
      <c r="CF1380" s="24" t="n"/>
      <c r="CG1380" s="24" t="n"/>
      <c r="CH1380" s="24" t="n"/>
      <c r="CI1380" s="24" t="n"/>
      <c r="CJ1380" s="24" t="n"/>
      <c r="CK1380" s="24" t="n"/>
      <c r="CL1380" s="24" t="n"/>
      <c r="CM1380" s="24" t="n"/>
      <c r="CN1380" s="24" t="n"/>
      <c r="CO1380" s="24" t="n"/>
      <c r="CP1380" s="24" t="n"/>
      <c r="CQ1380" s="24" t="n"/>
      <c r="CR1380" s="24" t="n"/>
      <c r="CS1380" s="24" t="inlineStr">
        <is>
          <t>False</t>
        </is>
      </c>
      <c r="CT1380" s="24" t="n"/>
      <c r="CU1380" s="24" t="n"/>
      <c r="CV1380" s="24" t="n"/>
      <c r="CW1380" s="24" t="n"/>
      <c r="CX1380" s="24" t="n"/>
      <c r="CY1380" s="24" t="n"/>
      <c r="CZ1380" s="24" t="n"/>
      <c r="DA1380" s="24" t="n"/>
      <c r="DB1380" s="24" t="n"/>
      <c r="DC1380" s="24" t="n"/>
      <c r="DD1380" s="24" t="inlineStr">
        <is>
          <t>27a33a6beac6723bb0059876d65e4ff5796e23baa87d17c7c05a8594be3ad641</t>
        </is>
      </c>
      <c r="DE1380" s="24" t="inlineStr">
        <is>
          <t>E:\model-prediction\data\odds\tennis\2026-10-13\polymarket_snapshots.jsonl</t>
        </is>
      </c>
      <c r="DF1380" s="24" t="inlineStr">
        <is>
          <t>1353765:2026-10-13T05:00:05.597363Z</t>
        </is>
      </c>
      <c r="DG1380" s="24" t="n"/>
      <c r="DH1380" s="24" t="n"/>
      <c r="DI1380" s="24" t="n"/>
      <c r="DJ1380" s="24" t="n"/>
      <c r="DK1380" s="24" t="n"/>
      <c r="DL1380" s="24" t="n"/>
      <c r="DM1380" s="24" t="n"/>
      <c r="DN1380" s="24" t="n"/>
      <c r="DO1380" s="24" t="n"/>
      <c r="DP1380" s="24" t="n"/>
      <c r="DQ1380" s="24" t="n"/>
    </row>
    <row r="1381" ht="36" customHeight="1">
      <c r="A1381" s="24" t="inlineStr">
        <is>
          <t>712e08d8042846a0</t>
        </is>
      </c>
      <c r="B1381" s="24" t="inlineStr">
        <is>
          <t>2026-10-13T05:49:22.014322Z</t>
        </is>
      </c>
      <c r="C1381" s="24" t="inlineStr">
        <is>
          <t>2026-10-13T07:00Z</t>
        </is>
      </c>
      <c r="D1381" s="24" t="inlineStr">
        <is>
          <t>381-2026:185339</t>
        </is>
      </c>
      <c r="E1381" s="24" t="inlineStr">
        <is>
          <t>TENNIS</t>
        </is>
      </c>
      <c r="F1381" s="24" t="inlineStr">
        <is>
          <t>Elise Mertens</t>
        </is>
      </c>
      <c r="G1381" s="24" t="inlineStr">
        <is>
          <t>Daria Snigur</t>
        </is>
      </c>
      <c r="H1381" s="24" t="inlineStr">
        <is>
          <t>moneyline</t>
        </is>
      </c>
      <c r="I1381" s="24" t="inlineStr">
        <is>
          <t>away</t>
        </is>
      </c>
      <c r="J1381" s="25" t="n"/>
      <c r="K1381" s="24" t="inlineStr">
        <is>
          <t>polymarket_us</t>
        </is>
      </c>
      <c r="L1381" s="26" t="n">
        <v>-213</v>
      </c>
      <c r="M1381" s="27" t="n">
        <v>1.469484</v>
      </c>
      <c r="N1381" s="28" t="n">
        <v>0.680511</v>
      </c>
      <c r="O1381" s="28" t="n">
        <v>0.6293</v>
      </c>
      <c r="P1381" s="28" t="n">
        <v>0.05</v>
      </c>
      <c r="Q1381" s="28" t="n">
        <v>-0.051211</v>
      </c>
      <c r="R1381" s="26" t="n">
        <v>0</v>
      </c>
      <c r="S1381" s="29" t="n">
        <v>1</v>
      </c>
      <c r="T1381" s="24" t="inlineStr">
        <is>
          <t>tennis-learned-v3</t>
        </is>
      </c>
      <c r="U1381" s="24" t="inlineStr">
        <is>
          <t>settled</t>
        </is>
      </c>
      <c r="V1381" s="24" t="inlineStr">
        <is>
          <t>loss</t>
        </is>
      </c>
      <c r="W1381" s="26" t="n">
        <v>0</v>
      </c>
      <c r="X1381" s="26" t="n">
        <v>1</v>
      </c>
      <c r="Y1381" s="25" t="n"/>
      <c r="Z1381" s="26" t="n">
        <v>-213</v>
      </c>
      <c r="AA1381" s="28" t="n">
        <v>0.68</v>
      </c>
      <c r="AB1381" s="28" t="n">
        <v>-0.000511</v>
      </c>
      <c r="AC1381" s="30" t="n">
        <v>-1</v>
      </c>
      <c r="AD1381" s="24" t="inlineStr">
        <is>
          <t>2026-10-13T16:07:36.930995Z</t>
        </is>
      </c>
      <c r="AE1381" s="31" t="inlineStr">
        <is>
          <t>Tennis v3 Learned Fundamental on Hard (Bo3): Elise Mertens p=0.629 vs Daria Snigur. Executable ask 0.6800 (aec-wta-darsni-elimer-2026-10-11).</t>
        </is>
      </c>
      <c r="AF1381" s="31" t="inlineStr">
        <is>
          <t>Surface-blended Elo model; singles only, WTA+ATP market coverage, not yet locked-holdout qualified -- promoted by explicit operator directive, not genuine walk-forward validation.</t>
        </is>
      </c>
      <c r="AG1381" s="24" t="inlineStr">
        <is>
          <t>review_required</t>
        </is>
      </c>
      <c r="AH1381" s="24" t="n"/>
      <c r="AI1381" s="31" t="n"/>
      <c r="AJ1381" s="31" t="n"/>
      <c r="AK1381" s="24" t="inlineStr">
        <is>
          <t>paper_call</t>
        </is>
      </c>
      <c r="AL1381" s="26" t="n">
        <v>4</v>
      </c>
      <c r="AM1381" s="24" t="inlineStr">
        <is>
          <t>RESEARCH_OBSERVATION</t>
        </is>
      </c>
      <c r="AN1381" s="24" t="inlineStr">
        <is>
          <t>CALL</t>
        </is>
      </c>
      <c r="AO1381" s="24" t="inlineStr">
        <is>
          <t>PAPER_CALL_LOW_EDGE</t>
        </is>
      </c>
      <c r="AP1381" s="24" t="inlineStr">
        <is>
          <t>Elise Mertens</t>
        </is>
      </c>
      <c r="AQ1381" s="24" t="inlineStr">
        <is>
          <t>Elise Mertens</t>
        </is>
      </c>
      <c r="AR1381" s="24" t="inlineStr">
        <is>
          <t>Elise Mertens</t>
        </is>
      </c>
      <c r="AS1381" s="24" t="inlineStr">
        <is>
          <t>Daria Snigur</t>
        </is>
      </c>
      <c r="AT1381" s="24" t="inlineStr">
        <is>
          <t>Daria Snigur</t>
        </is>
      </c>
      <c r="AU1381" s="24" t="inlineStr">
        <is>
          <t>Daria Snigur</t>
        </is>
      </c>
      <c r="AV1381" s="24" t="n"/>
      <c r="AW1381" s="24" t="n"/>
      <c r="AX1381" s="24" t="inlineStr">
        <is>
          <t>statistical_model</t>
        </is>
      </c>
      <c r="AY1381" s="24" t="n"/>
      <c r="AZ1381" s="24" t="inlineStr">
        <is>
          <t>shadow_qualified</t>
        </is>
      </c>
      <c r="BA1381" s="24" t="inlineStr">
        <is>
          <t>7443acc419841200d57e1edf36b77f1940cdd0c48dce3d43fcd05498a109440b</t>
        </is>
      </c>
      <c r="BB1381" s="24" t="inlineStr">
        <is>
          <t>learned_v3</t>
        </is>
      </c>
      <c r="BC1381" s="24" t="inlineStr">
        <is>
          <t>tennis-learned-v3</t>
        </is>
      </c>
      <c r="BD1381" s="24" t="inlineStr">
        <is>
          <t>7443acc419841200d57e1edf36b77f1940cdd0c48dce3d43fcd05498a109440b</t>
        </is>
      </c>
      <c r="BE1381" s="24" t="inlineStr">
        <is>
          <t>tennis-learned-v3</t>
        </is>
      </c>
      <c r="BF1381" s="24" t="inlineStr">
        <is>
          <t>1</t>
        </is>
      </c>
      <c r="BG1381" s="24" t="inlineStr">
        <is>
          <t>7443acc419841200d57e1edf36b77f1940cdd0c48dce3d43fcd05498a109440b</t>
        </is>
      </c>
      <c r="BH1381" s="24" t="inlineStr">
        <is>
          <t>2026-10-13T05:00:34.737360Z</t>
        </is>
      </c>
      <c r="BI1381" s="24" t="inlineStr">
        <is>
          <t>["same_event","same_team_same_day","same_league_same_day"]</t>
        </is>
      </c>
      <c r="BJ1381" s="25" t="n"/>
      <c r="BK1381" s="26" t="n">
        <v>-213</v>
      </c>
      <c r="BL1381" s="27" t="n">
        <v>1.469484</v>
      </c>
      <c r="BM1381" s="28" t="n">
        <v>0.680511</v>
      </c>
      <c r="BN1381" s="28" t="n"/>
      <c r="BO1381" s="28" t="n"/>
      <c r="BP1381" s="25" t="n"/>
      <c r="BQ1381" s="27" t="n">
        <v>1.469484</v>
      </c>
      <c r="BR1381" s="28" t="n">
        <v>0.68</v>
      </c>
      <c r="BS1381" s="28" t="n"/>
      <c r="BT1381" s="28" t="n"/>
      <c r="BU1381" s="25" t="n"/>
      <c r="BV1381" s="29" t="n"/>
      <c r="BW1381" s="24" t="n"/>
      <c r="BX1381" s="30" t="n"/>
      <c r="BY1381" s="27" t="n"/>
      <c r="BZ1381" s="24" t="n"/>
      <c r="CA1381" s="31" t="n"/>
      <c r="CB1381" s="24" t="n"/>
      <c r="CC1381" s="24" t="n"/>
      <c r="CD1381" s="24" t="n"/>
      <c r="CE1381" s="24" t="n"/>
      <c r="CF1381" s="24" t="n"/>
      <c r="CG1381" s="24" t="n"/>
      <c r="CH1381" s="24" t="n"/>
      <c r="CI1381" s="24" t="n"/>
      <c r="CJ1381" s="24" t="n"/>
      <c r="CK1381" s="24" t="n"/>
      <c r="CL1381" s="24" t="n"/>
      <c r="CM1381" s="24" t="n"/>
      <c r="CN1381" s="24" t="n"/>
      <c r="CO1381" s="24" t="n"/>
      <c r="CP1381" s="24" t="n"/>
      <c r="CQ1381" s="24" t="n"/>
      <c r="CR1381" s="24" t="n"/>
      <c r="CS1381" s="24" t="inlineStr">
        <is>
          <t>False</t>
        </is>
      </c>
      <c r="CT1381" s="24" t="n"/>
      <c r="CU1381" s="24" t="n"/>
      <c r="CV1381" s="24" t="n"/>
      <c r="CW1381" s="24" t="n"/>
      <c r="CX1381" s="24" t="n"/>
      <c r="CY1381" s="24" t="n"/>
      <c r="CZ1381" s="24" t="n"/>
      <c r="DA1381" s="24" t="n"/>
      <c r="DB1381" s="24" t="n"/>
      <c r="DC1381" s="24" t="n"/>
      <c r="DD1381" s="24" t="inlineStr">
        <is>
          <t>1a69d5872458634548ac7ab75237a6874c3b26fead1889804d3eff3b4e785eeb</t>
        </is>
      </c>
      <c r="DE1381" s="24" t="inlineStr">
        <is>
          <t>E:\model-prediction\data\odds\tennis\2026-10-13\polymarket_snapshots.jsonl</t>
        </is>
      </c>
      <c r="DF1381" s="24" t="inlineStr">
        <is>
          <t>1333576:2026-10-13T05:00:34.737360Z</t>
        </is>
      </c>
      <c r="DG1381" s="24" t="n"/>
      <c r="DH1381" s="24" t="n"/>
      <c r="DI1381" s="24" t="n"/>
      <c r="DJ1381" s="24" t="n"/>
      <c r="DK1381" s="24" t="n"/>
      <c r="DL1381" s="24" t="n"/>
      <c r="DM1381" s="24" t="n"/>
      <c r="DN1381" s="24" t="n"/>
      <c r="DO1381" s="24" t="n"/>
      <c r="DP1381" s="24" t="n"/>
      <c r="DQ1381" s="24" t="inlineStr">
        <is>
          <t>{"artifact_hash": "7443acc419841200d57e1edf36b77f1940cdd0c48dce3d43fcd05498a109440b", "away_team": "Elise Mertens", "event_id": "381-2026:185339", "event_start_utc": "2026-10-13T07:00Z", "features": {"elo_p1_surface": 1695.7, "elo_p2_surface": 1669.4, "expected_games_p1": 13.45, "expected_games_p2": 9.3, "expected_total_games": 22.75, "history_matches": 16744, "min_player_matches": 90, "surface": "Hard"}, "historical_source_observation_times_verified": false, "home_team": "Daria Snigur", "inference_inputs": {"best_of": 3, "code_sha256": {"features/elo_ratings.py": "d6513e79d65448c06cc0f9b9eed0eaa091567835128e1f6647a310da8d78a872", "models/tennis.py": "7443acc419841200d57e1edf36b77f1940cdd0c48dce3d43fcd05498a109440b"}, "counts": [158, 90], "market_probability": null, "model_version": "tennis-learned-v3", "overall_ratings": [1817.457606176088, 1739.417092718448], "p_serve_a": 0.6283173668209279, "p_serve_b": 0.5516826331790721, "players": ["Elise Mertens", "Daria Snigur"], "rest_days": [2.0, 7.0], "sport": "TENNIS", "surface": "Hard", "surface_counts": [122, 61], "surface_ratings": [1695.6932349423646, 1669.372879173847], "tour": "WTA"}, "market_type": "moneyline", "model_version": "tennis-learned-v3", "observed_at_utc": "2026-10-13T05:49:19.315977+00:00", "probabilities": {"away": 0.6293, "home": 0.3707}, "replay_scope": "Exact full-precision serving state and rounding; upstream historical observation times are not certified.", "schema": "coded-moneyline-replay-v1", "snapshot_hash": "5d2699539a16f1b780c15f02a1a193ff7bbb6716cb25fde0a3aedb286b963147", "sport": "TENNIS"}</t>
        </is>
      </c>
    </row>
    <row r="1382" ht="36" customHeight="1">
      <c r="A1382" s="24" t="inlineStr">
        <is>
          <t>f0ca824fd9104fcc</t>
        </is>
      </c>
      <c r="B1382" s="24" t="inlineStr">
        <is>
          <t>2026-10-13T05:49:22.014322Z</t>
        </is>
      </c>
      <c r="C1382" s="24" t="inlineStr">
        <is>
          <t>2026-10-13T07:00Z</t>
        </is>
      </c>
      <c r="D1382" s="24" t="inlineStr">
        <is>
          <t>381-2026:185339</t>
        </is>
      </c>
      <c r="E1382" s="24" t="inlineStr">
        <is>
          <t>TENNIS</t>
        </is>
      </c>
      <c r="F1382" s="24" t="inlineStr">
        <is>
          <t>Elise Mertens</t>
        </is>
      </c>
      <c r="G1382" s="24" t="inlineStr">
        <is>
          <t>Daria Snigur</t>
        </is>
      </c>
      <c r="H1382" s="24" t="inlineStr">
        <is>
          <t>spread</t>
        </is>
      </c>
      <c r="I1382" s="24" t="inlineStr">
        <is>
          <t>away</t>
        </is>
      </c>
      <c r="J1382" s="25" t="n">
        <v>-4.5</v>
      </c>
      <c r="K1382" s="24" t="inlineStr">
        <is>
          <t>polymarket_us</t>
        </is>
      </c>
      <c r="L1382" s="26" t="n">
        <v>-156</v>
      </c>
      <c r="M1382" s="27" t="n">
        <v>1.641026</v>
      </c>
      <c r="N1382" s="28" t="n">
        <v>0.609375</v>
      </c>
      <c r="O1382" s="28" t="n">
        <v>0.9658</v>
      </c>
      <c r="P1382" s="28" t="n">
        <v>0.05</v>
      </c>
      <c r="Q1382" s="28" t="n">
        <v>0.356425</v>
      </c>
      <c r="R1382" s="26" t="n">
        <v>100</v>
      </c>
      <c r="S1382" s="29" t="n">
        <v>2</v>
      </c>
      <c r="T1382" s="24" t="inlineStr">
        <is>
          <t>tennis-learned-v3</t>
        </is>
      </c>
      <c r="U1382" s="24" t="inlineStr">
        <is>
          <t>settled</t>
        </is>
      </c>
      <c r="V1382" s="24" t="inlineStr">
        <is>
          <t>loss</t>
        </is>
      </c>
      <c r="W1382" s="26" t="n">
        <v>9</v>
      </c>
      <c r="X1382" s="26" t="n">
        <v>13</v>
      </c>
      <c r="Y1382" s="25" t="n"/>
      <c r="Z1382" s="26" t="n"/>
      <c r="AA1382" s="28" t="n"/>
      <c r="AB1382" s="28" t="n"/>
      <c r="AC1382" s="30" t="n">
        <v>-2</v>
      </c>
      <c r="AD1382" s="24" t="inlineStr">
        <is>
          <t>2026-10-13T16:07:44.089686Z</t>
        </is>
      </c>
      <c r="AE1382" s="31" t="inlineStr">
        <is>
          <t>Tennis Markov game spread -4.5 games: away cover p=0.966. Executable ask 0.6100 (asc-wta-darsni-elimer-2026-10-11-gs-neg-4pt5).</t>
        </is>
      </c>
      <c r="AF1382" s="31" t="inlineStr">
        <is>
          <t>Surface-blended Elo model; singles only, WTA+ATP market coverage, not yet locked-holdout qualified -- promoted by explicit operator directive, not genuine walk-forward validation.</t>
        </is>
      </c>
      <c r="AG1382" s="24" t="inlineStr">
        <is>
          <t>review_required</t>
        </is>
      </c>
      <c r="AH1382" s="24" t="n"/>
      <c r="AI1382" s="31" t="n"/>
      <c r="AJ1382" s="31" t="n"/>
      <c r="AK1382" s="24" t="inlineStr">
        <is>
          <t>model_qualified</t>
        </is>
      </c>
      <c r="AL1382" s="26" t="n">
        <v>4</v>
      </c>
      <c r="AM1382" s="24" t="inlineStr">
        <is>
          <t>QUALIFIED_SHADOW_CALL</t>
        </is>
      </c>
      <c r="AN1382" s="24" t="inlineStr">
        <is>
          <t>CALL</t>
        </is>
      </c>
      <c r="AO1382" s="24" t="inlineStr">
        <is>
          <t>QUALIFIED</t>
        </is>
      </c>
      <c r="AP1382" s="24" t="inlineStr">
        <is>
          <t>Elise Mertens</t>
        </is>
      </c>
      <c r="AQ1382" s="24" t="inlineStr">
        <is>
          <t>Elise Mertens</t>
        </is>
      </c>
      <c r="AR1382" s="24" t="inlineStr">
        <is>
          <t>Elise Mertens</t>
        </is>
      </c>
      <c r="AS1382" s="24" t="inlineStr">
        <is>
          <t>Daria Snigur</t>
        </is>
      </c>
      <c r="AT1382" s="24" t="inlineStr">
        <is>
          <t>Daria Snigur</t>
        </is>
      </c>
      <c r="AU1382" s="24" t="inlineStr">
        <is>
          <t>Daria Snigur</t>
        </is>
      </c>
      <c r="AV1382" s="24" t="n"/>
      <c r="AW1382" s="24" t="n"/>
      <c r="AX1382" s="24" t="inlineStr">
        <is>
          <t>statistical_model</t>
        </is>
      </c>
      <c r="AY1382" s="24" t="n"/>
      <c r="AZ1382" s="24" t="inlineStr">
        <is>
          <t>shadow_qualified</t>
        </is>
      </c>
      <c r="BA1382" s="24" t="inlineStr">
        <is>
          <t>7443acc419841200d57e1edf36b77f1940cdd0c48dce3d43fcd05498a109440b</t>
        </is>
      </c>
      <c r="BB1382" s="24" t="inlineStr">
        <is>
          <t>learned_v3</t>
        </is>
      </c>
      <c r="BC1382" s="24" t="inlineStr">
        <is>
          <t>tennis-learned-v3</t>
        </is>
      </c>
      <c r="BD1382" s="24" t="inlineStr">
        <is>
          <t>7443acc419841200d57e1edf36b77f1940cdd0c48dce3d43fcd05498a109440b</t>
        </is>
      </c>
      <c r="BE1382" s="24" t="inlineStr">
        <is>
          <t>tennis-learned-v3</t>
        </is>
      </c>
      <c r="BF1382" s="24" t="inlineStr">
        <is>
          <t>1</t>
        </is>
      </c>
      <c r="BG1382" s="24" t="inlineStr">
        <is>
          <t>7443acc419841200d57e1edf36b77f1940cdd0c48dce3d43fcd05498a109440b</t>
        </is>
      </c>
      <c r="BH1382" s="24" t="inlineStr">
        <is>
          <t>2026-10-13T05:00:44.772135Z</t>
        </is>
      </c>
      <c r="BI1382" s="24" t="inlineStr">
        <is>
          <t>["same_event","same_team_same_day","same_league_same_day"]</t>
        </is>
      </c>
      <c r="BJ1382" s="25" t="n">
        <v>-4.5</v>
      </c>
      <c r="BK1382" s="26" t="n">
        <v>-156</v>
      </c>
      <c r="BL1382" s="27" t="n">
        <v>1.641026</v>
      </c>
      <c r="BM1382" s="28" t="n">
        <v>0.609375</v>
      </c>
      <c r="BN1382" s="28" t="n"/>
      <c r="BO1382" s="28" t="n"/>
      <c r="BP1382" s="25" t="n"/>
      <c r="BQ1382" s="27" t="n"/>
      <c r="BR1382" s="28" t="n"/>
      <c r="BS1382" s="28" t="n"/>
      <c r="BT1382" s="28" t="n"/>
      <c r="BU1382" s="25" t="n"/>
      <c r="BV1382" s="29" t="n"/>
      <c r="BW1382" s="24" t="n"/>
      <c r="BX1382" s="30" t="n"/>
      <c r="BY1382" s="27" t="n"/>
      <c r="BZ1382" s="24" t="n"/>
      <c r="CA1382" s="31" t="n"/>
      <c r="CB1382" s="24" t="n"/>
      <c r="CC1382" s="24" t="n"/>
      <c r="CD1382" s="24" t="n"/>
      <c r="CE1382" s="24" t="n"/>
      <c r="CF1382" s="24" t="n"/>
      <c r="CG1382" s="24" t="n"/>
      <c r="CH1382" s="24" t="n"/>
      <c r="CI1382" s="24" t="n"/>
      <c r="CJ1382" s="24" t="n"/>
      <c r="CK1382" s="24" t="n"/>
      <c r="CL1382" s="24" t="n"/>
      <c r="CM1382" s="24" t="n"/>
      <c r="CN1382" s="24" t="n"/>
      <c r="CO1382" s="24" t="n"/>
      <c r="CP1382" s="24" t="n"/>
      <c r="CQ1382" s="24" t="n"/>
      <c r="CR1382" s="24" t="n"/>
      <c r="CS1382" s="24" t="inlineStr">
        <is>
          <t>True</t>
        </is>
      </c>
      <c r="CT1382" s="24" t="n"/>
      <c r="CU1382" s="24" t="n"/>
      <c r="CV1382" s="24" t="n"/>
      <c r="CW1382" s="24" t="n"/>
      <c r="CX1382" s="24" t="n"/>
      <c r="CY1382" s="24" t="n"/>
      <c r="CZ1382" s="24" t="n"/>
      <c r="DA1382" s="24" t="n"/>
      <c r="DB1382" s="24" t="n"/>
      <c r="DC1382" s="24" t="n"/>
      <c r="DD1382" s="24" t="inlineStr">
        <is>
          <t>c6991e5f1324280edc93c9deeb16d61415f92a6aae9e7f913485703836b6a0c0</t>
        </is>
      </c>
      <c r="DE1382" s="24" t="inlineStr">
        <is>
          <t>E:\model-prediction\data\odds\tennis\2026-10-13\polymarket_snapshots.jsonl</t>
        </is>
      </c>
      <c r="DF1382" s="24" t="inlineStr">
        <is>
          <t>1353784:2026-10-13T05:00:44.772135Z</t>
        </is>
      </c>
      <c r="DG1382" s="24" t="n"/>
      <c r="DH1382" s="24" t="n"/>
      <c r="DI1382" s="24" t="n"/>
      <c r="DJ1382" s="24" t="n"/>
      <c r="DK1382" s="24" t="n"/>
      <c r="DL1382" s="24" t="n"/>
      <c r="DM1382" s="24" t="n"/>
      <c r="DN1382" s="24" t="n"/>
      <c r="DO1382" s="24" t="n"/>
      <c r="DP1382" s="24" t="n"/>
      <c r="DQ1382" s="24" t="n"/>
    </row>
    <row r="1383" ht="36" customHeight="1">
      <c r="A1383" s="24" t="inlineStr">
        <is>
          <t>e7277437cbb04cb5</t>
        </is>
      </c>
      <c r="B1383" s="24" t="inlineStr">
        <is>
          <t>2026-10-13T05:49:22.014322Z</t>
        </is>
      </c>
      <c r="C1383" s="24" t="inlineStr">
        <is>
          <t>2026-10-13T07:30Z</t>
        </is>
      </c>
      <c r="D1383" s="24" t="inlineStr">
        <is>
          <t>381-2026:185343</t>
        </is>
      </c>
      <c r="E1383" s="24" t="inlineStr">
        <is>
          <t>TENNIS</t>
        </is>
      </c>
      <c r="F1383" s="24" t="inlineStr">
        <is>
          <t>Camila Osorio</t>
        </is>
      </c>
      <c r="G1383" s="24" t="inlineStr">
        <is>
          <t>Ann Li</t>
        </is>
      </c>
      <c r="H1383" s="24" t="inlineStr">
        <is>
          <t>spread</t>
        </is>
      </c>
      <c r="I1383" s="24" t="inlineStr">
        <is>
          <t>away</t>
        </is>
      </c>
      <c r="J1383" s="25" t="n">
        <v>-7.5</v>
      </c>
      <c r="K1383" s="24" t="inlineStr">
        <is>
          <t>polymarket_us</t>
        </is>
      </c>
      <c r="L1383" s="26" t="n">
        <v>-127</v>
      </c>
      <c r="M1383" s="27" t="n">
        <v>1.787402</v>
      </c>
      <c r="N1383" s="28" t="n">
        <v>0.5594710000000001</v>
      </c>
      <c r="O1383" s="28" t="n">
        <v>0.9330000000000001</v>
      </c>
      <c r="P1383" s="28" t="n">
        <v>0.05</v>
      </c>
      <c r="Q1383" s="28" t="n">
        <v>0.373529</v>
      </c>
      <c r="R1383" s="26" t="n">
        <v>100</v>
      </c>
      <c r="S1383" s="29" t="n">
        <v>2</v>
      </c>
      <c r="T1383" s="24" t="inlineStr">
        <is>
          <t>tennis-learned-v3</t>
        </is>
      </c>
      <c r="U1383" s="24" t="inlineStr">
        <is>
          <t>settled</t>
        </is>
      </c>
      <c r="V1383" s="24" t="inlineStr">
        <is>
          <t>push</t>
        </is>
      </c>
      <c r="W1383" s="26" t="n"/>
      <c r="X1383" s="26" t="n"/>
      <c r="Y1383" s="25" t="n"/>
      <c r="Z1383" s="26" t="n"/>
      <c r="AA1383" s="28" t="n"/>
      <c r="AB1383" s="28" t="n"/>
      <c r="AC1383" s="30" t="n">
        <v>0</v>
      </c>
      <c r="AD1383" s="24" t="inlineStr">
        <is>
          <t>2026-10-13T16:07:51.449924Z</t>
        </is>
      </c>
      <c r="AE1383" s="31" t="inlineStr">
        <is>
          <t>Tennis Markov game spread -7.5 games: away cover p=0.933. Executable ask 0.5600 (asc-wta-annli-camoso-2026-10-12-gs-neg-7pt5).</t>
        </is>
      </c>
      <c r="AF1383" s="31" t="inlineStr">
        <is>
          <t>Surface-blended Elo model; singles only, WTA+ATP market coverage, not yet locked-holdout qualified -- promoted by explicit operator directive, not genuine walk-forward validation.</t>
        </is>
      </c>
      <c r="AG1383" s="24" t="inlineStr">
        <is>
          <t>not_applicable</t>
        </is>
      </c>
      <c r="AH1383" s="24" t="n"/>
      <c r="AI1383" s="31" t="n"/>
      <c r="AJ1383" s="31" t="n"/>
      <c r="AK1383" s="24" t="inlineStr">
        <is>
          <t>model_qualified</t>
        </is>
      </c>
      <c r="AL1383" s="26" t="n">
        <v>4</v>
      </c>
      <c r="AM1383" s="24" t="inlineStr">
        <is>
          <t>QUALIFIED_SHADOW_CALL</t>
        </is>
      </c>
      <c r="AN1383" s="24" t="inlineStr">
        <is>
          <t>CALL</t>
        </is>
      </c>
      <c r="AO1383" s="24" t="inlineStr">
        <is>
          <t>QUALIFIED</t>
        </is>
      </c>
      <c r="AP1383" s="24" t="inlineStr">
        <is>
          <t>Camila Osorio</t>
        </is>
      </c>
      <c r="AQ1383" s="24" t="inlineStr">
        <is>
          <t>Camila Osorio</t>
        </is>
      </c>
      <c r="AR1383" s="24" t="inlineStr">
        <is>
          <t>Camila Osorio</t>
        </is>
      </c>
      <c r="AS1383" s="24" t="inlineStr">
        <is>
          <t>Ann Li</t>
        </is>
      </c>
      <c r="AT1383" s="24" t="inlineStr">
        <is>
          <t>Ann Li</t>
        </is>
      </c>
      <c r="AU1383" s="24" t="inlineStr">
        <is>
          <t>Ann Li</t>
        </is>
      </c>
      <c r="AV1383" s="24" t="n"/>
      <c r="AW1383" s="24" t="n"/>
      <c r="AX1383" s="24" t="inlineStr">
        <is>
          <t>statistical_model</t>
        </is>
      </c>
      <c r="AY1383" s="24" t="n"/>
      <c r="AZ1383" s="24" t="inlineStr">
        <is>
          <t>shadow_qualified</t>
        </is>
      </c>
      <c r="BA1383" s="24" t="inlineStr">
        <is>
          <t>7443acc419841200d57e1edf36b77f1940cdd0c48dce3d43fcd05498a109440b</t>
        </is>
      </c>
      <c r="BB1383" s="24" t="inlineStr">
        <is>
          <t>learned_v3</t>
        </is>
      </c>
      <c r="BC1383" s="24" t="inlineStr">
        <is>
          <t>tennis-learned-v3</t>
        </is>
      </c>
      <c r="BD1383" s="24" t="inlineStr">
        <is>
          <t>7443acc419841200d57e1edf36b77f1940cdd0c48dce3d43fcd05498a109440b</t>
        </is>
      </c>
      <c r="BE1383" s="24" t="inlineStr">
        <is>
          <t>tennis-learned-v3</t>
        </is>
      </c>
      <c r="BF1383" s="24" t="inlineStr">
        <is>
          <t>1</t>
        </is>
      </c>
      <c r="BG1383" s="24" t="inlineStr">
        <is>
          <t>7443acc419841200d57e1edf36b77f1940cdd0c48dce3d43fcd05498a109440b</t>
        </is>
      </c>
      <c r="BH1383" s="24" t="inlineStr">
        <is>
          <t>2026-10-13T05:01:04.983760Z</t>
        </is>
      </c>
      <c r="BI1383" s="24" t="inlineStr">
        <is>
          <t>["same_event","same_team_same_day","same_league_same_day"]</t>
        </is>
      </c>
      <c r="BJ1383" s="25" t="n">
        <v>-7.5</v>
      </c>
      <c r="BK1383" s="26" t="n">
        <v>-127</v>
      </c>
      <c r="BL1383" s="27" t="n">
        <v>1.787402</v>
      </c>
      <c r="BM1383" s="28" t="n">
        <v>0.5594710000000001</v>
      </c>
      <c r="BN1383" s="28" t="n"/>
      <c r="BO1383" s="28" t="n"/>
      <c r="BP1383" s="25" t="n"/>
      <c r="BQ1383" s="27" t="n"/>
      <c r="BR1383" s="28" t="n"/>
      <c r="BS1383" s="28" t="n"/>
      <c r="BT1383" s="28" t="n"/>
      <c r="BU1383" s="25" t="n"/>
      <c r="BV1383" s="29" t="n"/>
      <c r="BW1383" s="24" t="inlineStr">
        <is>
          <t>UNGRADEABLE_TENNIS_DERIVATIVE: irregular result marker 'retire' in ESPN status/notes</t>
        </is>
      </c>
      <c r="BX1383" s="30" t="n"/>
      <c r="BY1383" s="27" t="n"/>
      <c r="BZ1383" s="24" t="n"/>
      <c r="CA1383" s="31" t="n"/>
      <c r="CB1383" s="24" t="n"/>
      <c r="CC1383" s="24" t="n"/>
      <c r="CD1383" s="24" t="n"/>
      <c r="CE1383" s="24" t="n"/>
      <c r="CF1383" s="24" t="n"/>
      <c r="CG1383" s="24" t="n"/>
      <c r="CH1383" s="24" t="n"/>
      <c r="CI1383" s="24" t="n"/>
      <c r="CJ1383" s="24" t="n"/>
      <c r="CK1383" s="24" t="n"/>
      <c r="CL1383" s="24" t="n"/>
      <c r="CM1383" s="24" t="n"/>
      <c r="CN1383" s="24" t="n"/>
      <c r="CO1383" s="24" t="n"/>
      <c r="CP1383" s="24" t="n"/>
      <c r="CQ1383" s="24" t="n"/>
      <c r="CR1383" s="24" t="n"/>
      <c r="CS1383" s="24" t="inlineStr">
        <is>
          <t>True</t>
        </is>
      </c>
      <c r="CT1383" s="24" t="n"/>
      <c r="CU1383" s="24" t="n"/>
      <c r="CV1383" s="24" t="n"/>
      <c r="CW1383" s="24" t="n"/>
      <c r="CX1383" s="24" t="n"/>
      <c r="CY1383" s="24" t="n"/>
      <c r="CZ1383" s="24" t="n"/>
      <c r="DA1383" s="24" t="n"/>
      <c r="DB1383" s="24" t="n"/>
      <c r="DC1383" s="24" t="n"/>
      <c r="DD1383" s="24" t="inlineStr">
        <is>
          <t>5fa75ec08b8b06f1c016f65ab729cccba54ec66ca0157cede6d7bfa882d3fba3</t>
        </is>
      </c>
      <c r="DE1383" s="24" t="inlineStr">
        <is>
          <t>E:\model-prediction\data\odds\tennis\2026-10-13\polymarket_snapshots.jsonl</t>
        </is>
      </c>
      <c r="DF1383" s="24" t="inlineStr">
        <is>
          <t>1386413:2026-10-13T05:01:04.983760Z</t>
        </is>
      </c>
      <c r="DG1383" s="24" t="n"/>
      <c r="DH1383" s="24" t="n"/>
      <c r="DI1383" s="24" t="n"/>
      <c r="DJ1383" s="24" t="n"/>
      <c r="DK1383" s="24" t="n"/>
      <c r="DL1383" s="24" t="n"/>
      <c r="DM1383" s="24" t="n"/>
      <c r="DN1383" s="24" t="n"/>
      <c r="DO1383" s="24" t="n"/>
      <c r="DP1383" s="24" t="n"/>
      <c r="DQ1383" s="24" t="n"/>
    </row>
    <row r="1384" ht="36" customHeight="1">
      <c r="A1384" s="24" t="inlineStr">
        <is>
          <t>f95afbef64d642ba</t>
        </is>
      </c>
      <c r="B1384" s="24" t="inlineStr">
        <is>
          <t>2026-10-13T05:49:22.014322Z</t>
        </is>
      </c>
      <c r="C1384" s="24" t="inlineStr">
        <is>
          <t>2026-10-13T07:30Z</t>
        </is>
      </c>
      <c r="D1384" s="24" t="inlineStr">
        <is>
          <t>381-2026:185343</t>
        </is>
      </c>
      <c r="E1384" s="24" t="inlineStr">
        <is>
          <t>TENNIS</t>
        </is>
      </c>
      <c r="F1384" s="24" t="inlineStr">
        <is>
          <t>Camila Osorio</t>
        </is>
      </c>
      <c r="G1384" s="24" t="inlineStr">
        <is>
          <t>Ann Li</t>
        </is>
      </c>
      <c r="H1384" s="24" t="inlineStr">
        <is>
          <t>total</t>
        </is>
      </c>
      <c r="I1384" s="24" t="inlineStr">
        <is>
          <t>over</t>
        </is>
      </c>
      <c r="J1384" s="25" t="n">
        <v>17.5</v>
      </c>
      <c r="K1384" s="24" t="inlineStr">
        <is>
          <t>polymarket_us</t>
        </is>
      </c>
      <c r="L1384" s="26" t="n">
        <v>-9900</v>
      </c>
      <c r="M1384" s="27" t="n">
        <v>1.010101</v>
      </c>
      <c r="N1384" s="28" t="n">
        <v>0.99</v>
      </c>
      <c r="O1384" s="28" t="n">
        <v>0.8747</v>
      </c>
      <c r="P1384" s="28" t="n">
        <v>0.05</v>
      </c>
      <c r="Q1384" s="28" t="n">
        <v>-0.1153</v>
      </c>
      <c r="R1384" s="26" t="n">
        <v>0</v>
      </c>
      <c r="S1384" s="29" t="n">
        <v>1</v>
      </c>
      <c r="T1384" s="24" t="inlineStr">
        <is>
          <t>tennis-learned-v3</t>
        </is>
      </c>
      <c r="U1384" s="24" t="inlineStr">
        <is>
          <t>settled</t>
        </is>
      </c>
      <c r="V1384" s="24" t="inlineStr">
        <is>
          <t>push</t>
        </is>
      </c>
      <c r="W1384" s="26" t="n"/>
      <c r="X1384" s="26" t="n"/>
      <c r="Y1384" s="25" t="n"/>
      <c r="Z1384" s="26" t="n"/>
      <c r="AA1384" s="28" t="n"/>
      <c r="AB1384" s="28" t="n"/>
      <c r="AC1384" s="30" t="n">
        <v>0</v>
      </c>
      <c r="AD1384" s="24" t="inlineStr">
        <is>
          <t>2026-10-13T16:07:56.815845Z</t>
        </is>
      </c>
      <c r="AE1384" s="31" t="inlineStr">
        <is>
          <t>Tennis Markov total games line 17.5: over p=0.875. Executable ask 0.9900 (tsc-wta-annli-camoso-2026-10-12-tg-17pt5).</t>
        </is>
      </c>
      <c r="AF1384" s="31" t="inlineStr">
        <is>
          <t>Surface-blended Elo model; singles only, WTA+ATP market coverage, not yet locked-holdout qualified -- promoted by explicit operator directive, not genuine walk-forward validation.</t>
        </is>
      </c>
      <c r="AG1384" s="24" t="inlineStr">
        <is>
          <t>not_applicable</t>
        </is>
      </c>
      <c r="AH1384" s="24" t="n"/>
      <c r="AI1384" s="31" t="n"/>
      <c r="AJ1384" s="31" t="n"/>
      <c r="AK1384" s="24" t="inlineStr">
        <is>
          <t>paper_call</t>
        </is>
      </c>
      <c r="AL1384" s="26" t="n">
        <v>4</v>
      </c>
      <c r="AM1384" s="24" t="inlineStr">
        <is>
          <t>RESEARCH_OBSERVATION</t>
        </is>
      </c>
      <c r="AN1384" s="24" t="inlineStr">
        <is>
          <t>CALL</t>
        </is>
      </c>
      <c r="AO1384" s="24" t="inlineStr">
        <is>
          <t>PAPER_CALL_LOW_EDGE</t>
        </is>
      </c>
      <c r="AP1384" s="24" t="inlineStr">
        <is>
          <t>Camila Osorio</t>
        </is>
      </c>
      <c r="AQ1384" s="24" t="inlineStr">
        <is>
          <t>Camila Osorio</t>
        </is>
      </c>
      <c r="AR1384" s="24" t="inlineStr">
        <is>
          <t>Camila Osorio</t>
        </is>
      </c>
      <c r="AS1384" s="24" t="inlineStr">
        <is>
          <t>Ann Li</t>
        </is>
      </c>
      <c r="AT1384" s="24" t="inlineStr">
        <is>
          <t>Ann Li</t>
        </is>
      </c>
      <c r="AU1384" s="24" t="inlineStr">
        <is>
          <t>Ann Li</t>
        </is>
      </c>
      <c r="AV1384" s="24" t="n"/>
      <c r="AW1384" s="24" t="n"/>
      <c r="AX1384" s="24" t="inlineStr">
        <is>
          <t>statistical_model</t>
        </is>
      </c>
      <c r="AY1384" s="24" t="n"/>
      <c r="AZ1384" s="24" t="inlineStr">
        <is>
          <t>shadow_qualified</t>
        </is>
      </c>
      <c r="BA1384" s="24" t="inlineStr">
        <is>
          <t>7443acc419841200d57e1edf36b77f1940cdd0c48dce3d43fcd05498a109440b</t>
        </is>
      </c>
      <c r="BB1384" s="24" t="inlineStr">
        <is>
          <t>learned_v3</t>
        </is>
      </c>
      <c r="BC1384" s="24" t="inlineStr">
        <is>
          <t>tennis-learned-v3</t>
        </is>
      </c>
      <c r="BD1384" s="24" t="inlineStr">
        <is>
          <t>7443acc419841200d57e1edf36b77f1940cdd0c48dce3d43fcd05498a109440b</t>
        </is>
      </c>
      <c r="BE1384" s="24" t="inlineStr">
        <is>
          <t>tennis-learned-v3</t>
        </is>
      </c>
      <c r="BF1384" s="24" t="inlineStr">
        <is>
          <t>1</t>
        </is>
      </c>
      <c r="BG1384" s="24" t="inlineStr">
        <is>
          <t>7443acc419841200d57e1edf36b77f1940cdd0c48dce3d43fcd05498a109440b</t>
        </is>
      </c>
      <c r="BH1384" s="24" t="inlineStr">
        <is>
          <t>2026-10-13T05:01:04.988544Z</t>
        </is>
      </c>
      <c r="BI1384" s="24" t="inlineStr">
        <is>
          <t>["same_event","same_team_same_day","same_league_same_day"]</t>
        </is>
      </c>
      <c r="BJ1384" s="25" t="n">
        <v>17.5</v>
      </c>
      <c r="BK1384" s="26" t="n">
        <v>-9900</v>
      </c>
      <c r="BL1384" s="27" t="n">
        <v>1.010101</v>
      </c>
      <c r="BM1384" s="28" t="n">
        <v>0.99</v>
      </c>
      <c r="BN1384" s="28" t="n"/>
      <c r="BO1384" s="28" t="n"/>
      <c r="BP1384" s="25" t="n"/>
      <c r="BQ1384" s="27" t="n"/>
      <c r="BR1384" s="28" t="n"/>
      <c r="BS1384" s="28" t="n"/>
      <c r="BT1384" s="28" t="n"/>
      <c r="BU1384" s="25" t="n"/>
      <c r="BV1384" s="29" t="n"/>
      <c r="BW1384" s="24" t="inlineStr">
        <is>
          <t>UNGRADEABLE_TENNIS_DERIVATIVE: irregular result marker 'retire' in ESPN status/notes</t>
        </is>
      </c>
      <c r="BX1384" s="30" t="n"/>
      <c r="BY1384" s="27" t="n"/>
      <c r="BZ1384" s="24" t="n"/>
      <c r="CA1384" s="31" t="n"/>
      <c r="CB1384" s="24" t="n"/>
      <c r="CC1384" s="24" t="n"/>
      <c r="CD1384" s="24" t="n"/>
      <c r="CE1384" s="24" t="n"/>
      <c r="CF1384" s="24" t="n"/>
      <c r="CG1384" s="24" t="n"/>
      <c r="CH1384" s="24" t="n"/>
      <c r="CI1384" s="24" t="n"/>
      <c r="CJ1384" s="24" t="n"/>
      <c r="CK1384" s="24" t="n"/>
      <c r="CL1384" s="24" t="n"/>
      <c r="CM1384" s="24" t="n"/>
      <c r="CN1384" s="24" t="n"/>
      <c r="CO1384" s="24" t="n"/>
      <c r="CP1384" s="24" t="n"/>
      <c r="CQ1384" s="24" t="n"/>
      <c r="CR1384" s="24" t="n"/>
      <c r="CS1384" s="24" t="inlineStr">
        <is>
          <t>False</t>
        </is>
      </c>
      <c r="CT1384" s="24" t="n"/>
      <c r="CU1384" s="24" t="n"/>
      <c r="CV1384" s="24" t="n"/>
      <c r="CW1384" s="24" t="n"/>
      <c r="CX1384" s="24" t="n"/>
      <c r="CY1384" s="24" t="n"/>
      <c r="CZ1384" s="24" t="n"/>
      <c r="DA1384" s="24" t="n"/>
      <c r="DB1384" s="24" t="n"/>
      <c r="DC1384" s="24" t="n"/>
      <c r="DD1384" s="24" t="inlineStr">
        <is>
          <t>4d19acf3ea521f4051deb60340cf2c76fcf49fd6f40a2b8ee19ac3c64177ad08</t>
        </is>
      </c>
      <c r="DE1384" s="24" t="inlineStr">
        <is>
          <t>E:\model-prediction\data\odds\tennis\2026-10-13\polymarket_snapshots.jsonl</t>
        </is>
      </c>
      <c r="DF1384" s="24" t="inlineStr">
        <is>
          <t>1386409:2026-10-13T05:01:04.988544Z</t>
        </is>
      </c>
      <c r="DG1384" s="24" t="n"/>
      <c r="DH1384" s="24" t="n"/>
      <c r="DI1384" s="24" t="n"/>
      <c r="DJ1384" s="24" t="n"/>
      <c r="DK1384" s="24" t="n"/>
      <c r="DL1384" s="24" t="n"/>
      <c r="DM1384" s="24" t="n"/>
      <c r="DN1384" s="24" t="n"/>
      <c r="DO1384" s="24" t="n"/>
      <c r="DP1384" s="24" t="n"/>
      <c r="DQ1384" s="24" t="n"/>
    </row>
    <row r="1385" ht="36" customHeight="1">
      <c r="A1385" s="24" t="inlineStr">
        <is>
          <t>99426fd64a8142ba</t>
        </is>
      </c>
      <c r="B1385" s="24" t="inlineStr">
        <is>
          <t>2026-10-13T05:49:22.014322Z</t>
        </is>
      </c>
      <c r="C1385" s="24" t="inlineStr">
        <is>
          <t>2026-10-13T11:00Z</t>
        </is>
      </c>
      <c r="D1385" s="24" t="inlineStr">
        <is>
          <t>381-2026:185340</t>
        </is>
      </c>
      <c r="E1385" s="24" t="inlineStr">
        <is>
          <t>TENNIS</t>
        </is>
      </c>
      <c r="F1385" s="24" t="inlineStr">
        <is>
          <t>Zhang Shuai</t>
        </is>
      </c>
      <c r="G1385" s="24" t="inlineStr">
        <is>
          <t>Ashlyn Krueger</t>
        </is>
      </c>
      <c r="H1385" s="24" t="inlineStr">
        <is>
          <t>moneyline</t>
        </is>
      </c>
      <c r="I1385" s="24" t="inlineStr">
        <is>
          <t>home</t>
        </is>
      </c>
      <c r="J1385" s="25" t="n"/>
      <c r="K1385" s="24" t="inlineStr">
        <is>
          <t>polymarket_us</t>
        </is>
      </c>
      <c r="L1385" s="26" t="n">
        <v>-138</v>
      </c>
      <c r="M1385" s="27" t="n">
        <v>1.724638</v>
      </c>
      <c r="N1385" s="28" t="n">
        <v>0.579832</v>
      </c>
      <c r="O1385" s="28" t="n">
        <v>0.6452</v>
      </c>
      <c r="P1385" s="28" t="n">
        <v>0.05</v>
      </c>
      <c r="Q1385" s="28" t="n">
        <v>0.065368</v>
      </c>
      <c r="R1385" s="26" t="n">
        <v>53</v>
      </c>
      <c r="S1385" s="29" t="n">
        <v>1</v>
      </c>
      <c r="T1385" s="24" t="inlineStr">
        <is>
          <t>tennis-learned-v3</t>
        </is>
      </c>
      <c r="U1385" s="24" t="inlineStr">
        <is>
          <t>settled</t>
        </is>
      </c>
      <c r="V1385" s="24" t="inlineStr">
        <is>
          <t>win</t>
        </is>
      </c>
      <c r="W1385" s="26" t="n">
        <v>0</v>
      </c>
      <c r="X1385" s="26" t="n">
        <v>1</v>
      </c>
      <c r="Y1385" s="25" t="n"/>
      <c r="Z1385" s="26" t="n">
        <v>-138</v>
      </c>
      <c r="AA1385" s="28" t="n">
        <v>0.58</v>
      </c>
      <c r="AB1385" s="28" t="n">
        <v>0.000168</v>
      </c>
      <c r="AC1385" s="30" t="n">
        <v>0.7246</v>
      </c>
      <c r="AD1385" s="24" t="inlineStr">
        <is>
          <t>2026-10-13T16:08:02.292068Z</t>
        </is>
      </c>
      <c r="AE1385" s="31" t="inlineStr">
        <is>
          <t>Tennis v3 Learned Fundamental on Hard (Bo3): Zhang Shuai p=0.355 vs Ashlyn Krueger. Executable ask 0.5800 (aec-wta-ashkru-shuzha-2026-10-13).</t>
        </is>
      </c>
      <c r="AF1385" s="31" t="inlineStr">
        <is>
          <t>Surface-blended Elo model; singles only, WTA+ATP market coverage, not yet locked-holdout qualified -- promoted by explicit operator directive, not genuine walk-forward validation.</t>
        </is>
      </c>
      <c r="AG1385" s="24" t="inlineStr">
        <is>
          <t>not_applicable</t>
        </is>
      </c>
      <c r="AH1385" s="24" t="n"/>
      <c r="AI1385" s="31" t="n"/>
      <c r="AJ1385" s="31" t="n"/>
      <c r="AK1385" s="24" t="inlineStr">
        <is>
          <t>model_qualified</t>
        </is>
      </c>
      <c r="AL1385" s="26" t="n">
        <v>4</v>
      </c>
      <c r="AM1385" s="24" t="inlineStr">
        <is>
          <t>QUALIFIED_SHADOW_CALL</t>
        </is>
      </c>
      <c r="AN1385" s="24" t="inlineStr">
        <is>
          <t>CALL</t>
        </is>
      </c>
      <c r="AO1385" s="24" t="inlineStr">
        <is>
          <t>QUALIFIED</t>
        </is>
      </c>
      <c r="AP1385" s="24" t="inlineStr">
        <is>
          <t>Zhang Shuai</t>
        </is>
      </c>
      <c r="AQ1385" s="24" t="inlineStr">
        <is>
          <t>Zhang Shuai</t>
        </is>
      </c>
      <c r="AR1385" s="24" t="inlineStr">
        <is>
          <t>Zhang Shuai</t>
        </is>
      </c>
      <c r="AS1385" s="24" t="inlineStr">
        <is>
          <t>Ashlyn Krueger</t>
        </is>
      </c>
      <c r="AT1385" s="24" t="inlineStr">
        <is>
          <t>Ashlyn Krueger</t>
        </is>
      </c>
      <c r="AU1385" s="24" t="inlineStr">
        <is>
          <t>Ashlyn Krueger</t>
        </is>
      </c>
      <c r="AV1385" s="24" t="n"/>
      <c r="AW1385" s="24" t="n"/>
      <c r="AX1385" s="24" t="inlineStr">
        <is>
          <t>statistical_model</t>
        </is>
      </c>
      <c r="AY1385" s="24" t="n"/>
      <c r="AZ1385" s="24" t="inlineStr">
        <is>
          <t>shadow_qualified</t>
        </is>
      </c>
      <c r="BA1385" s="24" t="inlineStr">
        <is>
          <t>7443acc419841200d57e1edf36b77f1940cdd0c48dce3d43fcd05498a109440b</t>
        </is>
      </c>
      <c r="BB1385" s="24" t="inlineStr">
        <is>
          <t>learned_v3</t>
        </is>
      </c>
      <c r="BC1385" s="24" t="inlineStr">
        <is>
          <t>tennis-learned-v3</t>
        </is>
      </c>
      <c r="BD1385" s="24" t="inlineStr">
        <is>
          <t>7443acc419841200d57e1edf36b77f1940cdd0c48dce3d43fcd05498a109440b</t>
        </is>
      </c>
      <c r="BE1385" s="24" t="inlineStr">
        <is>
          <t>tennis-learned-v3</t>
        </is>
      </c>
      <c r="BF1385" s="24" t="inlineStr">
        <is>
          <t>1</t>
        </is>
      </c>
      <c r="BG1385" s="24" t="inlineStr">
        <is>
          <t>7443acc419841200d57e1edf36b77f1940cdd0c48dce3d43fcd05498a109440b</t>
        </is>
      </c>
      <c r="BH1385" s="24" t="inlineStr">
        <is>
          <t>2026-10-13T05:05:05.740167Z</t>
        </is>
      </c>
      <c r="BI1385" s="24" t="inlineStr">
        <is>
          <t>["same_event","same_team_same_day","same_league_same_day"]</t>
        </is>
      </c>
      <c r="BJ1385" s="25" t="n"/>
      <c r="BK1385" s="26" t="n">
        <v>-138</v>
      </c>
      <c r="BL1385" s="27" t="n">
        <v>1.724638</v>
      </c>
      <c r="BM1385" s="28" t="n">
        <v>0.579832</v>
      </c>
      <c r="BN1385" s="28" t="n"/>
      <c r="BO1385" s="28" t="n"/>
      <c r="BP1385" s="25" t="n"/>
      <c r="BQ1385" s="27" t="n">
        <v>1.724638</v>
      </c>
      <c r="BR1385" s="28" t="n">
        <v>0.58</v>
      </c>
      <c r="BS1385" s="28" t="n"/>
      <c r="BT1385" s="28" t="n"/>
      <c r="BU1385" s="25" t="n"/>
      <c r="BV1385" s="29" t="n"/>
      <c r="BW1385" s="24" t="n"/>
      <c r="BX1385" s="30" t="n"/>
      <c r="BY1385" s="27" t="n"/>
      <c r="BZ1385" s="24" t="n"/>
      <c r="CA1385" s="31" t="n"/>
      <c r="CB1385" s="24" t="n"/>
      <c r="CC1385" s="24" t="n"/>
      <c r="CD1385" s="24" t="n"/>
      <c r="CE1385" s="24" t="n"/>
      <c r="CF1385" s="24" t="n"/>
      <c r="CG1385" s="24" t="n"/>
      <c r="CH1385" s="24" t="n"/>
      <c r="CI1385" s="24" t="n"/>
      <c r="CJ1385" s="24" t="n"/>
      <c r="CK1385" s="24" t="n"/>
      <c r="CL1385" s="24" t="n"/>
      <c r="CM1385" s="24" t="n"/>
      <c r="CN1385" s="24" t="n"/>
      <c r="CO1385" s="24" t="n"/>
      <c r="CP1385" s="24" t="n"/>
      <c r="CQ1385" s="24" t="n"/>
      <c r="CR1385" s="24" t="n"/>
      <c r="CS1385" s="24" t="inlineStr">
        <is>
          <t>True</t>
        </is>
      </c>
      <c r="CT1385" s="24" t="n"/>
      <c r="CU1385" s="24" t="n"/>
      <c r="CV1385" s="24" t="n"/>
      <c r="CW1385" s="24" t="n"/>
      <c r="CX1385" s="24" t="n"/>
      <c r="CY1385" s="24" t="n"/>
      <c r="CZ1385" s="24" t="n"/>
      <c r="DA1385" s="24" t="n"/>
      <c r="DB1385" s="24" t="n"/>
      <c r="DC1385" s="24" t="n"/>
      <c r="DD1385" s="24" t="inlineStr">
        <is>
          <t>d5a0d4fab940aeebe79996cd915c1697b2619faf4f572604e8d09bc668cffbf2</t>
        </is>
      </c>
      <c r="DE1385" s="24" t="inlineStr">
        <is>
          <t>E:\model-prediction\data\odds\tennis\2026-10-13\polymarket_snapshots.jsonl</t>
        </is>
      </c>
      <c r="DF1385" s="24" t="inlineStr">
        <is>
          <t>1389839:2026-10-13T05:05:05.740167Z</t>
        </is>
      </c>
      <c r="DG1385" s="24" t="n"/>
      <c r="DH1385" s="24" t="n"/>
      <c r="DI1385" s="24" t="n"/>
      <c r="DJ1385" s="24" t="n"/>
      <c r="DK1385" s="24" t="n"/>
      <c r="DL1385" s="24" t="n"/>
      <c r="DM1385" s="24" t="n"/>
      <c r="DN1385" s="24" t="n"/>
      <c r="DO1385" s="24" t="n"/>
      <c r="DP1385" s="24" t="n"/>
      <c r="DQ1385" s="24" t="inlineStr">
        <is>
          <t>{"artifact_hash": "7443acc419841200d57e1edf36b77f1940cdd0c48dce3d43fcd05498a109440b", "away_team": "Zhang Shuai", "event_id": "381-2026:185340", "event_start_utc": "2026-10-13T11:00Z", "features": {"elo_p1_surface": 1542.6, "elo_p2_surface": 1564.5, "expected_games_p1": 9.33, "expected_games_p2": 13.28, "expected_total_games": 22.61, "history_matches": 16744, "min_player_matches": 103, "surface": "Hard"}, "historical_source_observation_times_verified": false, "home_team": "Ashlyn Krueger", "inference_inputs": {"best_of": 3, "code_sha256": {"features/elo_ratings.py": "d6513e79d65448c06cc0f9b9eed0eaa091567835128e1f6647a310da8d78a872", "models/tennis.py": "7443acc419841200d57e1edf36b77f1940cdd0c48dce3d43fcd05498a109440b"}, "counts": [103, 158], "market_probability": null, "model_version": "tennis-learned-v3", "overall_ratings": [1589.9489036081272, 1667.1587209681684], "p_serve_a": 0.5467043744404301, "p_serve_b": 0.6332956255595699, "players": ["Zhang Shuai", "Ashlyn Krueger"], "rest_days": [43.0, 2.0], "sport": "TENNIS", "surface": "Hard", "surface_counts": [85, 116], "surface_ratings": [1542.594148730563, 1564.4535481410003], "tour": "WTA"}, "market_type": "moneyline", "model_version": "tennis-learned-v3", "observed_at_utc": "2026-10-13T05:49:19.315977+00:00", "probabilities": {"away": 0.3548, "home": 0.6452}, "replay_scope": "Exact full-precision serving state and rounding; upstream historical observation times are not certified.", "schema": "coded-moneyline-replay-v1", "snapshot_hash": "eafb0acdf49adb96768c17e0c0dbbd087fc455e05be7d9084fd48682a9ad7eb1", "sport": "TENNIS"}</t>
        </is>
      </c>
    </row>
    <row r="1386" ht="36" customHeight="1">
      <c r="A1386" s="24" t="inlineStr">
        <is>
          <t>bb3b809f81e541ca</t>
        </is>
      </c>
      <c r="B1386" s="24" t="inlineStr">
        <is>
          <t>2026-10-13T05:49:22.014322Z</t>
        </is>
      </c>
      <c r="C1386" s="24" t="inlineStr">
        <is>
          <t>2026-10-13T11:00Z</t>
        </is>
      </c>
      <c r="D1386" s="24" t="inlineStr">
        <is>
          <t>381-2026:185340</t>
        </is>
      </c>
      <c r="E1386" s="24" t="inlineStr">
        <is>
          <t>TENNIS</t>
        </is>
      </c>
      <c r="F1386" s="24" t="inlineStr">
        <is>
          <t>Zhang Shuai</t>
        </is>
      </c>
      <c r="G1386" s="24" t="inlineStr">
        <is>
          <t>Ashlyn Krueger</t>
        </is>
      </c>
      <c r="H1386" s="24" t="inlineStr">
        <is>
          <t>spread</t>
        </is>
      </c>
      <c r="I1386" s="24" t="inlineStr">
        <is>
          <t>home</t>
        </is>
      </c>
      <c r="J1386" s="25" t="n">
        <v>-1.5</v>
      </c>
      <c r="K1386" s="24" t="inlineStr">
        <is>
          <t>polymarket_us</t>
        </is>
      </c>
      <c r="L1386" s="26" t="n">
        <v>-117</v>
      </c>
      <c r="M1386" s="27" t="n">
        <v>1.854701</v>
      </c>
      <c r="N1386" s="28" t="n">
        <v>0.539171</v>
      </c>
      <c r="O1386" s="28" t="n">
        <v>0.8157</v>
      </c>
      <c r="P1386" s="28" t="n">
        <v>0.05</v>
      </c>
      <c r="Q1386" s="28" t="n">
        <v>0.276529</v>
      </c>
      <c r="R1386" s="26" t="n">
        <v>100</v>
      </c>
      <c r="S1386" s="29" t="n">
        <v>2</v>
      </c>
      <c r="T1386" s="24" t="inlineStr">
        <is>
          <t>tennis-learned-v3</t>
        </is>
      </c>
      <c r="U1386" s="24" t="inlineStr">
        <is>
          <t>settled</t>
        </is>
      </c>
      <c r="V1386" s="24" t="inlineStr">
        <is>
          <t>win</t>
        </is>
      </c>
      <c r="W1386" s="26" t="n">
        <v>3</v>
      </c>
      <c r="X1386" s="26" t="n">
        <v>12</v>
      </c>
      <c r="Y1386" s="25" t="n"/>
      <c r="Z1386" s="26" t="n"/>
      <c r="AA1386" s="28" t="n"/>
      <c r="AB1386" s="28" t="n"/>
      <c r="AC1386" s="30" t="n">
        <v>1.7094</v>
      </c>
      <c r="AD1386" s="24" t="inlineStr">
        <is>
          <t>2026-10-13T16:08:09.103183Z</t>
        </is>
      </c>
      <c r="AE1386" s="31" t="inlineStr">
        <is>
          <t>Tennis Markov game spread -1.5 games: home cover p=0.816. Executable ask 0.5400 (asc-wta-ashkru-shuzha-2026-10-13-gs-neg-1pt5).</t>
        </is>
      </c>
      <c r="AF1386" s="31" t="inlineStr">
        <is>
          <t>Surface-blended Elo model; singles only, WTA+ATP market coverage, not yet locked-holdout qualified -- promoted by explicit operator directive, not genuine walk-forward validation.</t>
        </is>
      </c>
      <c r="AG1386" s="24" t="inlineStr">
        <is>
          <t>not_applicable</t>
        </is>
      </c>
      <c r="AH1386" s="24" t="n"/>
      <c r="AI1386" s="31" t="n"/>
      <c r="AJ1386" s="31" t="n"/>
      <c r="AK1386" s="24" t="inlineStr">
        <is>
          <t>model_qualified</t>
        </is>
      </c>
      <c r="AL1386" s="26" t="n">
        <v>4</v>
      </c>
      <c r="AM1386" s="24" t="inlineStr">
        <is>
          <t>QUALIFIED_SHADOW_CALL</t>
        </is>
      </c>
      <c r="AN1386" s="24" t="inlineStr">
        <is>
          <t>CALL</t>
        </is>
      </c>
      <c r="AO1386" s="24" t="inlineStr">
        <is>
          <t>QUALIFIED</t>
        </is>
      </c>
      <c r="AP1386" s="24" t="inlineStr">
        <is>
          <t>Zhang Shuai</t>
        </is>
      </c>
      <c r="AQ1386" s="24" t="inlineStr">
        <is>
          <t>Zhang Shuai</t>
        </is>
      </c>
      <c r="AR1386" s="24" t="inlineStr">
        <is>
          <t>Zhang Shuai</t>
        </is>
      </c>
      <c r="AS1386" s="24" t="inlineStr">
        <is>
          <t>Ashlyn Krueger</t>
        </is>
      </c>
      <c r="AT1386" s="24" t="inlineStr">
        <is>
          <t>Ashlyn Krueger</t>
        </is>
      </c>
      <c r="AU1386" s="24" t="inlineStr">
        <is>
          <t>Ashlyn Krueger</t>
        </is>
      </c>
      <c r="AV1386" s="24" t="n"/>
      <c r="AW1386" s="24" t="n"/>
      <c r="AX1386" s="24" t="inlineStr">
        <is>
          <t>statistical_model</t>
        </is>
      </c>
      <c r="AY1386" s="24" t="n"/>
      <c r="AZ1386" s="24" t="inlineStr">
        <is>
          <t>shadow_qualified</t>
        </is>
      </c>
      <c r="BA1386" s="24" t="inlineStr">
        <is>
          <t>7443acc419841200d57e1edf36b77f1940cdd0c48dce3d43fcd05498a109440b</t>
        </is>
      </c>
      <c r="BB1386" s="24" t="inlineStr">
        <is>
          <t>learned_v3</t>
        </is>
      </c>
      <c r="BC1386" s="24" t="inlineStr">
        <is>
          <t>tennis-learned-v3</t>
        </is>
      </c>
      <c r="BD1386" s="24" t="inlineStr">
        <is>
          <t>7443acc419841200d57e1edf36b77f1940cdd0c48dce3d43fcd05498a109440b</t>
        </is>
      </c>
      <c r="BE1386" s="24" t="inlineStr">
        <is>
          <t>tennis-learned-v3</t>
        </is>
      </c>
      <c r="BF1386" s="24" t="inlineStr">
        <is>
          <t>1</t>
        </is>
      </c>
      <c r="BG1386" s="24" t="inlineStr">
        <is>
          <t>7443acc419841200d57e1edf36b77f1940cdd0c48dce3d43fcd05498a109440b</t>
        </is>
      </c>
      <c r="BH1386" s="24" t="inlineStr">
        <is>
          <t>2026-10-13T05:05:05.818661Z</t>
        </is>
      </c>
      <c r="BI1386" s="24" t="inlineStr">
        <is>
          <t>["same_event","same_team_same_day","same_league_same_day"]</t>
        </is>
      </c>
      <c r="BJ1386" s="25" t="n">
        <v>-1.5</v>
      </c>
      <c r="BK1386" s="26" t="n">
        <v>-117</v>
      </c>
      <c r="BL1386" s="27" t="n">
        <v>1.854701</v>
      </c>
      <c r="BM1386" s="28" t="n">
        <v>0.539171</v>
      </c>
      <c r="BN1386" s="28" t="n"/>
      <c r="BO1386" s="28" t="n"/>
      <c r="BP1386" s="25" t="n"/>
      <c r="BQ1386" s="27" t="n"/>
      <c r="BR1386" s="28" t="n"/>
      <c r="BS1386" s="28" t="n"/>
      <c r="BT1386" s="28" t="n"/>
      <c r="BU1386" s="25" t="n"/>
      <c r="BV1386" s="29" t="n"/>
      <c r="BW1386" s="24" t="n"/>
      <c r="BX1386" s="30" t="n"/>
      <c r="BY1386" s="27" t="n"/>
      <c r="BZ1386" s="24" t="n"/>
      <c r="CA1386" s="31" t="n"/>
      <c r="CB1386" s="24" t="n"/>
      <c r="CC1386" s="24" t="n"/>
      <c r="CD1386" s="24" t="n"/>
      <c r="CE1386" s="24" t="n"/>
      <c r="CF1386" s="24" t="n"/>
      <c r="CG1386" s="24" t="n"/>
      <c r="CH1386" s="24" t="n"/>
      <c r="CI1386" s="24" t="n"/>
      <c r="CJ1386" s="24" t="n"/>
      <c r="CK1386" s="24" t="n"/>
      <c r="CL1386" s="24" t="n"/>
      <c r="CM1386" s="24" t="n"/>
      <c r="CN1386" s="24" t="n"/>
      <c r="CO1386" s="24" t="n"/>
      <c r="CP1386" s="24" t="n"/>
      <c r="CQ1386" s="24" t="n"/>
      <c r="CR1386" s="24" t="n"/>
      <c r="CS1386" s="24" t="inlineStr">
        <is>
          <t>True</t>
        </is>
      </c>
      <c r="CT1386" s="24" t="n"/>
      <c r="CU1386" s="24" t="n"/>
      <c r="CV1386" s="24" t="n"/>
      <c r="CW1386" s="24" t="n"/>
      <c r="CX1386" s="24" t="n"/>
      <c r="CY1386" s="24" t="n"/>
      <c r="CZ1386" s="24" t="n"/>
      <c r="DA1386" s="24" t="n"/>
      <c r="DB1386" s="24" t="n"/>
      <c r="DC1386" s="24" t="n"/>
      <c r="DD1386" s="24" t="inlineStr">
        <is>
          <t>9f3ca87c6a6d45f7c4b0d50945139039655d92a0f0a806adcc9fdba2aeedd070</t>
        </is>
      </c>
      <c r="DE1386" s="24" t="inlineStr">
        <is>
          <t>E:\model-prediction\data\odds\tennis\2026-10-13\polymarket_snapshots.jsonl</t>
        </is>
      </c>
      <c r="DF1386" s="24" t="inlineStr">
        <is>
          <t>1390000:2026-10-13T05:05:05.818661Z</t>
        </is>
      </c>
      <c r="DG1386" s="24" t="n"/>
      <c r="DH1386" s="24" t="n"/>
      <c r="DI1386" s="24" t="n"/>
      <c r="DJ1386" s="24" t="n"/>
      <c r="DK1386" s="24" t="n"/>
      <c r="DL1386" s="24" t="n"/>
      <c r="DM1386" s="24" t="n"/>
      <c r="DN1386" s="24" t="n"/>
      <c r="DO1386" s="24" t="n"/>
      <c r="DP1386" s="24" t="n"/>
      <c r="DQ1386" s="24" t="n"/>
    </row>
    <row r="1387" ht="36" customHeight="1">
      <c r="A1387" s="24" t="inlineStr">
        <is>
          <t>39ea50ed40694be1</t>
        </is>
      </c>
      <c r="B1387" s="24" t="inlineStr">
        <is>
          <t>2026-10-13T05:49:22.014322Z</t>
        </is>
      </c>
      <c r="C1387" s="24" t="inlineStr">
        <is>
          <t>2026-10-13T11:00Z</t>
        </is>
      </c>
      <c r="D1387" s="24" t="inlineStr">
        <is>
          <t>381-2026:185340</t>
        </is>
      </c>
      <c r="E1387" s="24" t="inlineStr">
        <is>
          <t>TENNIS</t>
        </is>
      </c>
      <c r="F1387" s="24" t="inlineStr">
        <is>
          <t>Zhang Shuai</t>
        </is>
      </c>
      <c r="G1387" s="24" t="inlineStr">
        <is>
          <t>Ashlyn Krueger</t>
        </is>
      </c>
      <c r="H1387" s="24" t="inlineStr">
        <is>
          <t>total</t>
        </is>
      </c>
      <c r="I1387" s="24" t="inlineStr">
        <is>
          <t>under</t>
        </is>
      </c>
      <c r="J1387" s="25" t="n">
        <v>22.5</v>
      </c>
      <c r="K1387" s="24" t="inlineStr">
        <is>
          <t>polymarket_us</t>
        </is>
      </c>
      <c r="L1387" s="26" t="n">
        <v>-133</v>
      </c>
      <c r="M1387" s="27" t="n">
        <v>1.75188</v>
      </c>
      <c r="N1387" s="28" t="n">
        <v>0.570815</v>
      </c>
      <c r="O1387" s="28" t="n">
        <v>0.5847</v>
      </c>
      <c r="P1387" s="28" t="n">
        <v>0.05</v>
      </c>
      <c r="Q1387" s="28" t="n">
        <v>0.013885</v>
      </c>
      <c r="R1387" s="26" t="n">
        <v>27</v>
      </c>
      <c r="S1387" s="29" t="n">
        <v>1</v>
      </c>
      <c r="T1387" s="24" t="inlineStr">
        <is>
          <t>tennis-learned-v3</t>
        </is>
      </c>
      <c r="U1387" s="24" t="inlineStr">
        <is>
          <t>settled</t>
        </is>
      </c>
      <c r="V1387" s="24" t="inlineStr">
        <is>
          <t>win</t>
        </is>
      </c>
      <c r="W1387" s="26" t="n">
        <v>3</v>
      </c>
      <c r="X1387" s="26" t="n">
        <v>12</v>
      </c>
      <c r="Y1387" s="25" t="n"/>
      <c r="Z1387" s="26" t="n"/>
      <c r="AA1387" s="28" t="n"/>
      <c r="AB1387" s="28" t="n"/>
      <c r="AC1387" s="30" t="n">
        <v>0.7519</v>
      </c>
      <c r="AD1387" s="24" t="inlineStr">
        <is>
          <t>2026-10-13T16:08:15.130617Z</t>
        </is>
      </c>
      <c r="AE1387" s="31" t="inlineStr">
        <is>
          <t>Tennis Markov total games line 22.5: under p=0.585. Executable ask 0.5700 (tsc-wta-ashkru-shuzha-2026-10-13-tg-22pt5).</t>
        </is>
      </c>
      <c r="AF1387" s="31" t="inlineStr">
        <is>
          <t>Surface-blended Elo model; singles only, WTA+ATP market coverage, not yet locked-holdout qualified -- promoted by explicit operator directive, not genuine walk-forward validation.</t>
        </is>
      </c>
      <c r="AG1387" s="24" t="inlineStr">
        <is>
          <t>not_applicable</t>
        </is>
      </c>
      <c r="AH1387" s="24" t="n"/>
      <c r="AI1387" s="31" t="n"/>
      <c r="AJ1387" s="31" t="n"/>
      <c r="AK1387" s="24" t="inlineStr">
        <is>
          <t>paper_call</t>
        </is>
      </c>
      <c r="AL1387" s="26" t="n">
        <v>4</v>
      </c>
      <c r="AM1387" s="24" t="inlineStr">
        <is>
          <t>RESEARCH_OBSERVATION</t>
        </is>
      </c>
      <c r="AN1387" s="24" t="inlineStr">
        <is>
          <t>CALL</t>
        </is>
      </c>
      <c r="AO1387" s="24" t="inlineStr">
        <is>
          <t>PAPER_CALL_LOW_EDGE</t>
        </is>
      </c>
      <c r="AP1387" s="24" t="inlineStr">
        <is>
          <t>Zhang Shuai</t>
        </is>
      </c>
      <c r="AQ1387" s="24" t="inlineStr">
        <is>
          <t>Zhang Shuai</t>
        </is>
      </c>
      <c r="AR1387" s="24" t="inlineStr">
        <is>
          <t>Zhang Shuai</t>
        </is>
      </c>
      <c r="AS1387" s="24" t="inlineStr">
        <is>
          <t>Ashlyn Krueger</t>
        </is>
      </c>
      <c r="AT1387" s="24" t="inlineStr">
        <is>
          <t>Ashlyn Krueger</t>
        </is>
      </c>
      <c r="AU1387" s="24" t="inlineStr">
        <is>
          <t>Ashlyn Krueger</t>
        </is>
      </c>
      <c r="AV1387" s="24" t="n"/>
      <c r="AW1387" s="24" t="n"/>
      <c r="AX1387" s="24" t="inlineStr">
        <is>
          <t>statistical_model</t>
        </is>
      </c>
      <c r="AY1387" s="24" t="n"/>
      <c r="AZ1387" s="24" t="inlineStr">
        <is>
          <t>shadow_qualified</t>
        </is>
      </c>
      <c r="BA1387" s="24" t="inlineStr">
        <is>
          <t>7443acc419841200d57e1edf36b77f1940cdd0c48dce3d43fcd05498a109440b</t>
        </is>
      </c>
      <c r="BB1387" s="24" t="inlineStr">
        <is>
          <t>learned_v3</t>
        </is>
      </c>
      <c r="BC1387" s="24" t="inlineStr">
        <is>
          <t>tennis-learned-v3</t>
        </is>
      </c>
      <c r="BD1387" s="24" t="inlineStr">
        <is>
          <t>7443acc419841200d57e1edf36b77f1940cdd0c48dce3d43fcd05498a109440b</t>
        </is>
      </c>
      <c r="BE1387" s="24" t="inlineStr">
        <is>
          <t>tennis-learned-v3</t>
        </is>
      </c>
      <c r="BF1387" s="24" t="inlineStr">
        <is>
          <t>1</t>
        </is>
      </c>
      <c r="BG1387" s="24" t="inlineStr">
        <is>
          <t>7443acc419841200d57e1edf36b77f1940cdd0c48dce3d43fcd05498a109440b</t>
        </is>
      </c>
      <c r="BH1387" s="24" t="inlineStr">
        <is>
          <t>2026-10-13T05:05:05.780181Z</t>
        </is>
      </c>
      <c r="BI1387" s="24" t="inlineStr">
        <is>
          <t>["same_event","same_team_same_day","same_league_same_day"]</t>
        </is>
      </c>
      <c r="BJ1387" s="25" t="n">
        <v>22.5</v>
      </c>
      <c r="BK1387" s="26" t="n">
        <v>-133</v>
      </c>
      <c r="BL1387" s="27" t="n">
        <v>1.75188</v>
      </c>
      <c r="BM1387" s="28" t="n">
        <v>0.570815</v>
      </c>
      <c r="BN1387" s="28" t="n"/>
      <c r="BO1387" s="28" t="n"/>
      <c r="BP1387" s="25" t="n"/>
      <c r="BQ1387" s="27" t="n"/>
      <c r="BR1387" s="28" t="n"/>
      <c r="BS1387" s="28" t="n"/>
      <c r="BT1387" s="28" t="n"/>
      <c r="BU1387" s="25" t="n"/>
      <c r="BV1387" s="29" t="n"/>
      <c r="BW1387" s="24" t="n"/>
      <c r="BX1387" s="30" t="n"/>
      <c r="BY1387" s="27" t="n"/>
      <c r="BZ1387" s="24" t="n"/>
      <c r="CA1387" s="31" t="n"/>
      <c r="CB1387" s="24" t="n"/>
      <c r="CC1387" s="24" t="n"/>
      <c r="CD1387" s="24" t="n"/>
      <c r="CE1387" s="24" t="n"/>
      <c r="CF1387" s="24" t="n"/>
      <c r="CG1387" s="24" t="n"/>
      <c r="CH1387" s="24" t="n"/>
      <c r="CI1387" s="24" t="n"/>
      <c r="CJ1387" s="24" t="n"/>
      <c r="CK1387" s="24" t="n"/>
      <c r="CL1387" s="24" t="n"/>
      <c r="CM1387" s="24" t="n"/>
      <c r="CN1387" s="24" t="n"/>
      <c r="CO1387" s="24" t="n"/>
      <c r="CP1387" s="24" t="n"/>
      <c r="CQ1387" s="24" t="n"/>
      <c r="CR1387" s="24" t="n"/>
      <c r="CS1387" s="24" t="inlineStr">
        <is>
          <t>True</t>
        </is>
      </c>
      <c r="CT1387" s="24" t="n"/>
      <c r="CU1387" s="24" t="n"/>
      <c r="CV1387" s="24" t="n"/>
      <c r="CW1387" s="24" t="n"/>
      <c r="CX1387" s="24" t="n"/>
      <c r="CY1387" s="24" t="n"/>
      <c r="CZ1387" s="24" t="n"/>
      <c r="DA1387" s="24" t="n"/>
      <c r="DB1387" s="24" t="n"/>
      <c r="DC1387" s="24" t="n"/>
      <c r="DD1387" s="24" t="inlineStr">
        <is>
          <t>07abf8086b0f0d46f075ad61bc1ae50fde7a2ca4532d6a509bbec3357d95f2e9</t>
        </is>
      </c>
      <c r="DE1387" s="24" t="inlineStr">
        <is>
          <t>E:\model-prediction\data\odds\tennis\2026-10-13\polymarket_snapshots.jsonl</t>
        </is>
      </c>
      <c r="DF1387" s="24" t="inlineStr">
        <is>
          <t>1389949:2026-10-13T05:05:05.780181Z</t>
        </is>
      </c>
      <c r="DG1387" s="24" t="n"/>
      <c r="DH1387" s="24" t="n"/>
      <c r="DI1387" s="24" t="n"/>
      <c r="DJ1387" s="24" t="n"/>
      <c r="DK1387" s="24" t="n"/>
      <c r="DL1387" s="24" t="n"/>
      <c r="DM1387" s="24" t="n"/>
      <c r="DN1387" s="24" t="n"/>
      <c r="DO1387" s="24" t="n"/>
      <c r="DP1387" s="24" t="n"/>
      <c r="DQ1387" s="24" t="n"/>
    </row>
    <row r="1388" ht="36" customHeight="1">
      <c r="A1388" s="24" t="inlineStr">
        <is>
          <t>d22c85c50bc94f6d</t>
        </is>
      </c>
      <c r="B1388" s="24" t="inlineStr">
        <is>
          <t>2026-10-13T05:49:22.014322Z</t>
        </is>
      </c>
      <c r="C1388" s="24" t="inlineStr">
        <is>
          <t>2026-10-13T08:00Z</t>
        </is>
      </c>
      <c r="D1388" s="24" t="inlineStr">
        <is>
          <t>1020-2026:185486</t>
        </is>
      </c>
      <c r="E1388" s="24" t="inlineStr">
        <is>
          <t>TENNIS</t>
        </is>
      </c>
      <c r="F1388" s="24" t="inlineStr">
        <is>
          <t>Nuria Brancaccio</t>
        </is>
      </c>
      <c r="G1388" s="24" t="inlineStr">
        <is>
          <t>Laura Pigossi</t>
        </is>
      </c>
      <c r="H1388" s="24" t="inlineStr">
        <is>
          <t>total</t>
        </is>
      </c>
      <c r="I1388" s="24" t="inlineStr">
        <is>
          <t>under</t>
        </is>
      </c>
      <c r="J1388" s="25" t="n">
        <v>22.5</v>
      </c>
      <c r="K1388" s="24" t="inlineStr">
        <is>
          <t>polymarket_us</t>
        </is>
      </c>
      <c r="L1388" s="26" t="n">
        <v>-270</v>
      </c>
      <c r="M1388" s="27" t="n">
        <v>1.37037</v>
      </c>
      <c r="N1388" s="28" t="n">
        <v>0.72973</v>
      </c>
      <c r="O1388" s="28" t="n">
        <v>0.5591</v>
      </c>
      <c r="P1388" s="28" t="n">
        <v>0.05</v>
      </c>
      <c r="Q1388" s="28" t="n">
        <v>-0.17063</v>
      </c>
      <c r="R1388" s="26" t="n">
        <v>0</v>
      </c>
      <c r="S1388" s="29" t="n">
        <v>1</v>
      </c>
      <c r="T1388" s="24" t="inlineStr">
        <is>
          <t>tennis-learned-v3</t>
        </is>
      </c>
      <c r="U1388" s="24" t="inlineStr">
        <is>
          <t>settled</t>
        </is>
      </c>
      <c r="V1388" s="24" t="inlineStr">
        <is>
          <t>win</t>
        </is>
      </c>
      <c r="W1388" s="26" t="n">
        <v>12</v>
      </c>
      <c r="X1388" s="26" t="n">
        <v>4</v>
      </c>
      <c r="Y1388" s="25" t="n"/>
      <c r="Z1388" s="26" t="n"/>
      <c r="AA1388" s="28" t="n"/>
      <c r="AB1388" s="28" t="n"/>
      <c r="AC1388" s="30" t="n">
        <v>0.3704</v>
      </c>
      <c r="AD1388" s="24" t="inlineStr">
        <is>
          <t>2026-10-13T10:06:39.444940Z</t>
        </is>
      </c>
      <c r="AE1388" s="31" t="inlineStr">
        <is>
          <t>Tennis Markov total games line 22.5: under p=0.559. Executable ask 0.7300 (tsc-wta-laupig-nurbra-2026-10-12-tg-22pt5).</t>
        </is>
      </c>
      <c r="AF1388" s="31" t="inlineStr">
        <is>
          <t>Surface-blended Elo model; singles only, WTA+ATP market coverage, not yet locked-holdout qualified -- promoted by explicit operator directive, not genuine walk-forward validation.</t>
        </is>
      </c>
      <c r="AG1388" s="24" t="inlineStr">
        <is>
          <t>not_applicable</t>
        </is>
      </c>
      <c r="AH1388" s="24" t="n"/>
      <c r="AI1388" s="31" t="n"/>
      <c r="AJ1388" s="31" t="n"/>
      <c r="AK1388" s="24" t="inlineStr">
        <is>
          <t>paper_call</t>
        </is>
      </c>
      <c r="AL1388" s="26" t="n">
        <v>4</v>
      </c>
      <c r="AM1388" s="24" t="inlineStr">
        <is>
          <t>RESEARCH_OBSERVATION</t>
        </is>
      </c>
      <c r="AN1388" s="24" t="inlineStr">
        <is>
          <t>CALL</t>
        </is>
      </c>
      <c r="AO1388" s="24" t="inlineStr">
        <is>
          <t>PAPER_CALL_LOW_EDGE</t>
        </is>
      </c>
      <c r="AP1388" s="24" t="inlineStr">
        <is>
          <t>Nuria Brancaccio</t>
        </is>
      </c>
      <c r="AQ1388" s="24" t="inlineStr">
        <is>
          <t>Nuria Brancaccio</t>
        </is>
      </c>
      <c r="AR1388" s="24" t="inlineStr">
        <is>
          <t>Nuria Brancaccio</t>
        </is>
      </c>
      <c r="AS1388" s="24" t="inlineStr">
        <is>
          <t>Laura Pigossi</t>
        </is>
      </c>
      <c r="AT1388" s="24" t="inlineStr">
        <is>
          <t>Laura Pigossi</t>
        </is>
      </c>
      <c r="AU1388" s="24" t="inlineStr">
        <is>
          <t>Laura Pigossi</t>
        </is>
      </c>
      <c r="AV1388" s="24" t="n"/>
      <c r="AW1388" s="24" t="n"/>
      <c r="AX1388" s="24" t="inlineStr">
        <is>
          <t>statistical_model</t>
        </is>
      </c>
      <c r="AY1388" s="24" t="n"/>
      <c r="AZ1388" s="24" t="inlineStr">
        <is>
          <t>shadow_qualified</t>
        </is>
      </c>
      <c r="BA1388" s="24" t="inlineStr">
        <is>
          <t>7443acc419841200d57e1edf36b77f1940cdd0c48dce3d43fcd05498a109440b</t>
        </is>
      </c>
      <c r="BB1388" s="24" t="inlineStr">
        <is>
          <t>learned_v3</t>
        </is>
      </c>
      <c r="BC1388" s="24" t="inlineStr">
        <is>
          <t>tennis-learned-v3</t>
        </is>
      </c>
      <c r="BD1388" s="24" t="inlineStr">
        <is>
          <t>7443acc419841200d57e1edf36b77f1940cdd0c48dce3d43fcd05498a109440b</t>
        </is>
      </c>
      <c r="BE1388" s="24" t="inlineStr">
        <is>
          <t>tennis-learned-v3</t>
        </is>
      </c>
      <c r="BF1388" s="24" t="inlineStr">
        <is>
          <t>1</t>
        </is>
      </c>
      <c r="BG1388" s="24" t="inlineStr">
        <is>
          <t>7443acc419841200d57e1edf36b77f1940cdd0c48dce3d43fcd05498a109440b</t>
        </is>
      </c>
      <c r="BH1388" s="24" t="inlineStr">
        <is>
          <t>2026-10-13T05:00:54.883419Z</t>
        </is>
      </c>
      <c r="BI1388" s="24" t="inlineStr">
        <is>
          <t>["same_event","same_team_same_day","same_league_same_day"]</t>
        </is>
      </c>
      <c r="BJ1388" s="25" t="n">
        <v>22.5</v>
      </c>
      <c r="BK1388" s="26" t="n">
        <v>-270</v>
      </c>
      <c r="BL1388" s="27" t="n">
        <v>1.37037</v>
      </c>
      <c r="BM1388" s="28" t="n">
        <v>0.72973</v>
      </c>
      <c r="BN1388" s="28" t="n"/>
      <c r="BO1388" s="28" t="n"/>
      <c r="BP1388" s="25" t="n"/>
      <c r="BQ1388" s="27" t="n"/>
      <c r="BR1388" s="28" t="n"/>
      <c r="BS1388" s="28" t="n"/>
      <c r="BT1388" s="28" t="n"/>
      <c r="BU1388" s="25" t="n"/>
      <c r="BV1388" s="29" t="n"/>
      <c r="BW1388" s="24" t="n"/>
      <c r="BX1388" s="30" t="n"/>
      <c r="BY1388" s="27" t="n"/>
      <c r="BZ1388" s="24" t="n"/>
      <c r="CA1388" s="31" t="n"/>
      <c r="CB1388" s="24" t="n"/>
      <c r="CC1388" s="24" t="n"/>
      <c r="CD1388" s="24" t="n"/>
      <c r="CE1388" s="24" t="n"/>
      <c r="CF1388" s="24" t="n"/>
      <c r="CG1388" s="24" t="n"/>
      <c r="CH1388" s="24" t="n"/>
      <c r="CI1388" s="24" t="n"/>
      <c r="CJ1388" s="24" t="n"/>
      <c r="CK1388" s="24" t="n"/>
      <c r="CL1388" s="24" t="n"/>
      <c r="CM1388" s="24" t="n"/>
      <c r="CN1388" s="24" t="n"/>
      <c r="CO1388" s="24" t="n"/>
      <c r="CP1388" s="24" t="n"/>
      <c r="CQ1388" s="24" t="n"/>
      <c r="CR1388" s="24" t="n"/>
      <c r="CS1388" s="24" t="inlineStr">
        <is>
          <t>False</t>
        </is>
      </c>
      <c r="CT1388" s="24" t="n"/>
      <c r="CU1388" s="24" t="n"/>
      <c r="CV1388" s="24" t="n"/>
      <c r="CW1388" s="24" t="n"/>
      <c r="CX1388" s="24" t="n"/>
      <c r="CY1388" s="24" t="n"/>
      <c r="CZ1388" s="24" t="n"/>
      <c r="DA1388" s="24" t="n"/>
      <c r="DB1388" s="24" t="n"/>
      <c r="DC1388" s="24" t="n"/>
      <c r="DD1388" s="24" t="inlineStr">
        <is>
          <t>ea911d07364ab0dc3eac1e0046b40df3561e2d8ca964c86dae8642f0a20b8ec9</t>
        </is>
      </c>
      <c r="DE1388" s="24" t="inlineStr">
        <is>
          <t>E:\model-prediction\data\odds\tennis\2026-10-13\polymarket_snapshots.jsonl</t>
        </is>
      </c>
      <c r="DF1388" s="24" t="inlineStr">
        <is>
          <t>1367548:2026-10-13T05:00:54.883419Z</t>
        </is>
      </c>
      <c r="DG1388" s="24" t="n"/>
      <c r="DH1388" s="24" t="n"/>
      <c r="DI1388" s="24" t="n"/>
      <c r="DJ1388" s="24" t="n"/>
      <c r="DK1388" s="24" t="n"/>
      <c r="DL1388" s="24" t="n"/>
      <c r="DM1388" s="24" t="n"/>
      <c r="DN1388" s="24" t="n"/>
      <c r="DO1388" s="24" t="n"/>
      <c r="DP1388" s="24" t="n"/>
      <c r="DQ1388" s="24" t="n"/>
    </row>
    <row r="1389" ht="36" customHeight="1">
      <c r="A1389" s="24" t="inlineStr">
        <is>
          <t>91e5330d8b92485c</t>
        </is>
      </c>
      <c r="B1389" s="24" t="inlineStr">
        <is>
          <t>2026-10-13T05:49:22.014322Z</t>
        </is>
      </c>
      <c r="C1389" s="24" t="inlineStr">
        <is>
          <t>2026-10-13T08:00Z</t>
        </is>
      </c>
      <c r="D1389" s="24" t="inlineStr">
        <is>
          <t>1020-2026:185486</t>
        </is>
      </c>
      <c r="E1389" s="24" t="inlineStr">
        <is>
          <t>TENNIS</t>
        </is>
      </c>
      <c r="F1389" s="24" t="inlineStr">
        <is>
          <t>Nuria Brancaccio</t>
        </is>
      </c>
      <c r="G1389" s="24" t="inlineStr">
        <is>
          <t>Laura Pigossi</t>
        </is>
      </c>
      <c r="H1389" s="24" t="inlineStr">
        <is>
          <t>moneyline</t>
        </is>
      </c>
      <c r="I1389" s="24" t="inlineStr">
        <is>
          <t>away</t>
        </is>
      </c>
      <c r="J1389" s="25" t="n"/>
      <c r="K1389" s="24" t="inlineStr">
        <is>
          <t>polymarket_us</t>
        </is>
      </c>
      <c r="L1389" s="26" t="n">
        <v>-245</v>
      </c>
      <c r="M1389" s="27" t="n">
        <v>1.408163</v>
      </c>
      <c r="N1389" s="28" t="n">
        <v>0.710145</v>
      </c>
      <c r="O1389" s="28" t="n">
        <v>0.6244</v>
      </c>
      <c r="P1389" s="28" t="n">
        <v>0.05</v>
      </c>
      <c r="Q1389" s="28" t="n">
        <v>-0.085745</v>
      </c>
      <c r="R1389" s="26" t="n">
        <v>0</v>
      </c>
      <c r="S1389" s="29" t="n">
        <v>1</v>
      </c>
      <c r="T1389" s="24" t="inlineStr">
        <is>
          <t>tennis-learned-v3</t>
        </is>
      </c>
      <c r="U1389" s="24" t="inlineStr">
        <is>
          <t>settled</t>
        </is>
      </c>
      <c r="V1389" s="24" t="inlineStr">
        <is>
          <t>win</t>
        </is>
      </c>
      <c r="W1389" s="26" t="n">
        <v>1</v>
      </c>
      <c r="X1389" s="26" t="n">
        <v>0</v>
      </c>
      <c r="Y1389" s="25" t="n"/>
      <c r="Z1389" s="26" t="n">
        <v>-245</v>
      </c>
      <c r="AA1389" s="28" t="n">
        <v>0.71</v>
      </c>
      <c r="AB1389" s="28" t="n">
        <v>-0.000145</v>
      </c>
      <c r="AC1389" s="30" t="n">
        <v>0.4082</v>
      </c>
      <c r="AD1389" s="24" t="inlineStr">
        <is>
          <t>2026-10-13T10:06:54.547989Z</t>
        </is>
      </c>
      <c r="AE1389" s="31" t="inlineStr">
        <is>
          <t>Tennis v3 Learned Fundamental on Grass (Bo3): Nuria Brancaccio p=0.624 vs Laura Pigossi. Executable ask 0.7100 (aec-wta-laupig-nurbra-2026-10-12).</t>
        </is>
      </c>
      <c r="AF1389" s="31" t="inlineStr">
        <is>
          <t>Surface-blended Elo model; singles only, WTA+ATP market coverage, not yet locked-holdout qualified -- promoted by explicit operator directive, not genuine walk-forward validation.</t>
        </is>
      </c>
      <c r="AG1389" s="24" t="inlineStr">
        <is>
          <t>not_applicable</t>
        </is>
      </c>
      <c r="AH1389" s="24" t="n"/>
      <c r="AI1389" s="31" t="n"/>
      <c r="AJ1389" s="31" t="n"/>
      <c r="AK1389" s="24" t="inlineStr">
        <is>
          <t>paper_call</t>
        </is>
      </c>
      <c r="AL1389" s="26" t="n">
        <v>4</v>
      </c>
      <c r="AM1389" s="24" t="inlineStr">
        <is>
          <t>RESEARCH_OBSERVATION</t>
        </is>
      </c>
      <c r="AN1389" s="24" t="inlineStr">
        <is>
          <t>CALL</t>
        </is>
      </c>
      <c r="AO1389" s="24" t="inlineStr">
        <is>
          <t>PAPER_CALL_LOW_EDGE</t>
        </is>
      </c>
      <c r="AP1389" s="24" t="inlineStr">
        <is>
          <t>Nuria Brancaccio</t>
        </is>
      </c>
      <c r="AQ1389" s="24" t="inlineStr">
        <is>
          <t>Nuria Brancaccio</t>
        </is>
      </c>
      <c r="AR1389" s="24" t="inlineStr">
        <is>
          <t>Nuria Brancaccio</t>
        </is>
      </c>
      <c r="AS1389" s="24" t="inlineStr">
        <is>
          <t>Laura Pigossi</t>
        </is>
      </c>
      <c r="AT1389" s="24" t="inlineStr">
        <is>
          <t>Laura Pigossi</t>
        </is>
      </c>
      <c r="AU1389" s="24" t="inlineStr">
        <is>
          <t>Laura Pigossi</t>
        </is>
      </c>
      <c r="AV1389" s="24" t="n"/>
      <c r="AW1389" s="24" t="n"/>
      <c r="AX1389" s="24" t="inlineStr">
        <is>
          <t>statistical_model</t>
        </is>
      </c>
      <c r="AY1389" s="24" t="n"/>
      <c r="AZ1389" s="24" t="inlineStr">
        <is>
          <t>shadow_qualified</t>
        </is>
      </c>
      <c r="BA1389" s="24" t="inlineStr">
        <is>
          <t>7443acc419841200d57e1edf36b77f1940cdd0c48dce3d43fcd05498a109440b</t>
        </is>
      </c>
      <c r="BB1389" s="24" t="inlineStr">
        <is>
          <t>learned_v3</t>
        </is>
      </c>
      <c r="BC1389" s="24" t="inlineStr">
        <is>
          <t>tennis-learned-v3</t>
        </is>
      </c>
      <c r="BD1389" s="24" t="inlineStr">
        <is>
          <t>7443acc419841200d57e1edf36b77f1940cdd0c48dce3d43fcd05498a109440b</t>
        </is>
      </c>
      <c r="BE1389" s="24" t="inlineStr">
        <is>
          <t>tennis-learned-v3</t>
        </is>
      </c>
      <c r="BF1389" s="24" t="inlineStr">
        <is>
          <t>1</t>
        </is>
      </c>
      <c r="BG1389" s="24" t="inlineStr">
        <is>
          <t>7443acc419841200d57e1edf36b77f1940cdd0c48dce3d43fcd05498a109440b</t>
        </is>
      </c>
      <c r="BH1389" s="24" t="inlineStr">
        <is>
          <t>2026-10-13T05:01:15.065128Z</t>
        </is>
      </c>
      <c r="BI1389" s="24" t="inlineStr">
        <is>
          <t>["same_event","same_team_same_day","same_league_same_day"]</t>
        </is>
      </c>
      <c r="BJ1389" s="25" t="n"/>
      <c r="BK1389" s="26" t="n">
        <v>-245</v>
      </c>
      <c r="BL1389" s="27" t="n">
        <v>1.408163</v>
      </c>
      <c r="BM1389" s="28" t="n">
        <v>0.710145</v>
      </c>
      <c r="BN1389" s="28" t="n"/>
      <c r="BO1389" s="28" t="n"/>
      <c r="BP1389" s="25" t="n"/>
      <c r="BQ1389" s="27" t="n">
        <v>1.408163</v>
      </c>
      <c r="BR1389" s="28" t="n">
        <v>0.71</v>
      </c>
      <c r="BS1389" s="28" t="n"/>
      <c r="BT1389" s="28" t="n"/>
      <c r="BU1389" s="25" t="n"/>
      <c r="BV1389" s="29" t="n"/>
      <c r="BW1389" s="24" t="n"/>
      <c r="BX1389" s="30" t="n"/>
      <c r="BY1389" s="27" t="n"/>
      <c r="BZ1389" s="24" t="n"/>
      <c r="CA1389" s="31" t="n"/>
      <c r="CB1389" s="24" t="n"/>
      <c r="CC1389" s="24" t="n"/>
      <c r="CD1389" s="24" t="n"/>
      <c r="CE1389" s="24" t="n"/>
      <c r="CF1389" s="24" t="n"/>
      <c r="CG1389" s="24" t="n"/>
      <c r="CH1389" s="24" t="n"/>
      <c r="CI1389" s="24" t="n"/>
      <c r="CJ1389" s="24" t="n"/>
      <c r="CK1389" s="24" t="n"/>
      <c r="CL1389" s="24" t="n"/>
      <c r="CM1389" s="24" t="n"/>
      <c r="CN1389" s="24" t="n"/>
      <c r="CO1389" s="24" t="n"/>
      <c r="CP1389" s="24" t="n"/>
      <c r="CQ1389" s="24" t="n"/>
      <c r="CR1389" s="24" t="n"/>
      <c r="CS1389" s="24" t="inlineStr">
        <is>
          <t>False</t>
        </is>
      </c>
      <c r="CT1389" s="24" t="n"/>
      <c r="CU1389" s="24" t="n"/>
      <c r="CV1389" s="24" t="n"/>
      <c r="CW1389" s="24" t="n"/>
      <c r="CX1389" s="24" t="n"/>
      <c r="CY1389" s="24" t="n"/>
      <c r="CZ1389" s="24" t="n"/>
      <c r="DA1389" s="24" t="n"/>
      <c r="DB1389" s="24" t="n"/>
      <c r="DC1389" s="24" t="n"/>
      <c r="DD1389" s="24" t="inlineStr">
        <is>
          <t>ac6c1edcd2dbb2fe948a5051abb69b19e93b2de8dbee18e83efea365811b6d1b</t>
        </is>
      </c>
      <c r="DE1389" s="24" t="inlineStr">
        <is>
          <t>E:\model-prediction\data\odds\tennis\2026-10-13\polymarket_snapshots.jsonl</t>
        </is>
      </c>
      <c r="DF1389" s="24" t="inlineStr">
        <is>
          <t>1366663:2026-10-13T05:01:15.065128Z</t>
        </is>
      </c>
      <c r="DG1389" s="24" t="n"/>
      <c r="DH1389" s="24" t="n"/>
      <c r="DI1389" s="24" t="n"/>
      <c r="DJ1389" s="24" t="n"/>
      <c r="DK1389" s="24" t="n"/>
      <c r="DL1389" s="24" t="n"/>
      <c r="DM1389" s="24" t="n"/>
      <c r="DN1389" s="24" t="n"/>
      <c r="DO1389" s="24" t="n"/>
      <c r="DP1389" s="24" t="n"/>
      <c r="DQ1389" s="24" t="inlineStr">
        <is>
          <t>{"artifact_hash": "7443acc419841200d57e1edf36b77f1940cdd0c48dce3d43fcd05498a109440b", "away_team": "Nuria Brancaccio", "event_id": "1020-2026:185486", "event_start_utc": "2026-10-13T08:00Z", "features": {"elo_p1_surface": 1423.1, "elo_p2_surface": 1478.7, "expected_games_p1": 13.46, "expected_games_p2": 9.43, "expected_total_games": 22.88, "history_matches": 16744, "min_player_matches": 91, "surface": "Grass"}, "historical_source_observation_times_verified": false, "home_team": "Laura Pigossi", "inference_inputs": {"best_of": 3, "code_sha256": {"features/elo_ratings.py": "d6513e79d65448c06cc0f9b9eed0eaa091567835128e1f6647a310da8d78a872", "models/tennis.py": "7443acc419841200d57e1edf36b77f1940cdd0c48dce3d43fcd05498a109440b"}, "counts": [91, 92], "market_probability": null, "model_version": "tennis-learned-v3", "overall_ratings": [1476.2085498607366, 1379.7180067474787], "p_serve_a": 0.6267995979493947, "p_serve_b": 0.5532004020506053, "players": ["Nuria Brancaccio", "Laura Pigossi"], "rest_days": [17.0, 20.0], "sport": "TENNIS", "surface": "Grass", "surface_counts": [4, 3], "surface_ratings": [1423.078801514476, 1478.6840782469155], "tour": "WTA"}, "market_type": "moneyline", "model_version": "tennis-learned-v3", "observed_at_utc": "2026-10-13T05:49:19.315977+00:00", "probabilities": {"away": 0.6244, "home": 0.3756}, "replay_scope": "Exact full-precision serving state and rounding; upstream historical observation times are not certified.", "schema": "coded-moneyline-replay-v1", "snapshot_hash": "2741aaaa95cb1b5985e4685b7658b712a197a7ae63cdf212fe649941b87af65e", "sport": "TENNIS"}</t>
        </is>
      </c>
    </row>
    <row r="1390" ht="36" customHeight="1">
      <c r="A1390" s="24" t="inlineStr">
        <is>
          <t>5f8341446a07486f</t>
        </is>
      </c>
      <c r="B1390" s="24" t="inlineStr">
        <is>
          <t>2026-10-13T05:49:22.014322Z</t>
        </is>
      </c>
      <c r="C1390" s="24" t="inlineStr">
        <is>
          <t>2026-10-13T08:00Z</t>
        </is>
      </c>
      <c r="D1390" s="24" t="inlineStr">
        <is>
          <t>1020-2026:185486</t>
        </is>
      </c>
      <c r="E1390" s="24" t="inlineStr">
        <is>
          <t>TENNIS</t>
        </is>
      </c>
      <c r="F1390" s="24" t="inlineStr">
        <is>
          <t>Nuria Brancaccio</t>
        </is>
      </c>
      <c r="G1390" s="24" t="inlineStr">
        <is>
          <t>Laura Pigossi</t>
        </is>
      </c>
      <c r="H1390" s="24" t="inlineStr">
        <is>
          <t>spread</t>
        </is>
      </c>
      <c r="I1390" s="24" t="inlineStr">
        <is>
          <t>away</t>
        </is>
      </c>
      <c r="J1390" s="25" t="n">
        <v>-7.5</v>
      </c>
      <c r="K1390" s="24" t="inlineStr">
        <is>
          <t>polymarket_us</t>
        </is>
      </c>
      <c r="L1390" s="26" t="n">
        <v>-150</v>
      </c>
      <c r="M1390" s="27" t="n">
        <v>1.666667</v>
      </c>
      <c r="N1390" s="28" t="n">
        <v>0.6</v>
      </c>
      <c r="O1390" s="28" t="n">
        <v>0.9967</v>
      </c>
      <c r="P1390" s="28" t="n">
        <v>0.05</v>
      </c>
      <c r="Q1390" s="28" t="n">
        <v>0.3967</v>
      </c>
      <c r="R1390" s="26" t="n">
        <v>100</v>
      </c>
      <c r="S1390" s="29" t="n">
        <v>2</v>
      </c>
      <c r="T1390" s="24" t="inlineStr">
        <is>
          <t>tennis-learned-v3</t>
        </is>
      </c>
      <c r="U1390" s="24" t="inlineStr">
        <is>
          <t>settled</t>
        </is>
      </c>
      <c r="V1390" s="24" t="inlineStr">
        <is>
          <t>win</t>
        </is>
      </c>
      <c r="W1390" s="26" t="n">
        <v>12</v>
      </c>
      <c r="X1390" s="26" t="n">
        <v>4</v>
      </c>
      <c r="Y1390" s="25" t="n"/>
      <c r="Z1390" s="26" t="n"/>
      <c r="AA1390" s="28" t="n"/>
      <c r="AB1390" s="28" t="n"/>
      <c r="AC1390" s="30" t="n">
        <v>1.3333</v>
      </c>
      <c r="AD1390" s="24" t="inlineStr">
        <is>
          <t>2026-10-13T10:07:03.393300Z</t>
        </is>
      </c>
      <c r="AE1390" s="31" t="inlineStr">
        <is>
          <t>Tennis Markov game spread -7.5 games: away cover p=0.997. Executable ask 0.6000 (asc-wta-laupig-nurbra-2026-10-12-gs-neg-7pt5).</t>
        </is>
      </c>
      <c r="AF1390" s="31" t="inlineStr">
        <is>
          <t>Surface-blended Elo model; singles only, WTA+ATP market coverage, not yet locked-holdout qualified -- promoted by explicit operator directive, not genuine walk-forward validation.</t>
        </is>
      </c>
      <c r="AG1390" s="24" t="inlineStr">
        <is>
          <t>not_applicable</t>
        </is>
      </c>
      <c r="AH1390" s="24" t="n"/>
      <c r="AI1390" s="31" t="n"/>
      <c r="AJ1390" s="31" t="n"/>
      <c r="AK1390" s="24" t="inlineStr">
        <is>
          <t>model_qualified</t>
        </is>
      </c>
      <c r="AL1390" s="26" t="n">
        <v>4</v>
      </c>
      <c r="AM1390" s="24" t="inlineStr">
        <is>
          <t>QUALIFIED_SHADOW_CALL</t>
        </is>
      </c>
      <c r="AN1390" s="24" t="inlineStr">
        <is>
          <t>CALL</t>
        </is>
      </c>
      <c r="AO1390" s="24" t="inlineStr">
        <is>
          <t>QUALIFIED</t>
        </is>
      </c>
      <c r="AP1390" s="24" t="inlineStr">
        <is>
          <t>Nuria Brancaccio</t>
        </is>
      </c>
      <c r="AQ1390" s="24" t="inlineStr">
        <is>
          <t>Nuria Brancaccio</t>
        </is>
      </c>
      <c r="AR1390" s="24" t="inlineStr">
        <is>
          <t>Nuria Brancaccio</t>
        </is>
      </c>
      <c r="AS1390" s="24" t="inlineStr">
        <is>
          <t>Laura Pigossi</t>
        </is>
      </c>
      <c r="AT1390" s="24" t="inlineStr">
        <is>
          <t>Laura Pigossi</t>
        </is>
      </c>
      <c r="AU1390" s="24" t="inlineStr">
        <is>
          <t>Laura Pigossi</t>
        </is>
      </c>
      <c r="AV1390" s="24" t="n"/>
      <c r="AW1390" s="24" t="n"/>
      <c r="AX1390" s="24" t="inlineStr">
        <is>
          <t>statistical_model</t>
        </is>
      </c>
      <c r="AY1390" s="24" t="n"/>
      <c r="AZ1390" s="24" t="inlineStr">
        <is>
          <t>shadow_qualified</t>
        </is>
      </c>
      <c r="BA1390" s="24" t="inlineStr">
        <is>
          <t>7443acc419841200d57e1edf36b77f1940cdd0c48dce3d43fcd05498a109440b</t>
        </is>
      </c>
      <c r="BB1390" s="24" t="inlineStr">
        <is>
          <t>learned_v3</t>
        </is>
      </c>
      <c r="BC1390" s="24" t="inlineStr">
        <is>
          <t>tennis-learned-v3</t>
        </is>
      </c>
      <c r="BD1390" s="24" t="inlineStr">
        <is>
          <t>7443acc419841200d57e1edf36b77f1940cdd0c48dce3d43fcd05498a109440b</t>
        </is>
      </c>
      <c r="BE1390" s="24" t="inlineStr">
        <is>
          <t>tennis-learned-v3</t>
        </is>
      </c>
      <c r="BF1390" s="24" t="inlineStr">
        <is>
          <t>1</t>
        </is>
      </c>
      <c r="BG1390" s="24" t="inlineStr">
        <is>
          <t>7443acc419841200d57e1edf36b77f1940cdd0c48dce3d43fcd05498a109440b</t>
        </is>
      </c>
      <c r="BH1390" s="24" t="inlineStr">
        <is>
          <t>2026-10-13T05:01:25.128871Z</t>
        </is>
      </c>
      <c r="BI1390" s="24" t="inlineStr">
        <is>
          <t>["same_event","same_team_same_day","same_league_same_day"]</t>
        </is>
      </c>
      <c r="BJ1390" s="25" t="n">
        <v>-7.5</v>
      </c>
      <c r="BK1390" s="26" t="n">
        <v>-150</v>
      </c>
      <c r="BL1390" s="27" t="n">
        <v>1.666667</v>
      </c>
      <c r="BM1390" s="28" t="n">
        <v>0.6</v>
      </c>
      <c r="BN1390" s="28" t="n"/>
      <c r="BO1390" s="28" t="n"/>
      <c r="BP1390" s="25" t="n"/>
      <c r="BQ1390" s="27" t="n"/>
      <c r="BR1390" s="28" t="n"/>
      <c r="BS1390" s="28" t="n"/>
      <c r="BT1390" s="28" t="n"/>
      <c r="BU1390" s="25" t="n"/>
      <c r="BV1390" s="29" t="n"/>
      <c r="BW1390" s="24" t="n"/>
      <c r="BX1390" s="30" t="n"/>
      <c r="BY1390" s="27" t="n"/>
      <c r="BZ1390" s="24" t="n"/>
      <c r="CA1390" s="31" t="n"/>
      <c r="CB1390" s="24" t="n"/>
      <c r="CC1390" s="24" t="n"/>
      <c r="CD1390" s="24" t="n"/>
      <c r="CE1390" s="24" t="n"/>
      <c r="CF1390" s="24" t="n"/>
      <c r="CG1390" s="24" t="n"/>
      <c r="CH1390" s="24" t="n"/>
      <c r="CI1390" s="24" t="n"/>
      <c r="CJ1390" s="24" t="n"/>
      <c r="CK1390" s="24" t="n"/>
      <c r="CL1390" s="24" t="n"/>
      <c r="CM1390" s="24" t="n"/>
      <c r="CN1390" s="24" t="n"/>
      <c r="CO1390" s="24" t="n"/>
      <c r="CP1390" s="24" t="n"/>
      <c r="CQ1390" s="24" t="n"/>
      <c r="CR1390" s="24" t="n"/>
      <c r="CS1390" s="24" t="inlineStr">
        <is>
          <t>True</t>
        </is>
      </c>
      <c r="CT1390" s="24" t="n"/>
      <c r="CU1390" s="24" t="n"/>
      <c r="CV1390" s="24" t="n"/>
      <c r="CW1390" s="24" t="n"/>
      <c r="CX1390" s="24" t="n"/>
      <c r="CY1390" s="24" t="n"/>
      <c r="CZ1390" s="24" t="n"/>
      <c r="DA1390" s="24" t="n"/>
      <c r="DB1390" s="24" t="n"/>
      <c r="DC1390" s="24" t="n"/>
      <c r="DD1390" s="24" t="inlineStr">
        <is>
          <t>3f444f3474d7e64001b46257ca4047d2fc44891cfd2a4d2686ee7458a0b952d9</t>
        </is>
      </c>
      <c r="DE1390" s="24" t="inlineStr">
        <is>
          <t>E:\model-prediction\data\odds\tennis\2026-10-13\polymarket_snapshots.jsonl</t>
        </is>
      </c>
      <c r="DF1390" s="24" t="inlineStr">
        <is>
          <t>1367562:2026-10-13T05:01:25.128871Z</t>
        </is>
      </c>
      <c r="DG1390" s="24" t="n"/>
      <c r="DH1390" s="24" t="n"/>
      <c r="DI1390" s="24" t="n"/>
      <c r="DJ1390" s="24" t="n"/>
      <c r="DK1390" s="24" t="n"/>
      <c r="DL1390" s="24" t="n"/>
      <c r="DM1390" s="24" t="n"/>
      <c r="DN1390" s="24" t="n"/>
      <c r="DO1390" s="24" t="n"/>
      <c r="DP1390" s="24" t="n"/>
      <c r="DQ1390" s="24" t="n"/>
    </row>
    <row r="1391" ht="36" customHeight="1">
      <c r="A1391" s="24" t="inlineStr">
        <is>
          <t>8852339c3a4f4897</t>
        </is>
      </c>
      <c r="B1391" s="24" t="inlineStr">
        <is>
          <t>2026-10-13T05:49:22.014322Z</t>
        </is>
      </c>
      <c r="C1391" s="24" t="inlineStr">
        <is>
          <t>2026-10-13T08:00Z</t>
        </is>
      </c>
      <c r="D1391" s="24" t="inlineStr">
        <is>
          <t>1020-2026:185488</t>
        </is>
      </c>
      <c r="E1391" s="24" t="inlineStr">
        <is>
          <t>TENNIS</t>
        </is>
      </c>
      <c r="F1391" s="24" t="inlineStr">
        <is>
          <t>Eva Bennemann</t>
        </is>
      </c>
      <c r="G1391" s="24" t="inlineStr">
        <is>
          <t>Lucie Nguyen Tan</t>
        </is>
      </c>
      <c r="H1391" s="24" t="inlineStr">
        <is>
          <t>spread</t>
        </is>
      </c>
      <c r="I1391" s="24" t="inlineStr">
        <is>
          <t>home</t>
        </is>
      </c>
      <c r="J1391" s="25" t="n">
        <v>4.5</v>
      </c>
      <c r="K1391" s="24" t="inlineStr">
        <is>
          <t>polymarket_us</t>
        </is>
      </c>
      <c r="L1391" s="26" t="n">
        <v>-133</v>
      </c>
      <c r="M1391" s="27" t="n">
        <v>1.75188</v>
      </c>
      <c r="N1391" s="28" t="n">
        <v>0.570815</v>
      </c>
      <c r="O1391" s="28" t="n">
        <v>0.9617</v>
      </c>
      <c r="P1391" s="28" t="n">
        <v>0.05</v>
      </c>
      <c r="Q1391" s="28" t="n">
        <v>0.390885</v>
      </c>
      <c r="R1391" s="26" t="n">
        <v>100</v>
      </c>
      <c r="S1391" s="29" t="n">
        <v>2</v>
      </c>
      <c r="T1391" s="24" t="inlineStr">
        <is>
          <t>tennis-learned-v3</t>
        </is>
      </c>
      <c r="U1391" s="24" t="inlineStr">
        <is>
          <t>settled</t>
        </is>
      </c>
      <c r="V1391" s="24" t="inlineStr">
        <is>
          <t>win</t>
        </is>
      </c>
      <c r="W1391" s="26" t="n">
        <v>5</v>
      </c>
      <c r="X1391" s="26" t="n">
        <v>12</v>
      </c>
      <c r="Y1391" s="25" t="n"/>
      <c r="Z1391" s="26" t="n"/>
      <c r="AA1391" s="28" t="n"/>
      <c r="AB1391" s="28" t="n"/>
      <c r="AC1391" s="30" t="n">
        <v>1.5038</v>
      </c>
      <c r="AD1391" s="24" t="inlineStr">
        <is>
          <t>2026-10-13T10:07:09.220607Z</t>
        </is>
      </c>
      <c r="AE1391" s="31" t="inlineStr">
        <is>
          <t>Tennis Markov game spread +4.5 games: home cover p=0.962. Executable ask 0.5700 (asc-wta-luctan-evaben-2026-10-13-gs-pos-4pt5).</t>
        </is>
      </c>
      <c r="AF1391" s="31" t="inlineStr">
        <is>
          <t>Surface-blended Elo model; singles only, WTA+ATP market coverage, not yet locked-holdout qualified -- promoted by explicit operator directive, not genuine walk-forward validation.</t>
        </is>
      </c>
      <c r="AG1391" s="24" t="inlineStr">
        <is>
          <t>not_applicable</t>
        </is>
      </c>
      <c r="AH1391" s="24" t="n"/>
      <c r="AI1391" s="31" t="n"/>
      <c r="AJ1391" s="31" t="n"/>
      <c r="AK1391" s="24" t="inlineStr">
        <is>
          <t>paper_call</t>
        </is>
      </c>
      <c r="AL1391" s="26" t="n">
        <v>4</v>
      </c>
      <c r="AM1391" s="24" t="inlineStr">
        <is>
          <t>RESEARCH_OBSERVATION</t>
        </is>
      </c>
      <c r="AN1391" s="24" t="inlineStr">
        <is>
          <t>CALL</t>
        </is>
      </c>
      <c r="AO1391" s="24" t="inlineStr">
        <is>
          <t>PAPER_CALL_MODEL_UNVALIDATED</t>
        </is>
      </c>
      <c r="AP1391" s="24" t="inlineStr">
        <is>
          <t>Eva Bennemann</t>
        </is>
      </c>
      <c r="AQ1391" s="24" t="inlineStr">
        <is>
          <t>Eva Bennemann</t>
        </is>
      </c>
      <c r="AR1391" s="24" t="inlineStr">
        <is>
          <t>Eva Bennemann</t>
        </is>
      </c>
      <c r="AS1391" s="24" t="inlineStr">
        <is>
          <t>Lucie Nguyen Tan</t>
        </is>
      </c>
      <c r="AT1391" s="24" t="inlineStr">
        <is>
          <t>Lucie Nguyen Tan</t>
        </is>
      </c>
      <c r="AU1391" s="24" t="inlineStr">
        <is>
          <t>Lucie Nguyen Tan</t>
        </is>
      </c>
      <c r="AV1391" s="24" t="n"/>
      <c r="AW1391" s="24" t="n"/>
      <c r="AX1391" s="24" t="inlineStr">
        <is>
          <t>statistical_model</t>
        </is>
      </c>
      <c r="AY1391" s="24" t="n"/>
      <c r="AZ1391" s="24" t="inlineStr">
        <is>
          <t>shadow_qualified</t>
        </is>
      </c>
      <c r="BA1391" s="24" t="inlineStr">
        <is>
          <t>7443acc419841200d57e1edf36b77f1940cdd0c48dce3d43fcd05498a109440b</t>
        </is>
      </c>
      <c r="BB1391" s="24" t="inlineStr">
        <is>
          <t>learned_v3</t>
        </is>
      </c>
      <c r="BC1391" s="24" t="inlineStr">
        <is>
          <t>tennis-learned-v3</t>
        </is>
      </c>
      <c r="BD1391" s="24" t="inlineStr">
        <is>
          <t>7443acc419841200d57e1edf36b77f1940cdd0c48dce3d43fcd05498a109440b</t>
        </is>
      </c>
      <c r="BE1391" s="24" t="inlineStr">
        <is>
          <t>tennis-learned-v3</t>
        </is>
      </c>
      <c r="BF1391" s="24" t="inlineStr">
        <is>
          <t>1</t>
        </is>
      </c>
      <c r="BG1391" s="24" t="inlineStr">
        <is>
          <t>7443acc419841200d57e1edf36b77f1940cdd0c48dce3d43fcd05498a109440b</t>
        </is>
      </c>
      <c r="BH1391" s="24" t="inlineStr">
        <is>
          <t>2026-10-13T05:01:25.163828Z</t>
        </is>
      </c>
      <c r="BI1391" s="24" t="inlineStr">
        <is>
          <t>["same_event","same_team_same_day","same_league_same_day"]</t>
        </is>
      </c>
      <c r="BJ1391" s="25" t="n">
        <v>4.5</v>
      </c>
      <c r="BK1391" s="26" t="n">
        <v>-133</v>
      </c>
      <c r="BL1391" s="27" t="n">
        <v>1.75188</v>
      </c>
      <c r="BM1391" s="28" t="n">
        <v>0.570815</v>
      </c>
      <c r="BN1391" s="28" t="n"/>
      <c r="BO1391" s="28" t="n"/>
      <c r="BP1391" s="25" t="n"/>
      <c r="BQ1391" s="27" t="n"/>
      <c r="BR1391" s="28" t="n"/>
      <c r="BS1391" s="28" t="n"/>
      <c r="BT1391" s="28" t="n"/>
      <c r="BU1391" s="25" t="n"/>
      <c r="BV1391" s="29" t="n"/>
      <c r="BW1391" s="24" t="n"/>
      <c r="BX1391" s="30" t="n"/>
      <c r="BY1391" s="27" t="n"/>
      <c r="BZ1391" s="24" t="n"/>
      <c r="CA1391" s="31" t="n"/>
      <c r="CB1391" s="24" t="n"/>
      <c r="CC1391" s="24" t="n"/>
      <c r="CD1391" s="24" t="n"/>
      <c r="CE1391" s="24" t="n"/>
      <c r="CF1391" s="24" t="n"/>
      <c r="CG1391" s="24" t="n"/>
      <c r="CH1391" s="24" t="n"/>
      <c r="CI1391" s="24" t="n"/>
      <c r="CJ1391" s="24" t="n"/>
      <c r="CK1391" s="24" t="n"/>
      <c r="CL1391" s="24" t="n"/>
      <c r="CM1391" s="24" t="n"/>
      <c r="CN1391" s="24" t="n"/>
      <c r="CO1391" s="24" t="n"/>
      <c r="CP1391" s="24" t="n"/>
      <c r="CQ1391" s="24" t="n"/>
      <c r="CR1391" s="24" t="n"/>
      <c r="CS1391" s="24" t="inlineStr">
        <is>
          <t>True</t>
        </is>
      </c>
      <c r="CT1391" s="24" t="n"/>
      <c r="CU1391" s="24" t="n"/>
      <c r="CV1391" s="24" t="n"/>
      <c r="CW1391" s="24" t="n"/>
      <c r="CX1391" s="24" t="n"/>
      <c r="CY1391" s="24" t="n"/>
      <c r="CZ1391" s="24" t="n"/>
      <c r="DA1391" s="24" t="n"/>
      <c r="DB1391" s="24" t="n"/>
      <c r="DC1391" s="24" t="n"/>
      <c r="DD1391" s="24" t="inlineStr">
        <is>
          <t>8de05f926b5f617c4a962c2f825728a5843db4aee9ea56f99270fe13358b702c</t>
        </is>
      </c>
      <c r="DE1391" s="24" t="inlineStr">
        <is>
          <t>E:\model-prediction\data\odds\tennis\2026-10-13\polymarket_snapshots.jsonl</t>
        </is>
      </c>
      <c r="DF1391" s="24" t="inlineStr">
        <is>
          <t>1394123:2026-10-13T05:01:25.163828Z</t>
        </is>
      </c>
      <c r="DG1391" s="24" t="n"/>
      <c r="DH1391" s="24" t="n"/>
      <c r="DI1391" s="24" t="n"/>
      <c r="DJ1391" s="24" t="n"/>
      <c r="DK1391" s="24" t="n"/>
      <c r="DL1391" s="24" t="n"/>
      <c r="DM1391" s="24" t="n"/>
      <c r="DN1391" s="24" t="n"/>
      <c r="DO1391" s="24" t="n"/>
      <c r="DP1391" s="24" t="n"/>
      <c r="DQ1391" s="24" t="n"/>
    </row>
    <row r="1392" ht="36" customHeight="1">
      <c r="A1392" s="24" t="inlineStr">
        <is>
          <t>1d2fe6e2f40b4f68</t>
        </is>
      </c>
      <c r="B1392" s="24" t="inlineStr">
        <is>
          <t>2026-10-13T05:49:22.014322Z</t>
        </is>
      </c>
      <c r="C1392" s="24" t="inlineStr">
        <is>
          <t>2026-10-13T08:00Z</t>
        </is>
      </c>
      <c r="D1392" s="24" t="inlineStr">
        <is>
          <t>1020-2026:185488</t>
        </is>
      </c>
      <c r="E1392" s="24" t="inlineStr">
        <is>
          <t>TENNIS</t>
        </is>
      </c>
      <c r="F1392" s="24" t="inlineStr">
        <is>
          <t>Eva Bennemann</t>
        </is>
      </c>
      <c r="G1392" s="24" t="inlineStr">
        <is>
          <t>Lucie Nguyen Tan</t>
        </is>
      </c>
      <c r="H1392" s="24" t="inlineStr">
        <is>
          <t>total</t>
        </is>
      </c>
      <c r="I1392" s="24" t="inlineStr">
        <is>
          <t>under</t>
        </is>
      </c>
      <c r="J1392" s="25" t="n">
        <v>22.5</v>
      </c>
      <c r="K1392" s="24" t="inlineStr">
        <is>
          <t>polymarket_us</t>
        </is>
      </c>
      <c r="L1392" s="26" t="n">
        <v>-270</v>
      </c>
      <c r="M1392" s="27" t="n">
        <v>1.37037</v>
      </c>
      <c r="N1392" s="28" t="n">
        <v>0.72973</v>
      </c>
      <c r="O1392" s="28" t="n">
        <v>0.5937</v>
      </c>
      <c r="P1392" s="28" t="n">
        <v>0.05</v>
      </c>
      <c r="Q1392" s="28" t="n">
        <v>-0.13603</v>
      </c>
      <c r="R1392" s="26" t="n">
        <v>0</v>
      </c>
      <c r="S1392" s="29" t="n">
        <v>1</v>
      </c>
      <c r="T1392" s="24" t="inlineStr">
        <is>
          <t>tennis-learned-v3</t>
        </is>
      </c>
      <c r="U1392" s="24" t="inlineStr">
        <is>
          <t>settled</t>
        </is>
      </c>
      <c r="V1392" s="24" t="inlineStr">
        <is>
          <t>win</t>
        </is>
      </c>
      <c r="W1392" s="26" t="n">
        <v>5</v>
      </c>
      <c r="X1392" s="26" t="n">
        <v>12</v>
      </c>
      <c r="Y1392" s="25" t="n"/>
      <c r="Z1392" s="26" t="n"/>
      <c r="AA1392" s="28" t="n"/>
      <c r="AB1392" s="28" t="n"/>
      <c r="AC1392" s="30" t="n">
        <v>0.3704</v>
      </c>
      <c r="AD1392" s="24" t="inlineStr">
        <is>
          <t>2026-10-13T10:07:14.702801Z</t>
        </is>
      </c>
      <c r="AE1392" s="31" t="inlineStr">
        <is>
          <t>Tennis Markov total games line 22.5: under p=0.594. Executable ask 0.7300 (tsc-wta-luctan-evaben-2026-10-13-tg-22pt5).</t>
        </is>
      </c>
      <c r="AF1392" s="31" t="inlineStr">
        <is>
          <t>Surface-blended Elo model; singles only, WTA+ATP market coverage, not yet locked-holdout qualified -- promoted by explicit operator directive, not genuine walk-forward validation.</t>
        </is>
      </c>
      <c r="AG1392" s="24" t="inlineStr">
        <is>
          <t>not_applicable</t>
        </is>
      </c>
      <c r="AH1392" s="24" t="n"/>
      <c r="AI1392" s="31" t="n"/>
      <c r="AJ1392" s="31" t="n"/>
      <c r="AK1392" s="24" t="inlineStr">
        <is>
          <t>paper_call</t>
        </is>
      </c>
      <c r="AL1392" s="26" t="n">
        <v>4</v>
      </c>
      <c r="AM1392" s="24" t="inlineStr">
        <is>
          <t>RESEARCH_OBSERVATION</t>
        </is>
      </c>
      <c r="AN1392" s="24" t="inlineStr">
        <is>
          <t>CALL</t>
        </is>
      </c>
      <c r="AO1392" s="24" t="inlineStr">
        <is>
          <t>PAPER_CALL_MODEL_UNVALIDATED</t>
        </is>
      </c>
      <c r="AP1392" s="24" t="inlineStr">
        <is>
          <t>Eva Bennemann</t>
        </is>
      </c>
      <c r="AQ1392" s="24" t="inlineStr">
        <is>
          <t>Eva Bennemann</t>
        </is>
      </c>
      <c r="AR1392" s="24" t="inlineStr">
        <is>
          <t>Eva Bennemann</t>
        </is>
      </c>
      <c r="AS1392" s="24" t="inlineStr">
        <is>
          <t>Lucie Nguyen Tan</t>
        </is>
      </c>
      <c r="AT1392" s="24" t="inlineStr">
        <is>
          <t>Lucie Nguyen Tan</t>
        </is>
      </c>
      <c r="AU1392" s="24" t="inlineStr">
        <is>
          <t>Lucie Nguyen Tan</t>
        </is>
      </c>
      <c r="AV1392" s="24" t="n"/>
      <c r="AW1392" s="24" t="n"/>
      <c r="AX1392" s="24" t="inlineStr">
        <is>
          <t>statistical_model</t>
        </is>
      </c>
      <c r="AY1392" s="24" t="n"/>
      <c r="AZ1392" s="24" t="inlineStr">
        <is>
          <t>shadow_qualified</t>
        </is>
      </c>
      <c r="BA1392" s="24" t="inlineStr">
        <is>
          <t>7443acc419841200d57e1edf36b77f1940cdd0c48dce3d43fcd05498a109440b</t>
        </is>
      </c>
      <c r="BB1392" s="24" t="inlineStr">
        <is>
          <t>learned_v3</t>
        </is>
      </c>
      <c r="BC1392" s="24" t="inlineStr">
        <is>
          <t>tennis-learned-v3</t>
        </is>
      </c>
      <c r="BD1392" s="24" t="inlineStr">
        <is>
          <t>7443acc419841200d57e1edf36b77f1940cdd0c48dce3d43fcd05498a109440b</t>
        </is>
      </c>
      <c r="BE1392" s="24" t="inlineStr">
        <is>
          <t>tennis-learned-v3</t>
        </is>
      </c>
      <c r="BF1392" s="24" t="inlineStr">
        <is>
          <t>1</t>
        </is>
      </c>
      <c r="BG1392" s="24" t="inlineStr">
        <is>
          <t>7443acc419841200d57e1edf36b77f1940cdd0c48dce3d43fcd05498a109440b</t>
        </is>
      </c>
      <c r="BH1392" s="24" t="inlineStr">
        <is>
          <t>2026-10-13T05:01:45.311699Z</t>
        </is>
      </c>
      <c r="BI1392" s="24" t="inlineStr">
        <is>
          <t>["same_event","same_team_same_day","same_league_same_day"]</t>
        </is>
      </c>
      <c r="BJ1392" s="25" t="n">
        <v>22.5</v>
      </c>
      <c r="BK1392" s="26" t="n">
        <v>-270</v>
      </c>
      <c r="BL1392" s="27" t="n">
        <v>1.37037</v>
      </c>
      <c r="BM1392" s="28" t="n">
        <v>0.72973</v>
      </c>
      <c r="BN1392" s="28" t="n"/>
      <c r="BO1392" s="28" t="n"/>
      <c r="BP1392" s="25" t="n"/>
      <c r="BQ1392" s="27" t="n"/>
      <c r="BR1392" s="28" t="n"/>
      <c r="BS1392" s="28" t="n"/>
      <c r="BT1392" s="28" t="n"/>
      <c r="BU1392" s="25" t="n"/>
      <c r="BV1392" s="29" t="n"/>
      <c r="BW1392" s="24" t="n"/>
      <c r="BX1392" s="30" t="n"/>
      <c r="BY1392" s="27" t="n"/>
      <c r="BZ1392" s="24" t="n"/>
      <c r="CA1392" s="31" t="n"/>
      <c r="CB1392" s="24" t="n"/>
      <c r="CC1392" s="24" t="n"/>
      <c r="CD1392" s="24" t="n"/>
      <c r="CE1392" s="24" t="n"/>
      <c r="CF1392" s="24" t="n"/>
      <c r="CG1392" s="24" t="n"/>
      <c r="CH1392" s="24" t="n"/>
      <c r="CI1392" s="24" t="n"/>
      <c r="CJ1392" s="24" t="n"/>
      <c r="CK1392" s="24" t="n"/>
      <c r="CL1392" s="24" t="n"/>
      <c r="CM1392" s="24" t="n"/>
      <c r="CN1392" s="24" t="n"/>
      <c r="CO1392" s="24" t="n"/>
      <c r="CP1392" s="24" t="n"/>
      <c r="CQ1392" s="24" t="n"/>
      <c r="CR1392" s="24" t="n"/>
      <c r="CS1392" s="24" t="inlineStr">
        <is>
          <t>False</t>
        </is>
      </c>
      <c r="CT1392" s="24" t="n"/>
      <c r="CU1392" s="24" t="n"/>
      <c r="CV1392" s="24" t="n"/>
      <c r="CW1392" s="24" t="n"/>
      <c r="CX1392" s="24" t="n"/>
      <c r="CY1392" s="24" t="n"/>
      <c r="CZ1392" s="24" t="n"/>
      <c r="DA1392" s="24" t="n"/>
      <c r="DB1392" s="24" t="n"/>
      <c r="DC1392" s="24" t="n"/>
      <c r="DD1392" s="24" t="inlineStr">
        <is>
          <t>d5512a0359fcef8eef1e4d356725cdb975adc3f836d3bb30f9ecbe9b32309aed</t>
        </is>
      </c>
      <c r="DE1392" s="24" t="inlineStr">
        <is>
          <t>E:\model-prediction\data\odds\tennis\2026-10-13\polymarket_snapshots.jsonl</t>
        </is>
      </c>
      <c r="DF1392" s="24" t="inlineStr">
        <is>
          <t>1394114:2026-10-13T05:01:45.311699Z</t>
        </is>
      </c>
      <c r="DG1392" s="24" t="n"/>
      <c r="DH1392" s="24" t="n"/>
      <c r="DI1392" s="24" t="n"/>
      <c r="DJ1392" s="24" t="n"/>
      <c r="DK1392" s="24" t="n"/>
      <c r="DL1392" s="24" t="n"/>
      <c r="DM1392" s="24" t="n"/>
      <c r="DN1392" s="24" t="n"/>
      <c r="DO1392" s="24" t="n"/>
      <c r="DP1392" s="24" t="n"/>
      <c r="DQ1392" s="24" t="n"/>
    </row>
    <row r="1393" ht="36" customHeight="1">
      <c r="A1393" s="24" t="inlineStr">
        <is>
          <t>147c2cf1c96841b6</t>
        </is>
      </c>
      <c r="B1393" s="24" t="inlineStr">
        <is>
          <t>2026-10-13T05:49:22.014322Z</t>
        </is>
      </c>
      <c r="C1393" s="24" t="inlineStr">
        <is>
          <t>2026-10-13T08:00Z</t>
        </is>
      </c>
      <c r="D1393" s="24" t="inlineStr">
        <is>
          <t>1020-2026:185488</t>
        </is>
      </c>
      <c r="E1393" s="24" t="inlineStr">
        <is>
          <t>TENNIS</t>
        </is>
      </c>
      <c r="F1393" s="24" t="inlineStr">
        <is>
          <t>Eva Bennemann</t>
        </is>
      </c>
      <c r="G1393" s="24" t="inlineStr">
        <is>
          <t>Lucie Nguyen Tan</t>
        </is>
      </c>
      <c r="H1393" s="24" t="inlineStr">
        <is>
          <t>moneyline</t>
        </is>
      </c>
      <c r="I1393" s="24" t="inlineStr">
        <is>
          <t>home</t>
        </is>
      </c>
      <c r="J1393" s="25" t="n"/>
      <c r="K1393" s="24" t="inlineStr">
        <is>
          <t>polymarket_us</t>
        </is>
      </c>
      <c r="L1393" s="26" t="n">
        <v>178</v>
      </c>
      <c r="M1393" s="27" t="n">
        <v>2.78</v>
      </c>
      <c r="N1393" s="28" t="n">
        <v>0.359712</v>
      </c>
      <c r="O1393" s="28" t="n">
        <v>0.6496</v>
      </c>
      <c r="P1393" s="28" t="n">
        <v>0.05</v>
      </c>
      <c r="Q1393" s="28" t="n">
        <v>0.289888</v>
      </c>
      <c r="R1393" s="26" t="n">
        <v>100</v>
      </c>
      <c r="S1393" s="29" t="n">
        <v>2</v>
      </c>
      <c r="T1393" s="24" t="inlineStr">
        <is>
          <t>tennis-learned-v3</t>
        </is>
      </c>
      <c r="U1393" s="24" t="inlineStr">
        <is>
          <t>settled</t>
        </is>
      </c>
      <c r="V1393" s="24" t="inlineStr">
        <is>
          <t>win</t>
        </is>
      </c>
      <c r="W1393" s="26" t="n">
        <v>0</v>
      </c>
      <c r="X1393" s="26" t="n">
        <v>1</v>
      </c>
      <c r="Y1393" s="25" t="n"/>
      <c r="Z1393" s="26" t="n">
        <v>178</v>
      </c>
      <c r="AA1393" s="28" t="n">
        <v>0.36</v>
      </c>
      <c r="AB1393" s="28" t="n">
        <v>0.000288</v>
      </c>
      <c r="AC1393" s="30" t="n">
        <v>3.56</v>
      </c>
      <c r="AD1393" s="24" t="inlineStr">
        <is>
          <t>2026-10-13T10:07:20.102698Z</t>
        </is>
      </c>
      <c r="AE1393" s="31" t="inlineStr">
        <is>
          <t>Tennis v3 Learned Fundamental on Grass (Bo3): Eva Bennemann p=0.350 vs Lucie Nguyen Tan. Executable ask 0.3600 (aec-wta-luctan-evaben-2026-10-13).</t>
        </is>
      </c>
      <c r="AF1393" s="31" t="inlineStr">
        <is>
          <t>Surface-blended Elo model; singles only, WTA+ATP market coverage, not yet locked-holdout qualified -- promoted by explicit operator directive, not genuine walk-forward validation.</t>
        </is>
      </c>
      <c r="AG1393" s="24" t="inlineStr">
        <is>
          <t>not_applicable</t>
        </is>
      </c>
      <c r="AH1393" s="24" t="n"/>
      <c r="AI1393" s="31" t="n"/>
      <c r="AJ1393" s="31" t="n"/>
      <c r="AK1393" s="24" t="inlineStr">
        <is>
          <t>paper_call</t>
        </is>
      </c>
      <c r="AL1393" s="26" t="n">
        <v>4</v>
      </c>
      <c r="AM1393" s="24" t="inlineStr">
        <is>
          <t>RESEARCH_OBSERVATION</t>
        </is>
      </c>
      <c r="AN1393" s="24" t="inlineStr">
        <is>
          <t>CALL</t>
        </is>
      </c>
      <c r="AO1393" s="24" t="inlineStr">
        <is>
          <t>PAPER_CALL_MODEL_UNVALIDATED</t>
        </is>
      </c>
      <c r="AP1393" s="24" t="inlineStr">
        <is>
          <t>Eva Bennemann</t>
        </is>
      </c>
      <c r="AQ1393" s="24" t="inlineStr">
        <is>
          <t>Eva Bennemann</t>
        </is>
      </c>
      <c r="AR1393" s="24" t="inlineStr">
        <is>
          <t>Eva Bennemann</t>
        </is>
      </c>
      <c r="AS1393" s="24" t="inlineStr">
        <is>
          <t>Lucie Nguyen Tan</t>
        </is>
      </c>
      <c r="AT1393" s="24" t="inlineStr">
        <is>
          <t>Lucie Nguyen Tan</t>
        </is>
      </c>
      <c r="AU1393" s="24" t="inlineStr">
        <is>
          <t>Lucie Nguyen Tan</t>
        </is>
      </c>
      <c r="AV1393" s="24" t="n"/>
      <c r="AW1393" s="24" t="n"/>
      <c r="AX1393" s="24" t="inlineStr">
        <is>
          <t>statistical_model</t>
        </is>
      </c>
      <c r="AY1393" s="24" t="n"/>
      <c r="AZ1393" s="24" t="inlineStr">
        <is>
          <t>shadow_qualified</t>
        </is>
      </c>
      <c r="BA1393" s="24" t="inlineStr">
        <is>
          <t>7443acc419841200d57e1edf36b77f1940cdd0c48dce3d43fcd05498a109440b</t>
        </is>
      </c>
      <c r="BB1393" s="24" t="inlineStr">
        <is>
          <t>learned_v3</t>
        </is>
      </c>
      <c r="BC1393" s="24" t="inlineStr">
        <is>
          <t>tennis-learned-v3</t>
        </is>
      </c>
      <c r="BD1393" s="24" t="inlineStr">
        <is>
          <t>7443acc419841200d57e1edf36b77f1940cdd0c48dce3d43fcd05498a109440b</t>
        </is>
      </c>
      <c r="BE1393" s="24" t="inlineStr">
        <is>
          <t>tennis-learned-v3</t>
        </is>
      </c>
      <c r="BF1393" s="24" t="inlineStr">
        <is>
          <t>1</t>
        </is>
      </c>
      <c r="BG1393" s="24" t="inlineStr">
        <is>
          <t>7443acc419841200d57e1edf36b77f1940cdd0c48dce3d43fcd05498a109440b</t>
        </is>
      </c>
      <c r="BH1393" s="24" t="inlineStr">
        <is>
          <t>2026-10-13T05:01:45.305994Z</t>
        </is>
      </c>
      <c r="BI1393" s="24" t="inlineStr">
        <is>
          <t>["same_event","same_team_same_day","same_league_same_day"]</t>
        </is>
      </c>
      <c r="BJ1393" s="25" t="n"/>
      <c r="BK1393" s="26" t="n">
        <v>178</v>
      </c>
      <c r="BL1393" s="27" t="n">
        <v>2.78</v>
      </c>
      <c r="BM1393" s="28" t="n">
        <v>0.359712</v>
      </c>
      <c r="BN1393" s="28" t="n"/>
      <c r="BO1393" s="28" t="n"/>
      <c r="BP1393" s="25" t="n"/>
      <c r="BQ1393" s="27" t="n">
        <v>2.78</v>
      </c>
      <c r="BR1393" s="28" t="n">
        <v>0.36</v>
      </c>
      <c r="BS1393" s="28" t="n"/>
      <c r="BT1393" s="28" t="n"/>
      <c r="BU1393" s="25" t="n"/>
      <c r="BV1393" s="29" t="n"/>
      <c r="BW1393" s="24" t="n"/>
      <c r="BX1393" s="30" t="n"/>
      <c r="BY1393" s="27" t="n"/>
      <c r="BZ1393" s="24" t="n"/>
      <c r="CA1393" s="31" t="n"/>
      <c r="CB1393" s="24" t="n"/>
      <c r="CC1393" s="24" t="n"/>
      <c r="CD1393" s="24" t="n"/>
      <c r="CE1393" s="24" t="n"/>
      <c r="CF1393" s="24" t="n"/>
      <c r="CG1393" s="24" t="n"/>
      <c r="CH1393" s="24" t="n"/>
      <c r="CI1393" s="24" t="n"/>
      <c r="CJ1393" s="24" t="n"/>
      <c r="CK1393" s="24" t="n"/>
      <c r="CL1393" s="24" t="n"/>
      <c r="CM1393" s="24" t="n"/>
      <c r="CN1393" s="24" t="n"/>
      <c r="CO1393" s="24" t="n"/>
      <c r="CP1393" s="24" t="n"/>
      <c r="CQ1393" s="24" t="n"/>
      <c r="CR1393" s="24" t="n"/>
      <c r="CS1393" s="24" t="inlineStr">
        <is>
          <t>True</t>
        </is>
      </c>
      <c r="CT1393" s="24" t="n"/>
      <c r="CU1393" s="24" t="n"/>
      <c r="CV1393" s="24" t="n"/>
      <c r="CW1393" s="24" t="n"/>
      <c r="CX1393" s="24" t="n"/>
      <c r="CY1393" s="24" t="n"/>
      <c r="CZ1393" s="24" t="n"/>
      <c r="DA1393" s="24" t="n"/>
      <c r="DB1393" s="24" t="n"/>
      <c r="DC1393" s="24" t="n"/>
      <c r="DD1393" s="24" t="inlineStr">
        <is>
          <t>81106c389ba337ebf9fffabf72cf8e384bc191ee039df1914851fcbc4858e0c6</t>
        </is>
      </c>
      <c r="DE1393" s="24" t="inlineStr">
        <is>
          <t>E:\model-prediction\data\odds\tennis\2026-10-13\polymarket_snapshots.jsonl</t>
        </is>
      </c>
      <c r="DF1393" s="24" t="inlineStr">
        <is>
          <t>1393053:2026-10-13T05:01:45.305994Z</t>
        </is>
      </c>
      <c r="DG1393" s="24" t="n"/>
      <c r="DH1393" s="24" t="n"/>
      <c r="DI1393" s="24" t="n"/>
      <c r="DJ1393" s="24" t="n"/>
      <c r="DK1393" s="24" t="n"/>
      <c r="DL1393" s="24" t="n"/>
      <c r="DM1393" s="24" t="n"/>
      <c r="DN1393" s="24" t="n"/>
      <c r="DO1393" s="24" t="n"/>
      <c r="DP1393" s="24" t="n"/>
      <c r="DQ1393" s="24" t="inlineStr">
        <is>
          <t>{"artifact_hash": "7443acc419841200d57e1edf36b77f1940cdd0c48dce3d43fcd05498a109440b", "away_team": "Eva Bennemann", "event_id": "1020-2026:185488", "event_start_utc": "2026-10-13T08:00Z", "features": {"elo_p1_surface": 1500.0, "elo_p2_surface": 1549.1, "expected_games_p1": 9.21, "expected_games_p2": 13.27, "expected_total_games": 22.49, "history_matches": 16744, "min_player_matches": 7, "surface": "Grass"}, "historical_source_observation_times_verified": false, "home_team": "Lucie Nguyen Tan", "inference_inputs": {"best_of": 3, "code_sha256": {"features/elo_ratings.py": "d6513e79d65448c06cc0f9b9eed0eaa091567835128e1f6647a310da8d78a872", "models/tennis.py": "7443acc419841200d57e1edf36b77f1940cdd0c48dce3d43fcd05498a109440b"}, "counts": [7, 11], "market_probability": null, "model_version": "tennis-learned-v3", "overall_ratings": [1490.9916361089386, 1565.4927612450333], "p_serve_a": 0.5453338380053693, "p_serve_b": 0.6346661619946307, "players": ["Eva Bennemann", "Lucie Nguyen Tan"], "rest_days": [28.0, 0.0], "sport": "TENNIS", "surface": "Grass", "surface_counts": [0, 2], "surface_ratings": [1490.9916361089386, 1549.1319956534192], "tour": "WTA"}, "market_type": "moneyline", "model_version": "tennis-learned-v3", "observed_at_utc": "2026-10-13T05:49:19.315977+00:00", "probabilities": {"away": 0.3504, "home": 0.6496}, "replay_scope": "Exact full-precision serving state and rounding; upstream historical observation times are not certified.", "schema": "coded-moneyline-replay-v1", "snapshot_hash": "a643fff200e41107d35e7f19b5922c88b3e07e53a16daefe1574ae78f423dd2f", "sport": "TENNIS"}</t>
        </is>
      </c>
    </row>
    <row r="1394" ht="36" customHeight="1">
      <c r="A1394" s="24" t="inlineStr">
        <is>
          <t>f8f77c84c7fc4005</t>
        </is>
      </c>
      <c r="B1394" s="24" t="inlineStr">
        <is>
          <t>2026-10-13T05:49:22.014322Z</t>
        </is>
      </c>
      <c r="C1394" s="24" t="inlineStr">
        <is>
          <t>2026-10-13T08:00Z</t>
        </is>
      </c>
      <c r="D1394" s="24" t="inlineStr">
        <is>
          <t>1020-2026:185496</t>
        </is>
      </c>
      <c r="E1394" s="24" t="inlineStr">
        <is>
          <t>TENNIS</t>
        </is>
      </c>
      <c r="F1394" s="24" t="inlineStr">
        <is>
          <t>Carole Monnet</t>
        </is>
      </c>
      <c r="G1394" s="24" t="inlineStr">
        <is>
          <t>Daria Yesypchuk</t>
        </is>
      </c>
      <c r="H1394" s="24" t="inlineStr">
        <is>
          <t>total</t>
        </is>
      </c>
      <c r="I1394" s="24" t="inlineStr">
        <is>
          <t>under</t>
        </is>
      </c>
      <c r="J1394" s="25" t="n">
        <v>22.5</v>
      </c>
      <c r="K1394" s="24" t="inlineStr">
        <is>
          <t>polymarket_us</t>
        </is>
      </c>
      <c r="L1394" s="26" t="n">
        <v>-285</v>
      </c>
      <c r="M1394" s="27" t="n">
        <v>1.350877</v>
      </c>
      <c r="N1394" s="28" t="n">
        <v>0.74026</v>
      </c>
      <c r="O1394" s="28" t="n">
        <v>0.6022999999999999</v>
      </c>
      <c r="P1394" s="28" t="n">
        <v>0.05</v>
      </c>
      <c r="Q1394" s="28" t="n">
        <v>-0.13796</v>
      </c>
      <c r="R1394" s="26" t="n">
        <v>0</v>
      </c>
      <c r="S1394" s="29" t="n">
        <v>1</v>
      </c>
      <c r="T1394" s="24" t="inlineStr">
        <is>
          <t>tennis-learned-v3</t>
        </is>
      </c>
      <c r="U1394" s="24" t="inlineStr">
        <is>
          <t>settled</t>
        </is>
      </c>
      <c r="V1394" s="24" t="inlineStr">
        <is>
          <t>win</t>
        </is>
      </c>
      <c r="W1394" s="26" t="n">
        <v>12</v>
      </c>
      <c r="X1394" s="26" t="n">
        <v>4</v>
      </c>
      <c r="Y1394" s="25" t="n"/>
      <c r="Z1394" s="26" t="n"/>
      <c r="AA1394" s="28" t="n"/>
      <c r="AB1394" s="28" t="n"/>
      <c r="AC1394" s="30" t="n">
        <v>0.3509</v>
      </c>
      <c r="AD1394" s="24" t="inlineStr">
        <is>
          <t>2026-10-13T10:07:26.442256Z</t>
        </is>
      </c>
      <c r="AE1394" s="31" t="inlineStr">
        <is>
          <t>Tennis Markov total games line 22.5: under p=0.602. Executable ask 0.7400 (tsc-wta-daryes-carmon-2026-10-13-tg-22pt5).</t>
        </is>
      </c>
      <c r="AF1394" s="31" t="inlineStr">
        <is>
          <t>Surface-blended Elo model; singles only, WTA+ATP market coverage, not yet locked-holdout qualified -- promoted by explicit operator directive, not genuine walk-forward validation.</t>
        </is>
      </c>
      <c r="AG1394" s="24" t="inlineStr">
        <is>
          <t>not_applicable</t>
        </is>
      </c>
      <c r="AH1394" s="24" t="n"/>
      <c r="AI1394" s="31" t="n"/>
      <c r="AJ1394" s="31" t="n"/>
      <c r="AK1394" s="24" t="inlineStr">
        <is>
          <t>paper_call</t>
        </is>
      </c>
      <c r="AL1394" s="26" t="n">
        <v>4</v>
      </c>
      <c r="AM1394" s="24" t="inlineStr">
        <is>
          <t>RESEARCH_OBSERVATION</t>
        </is>
      </c>
      <c r="AN1394" s="24" t="inlineStr">
        <is>
          <t>CALL</t>
        </is>
      </c>
      <c r="AO1394" s="24" t="inlineStr">
        <is>
          <t>PAPER_CALL_MODEL_UNVALIDATED</t>
        </is>
      </c>
      <c r="AP1394" s="24" t="inlineStr">
        <is>
          <t>Carole Monnet</t>
        </is>
      </c>
      <c r="AQ1394" s="24" t="inlineStr">
        <is>
          <t>Carole Monnet</t>
        </is>
      </c>
      <c r="AR1394" s="24" t="inlineStr">
        <is>
          <t>Carole Monnet</t>
        </is>
      </c>
      <c r="AS1394" s="24" t="inlineStr">
        <is>
          <t>Daria Yesypchuk</t>
        </is>
      </c>
      <c r="AT1394" s="24" t="inlineStr">
        <is>
          <t>Daria Yesypchuk</t>
        </is>
      </c>
      <c r="AU1394" s="24" t="inlineStr">
        <is>
          <t>Daria Yesypchuk</t>
        </is>
      </c>
      <c r="AV1394" s="24" t="n"/>
      <c r="AW1394" s="24" t="n"/>
      <c r="AX1394" s="24" t="inlineStr">
        <is>
          <t>statistical_model</t>
        </is>
      </c>
      <c r="AY1394" s="24" t="n"/>
      <c r="AZ1394" s="24" t="inlineStr">
        <is>
          <t>shadow_qualified</t>
        </is>
      </c>
      <c r="BA1394" s="24" t="inlineStr">
        <is>
          <t>7443acc419841200d57e1edf36b77f1940cdd0c48dce3d43fcd05498a109440b</t>
        </is>
      </c>
      <c r="BB1394" s="24" t="inlineStr">
        <is>
          <t>learned_v3</t>
        </is>
      </c>
      <c r="BC1394" s="24" t="inlineStr">
        <is>
          <t>tennis-learned-v3</t>
        </is>
      </c>
      <c r="BD1394" s="24" t="inlineStr">
        <is>
          <t>7443acc419841200d57e1edf36b77f1940cdd0c48dce3d43fcd05498a109440b</t>
        </is>
      </c>
      <c r="BE1394" s="24" t="inlineStr">
        <is>
          <t>tennis-learned-v3</t>
        </is>
      </c>
      <c r="BF1394" s="24" t="inlineStr">
        <is>
          <t>1</t>
        </is>
      </c>
      <c r="BG1394" s="24" t="inlineStr">
        <is>
          <t>7443acc419841200d57e1edf36b77f1940cdd0c48dce3d43fcd05498a109440b</t>
        </is>
      </c>
      <c r="BH1394" s="24" t="inlineStr">
        <is>
          <t>2026-10-13T05:01:35.237725Z</t>
        </is>
      </c>
      <c r="BI1394" s="24" t="inlineStr">
        <is>
          <t>["same_event","same_team_same_day","same_league_same_day"]</t>
        </is>
      </c>
      <c r="BJ1394" s="25" t="n">
        <v>22.5</v>
      </c>
      <c r="BK1394" s="26" t="n">
        <v>-285</v>
      </c>
      <c r="BL1394" s="27" t="n">
        <v>1.350877</v>
      </c>
      <c r="BM1394" s="28" t="n">
        <v>0.74026</v>
      </c>
      <c r="BN1394" s="28" t="n"/>
      <c r="BO1394" s="28" t="n"/>
      <c r="BP1394" s="25" t="n"/>
      <c r="BQ1394" s="27" t="n"/>
      <c r="BR1394" s="28" t="n"/>
      <c r="BS1394" s="28" t="n"/>
      <c r="BT1394" s="28" t="n"/>
      <c r="BU1394" s="25" t="n"/>
      <c r="BV1394" s="29" t="n"/>
      <c r="BW1394" s="24" t="n"/>
      <c r="BX1394" s="30" t="n"/>
      <c r="BY1394" s="27" t="n"/>
      <c r="BZ1394" s="24" t="n"/>
      <c r="CA1394" s="31" t="n"/>
      <c r="CB1394" s="24" t="n"/>
      <c r="CC1394" s="24" t="n"/>
      <c r="CD1394" s="24" t="n"/>
      <c r="CE1394" s="24" t="n"/>
      <c r="CF1394" s="24" t="n"/>
      <c r="CG1394" s="24" t="n"/>
      <c r="CH1394" s="24" t="n"/>
      <c r="CI1394" s="24" t="n"/>
      <c r="CJ1394" s="24" t="n"/>
      <c r="CK1394" s="24" t="n"/>
      <c r="CL1394" s="24" t="n"/>
      <c r="CM1394" s="24" t="n"/>
      <c r="CN1394" s="24" t="n"/>
      <c r="CO1394" s="24" t="n"/>
      <c r="CP1394" s="24" t="n"/>
      <c r="CQ1394" s="24" t="n"/>
      <c r="CR1394" s="24" t="n"/>
      <c r="CS1394" s="24" t="inlineStr">
        <is>
          <t>False</t>
        </is>
      </c>
      <c r="CT1394" s="24" t="n"/>
      <c r="CU1394" s="24" t="n"/>
      <c r="CV1394" s="24" t="n"/>
      <c r="CW1394" s="24" t="n"/>
      <c r="CX1394" s="24" t="n"/>
      <c r="CY1394" s="24" t="n"/>
      <c r="CZ1394" s="24" t="n"/>
      <c r="DA1394" s="24" t="n"/>
      <c r="DB1394" s="24" t="n"/>
      <c r="DC1394" s="24" t="n"/>
      <c r="DD1394" s="24" t="inlineStr">
        <is>
          <t>db63bb61ffe748b9be47eb74b0191710daff6367adfb1908d38b119c88ac18e9</t>
        </is>
      </c>
      <c r="DE1394" s="24" t="inlineStr">
        <is>
          <t>E:\model-prediction\data\odds\tennis\2026-10-13\polymarket_snapshots.jsonl</t>
        </is>
      </c>
      <c r="DF1394" s="24" t="inlineStr">
        <is>
          <t>1394068:2026-10-13T05:01:35.237725Z</t>
        </is>
      </c>
      <c r="DG1394" s="24" t="n"/>
      <c r="DH1394" s="24" t="n"/>
      <c r="DI1394" s="24" t="n"/>
      <c r="DJ1394" s="24" t="n"/>
      <c r="DK1394" s="24" t="n"/>
      <c r="DL1394" s="24" t="n"/>
      <c r="DM1394" s="24" t="n"/>
      <c r="DN1394" s="24" t="n"/>
      <c r="DO1394" s="24" t="n"/>
      <c r="DP1394" s="24" t="n"/>
      <c r="DQ1394" s="24" t="n"/>
    </row>
    <row r="1395" ht="36" customHeight="1">
      <c r="A1395" s="24" t="inlineStr">
        <is>
          <t>13780dbc298a4ccf</t>
        </is>
      </c>
      <c r="B1395" s="24" t="inlineStr">
        <is>
          <t>2026-10-13T05:49:22.014322Z</t>
        </is>
      </c>
      <c r="C1395" s="24" t="inlineStr">
        <is>
          <t>2026-10-13T08:00Z</t>
        </is>
      </c>
      <c r="D1395" s="24" t="inlineStr">
        <is>
          <t>1020-2026:185496</t>
        </is>
      </c>
      <c r="E1395" s="24" t="inlineStr">
        <is>
          <t>TENNIS</t>
        </is>
      </c>
      <c r="F1395" s="24" t="inlineStr">
        <is>
          <t>Carole Monnet</t>
        </is>
      </c>
      <c r="G1395" s="24" t="inlineStr">
        <is>
          <t>Daria Yesypchuk</t>
        </is>
      </c>
      <c r="H1395" s="24" t="inlineStr">
        <is>
          <t>moneyline</t>
        </is>
      </c>
      <c r="I1395" s="24" t="inlineStr">
        <is>
          <t>away</t>
        </is>
      </c>
      <c r="J1395" s="25" t="n"/>
      <c r="K1395" s="24" t="inlineStr">
        <is>
          <t>polymarket_us</t>
        </is>
      </c>
      <c r="L1395" s="26" t="n">
        <v>-223</v>
      </c>
      <c r="M1395" s="27" t="n">
        <v>1.44843</v>
      </c>
      <c r="N1395" s="28" t="n">
        <v>0.690402</v>
      </c>
      <c r="O1395" s="28" t="n">
        <v>0.6459</v>
      </c>
      <c r="P1395" s="28" t="n">
        <v>0.05</v>
      </c>
      <c r="Q1395" s="28" t="n">
        <v>-0.044502</v>
      </c>
      <c r="R1395" s="26" t="n">
        <v>0</v>
      </c>
      <c r="S1395" s="29" t="n">
        <v>1</v>
      </c>
      <c r="T1395" s="24" t="inlineStr">
        <is>
          <t>tennis-learned-v3</t>
        </is>
      </c>
      <c r="U1395" s="24" t="inlineStr">
        <is>
          <t>settled</t>
        </is>
      </c>
      <c r="V1395" s="24" t="inlineStr">
        <is>
          <t>win</t>
        </is>
      </c>
      <c r="W1395" s="26" t="n">
        <v>1</v>
      </c>
      <c r="X1395" s="26" t="n">
        <v>0</v>
      </c>
      <c r="Y1395" s="25" t="n"/>
      <c r="Z1395" s="26" t="n">
        <v>-223</v>
      </c>
      <c r="AA1395" s="28" t="n">
        <v>0.6899999999999999</v>
      </c>
      <c r="AB1395" s="28" t="n">
        <v>-0.000402</v>
      </c>
      <c r="AC1395" s="30" t="n">
        <v>0.4484</v>
      </c>
      <c r="AD1395" s="24" t="inlineStr">
        <is>
          <t>2026-10-13T10:07:31.816530Z</t>
        </is>
      </c>
      <c r="AE1395" s="31" t="inlineStr">
        <is>
          <t>Tennis v3 Learned Fundamental on Grass (Bo3): Carole Monnet p=0.646 vs Daria Yesypchuk. Executable ask 0.6900 (aec-wta-daryes-carmon-2026-10-13).</t>
        </is>
      </c>
      <c r="AF1395" s="31" t="inlineStr">
        <is>
          <t>Surface-blended Elo model; singles only, WTA+ATP market coverage, not yet locked-holdout qualified -- promoted by explicit operator directive, not genuine walk-forward validation.</t>
        </is>
      </c>
      <c r="AG1395" s="24" t="inlineStr">
        <is>
          <t>not_applicable</t>
        </is>
      </c>
      <c r="AH1395" s="24" t="n"/>
      <c r="AI1395" s="31" t="n"/>
      <c r="AJ1395" s="31" t="n"/>
      <c r="AK1395" s="24" t="inlineStr">
        <is>
          <t>paper_call</t>
        </is>
      </c>
      <c r="AL1395" s="26" t="n">
        <v>4</v>
      </c>
      <c r="AM1395" s="24" t="inlineStr">
        <is>
          <t>RESEARCH_OBSERVATION</t>
        </is>
      </c>
      <c r="AN1395" s="24" t="inlineStr">
        <is>
          <t>CALL</t>
        </is>
      </c>
      <c r="AO1395" s="24" t="inlineStr">
        <is>
          <t>PAPER_CALL_MODEL_UNVALIDATED</t>
        </is>
      </c>
      <c r="AP1395" s="24" t="inlineStr">
        <is>
          <t>Carole Monnet</t>
        </is>
      </c>
      <c r="AQ1395" s="24" t="inlineStr">
        <is>
          <t>Carole Monnet</t>
        </is>
      </c>
      <c r="AR1395" s="24" t="inlineStr">
        <is>
          <t>Carole Monnet</t>
        </is>
      </c>
      <c r="AS1395" s="24" t="inlineStr">
        <is>
          <t>Daria Yesypchuk</t>
        </is>
      </c>
      <c r="AT1395" s="24" t="inlineStr">
        <is>
          <t>Daria Yesypchuk</t>
        </is>
      </c>
      <c r="AU1395" s="24" t="inlineStr">
        <is>
          <t>Daria Yesypchuk</t>
        </is>
      </c>
      <c r="AV1395" s="24" t="n"/>
      <c r="AW1395" s="24" t="n"/>
      <c r="AX1395" s="24" t="inlineStr">
        <is>
          <t>statistical_model</t>
        </is>
      </c>
      <c r="AY1395" s="24" t="n"/>
      <c r="AZ1395" s="24" t="inlineStr">
        <is>
          <t>shadow_qualified</t>
        </is>
      </c>
      <c r="BA1395" s="24" t="inlineStr">
        <is>
          <t>7443acc419841200d57e1edf36b77f1940cdd0c48dce3d43fcd05498a109440b</t>
        </is>
      </c>
      <c r="BB1395" s="24" t="inlineStr">
        <is>
          <t>learned_v3</t>
        </is>
      </c>
      <c r="BC1395" s="24" t="inlineStr">
        <is>
          <t>tennis-learned-v3</t>
        </is>
      </c>
      <c r="BD1395" s="24" t="inlineStr">
        <is>
          <t>7443acc419841200d57e1edf36b77f1940cdd0c48dce3d43fcd05498a109440b</t>
        </is>
      </c>
      <c r="BE1395" s="24" t="inlineStr">
        <is>
          <t>tennis-learned-v3</t>
        </is>
      </c>
      <c r="BF1395" s="24" t="inlineStr">
        <is>
          <t>1</t>
        </is>
      </c>
      <c r="BG1395" s="24" t="inlineStr">
        <is>
          <t>7443acc419841200d57e1edf36b77f1940cdd0c48dce3d43fcd05498a109440b</t>
        </is>
      </c>
      <c r="BH1395" s="24" t="inlineStr">
        <is>
          <t>2026-10-13T05:02:05.477354Z</t>
        </is>
      </c>
      <c r="BI1395" s="24" t="inlineStr">
        <is>
          <t>["same_event","same_team_same_day","same_league_same_day"]</t>
        </is>
      </c>
      <c r="BJ1395" s="25" t="n"/>
      <c r="BK1395" s="26" t="n">
        <v>-223</v>
      </c>
      <c r="BL1395" s="27" t="n">
        <v>1.44843</v>
      </c>
      <c r="BM1395" s="28" t="n">
        <v>0.690402</v>
      </c>
      <c r="BN1395" s="28" t="n"/>
      <c r="BO1395" s="28" t="n"/>
      <c r="BP1395" s="25" t="n"/>
      <c r="BQ1395" s="27" t="n">
        <v>1.44843</v>
      </c>
      <c r="BR1395" s="28" t="n">
        <v>0.6899999999999999</v>
      </c>
      <c r="BS1395" s="28" t="n"/>
      <c r="BT1395" s="28" t="n"/>
      <c r="BU1395" s="25" t="n"/>
      <c r="BV1395" s="29" t="n"/>
      <c r="BW1395" s="24" t="n"/>
      <c r="BX1395" s="30" t="n"/>
      <c r="BY1395" s="27" t="n"/>
      <c r="BZ1395" s="24" t="n"/>
      <c r="CA1395" s="31" t="n"/>
      <c r="CB1395" s="24" t="n"/>
      <c r="CC1395" s="24" t="n"/>
      <c r="CD1395" s="24" t="n"/>
      <c r="CE1395" s="24" t="n"/>
      <c r="CF1395" s="24" t="n"/>
      <c r="CG1395" s="24" t="n"/>
      <c r="CH1395" s="24" t="n"/>
      <c r="CI1395" s="24" t="n"/>
      <c r="CJ1395" s="24" t="n"/>
      <c r="CK1395" s="24" t="n"/>
      <c r="CL1395" s="24" t="n"/>
      <c r="CM1395" s="24" t="n"/>
      <c r="CN1395" s="24" t="n"/>
      <c r="CO1395" s="24" t="n"/>
      <c r="CP1395" s="24" t="n"/>
      <c r="CQ1395" s="24" t="n"/>
      <c r="CR1395" s="24" t="n"/>
      <c r="CS1395" s="24" t="inlineStr">
        <is>
          <t>False</t>
        </is>
      </c>
      <c r="CT1395" s="24" t="n"/>
      <c r="CU1395" s="24" t="n"/>
      <c r="CV1395" s="24" t="n"/>
      <c r="CW1395" s="24" t="n"/>
      <c r="CX1395" s="24" t="n"/>
      <c r="CY1395" s="24" t="n"/>
      <c r="CZ1395" s="24" t="n"/>
      <c r="DA1395" s="24" t="n"/>
      <c r="DB1395" s="24" t="n"/>
      <c r="DC1395" s="24" t="n"/>
      <c r="DD1395" s="24" t="inlineStr">
        <is>
          <t>48633d9f776c443e1e082ea930547cdc8bb029cc9216e3403f613f47d1fb16e1</t>
        </is>
      </c>
      <c r="DE1395" s="24" t="inlineStr">
        <is>
          <t>E:\model-prediction\data\odds\tennis\2026-10-13\polymarket_snapshots.jsonl</t>
        </is>
      </c>
      <c r="DF1395" s="24" t="inlineStr">
        <is>
          <t>1393054:2026-10-13T05:02:05.477354Z</t>
        </is>
      </c>
      <c r="DG1395" s="24" t="n"/>
      <c r="DH1395" s="24" t="n"/>
      <c r="DI1395" s="24" t="n"/>
      <c r="DJ1395" s="24" t="n"/>
      <c r="DK1395" s="24" t="n"/>
      <c r="DL1395" s="24" t="n"/>
      <c r="DM1395" s="24" t="n"/>
      <c r="DN1395" s="24" t="n"/>
      <c r="DO1395" s="24" t="n"/>
      <c r="DP1395" s="24" t="n"/>
      <c r="DQ1395" s="24" t="inlineStr">
        <is>
          <t>{"artifact_hash": "7443acc419841200d57e1edf36b77f1940cdd0c48dce3d43fcd05498a109440b", "away_team": "Carole Monnet", "event_id": "1020-2026:185496", "event_start_utc": "2026-10-13T08:00Z", "features": {"elo_p1_surface": 1408.7, "elo_p2_surface": 1520.2, "expected_games_p1": 13.42, "expected_games_p2": 8.85, "expected_total_games": 22.27, "history_matches": 16744, "min_player_matches": 2, "surface": "Grass"}, "historical_source_observation_times_verified": false, "home_team": "Daria Yesypchuk", "inference_inputs": {"best_of": 3, "code_sha256": {"features/elo_ratings.py": "d6513e79d65448c06cc0f9b9eed0eaa091567835128e1f6647a310da8d78a872", "models/tennis.py": "7443acc419841200d57e1edf36b77f1940cdd0c48dce3d43fcd05498a109440b"}, "counts": [107, 2], "market_probability": null, "model_version": "tennis-learned-v3", "overall_ratings": [1456.2645708934301, 1540.3940897237635], "p_serve_a": 0.6335111532065201, "p_serve_b": 0.5464888467934799, "players": ["Carole Monnet", "Daria Yesypchuk"], "rest_days": [6.0, 0.0], "sport": "TENNIS", "surface": "Grass", "surface_counts": [6, 2], "surface_ratings": [1408.7071014611327, 1520.2379422433953], "tour": "WTA"}, "market_type": "moneyline", "model_version": "tennis-learned-v3", "observed_at_utc": "2026-10-13T05:49:19.315977+00:00", "probabilities": {"away": 0.6459, "home": 0.3541}, "replay_scope": "Exact full-precision serving state and rounding; upstream historical observation times are not certified.", "schema": "coded-moneyline-replay-v1", "snapshot_hash": "5d9a5c4b1ada7191eebafdcebb7c90497eef52abbe33e5cc04018323dff77d2b", "sport": "TENNIS"}</t>
        </is>
      </c>
    </row>
    <row r="1396" ht="36" customHeight="1">
      <c r="A1396" s="24" t="inlineStr">
        <is>
          <t>b5421f93f5bd4466</t>
        </is>
      </c>
      <c r="B1396" s="24" t="inlineStr">
        <is>
          <t>2026-10-13T05:49:22.014322Z</t>
        </is>
      </c>
      <c r="C1396" s="24" t="inlineStr">
        <is>
          <t>2026-10-13T08:00Z</t>
        </is>
      </c>
      <c r="D1396" s="24" t="inlineStr">
        <is>
          <t>1020-2026:185496</t>
        </is>
      </c>
      <c r="E1396" s="24" t="inlineStr">
        <is>
          <t>TENNIS</t>
        </is>
      </c>
      <c r="F1396" s="24" t="inlineStr">
        <is>
          <t>Carole Monnet</t>
        </is>
      </c>
      <c r="G1396" s="24" t="inlineStr">
        <is>
          <t>Daria Yesypchuk</t>
        </is>
      </c>
      <c r="H1396" s="24" t="inlineStr">
        <is>
          <t>spread</t>
        </is>
      </c>
      <c r="I1396" s="24" t="inlineStr">
        <is>
          <t>away</t>
        </is>
      </c>
      <c r="J1396" s="25" t="n">
        <v>-7.5</v>
      </c>
      <c r="K1396" s="24" t="inlineStr">
        <is>
          <t>polymarket_us</t>
        </is>
      </c>
      <c r="L1396" s="26" t="n">
        <v>-156</v>
      </c>
      <c r="M1396" s="27" t="n">
        <v>1.641026</v>
      </c>
      <c r="N1396" s="28" t="n">
        <v>0.609375</v>
      </c>
      <c r="O1396" s="28" t="n">
        <v>0.9978</v>
      </c>
      <c r="P1396" s="28" t="n">
        <v>0.05</v>
      </c>
      <c r="Q1396" s="28" t="n">
        <v>0.388425</v>
      </c>
      <c r="R1396" s="26" t="n">
        <v>100</v>
      </c>
      <c r="S1396" s="29" t="n">
        <v>2</v>
      </c>
      <c r="T1396" s="24" t="inlineStr">
        <is>
          <t>tennis-learned-v3</t>
        </is>
      </c>
      <c r="U1396" s="24" t="inlineStr">
        <is>
          <t>settled</t>
        </is>
      </c>
      <c r="V1396" s="24" t="inlineStr">
        <is>
          <t>win</t>
        </is>
      </c>
      <c r="W1396" s="26" t="n">
        <v>12</v>
      </c>
      <c r="X1396" s="26" t="n">
        <v>4</v>
      </c>
      <c r="Y1396" s="25" t="n"/>
      <c r="Z1396" s="26" t="n"/>
      <c r="AA1396" s="28" t="n"/>
      <c r="AB1396" s="28" t="n"/>
      <c r="AC1396" s="30" t="n">
        <v>1.2821</v>
      </c>
      <c r="AD1396" s="24" t="inlineStr">
        <is>
          <t>2026-10-13T10:07:38.305065Z</t>
        </is>
      </c>
      <c r="AE1396" s="31" t="inlineStr">
        <is>
          <t>Tennis Markov game spread -7.5 games: away cover p=0.998. Executable ask 0.6100 (asc-wta-daryes-carmon-2026-10-13-gs-neg-7pt5).</t>
        </is>
      </c>
      <c r="AF1396" s="31" t="inlineStr">
        <is>
          <t>Surface-blended Elo model; singles only, WTA+ATP market coverage, not yet locked-holdout qualified -- promoted by explicit operator directive, not genuine walk-forward validation.</t>
        </is>
      </c>
      <c r="AG1396" s="24" t="inlineStr">
        <is>
          <t>not_applicable</t>
        </is>
      </c>
      <c r="AH1396" s="24" t="n"/>
      <c r="AI1396" s="31" t="n"/>
      <c r="AJ1396" s="31" t="n"/>
      <c r="AK1396" s="24" t="inlineStr">
        <is>
          <t>paper_call</t>
        </is>
      </c>
      <c r="AL1396" s="26" t="n">
        <v>4</v>
      </c>
      <c r="AM1396" s="24" t="inlineStr">
        <is>
          <t>RESEARCH_OBSERVATION</t>
        </is>
      </c>
      <c r="AN1396" s="24" t="inlineStr">
        <is>
          <t>CALL</t>
        </is>
      </c>
      <c r="AO1396" s="24" t="inlineStr">
        <is>
          <t>PAPER_CALL_MODEL_UNVALIDATED</t>
        </is>
      </c>
      <c r="AP1396" s="24" t="inlineStr">
        <is>
          <t>Carole Monnet</t>
        </is>
      </c>
      <c r="AQ1396" s="24" t="inlineStr">
        <is>
          <t>Carole Monnet</t>
        </is>
      </c>
      <c r="AR1396" s="24" t="inlineStr">
        <is>
          <t>Carole Monnet</t>
        </is>
      </c>
      <c r="AS1396" s="24" t="inlineStr">
        <is>
          <t>Daria Yesypchuk</t>
        </is>
      </c>
      <c r="AT1396" s="24" t="inlineStr">
        <is>
          <t>Daria Yesypchuk</t>
        </is>
      </c>
      <c r="AU1396" s="24" t="inlineStr">
        <is>
          <t>Daria Yesypchuk</t>
        </is>
      </c>
      <c r="AV1396" s="24" t="n"/>
      <c r="AW1396" s="24" t="n"/>
      <c r="AX1396" s="24" t="inlineStr">
        <is>
          <t>statistical_model</t>
        </is>
      </c>
      <c r="AY1396" s="24" t="n"/>
      <c r="AZ1396" s="24" t="inlineStr">
        <is>
          <t>shadow_qualified</t>
        </is>
      </c>
      <c r="BA1396" s="24" t="inlineStr">
        <is>
          <t>7443acc419841200d57e1edf36b77f1940cdd0c48dce3d43fcd05498a109440b</t>
        </is>
      </c>
      <c r="BB1396" s="24" t="inlineStr">
        <is>
          <t>learned_v3</t>
        </is>
      </c>
      <c r="BC1396" s="24" t="inlineStr">
        <is>
          <t>tennis-learned-v3</t>
        </is>
      </c>
      <c r="BD1396" s="24" t="inlineStr">
        <is>
          <t>7443acc419841200d57e1edf36b77f1940cdd0c48dce3d43fcd05498a109440b</t>
        </is>
      </c>
      <c r="BE1396" s="24" t="inlineStr">
        <is>
          <t>tennis-learned-v3</t>
        </is>
      </c>
      <c r="BF1396" s="24" t="inlineStr">
        <is>
          <t>1</t>
        </is>
      </c>
      <c r="BG1396" s="24" t="inlineStr">
        <is>
          <t>7443acc419841200d57e1edf36b77f1940cdd0c48dce3d43fcd05498a109440b</t>
        </is>
      </c>
      <c r="BH1396" s="24" t="inlineStr">
        <is>
          <t>2026-10-13T05:02:05.480391Z</t>
        </is>
      </c>
      <c r="BI1396" s="24" t="inlineStr">
        <is>
          <t>["same_event","same_team_same_day","same_league_same_day"]</t>
        </is>
      </c>
      <c r="BJ1396" s="25" t="n">
        <v>-7.5</v>
      </c>
      <c r="BK1396" s="26" t="n">
        <v>-156</v>
      </c>
      <c r="BL1396" s="27" t="n">
        <v>1.641026</v>
      </c>
      <c r="BM1396" s="28" t="n">
        <v>0.609375</v>
      </c>
      <c r="BN1396" s="28" t="n"/>
      <c r="BO1396" s="28" t="n"/>
      <c r="BP1396" s="25" t="n"/>
      <c r="BQ1396" s="27" t="n"/>
      <c r="BR1396" s="28" t="n"/>
      <c r="BS1396" s="28" t="n"/>
      <c r="BT1396" s="28" t="n"/>
      <c r="BU1396" s="25" t="n"/>
      <c r="BV1396" s="29" t="n"/>
      <c r="BW1396" s="24" t="n"/>
      <c r="BX1396" s="30" t="n"/>
      <c r="BY1396" s="27" t="n"/>
      <c r="BZ1396" s="24" t="n"/>
      <c r="CA1396" s="31" t="n"/>
      <c r="CB1396" s="24" t="n"/>
      <c r="CC1396" s="24" t="n"/>
      <c r="CD1396" s="24" t="n"/>
      <c r="CE1396" s="24" t="n"/>
      <c r="CF1396" s="24" t="n"/>
      <c r="CG1396" s="24" t="n"/>
      <c r="CH1396" s="24" t="n"/>
      <c r="CI1396" s="24" t="n"/>
      <c r="CJ1396" s="24" t="n"/>
      <c r="CK1396" s="24" t="n"/>
      <c r="CL1396" s="24" t="n"/>
      <c r="CM1396" s="24" t="n"/>
      <c r="CN1396" s="24" t="n"/>
      <c r="CO1396" s="24" t="n"/>
      <c r="CP1396" s="24" t="n"/>
      <c r="CQ1396" s="24" t="n"/>
      <c r="CR1396" s="24" t="n"/>
      <c r="CS1396" s="24" t="inlineStr">
        <is>
          <t>True</t>
        </is>
      </c>
      <c r="CT1396" s="24" t="n"/>
      <c r="CU1396" s="24" t="n"/>
      <c r="CV1396" s="24" t="n"/>
      <c r="CW1396" s="24" t="n"/>
      <c r="CX1396" s="24" t="n"/>
      <c r="CY1396" s="24" t="n"/>
      <c r="CZ1396" s="24" t="n"/>
      <c r="DA1396" s="24" t="n"/>
      <c r="DB1396" s="24" t="n"/>
      <c r="DC1396" s="24" t="n"/>
      <c r="DD1396" s="24" t="inlineStr">
        <is>
          <t>90bf4d979b1b195a76b1793574c163bae56bb6883b24b30f2fdf79cee9fa7038</t>
        </is>
      </c>
      <c r="DE1396" s="24" t="inlineStr">
        <is>
          <t>E:\model-prediction\data\odds\tennis\2026-10-13\polymarket_snapshots.jsonl</t>
        </is>
      </c>
      <c r="DF1396" s="24" t="inlineStr">
        <is>
          <t>1394083:2026-10-13T05:02:05.480391Z</t>
        </is>
      </c>
      <c r="DG1396" s="24" t="n"/>
      <c r="DH1396" s="24" t="n"/>
      <c r="DI1396" s="24" t="n"/>
      <c r="DJ1396" s="24" t="n"/>
      <c r="DK1396" s="24" t="n"/>
      <c r="DL1396" s="24" t="n"/>
      <c r="DM1396" s="24" t="n"/>
      <c r="DN1396" s="24" t="n"/>
      <c r="DO1396" s="24" t="n"/>
      <c r="DP1396" s="24" t="n"/>
      <c r="DQ1396" s="24" t="n"/>
    </row>
    <row r="1397" ht="36" customHeight="1">
      <c r="A1397" s="24" t="inlineStr">
        <is>
          <t>da2ca892d9fa4c1b</t>
        </is>
      </c>
      <c r="B1397" s="24" t="inlineStr">
        <is>
          <t>2026-10-13T05:49:22.014322Z</t>
        </is>
      </c>
      <c r="C1397" s="24" t="inlineStr">
        <is>
          <t>2026-10-13T09:30Z</t>
        </is>
      </c>
      <c r="D1397" s="24" t="inlineStr">
        <is>
          <t>1020-2026:185489</t>
        </is>
      </c>
      <c r="E1397" s="24" t="inlineStr">
        <is>
          <t>TENNIS</t>
        </is>
      </c>
      <c r="F1397" s="24" t="inlineStr">
        <is>
          <t>Ida Wobker</t>
        </is>
      </c>
      <c r="G1397" s="24" t="inlineStr">
        <is>
          <t>Marina Bassols Ribera</t>
        </is>
      </c>
      <c r="H1397" s="24" t="inlineStr">
        <is>
          <t>spread</t>
        </is>
      </c>
      <c r="I1397" s="24" t="inlineStr">
        <is>
          <t>home</t>
        </is>
      </c>
      <c r="J1397" s="25" t="n">
        <v>-4.5</v>
      </c>
      <c r="K1397" s="24" t="inlineStr">
        <is>
          <t>polymarket_us</t>
        </is>
      </c>
      <c r="L1397" s="26" t="n">
        <v>150</v>
      </c>
      <c r="M1397" s="27" t="n">
        <v>2.5</v>
      </c>
      <c r="N1397" s="28" t="n">
        <v>0.4</v>
      </c>
      <c r="O1397" s="28" t="n">
        <v>0.7675999999999999</v>
      </c>
      <c r="P1397" s="28" t="n">
        <v>0.05</v>
      </c>
      <c r="Q1397" s="28" t="n">
        <v>0.3676</v>
      </c>
      <c r="R1397" s="26" t="n">
        <v>100</v>
      </c>
      <c r="S1397" s="29" t="n">
        <v>2</v>
      </c>
      <c r="T1397" s="24" t="inlineStr">
        <is>
          <t>tennis-learned-v3</t>
        </is>
      </c>
      <c r="U1397" s="24" t="inlineStr">
        <is>
          <t>settled</t>
        </is>
      </c>
      <c r="V1397" s="24" t="inlineStr">
        <is>
          <t>win</t>
        </is>
      </c>
      <c r="W1397" s="26" t="n">
        <v>4</v>
      </c>
      <c r="X1397" s="26" t="n">
        <v>12</v>
      </c>
      <c r="Y1397" s="25" t="n"/>
      <c r="Z1397" s="26" t="n"/>
      <c r="AA1397" s="28" t="n"/>
      <c r="AB1397" s="28" t="n"/>
      <c r="AC1397" s="30" t="n">
        <v>3</v>
      </c>
      <c r="AD1397" s="24" t="inlineStr">
        <is>
          <t>2026-10-13T16:08:20.480143Z</t>
        </is>
      </c>
      <c r="AE1397" s="31" t="inlineStr">
        <is>
          <t>Tennis Markov game spread -4.5 games: home cover p=0.768. Executable ask 0.4000 (asc-wta-marrib-idawob-2026-10-13-gs-neg-4pt5).</t>
        </is>
      </c>
      <c r="AF1397" s="31" t="inlineStr">
        <is>
          <t>Surface-blended Elo model; singles only, WTA+ATP market coverage, not yet locked-holdout qualified -- promoted by explicit operator directive, not genuine walk-forward validation.</t>
        </is>
      </c>
      <c r="AG1397" s="24" t="inlineStr">
        <is>
          <t>not_applicable</t>
        </is>
      </c>
      <c r="AH1397" s="24" t="n"/>
      <c r="AI1397" s="31" t="n"/>
      <c r="AJ1397" s="31" t="n"/>
      <c r="AK1397" s="24" t="inlineStr">
        <is>
          <t>paper_call</t>
        </is>
      </c>
      <c r="AL1397" s="26" t="n">
        <v>4</v>
      </c>
      <c r="AM1397" s="24" t="inlineStr">
        <is>
          <t>RESEARCH_OBSERVATION</t>
        </is>
      </c>
      <c r="AN1397" s="24" t="inlineStr">
        <is>
          <t>CALL</t>
        </is>
      </c>
      <c r="AO1397" s="24" t="inlineStr">
        <is>
          <t>PAPER_CALL_MODEL_UNVALIDATED</t>
        </is>
      </c>
      <c r="AP1397" s="24" t="inlineStr">
        <is>
          <t>Ida Wobker</t>
        </is>
      </c>
      <c r="AQ1397" s="24" t="inlineStr">
        <is>
          <t>Ida Wobker</t>
        </is>
      </c>
      <c r="AR1397" s="24" t="inlineStr">
        <is>
          <t>Ida Wobker</t>
        </is>
      </c>
      <c r="AS1397" s="24" t="inlineStr">
        <is>
          <t>Marina Bassols Ribera</t>
        </is>
      </c>
      <c r="AT1397" s="24" t="inlineStr">
        <is>
          <t>Marina Bassols Ribera</t>
        </is>
      </c>
      <c r="AU1397" s="24" t="inlineStr">
        <is>
          <t>Marina Bassols Ribera</t>
        </is>
      </c>
      <c r="AV1397" s="24" t="n"/>
      <c r="AW1397" s="24" t="n"/>
      <c r="AX1397" s="24" t="inlineStr">
        <is>
          <t>statistical_model</t>
        </is>
      </c>
      <c r="AY1397" s="24" t="n"/>
      <c r="AZ1397" s="24" t="inlineStr">
        <is>
          <t>shadow_qualified</t>
        </is>
      </c>
      <c r="BA1397" s="24" t="inlineStr">
        <is>
          <t>7443acc419841200d57e1edf36b77f1940cdd0c48dce3d43fcd05498a109440b</t>
        </is>
      </c>
      <c r="BB1397" s="24" t="inlineStr">
        <is>
          <t>learned_v3</t>
        </is>
      </c>
      <c r="BC1397" s="24" t="inlineStr">
        <is>
          <t>tennis-learned-v3</t>
        </is>
      </c>
      <c r="BD1397" s="24" t="inlineStr">
        <is>
          <t>7443acc419841200d57e1edf36b77f1940cdd0c48dce3d43fcd05498a109440b</t>
        </is>
      </c>
      <c r="BE1397" s="24" t="inlineStr">
        <is>
          <t>tennis-learned-v3</t>
        </is>
      </c>
      <c r="BF1397" s="24" t="inlineStr">
        <is>
          <t>1</t>
        </is>
      </c>
      <c r="BG1397" s="24" t="inlineStr">
        <is>
          <t>7443acc419841200d57e1edf36b77f1940cdd0c48dce3d43fcd05498a109440b</t>
        </is>
      </c>
      <c r="BH1397" s="24" t="inlineStr">
        <is>
          <t>2026-10-13T05:02:56.047720Z</t>
        </is>
      </c>
      <c r="BI1397" s="24" t="inlineStr">
        <is>
          <t>["same_event","same_team_same_day","same_league_same_day"]</t>
        </is>
      </c>
      <c r="BJ1397" s="25" t="n">
        <v>-4.5</v>
      </c>
      <c r="BK1397" s="26" t="n">
        <v>150</v>
      </c>
      <c r="BL1397" s="27" t="n">
        <v>2.5</v>
      </c>
      <c r="BM1397" s="28" t="n">
        <v>0.4</v>
      </c>
      <c r="BN1397" s="28" t="n"/>
      <c r="BO1397" s="28" t="n"/>
      <c r="BP1397" s="25" t="n"/>
      <c r="BQ1397" s="27" t="n"/>
      <c r="BR1397" s="28" t="n"/>
      <c r="BS1397" s="28" t="n"/>
      <c r="BT1397" s="28" t="n"/>
      <c r="BU1397" s="25" t="n"/>
      <c r="BV1397" s="29" t="n"/>
      <c r="BW1397" s="24" t="n"/>
      <c r="BX1397" s="30" t="n"/>
      <c r="BY1397" s="27" t="n"/>
      <c r="BZ1397" s="24" t="n"/>
      <c r="CA1397" s="31" t="n"/>
      <c r="CB1397" s="24" t="n"/>
      <c r="CC1397" s="24" t="n"/>
      <c r="CD1397" s="24" t="n"/>
      <c r="CE1397" s="24" t="n"/>
      <c r="CF1397" s="24" t="n"/>
      <c r="CG1397" s="24" t="n"/>
      <c r="CH1397" s="24" t="n"/>
      <c r="CI1397" s="24" t="n"/>
      <c r="CJ1397" s="24" t="n"/>
      <c r="CK1397" s="24" t="n"/>
      <c r="CL1397" s="24" t="n"/>
      <c r="CM1397" s="24" t="n"/>
      <c r="CN1397" s="24" t="n"/>
      <c r="CO1397" s="24" t="n"/>
      <c r="CP1397" s="24" t="n"/>
      <c r="CQ1397" s="24" t="n"/>
      <c r="CR1397" s="24" t="n"/>
      <c r="CS1397" s="24" t="inlineStr">
        <is>
          <t>True</t>
        </is>
      </c>
      <c r="CT1397" s="24" t="n"/>
      <c r="CU1397" s="24" t="n"/>
      <c r="CV1397" s="24" t="n"/>
      <c r="CW1397" s="24" t="n"/>
      <c r="CX1397" s="24" t="n"/>
      <c r="CY1397" s="24" t="n"/>
      <c r="CZ1397" s="24" t="n"/>
      <c r="DA1397" s="24" t="n"/>
      <c r="DB1397" s="24" t="n"/>
      <c r="DC1397" s="24" t="n"/>
      <c r="DD1397" s="24" t="inlineStr">
        <is>
          <t>de1444b810ec8b23b746fb4f406e1de99dbeff1c4359012f1ac51d12d348f1f3</t>
        </is>
      </c>
      <c r="DE1397" s="24" t="inlineStr">
        <is>
          <t>E:\model-prediction\data\odds\tennis\2026-10-13\polymarket_snapshots.jsonl</t>
        </is>
      </c>
      <c r="DF1397" s="24" t="inlineStr">
        <is>
          <t>1394096:2026-10-13T05:02:56.047720Z</t>
        </is>
      </c>
      <c r="DG1397" s="24" t="n"/>
      <c r="DH1397" s="24" t="n"/>
      <c r="DI1397" s="24" t="n"/>
      <c r="DJ1397" s="24" t="n"/>
      <c r="DK1397" s="24" t="n"/>
      <c r="DL1397" s="24" t="n"/>
      <c r="DM1397" s="24" t="n"/>
      <c r="DN1397" s="24" t="n"/>
      <c r="DO1397" s="24" t="n"/>
      <c r="DP1397" s="24" t="n"/>
      <c r="DQ1397" s="24" t="n"/>
    </row>
    <row r="1398" ht="36" customHeight="1">
      <c r="A1398" s="24" t="inlineStr">
        <is>
          <t>cf367d5fa6fb43de</t>
        </is>
      </c>
      <c r="B1398" s="24" t="inlineStr">
        <is>
          <t>2026-10-13T05:49:22.014322Z</t>
        </is>
      </c>
      <c r="C1398" s="24" t="inlineStr">
        <is>
          <t>2026-10-13T09:30Z</t>
        </is>
      </c>
      <c r="D1398" s="24" t="inlineStr">
        <is>
          <t>1020-2026:185489</t>
        </is>
      </c>
      <c r="E1398" s="24" t="inlineStr">
        <is>
          <t>TENNIS</t>
        </is>
      </c>
      <c r="F1398" s="24" t="inlineStr">
        <is>
          <t>Ida Wobker</t>
        </is>
      </c>
      <c r="G1398" s="24" t="inlineStr">
        <is>
          <t>Marina Bassols Ribera</t>
        </is>
      </c>
      <c r="H1398" s="24" t="inlineStr">
        <is>
          <t>total</t>
        </is>
      </c>
      <c r="I1398" s="24" t="inlineStr">
        <is>
          <t>under</t>
        </is>
      </c>
      <c r="J1398" s="25" t="n">
        <v>27.5</v>
      </c>
      <c r="K1398" s="24" t="inlineStr">
        <is>
          <t>polymarket_us</t>
        </is>
      </c>
      <c r="L1398" s="26" t="n">
        <v>-9900</v>
      </c>
      <c r="M1398" s="27" t="n">
        <v>1.010101</v>
      </c>
      <c r="N1398" s="28" t="n">
        <v>0.99</v>
      </c>
      <c r="O1398" s="28" t="n">
        <v>0.904</v>
      </c>
      <c r="P1398" s="28" t="n">
        <v>0.05</v>
      </c>
      <c r="Q1398" s="28" t="n">
        <v>-0.08599999999999999</v>
      </c>
      <c r="R1398" s="26" t="n">
        <v>0</v>
      </c>
      <c r="S1398" s="29" t="n">
        <v>1</v>
      </c>
      <c r="T1398" s="24" t="inlineStr">
        <is>
          <t>tennis-learned-v3</t>
        </is>
      </c>
      <c r="U1398" s="24" t="inlineStr">
        <is>
          <t>settled</t>
        </is>
      </c>
      <c r="V1398" s="24" t="inlineStr">
        <is>
          <t>win</t>
        </is>
      </c>
      <c r="W1398" s="26" t="n">
        <v>4</v>
      </c>
      <c r="X1398" s="26" t="n">
        <v>12</v>
      </c>
      <c r="Y1398" s="25" t="n"/>
      <c r="Z1398" s="26" t="n"/>
      <c r="AA1398" s="28" t="n"/>
      <c r="AB1398" s="28" t="n"/>
      <c r="AC1398" s="30" t="n">
        <v>0.0101</v>
      </c>
      <c r="AD1398" s="24" t="inlineStr">
        <is>
          <t>2026-10-13T16:08:25.798307Z</t>
        </is>
      </c>
      <c r="AE1398" s="31" t="inlineStr">
        <is>
          <t>Tennis Markov total games line 27.5: under p=0.904. Executable ask 0.9900 (tsc-wta-marrib-idawob-2026-10-13-tg-27pt5).</t>
        </is>
      </c>
      <c r="AF1398" s="31" t="inlineStr">
        <is>
          <t>Surface-blended Elo model; singles only, WTA+ATP market coverage, not yet locked-holdout qualified -- promoted by explicit operator directive, not genuine walk-forward validation.</t>
        </is>
      </c>
      <c r="AG1398" s="24" t="inlineStr">
        <is>
          <t>not_applicable</t>
        </is>
      </c>
      <c r="AH1398" s="24" t="n"/>
      <c r="AI1398" s="31" t="n"/>
      <c r="AJ1398" s="31" t="n"/>
      <c r="AK1398" s="24" t="inlineStr">
        <is>
          <t>paper_call</t>
        </is>
      </c>
      <c r="AL1398" s="26" t="n">
        <v>4</v>
      </c>
      <c r="AM1398" s="24" t="inlineStr">
        <is>
          <t>RESEARCH_OBSERVATION</t>
        </is>
      </c>
      <c r="AN1398" s="24" t="inlineStr">
        <is>
          <t>CALL</t>
        </is>
      </c>
      <c r="AO1398" s="24" t="inlineStr">
        <is>
          <t>PAPER_CALL_MODEL_UNVALIDATED</t>
        </is>
      </c>
      <c r="AP1398" s="24" t="inlineStr">
        <is>
          <t>Ida Wobker</t>
        </is>
      </c>
      <c r="AQ1398" s="24" t="inlineStr">
        <is>
          <t>Ida Wobker</t>
        </is>
      </c>
      <c r="AR1398" s="24" t="inlineStr">
        <is>
          <t>Ida Wobker</t>
        </is>
      </c>
      <c r="AS1398" s="24" t="inlineStr">
        <is>
          <t>Marina Bassols Ribera</t>
        </is>
      </c>
      <c r="AT1398" s="24" t="inlineStr">
        <is>
          <t>Marina Bassols Ribera</t>
        </is>
      </c>
      <c r="AU1398" s="24" t="inlineStr">
        <is>
          <t>Marina Bassols Ribera</t>
        </is>
      </c>
      <c r="AV1398" s="24" t="n"/>
      <c r="AW1398" s="24" t="n"/>
      <c r="AX1398" s="24" t="inlineStr">
        <is>
          <t>statistical_model</t>
        </is>
      </c>
      <c r="AY1398" s="24" t="n"/>
      <c r="AZ1398" s="24" t="inlineStr">
        <is>
          <t>shadow_qualified</t>
        </is>
      </c>
      <c r="BA1398" s="24" t="inlineStr">
        <is>
          <t>7443acc419841200d57e1edf36b77f1940cdd0c48dce3d43fcd05498a109440b</t>
        </is>
      </c>
      <c r="BB1398" s="24" t="inlineStr">
        <is>
          <t>learned_v3</t>
        </is>
      </c>
      <c r="BC1398" s="24" t="inlineStr">
        <is>
          <t>tennis-learned-v3</t>
        </is>
      </c>
      <c r="BD1398" s="24" t="inlineStr">
        <is>
          <t>7443acc419841200d57e1edf36b77f1940cdd0c48dce3d43fcd05498a109440b</t>
        </is>
      </c>
      <c r="BE1398" s="24" t="inlineStr">
        <is>
          <t>tennis-learned-v3</t>
        </is>
      </c>
      <c r="BF1398" s="24" t="inlineStr">
        <is>
          <t>1</t>
        </is>
      </c>
      <c r="BG1398" s="24" t="inlineStr">
        <is>
          <t>7443acc419841200d57e1edf36b77f1940cdd0c48dce3d43fcd05498a109440b</t>
        </is>
      </c>
      <c r="BH1398" s="24" t="inlineStr">
        <is>
          <t>2026-10-13T05:02:54.849650Z</t>
        </is>
      </c>
      <c r="BI1398" s="24" t="inlineStr">
        <is>
          <t>["same_event","same_team_same_day","same_league_same_day"]</t>
        </is>
      </c>
      <c r="BJ1398" s="25" t="n">
        <v>27.5</v>
      </c>
      <c r="BK1398" s="26" t="n">
        <v>-9900</v>
      </c>
      <c r="BL1398" s="27" t="n">
        <v>1.010101</v>
      </c>
      <c r="BM1398" s="28" t="n">
        <v>0.99</v>
      </c>
      <c r="BN1398" s="28" t="n"/>
      <c r="BO1398" s="28" t="n"/>
      <c r="BP1398" s="25" t="n"/>
      <c r="BQ1398" s="27" t="n"/>
      <c r="BR1398" s="28" t="n"/>
      <c r="BS1398" s="28" t="n"/>
      <c r="BT1398" s="28" t="n"/>
      <c r="BU1398" s="25" t="n"/>
      <c r="BV1398" s="29" t="n"/>
      <c r="BW1398" s="24" t="n"/>
      <c r="BX1398" s="30" t="n"/>
      <c r="BY1398" s="27" t="n"/>
      <c r="BZ1398" s="24" t="n"/>
      <c r="CA1398" s="31" t="n"/>
      <c r="CB1398" s="24" t="n"/>
      <c r="CC1398" s="24" t="n"/>
      <c r="CD1398" s="24" t="n"/>
      <c r="CE1398" s="24" t="n"/>
      <c r="CF1398" s="24" t="n"/>
      <c r="CG1398" s="24" t="n"/>
      <c r="CH1398" s="24" t="n"/>
      <c r="CI1398" s="24" t="n"/>
      <c r="CJ1398" s="24" t="n"/>
      <c r="CK1398" s="24" t="n"/>
      <c r="CL1398" s="24" t="n"/>
      <c r="CM1398" s="24" t="n"/>
      <c r="CN1398" s="24" t="n"/>
      <c r="CO1398" s="24" t="n"/>
      <c r="CP1398" s="24" t="n"/>
      <c r="CQ1398" s="24" t="n"/>
      <c r="CR1398" s="24" t="n"/>
      <c r="CS1398" s="24" t="inlineStr">
        <is>
          <t>False</t>
        </is>
      </c>
      <c r="CT1398" s="24" t="n"/>
      <c r="CU1398" s="24" t="n"/>
      <c r="CV1398" s="24" t="n"/>
      <c r="CW1398" s="24" t="n"/>
      <c r="CX1398" s="24" t="n"/>
      <c r="CY1398" s="24" t="n"/>
      <c r="CZ1398" s="24" t="n"/>
      <c r="DA1398" s="24" t="n"/>
      <c r="DB1398" s="24" t="n"/>
      <c r="DC1398" s="24" t="n"/>
      <c r="DD1398" s="24" t="inlineStr">
        <is>
          <t>973ff4a7516330bc910f386854ba1b577f7478c9549583ecea208da1c7c71a41</t>
        </is>
      </c>
      <c r="DE1398" s="24" t="inlineStr">
        <is>
          <t>E:\model-prediction\data\odds\tennis\2026-10-13\polymarket_snapshots.jsonl</t>
        </is>
      </c>
      <c r="DF1398" s="24" t="inlineStr">
        <is>
          <t>1394072:2026-10-13T05:02:54.849650Z</t>
        </is>
      </c>
      <c r="DG1398" s="24" t="n"/>
      <c r="DH1398" s="24" t="n"/>
      <c r="DI1398" s="24" t="n"/>
      <c r="DJ1398" s="24" t="n"/>
      <c r="DK1398" s="24" t="n"/>
      <c r="DL1398" s="24" t="n"/>
      <c r="DM1398" s="24" t="n"/>
      <c r="DN1398" s="24" t="n"/>
      <c r="DO1398" s="24" t="n"/>
      <c r="DP1398" s="24" t="n"/>
      <c r="DQ1398" s="24" t="n"/>
    </row>
    <row r="1399" ht="36" customHeight="1">
      <c r="A1399" s="24" t="inlineStr">
        <is>
          <t>ccff4a0888844480</t>
        </is>
      </c>
      <c r="B1399" s="24" t="inlineStr">
        <is>
          <t>2026-10-13T05:49:22.014322Z</t>
        </is>
      </c>
      <c r="C1399" s="24" t="inlineStr">
        <is>
          <t>2026-10-13T09:30Z</t>
        </is>
      </c>
      <c r="D1399" s="24" t="inlineStr">
        <is>
          <t>1020-2026:185491</t>
        </is>
      </c>
      <c r="E1399" s="24" t="inlineStr">
        <is>
          <t>TENNIS</t>
        </is>
      </c>
      <c r="F1399" s="24" t="inlineStr">
        <is>
          <t>Joelle Lilly Sophie Steur</t>
        </is>
      </c>
      <c r="G1399" s="24" t="inlineStr">
        <is>
          <t>Mina Hodzic</t>
        </is>
      </c>
      <c r="H1399" s="24" t="inlineStr">
        <is>
          <t>spread</t>
        </is>
      </c>
      <c r="I1399" s="24" t="inlineStr">
        <is>
          <t>away</t>
        </is>
      </c>
      <c r="J1399" s="25" t="n">
        <v>-4.5</v>
      </c>
      <c r="K1399" s="24" t="inlineStr">
        <is>
          <t>polymarket_us</t>
        </is>
      </c>
      <c r="L1399" s="26" t="n">
        <v>-127</v>
      </c>
      <c r="M1399" s="27" t="n">
        <v>1.787402</v>
      </c>
      <c r="N1399" s="28" t="n">
        <v>0.5594710000000001</v>
      </c>
      <c r="O1399" s="28" t="n">
        <v>0.9147</v>
      </c>
      <c r="P1399" s="28" t="n">
        <v>0.05</v>
      </c>
      <c r="Q1399" s="28" t="n">
        <v>0.355229</v>
      </c>
      <c r="R1399" s="26" t="n">
        <v>100</v>
      </c>
      <c r="S1399" s="29" t="n">
        <v>2</v>
      </c>
      <c r="T1399" s="24" t="inlineStr">
        <is>
          <t>tennis-learned-v3</t>
        </is>
      </c>
      <c r="U1399" s="24" t="inlineStr">
        <is>
          <t>settled</t>
        </is>
      </c>
      <c r="V1399" s="24" t="inlineStr">
        <is>
          <t>win</t>
        </is>
      </c>
      <c r="W1399" s="26" t="n">
        <v>12</v>
      </c>
      <c r="X1399" s="26" t="n">
        <v>7</v>
      </c>
      <c r="Y1399" s="25" t="n"/>
      <c r="Z1399" s="26" t="n"/>
      <c r="AA1399" s="28" t="n"/>
      <c r="AB1399" s="28" t="n"/>
      <c r="AC1399" s="30" t="n">
        <v>1.5748</v>
      </c>
      <c r="AD1399" s="24" t="inlineStr">
        <is>
          <t>2026-10-13T16:08:31.518937Z</t>
        </is>
      </c>
      <c r="AE1399" s="31" t="inlineStr">
        <is>
          <t>Tennis Markov game spread -4.5 games: away cover p=0.915. Executable ask 0.5600 (asc-wta-minhod-joeste-2026-10-12-gs-neg-4pt5).</t>
        </is>
      </c>
      <c r="AF1399" s="31" t="inlineStr">
        <is>
          <t>Surface-blended Elo model; singles only, WTA+ATP market coverage, not yet locked-holdout qualified -- promoted by explicit operator directive, not genuine walk-forward validation.</t>
        </is>
      </c>
      <c r="AG1399" s="24" t="inlineStr">
        <is>
          <t>not_applicable</t>
        </is>
      </c>
      <c r="AH1399" s="24" t="n"/>
      <c r="AI1399" s="31" t="n"/>
      <c r="AJ1399" s="31" t="n"/>
      <c r="AK1399" s="24" t="inlineStr">
        <is>
          <t>paper_call</t>
        </is>
      </c>
      <c r="AL1399" s="26" t="n">
        <v>4</v>
      </c>
      <c r="AM1399" s="24" t="inlineStr">
        <is>
          <t>RESEARCH_OBSERVATION</t>
        </is>
      </c>
      <c r="AN1399" s="24" t="inlineStr">
        <is>
          <t>CALL</t>
        </is>
      </c>
      <c r="AO1399" s="24" t="inlineStr">
        <is>
          <t>PAPER_CALL_MODEL_UNVALIDATED</t>
        </is>
      </c>
      <c r="AP1399" s="24" t="inlineStr">
        <is>
          <t>Joelle Lilly Sophie Steur</t>
        </is>
      </c>
      <c r="AQ1399" s="24" t="inlineStr">
        <is>
          <t>Joelle Lilly Sophie Steur</t>
        </is>
      </c>
      <c r="AR1399" s="24" t="inlineStr">
        <is>
          <t>Joelle Lilly Sophie Steur</t>
        </is>
      </c>
      <c r="AS1399" s="24" t="inlineStr">
        <is>
          <t>Mina Hodzic</t>
        </is>
      </c>
      <c r="AT1399" s="24" t="inlineStr">
        <is>
          <t>Mina Hodzic</t>
        </is>
      </c>
      <c r="AU1399" s="24" t="inlineStr">
        <is>
          <t>Mina Hodzic</t>
        </is>
      </c>
      <c r="AV1399" s="24" t="n"/>
      <c r="AW1399" s="24" t="n"/>
      <c r="AX1399" s="24" t="inlineStr">
        <is>
          <t>statistical_model</t>
        </is>
      </c>
      <c r="AY1399" s="24" t="n"/>
      <c r="AZ1399" s="24" t="inlineStr">
        <is>
          <t>shadow_qualified</t>
        </is>
      </c>
      <c r="BA1399" s="24" t="inlineStr">
        <is>
          <t>7443acc419841200d57e1edf36b77f1940cdd0c48dce3d43fcd05498a109440b</t>
        </is>
      </c>
      <c r="BB1399" s="24" t="inlineStr">
        <is>
          <t>learned_v3</t>
        </is>
      </c>
      <c r="BC1399" s="24" t="inlineStr">
        <is>
          <t>tennis-learned-v3</t>
        </is>
      </c>
      <c r="BD1399" s="24" t="inlineStr">
        <is>
          <t>7443acc419841200d57e1edf36b77f1940cdd0c48dce3d43fcd05498a109440b</t>
        </is>
      </c>
      <c r="BE1399" s="24" t="inlineStr">
        <is>
          <t>tennis-learned-v3</t>
        </is>
      </c>
      <c r="BF1399" s="24" t="inlineStr">
        <is>
          <t>1</t>
        </is>
      </c>
      <c r="BG1399" s="24" t="inlineStr">
        <is>
          <t>7443acc419841200d57e1edf36b77f1940cdd0c48dce3d43fcd05498a109440b</t>
        </is>
      </c>
      <c r="BH1399" s="24" t="inlineStr">
        <is>
          <t>2026-10-13T05:02:44.742811Z</t>
        </is>
      </c>
      <c r="BI1399" s="24" t="inlineStr">
        <is>
          <t>["same_event","same_team_same_day","same_league_same_day"]</t>
        </is>
      </c>
      <c r="BJ1399" s="25" t="n">
        <v>-4.5</v>
      </c>
      <c r="BK1399" s="26" t="n">
        <v>-127</v>
      </c>
      <c r="BL1399" s="27" t="n">
        <v>1.787402</v>
      </c>
      <c r="BM1399" s="28" t="n">
        <v>0.5594710000000001</v>
      </c>
      <c r="BN1399" s="28" t="n"/>
      <c r="BO1399" s="28" t="n"/>
      <c r="BP1399" s="25" t="n"/>
      <c r="BQ1399" s="27" t="n"/>
      <c r="BR1399" s="28" t="n"/>
      <c r="BS1399" s="28" t="n"/>
      <c r="BT1399" s="28" t="n"/>
      <c r="BU1399" s="25" t="n"/>
      <c r="BV1399" s="29" t="n"/>
      <c r="BW1399" s="24" t="n"/>
      <c r="BX1399" s="30" t="n"/>
      <c r="BY1399" s="27" t="n"/>
      <c r="BZ1399" s="24" t="n"/>
      <c r="CA1399" s="31" t="n"/>
      <c r="CB1399" s="24" t="n"/>
      <c r="CC1399" s="24" t="n"/>
      <c r="CD1399" s="24" t="n"/>
      <c r="CE1399" s="24" t="n"/>
      <c r="CF1399" s="24" t="n"/>
      <c r="CG1399" s="24" t="n"/>
      <c r="CH1399" s="24" t="n"/>
      <c r="CI1399" s="24" t="n"/>
      <c r="CJ1399" s="24" t="n"/>
      <c r="CK1399" s="24" t="n"/>
      <c r="CL1399" s="24" t="n"/>
      <c r="CM1399" s="24" t="n"/>
      <c r="CN1399" s="24" t="n"/>
      <c r="CO1399" s="24" t="n"/>
      <c r="CP1399" s="24" t="n"/>
      <c r="CQ1399" s="24" t="n"/>
      <c r="CR1399" s="24" t="n"/>
      <c r="CS1399" s="24" t="inlineStr">
        <is>
          <t>True</t>
        </is>
      </c>
      <c r="CT1399" s="24" t="n"/>
      <c r="CU1399" s="24" t="n"/>
      <c r="CV1399" s="24" t="n"/>
      <c r="CW1399" s="24" t="n"/>
      <c r="CX1399" s="24" t="n"/>
      <c r="CY1399" s="24" t="n"/>
      <c r="CZ1399" s="24" t="n"/>
      <c r="DA1399" s="24" t="n"/>
      <c r="DB1399" s="24" t="n"/>
      <c r="DC1399" s="24" t="n"/>
      <c r="DD1399" s="24" t="inlineStr">
        <is>
          <t>abed40147d3e7ca779f32767b9084e3de3d2b0cf8ab7bbc1b6416946f03cbbf0</t>
        </is>
      </c>
      <c r="DE1399" s="24" t="inlineStr">
        <is>
          <t>E:\model-prediction\data\odds\tennis\2026-10-13\polymarket_snapshots.jsonl</t>
        </is>
      </c>
      <c r="DF1399" s="24" t="inlineStr">
        <is>
          <t>1367581:2026-10-13T05:02:44.742811Z</t>
        </is>
      </c>
      <c r="DG1399" s="24" t="n"/>
      <c r="DH1399" s="24" t="n"/>
      <c r="DI1399" s="24" t="n"/>
      <c r="DJ1399" s="24" t="n"/>
      <c r="DK1399" s="24" t="n"/>
      <c r="DL1399" s="24" t="n"/>
      <c r="DM1399" s="24" t="n"/>
      <c r="DN1399" s="24" t="n"/>
      <c r="DO1399" s="24" t="n"/>
      <c r="DP1399" s="24" t="n"/>
      <c r="DQ1399" s="24" t="n"/>
    </row>
    <row r="1400" ht="36" customHeight="1">
      <c r="A1400" s="24" t="inlineStr">
        <is>
          <t>1e4382e14d7a4928</t>
        </is>
      </c>
      <c r="B1400" s="24" t="inlineStr">
        <is>
          <t>2026-10-13T05:49:22.014322Z</t>
        </is>
      </c>
      <c r="C1400" s="24" t="inlineStr">
        <is>
          <t>2026-10-13T09:30Z</t>
        </is>
      </c>
      <c r="D1400" s="24" t="inlineStr">
        <is>
          <t>1020-2026:185498</t>
        </is>
      </c>
      <c r="E1400" s="24" t="inlineStr">
        <is>
          <t>TENNIS</t>
        </is>
      </c>
      <c r="F1400" s="24" t="inlineStr">
        <is>
          <t>Despina Papamichail</t>
        </is>
      </c>
      <c r="G1400" s="24" t="inlineStr">
        <is>
          <t>Tamara Zidansek</t>
        </is>
      </c>
      <c r="H1400" s="24" t="inlineStr">
        <is>
          <t>moneyline</t>
        </is>
      </c>
      <c r="I1400" s="24" t="inlineStr">
        <is>
          <t>home</t>
        </is>
      </c>
      <c r="J1400" s="25" t="n"/>
      <c r="K1400" s="24" t="inlineStr">
        <is>
          <t>polymarket_us</t>
        </is>
      </c>
      <c r="L1400" s="26" t="n">
        <v>-426</v>
      </c>
      <c r="M1400" s="27" t="n">
        <v>1.234742</v>
      </c>
      <c r="N1400" s="28" t="n">
        <v>0.809886</v>
      </c>
      <c r="O1400" s="28" t="n">
        <v>0.6841</v>
      </c>
      <c r="P1400" s="28" t="n">
        <v>0.05</v>
      </c>
      <c r="Q1400" s="28" t="n">
        <v>-0.125786</v>
      </c>
      <c r="R1400" s="26" t="n">
        <v>0</v>
      </c>
      <c r="S1400" s="29" t="n">
        <v>1</v>
      </c>
      <c r="T1400" s="24" t="inlineStr">
        <is>
          <t>tennis-learned-v3</t>
        </is>
      </c>
      <c r="U1400" s="24" t="inlineStr">
        <is>
          <t>settled</t>
        </is>
      </c>
      <c r="V1400" s="24" t="inlineStr">
        <is>
          <t>win</t>
        </is>
      </c>
      <c r="W1400" s="26" t="n">
        <v>0</v>
      </c>
      <c r="X1400" s="26" t="n">
        <v>1</v>
      </c>
      <c r="Y1400" s="25" t="n"/>
      <c r="Z1400" s="26" t="n">
        <v>-426</v>
      </c>
      <c r="AA1400" s="28" t="n">
        <v>0.8100000000000001</v>
      </c>
      <c r="AB1400" s="28" t="n">
        <v>0.000114</v>
      </c>
      <c r="AC1400" s="30" t="n">
        <v>0.2347</v>
      </c>
      <c r="AD1400" s="24" t="inlineStr">
        <is>
          <t>2026-10-13T16:08:37.165949Z</t>
        </is>
      </c>
      <c r="AE1400" s="31" t="inlineStr">
        <is>
          <t>Tennis v3 Learned Fundamental on Grass (Bo3): Despina Papamichail p=0.316 vs Tamara Zidansek. Executable ask 0.8100 (aec-wta-tamzid-despap-2026-10-12).</t>
        </is>
      </c>
      <c r="AF1400" s="31" t="inlineStr">
        <is>
          <t>Surface-blended Elo model; singles only, WTA+ATP market coverage, not yet locked-holdout qualified -- promoted by explicit operator directive, not genuine walk-forward validation.</t>
        </is>
      </c>
      <c r="AG1400" s="24" t="inlineStr">
        <is>
          <t>not_applicable</t>
        </is>
      </c>
      <c r="AH1400" s="24" t="n"/>
      <c r="AI1400" s="31" t="n"/>
      <c r="AJ1400" s="31" t="n"/>
      <c r="AK1400" s="24" t="inlineStr">
        <is>
          <t>paper_call</t>
        </is>
      </c>
      <c r="AL1400" s="26" t="n">
        <v>4</v>
      </c>
      <c r="AM1400" s="24" t="inlineStr">
        <is>
          <t>RESEARCH_OBSERVATION</t>
        </is>
      </c>
      <c r="AN1400" s="24" t="inlineStr">
        <is>
          <t>CALL</t>
        </is>
      </c>
      <c r="AO1400" s="24" t="inlineStr">
        <is>
          <t>PAPER_CALL_LOW_EDGE</t>
        </is>
      </c>
      <c r="AP1400" s="24" t="inlineStr">
        <is>
          <t>Despina Papamichail</t>
        </is>
      </c>
      <c r="AQ1400" s="24" t="inlineStr">
        <is>
          <t>Despina Papamichail</t>
        </is>
      </c>
      <c r="AR1400" s="24" t="inlineStr">
        <is>
          <t>Despina Papamichail</t>
        </is>
      </c>
      <c r="AS1400" s="24" t="inlineStr">
        <is>
          <t>Tamara Zidansek</t>
        </is>
      </c>
      <c r="AT1400" s="24" t="inlineStr">
        <is>
          <t>Tamara Zidansek</t>
        </is>
      </c>
      <c r="AU1400" s="24" t="inlineStr">
        <is>
          <t>Tamara Zidansek</t>
        </is>
      </c>
      <c r="AV1400" s="24" t="n"/>
      <c r="AW1400" s="24" t="n"/>
      <c r="AX1400" s="24" t="inlineStr">
        <is>
          <t>statistical_model</t>
        </is>
      </c>
      <c r="AY1400" s="24" t="n"/>
      <c r="AZ1400" s="24" t="inlineStr">
        <is>
          <t>shadow_qualified</t>
        </is>
      </c>
      <c r="BA1400" s="24" t="inlineStr">
        <is>
          <t>7443acc419841200d57e1edf36b77f1940cdd0c48dce3d43fcd05498a109440b</t>
        </is>
      </c>
      <c r="BB1400" s="24" t="inlineStr">
        <is>
          <t>learned_v3</t>
        </is>
      </c>
      <c r="BC1400" s="24" t="inlineStr">
        <is>
          <t>tennis-learned-v3</t>
        </is>
      </c>
      <c r="BD1400" s="24" t="inlineStr">
        <is>
          <t>7443acc419841200d57e1edf36b77f1940cdd0c48dce3d43fcd05498a109440b</t>
        </is>
      </c>
      <c r="BE1400" s="24" t="inlineStr">
        <is>
          <t>tennis-learned-v3</t>
        </is>
      </c>
      <c r="BF1400" s="24" t="inlineStr">
        <is>
          <t>1</t>
        </is>
      </c>
      <c r="BG1400" s="24" t="inlineStr">
        <is>
          <t>7443acc419841200d57e1edf36b77f1940cdd0c48dce3d43fcd05498a109440b</t>
        </is>
      </c>
      <c r="BH1400" s="24" t="inlineStr">
        <is>
          <t>2026-10-13T05:02:24.785229Z</t>
        </is>
      </c>
      <c r="BI1400" s="24" t="inlineStr">
        <is>
          <t>["same_event","same_team_same_day","same_league_same_day"]</t>
        </is>
      </c>
      <c r="BJ1400" s="25" t="n"/>
      <c r="BK1400" s="26" t="n">
        <v>-426</v>
      </c>
      <c r="BL1400" s="27" t="n">
        <v>1.234742</v>
      </c>
      <c r="BM1400" s="28" t="n">
        <v>0.809886</v>
      </c>
      <c r="BN1400" s="28" t="n"/>
      <c r="BO1400" s="28" t="n"/>
      <c r="BP1400" s="25" t="n"/>
      <c r="BQ1400" s="27" t="n">
        <v>1.234742</v>
      </c>
      <c r="BR1400" s="28" t="n">
        <v>0.8100000000000001</v>
      </c>
      <c r="BS1400" s="28" t="n"/>
      <c r="BT1400" s="28" t="n"/>
      <c r="BU1400" s="25" t="n"/>
      <c r="BV1400" s="29" t="n"/>
      <c r="BW1400" s="24" t="n"/>
      <c r="BX1400" s="30" t="n"/>
      <c r="BY1400" s="27" t="n"/>
      <c r="BZ1400" s="24" t="n"/>
      <c r="CA1400" s="31" t="n"/>
      <c r="CB1400" s="24" t="n"/>
      <c r="CC1400" s="24" t="n"/>
      <c r="CD1400" s="24" t="n"/>
      <c r="CE1400" s="24" t="n"/>
      <c r="CF1400" s="24" t="n"/>
      <c r="CG1400" s="24" t="n"/>
      <c r="CH1400" s="24" t="n"/>
      <c r="CI1400" s="24" t="n"/>
      <c r="CJ1400" s="24" t="n"/>
      <c r="CK1400" s="24" t="n"/>
      <c r="CL1400" s="24" t="n"/>
      <c r="CM1400" s="24" t="n"/>
      <c r="CN1400" s="24" t="n"/>
      <c r="CO1400" s="24" t="n"/>
      <c r="CP1400" s="24" t="n"/>
      <c r="CQ1400" s="24" t="n"/>
      <c r="CR1400" s="24" t="n"/>
      <c r="CS1400" s="24" t="inlineStr">
        <is>
          <t>False</t>
        </is>
      </c>
      <c r="CT1400" s="24" t="n"/>
      <c r="CU1400" s="24" t="n"/>
      <c r="CV1400" s="24" t="n"/>
      <c r="CW1400" s="24" t="n"/>
      <c r="CX1400" s="24" t="n"/>
      <c r="CY1400" s="24" t="n"/>
      <c r="CZ1400" s="24" t="n"/>
      <c r="DA1400" s="24" t="n"/>
      <c r="DB1400" s="24" t="n"/>
      <c r="DC1400" s="24" t="n"/>
      <c r="DD1400" s="24" t="inlineStr">
        <is>
          <t>eabf1b0d125caeaf210f246987ffe7405407eef705429add8be8da72713ac9af</t>
        </is>
      </c>
      <c r="DE1400" s="24" t="inlineStr">
        <is>
          <t>E:\model-prediction\data\odds\tennis\2026-10-13\polymarket_snapshots.jsonl</t>
        </is>
      </c>
      <c r="DF1400" s="24" t="inlineStr">
        <is>
          <t>1366668:2026-10-13T05:02:24.785229Z</t>
        </is>
      </c>
      <c r="DG1400" s="24" t="n"/>
      <c r="DH1400" s="24" t="n"/>
      <c r="DI1400" s="24" t="n"/>
      <c r="DJ1400" s="24" t="n"/>
      <c r="DK1400" s="24" t="n"/>
      <c r="DL1400" s="24" t="n"/>
      <c r="DM1400" s="24" t="n"/>
      <c r="DN1400" s="24" t="n"/>
      <c r="DO1400" s="24" t="n"/>
      <c r="DP1400" s="24" t="n"/>
      <c r="DQ1400" s="24" t="inlineStr">
        <is>
          <t>{"artifact_hash": "7443acc419841200d57e1edf36b77f1940cdd0c48dce3d43fcd05498a109440b", "away_team": "Despina Papamichail", "event_id": "1020-2026:185498", "event_start_utc": "2026-10-13T09:30Z", "features": {"elo_p1_surface": 1421.8, "elo_p2_surface": 1493.8, "expected_games_p1": 8.28, "expected_games_p2": 13.16, "expected_total_games": 21.45, "history_matches": 16744, "min_player_matches": 60, "surface": "Grass"}, "historical_source_observation_times_verified": false, "home_team": "Tamara Zidansek", "inference_inputs": {"best_of": 3, "code_sha256": {"features/elo_ratings.py": "d6513e79d65448c06cc0f9b9eed0eaa091567835128e1f6647a310da8d78a872", "models/tennis.py": "7443acc419841200d57e1edf36b77f1940cdd0c48dce3d43fcd05498a109440b"}, "counts": [60, 114], "market_probability": null, "model_version": "tennis-learned-v3", "overall_ratings": [1463.6641722422899, 1569.6386032571202], "p_serve_a": 0.5340872807093627, "p_serve_b": 0.6459127192906372, "players": ["Despina Papamichail", "Tamara Zidansek"], "rest_days": [21.0, 15.0], "sport": "TENNIS", "surface": "Grass", "surface_counts": [4, 5], "surface_ratings": [1421.7782067923708, 1493.7851390516118], "tour": "WTA"}, "market_type": "moneyline", "model_version": "tennis-learned-v3", "observed_at_utc": "2026-10-13T05:49:19.315977+00:00", "probabilities": {"away": 0.3159, "home": 0.6841}, "replay_scope": "Exact full-precision serving state and rounding; upstream historical observation times are not certified.", "schema": "coded-moneyline-replay-v1", "snapshot_hash": "e98667c3d5d03d2e45dabd5aa33e0479bc188d5c6dfac1876c0d0a24bc4662cf", "sport": "TENNIS"}</t>
        </is>
      </c>
    </row>
    <row r="1401" ht="36" customHeight="1">
      <c r="A1401" s="24" t="inlineStr">
        <is>
          <t>16f334deca24490f</t>
        </is>
      </c>
      <c r="B1401" s="24" t="inlineStr">
        <is>
          <t>2026-10-13T05:49:22.014322Z</t>
        </is>
      </c>
      <c r="C1401" s="24" t="inlineStr">
        <is>
          <t>2026-10-13T09:30Z</t>
        </is>
      </c>
      <c r="D1401" s="24" t="inlineStr">
        <is>
          <t>1020-2026:185498</t>
        </is>
      </c>
      <c r="E1401" s="24" t="inlineStr">
        <is>
          <t>TENNIS</t>
        </is>
      </c>
      <c r="F1401" s="24" t="inlineStr">
        <is>
          <t>Despina Papamichail</t>
        </is>
      </c>
      <c r="G1401" s="24" t="inlineStr">
        <is>
          <t>Tamara Zidansek</t>
        </is>
      </c>
      <c r="H1401" s="24" t="inlineStr">
        <is>
          <t>spread</t>
        </is>
      </c>
      <c r="I1401" s="24" t="inlineStr">
        <is>
          <t>away</t>
        </is>
      </c>
      <c r="J1401" s="25" t="n">
        <v>-7.5</v>
      </c>
      <c r="K1401" s="24" t="inlineStr">
        <is>
          <t>polymarket_us</t>
        </is>
      </c>
      <c r="L1401" s="26" t="n">
        <v>-186</v>
      </c>
      <c r="M1401" s="27" t="n">
        <v>1.537634</v>
      </c>
      <c r="N1401" s="28" t="n">
        <v>0.65035</v>
      </c>
      <c r="O1401" s="28" t="n">
        <v>0.8235</v>
      </c>
      <c r="P1401" s="28" t="n">
        <v>0.05</v>
      </c>
      <c r="Q1401" s="28" t="n">
        <v>0.17315</v>
      </c>
      <c r="R1401" s="26" t="n">
        <v>100</v>
      </c>
      <c r="S1401" s="29" t="n">
        <v>1.75</v>
      </c>
      <c r="T1401" s="24" t="inlineStr">
        <is>
          <t>tennis-learned-v3</t>
        </is>
      </c>
      <c r="U1401" s="24" t="inlineStr">
        <is>
          <t>settled</t>
        </is>
      </c>
      <c r="V1401" s="24" t="inlineStr">
        <is>
          <t>loss</t>
        </is>
      </c>
      <c r="W1401" s="26" t="n">
        <v>6</v>
      </c>
      <c r="X1401" s="26" t="n">
        <v>12</v>
      </c>
      <c r="Y1401" s="25" t="n"/>
      <c r="Z1401" s="26" t="n"/>
      <c r="AA1401" s="28" t="n"/>
      <c r="AB1401" s="28" t="n"/>
      <c r="AC1401" s="30" t="n">
        <v>-1.75</v>
      </c>
      <c r="AD1401" s="24" t="inlineStr">
        <is>
          <t>2026-10-13T16:08:48.630133Z</t>
        </is>
      </c>
      <c r="AE1401" s="31" t="inlineStr">
        <is>
          <t>Tennis Markov game spread -7.5 games: away cover p=0.824. Executable ask 0.6500 (asc-wta-tamzid-despap-2026-10-12-gs-neg-7pt5).</t>
        </is>
      </c>
      <c r="AF1401" s="31" t="inlineStr">
        <is>
          <t>Surface-blended Elo model; singles only, WTA+ATP market coverage, not yet locked-holdout qualified -- promoted by explicit operator directive, not genuine walk-forward validation.</t>
        </is>
      </c>
      <c r="AG1401" s="24" t="inlineStr">
        <is>
          <t>review_required</t>
        </is>
      </c>
      <c r="AH1401" s="24" t="n"/>
      <c r="AI1401" s="31" t="n"/>
      <c r="AJ1401" s="31" t="n"/>
      <c r="AK1401" s="24" t="inlineStr">
        <is>
          <t>model_qualified</t>
        </is>
      </c>
      <c r="AL1401" s="26" t="n">
        <v>4</v>
      </c>
      <c r="AM1401" s="24" t="inlineStr">
        <is>
          <t>QUALIFIED_SHADOW_CALL</t>
        </is>
      </c>
      <c r="AN1401" s="24" t="inlineStr">
        <is>
          <t>CALL</t>
        </is>
      </c>
      <c r="AO1401" s="24" t="inlineStr">
        <is>
          <t>QUALIFIED</t>
        </is>
      </c>
      <c r="AP1401" s="24" t="inlineStr">
        <is>
          <t>Despina Papamichail</t>
        </is>
      </c>
      <c r="AQ1401" s="24" t="inlineStr">
        <is>
          <t>Despina Papamichail</t>
        </is>
      </c>
      <c r="AR1401" s="24" t="inlineStr">
        <is>
          <t>Despina Papamichail</t>
        </is>
      </c>
      <c r="AS1401" s="24" t="inlineStr">
        <is>
          <t>Tamara Zidansek</t>
        </is>
      </c>
      <c r="AT1401" s="24" t="inlineStr">
        <is>
          <t>Tamara Zidansek</t>
        </is>
      </c>
      <c r="AU1401" s="24" t="inlineStr">
        <is>
          <t>Tamara Zidansek</t>
        </is>
      </c>
      <c r="AV1401" s="24" t="n"/>
      <c r="AW1401" s="24" t="n"/>
      <c r="AX1401" s="24" t="inlineStr">
        <is>
          <t>statistical_model</t>
        </is>
      </c>
      <c r="AY1401" s="24" t="n"/>
      <c r="AZ1401" s="24" t="inlineStr">
        <is>
          <t>shadow_qualified</t>
        </is>
      </c>
      <c r="BA1401" s="24" t="inlineStr">
        <is>
          <t>7443acc419841200d57e1edf36b77f1940cdd0c48dce3d43fcd05498a109440b</t>
        </is>
      </c>
      <c r="BB1401" s="24" t="inlineStr">
        <is>
          <t>learned_v3</t>
        </is>
      </c>
      <c r="BC1401" s="24" t="inlineStr">
        <is>
          <t>tennis-learned-v3</t>
        </is>
      </c>
      <c r="BD1401" s="24" t="inlineStr">
        <is>
          <t>7443acc419841200d57e1edf36b77f1940cdd0c48dce3d43fcd05498a109440b</t>
        </is>
      </c>
      <c r="BE1401" s="24" t="inlineStr">
        <is>
          <t>tennis-learned-v3</t>
        </is>
      </c>
      <c r="BF1401" s="24" t="inlineStr">
        <is>
          <t>1</t>
        </is>
      </c>
      <c r="BG1401" s="24" t="inlineStr">
        <is>
          <t>7443acc419841200d57e1edf36b77f1940cdd0c48dce3d43fcd05498a109440b</t>
        </is>
      </c>
      <c r="BH1401" s="24" t="inlineStr">
        <is>
          <t>2026-10-13T05:02:34.820060Z</t>
        </is>
      </c>
      <c r="BI1401" s="24" t="inlineStr">
        <is>
          <t>["same_event","same_team_same_day","same_league_same_day"]</t>
        </is>
      </c>
      <c r="BJ1401" s="25" t="n">
        <v>-7.5</v>
      </c>
      <c r="BK1401" s="26" t="n">
        <v>-186</v>
      </c>
      <c r="BL1401" s="27" t="n">
        <v>1.537634</v>
      </c>
      <c r="BM1401" s="28" t="n">
        <v>0.65035</v>
      </c>
      <c r="BN1401" s="28" t="n"/>
      <c r="BO1401" s="28" t="n"/>
      <c r="BP1401" s="25" t="n"/>
      <c r="BQ1401" s="27" t="n"/>
      <c r="BR1401" s="28" t="n"/>
      <c r="BS1401" s="28" t="n"/>
      <c r="BT1401" s="28" t="n"/>
      <c r="BU1401" s="25" t="n"/>
      <c r="BV1401" s="29" t="n"/>
      <c r="BW1401" s="24" t="n"/>
      <c r="BX1401" s="30" t="n"/>
      <c r="BY1401" s="27" t="n"/>
      <c r="BZ1401" s="24" t="n"/>
      <c r="CA1401" s="31" t="n"/>
      <c r="CB1401" s="24" t="n"/>
      <c r="CC1401" s="24" t="n"/>
      <c r="CD1401" s="24" t="n"/>
      <c r="CE1401" s="24" t="n"/>
      <c r="CF1401" s="24" t="n"/>
      <c r="CG1401" s="24" t="n"/>
      <c r="CH1401" s="24" t="n"/>
      <c r="CI1401" s="24" t="n"/>
      <c r="CJ1401" s="24" t="n"/>
      <c r="CK1401" s="24" t="n"/>
      <c r="CL1401" s="24" t="n"/>
      <c r="CM1401" s="24" t="n"/>
      <c r="CN1401" s="24" t="n"/>
      <c r="CO1401" s="24" t="n"/>
      <c r="CP1401" s="24" t="n"/>
      <c r="CQ1401" s="24" t="n"/>
      <c r="CR1401" s="24" t="n"/>
      <c r="CS1401" s="24" t="inlineStr">
        <is>
          <t>True</t>
        </is>
      </c>
      <c r="CT1401" s="24" t="n"/>
      <c r="CU1401" s="24" t="n"/>
      <c r="CV1401" s="24" t="n"/>
      <c r="CW1401" s="24" t="n"/>
      <c r="CX1401" s="24" t="n"/>
      <c r="CY1401" s="24" t="n"/>
      <c r="CZ1401" s="24" t="n"/>
      <c r="DA1401" s="24" t="n"/>
      <c r="DB1401" s="24" t="n"/>
      <c r="DC1401" s="24" t="n"/>
      <c r="DD1401" s="24" t="inlineStr">
        <is>
          <t>6e63824045dcd52da69b152a95dd90fbe9fefa95388919fc274388605dee4c17</t>
        </is>
      </c>
      <c r="DE1401" s="24" t="inlineStr">
        <is>
          <t>E:\model-prediction\data\odds\tennis\2026-10-13\polymarket_snapshots.jsonl</t>
        </is>
      </c>
      <c r="DF1401" s="24" t="inlineStr">
        <is>
          <t>1367603:2026-10-13T05:02:34.820060Z</t>
        </is>
      </c>
      <c r="DG1401" s="24" t="n"/>
      <c r="DH1401" s="24" t="n"/>
      <c r="DI1401" s="24" t="n"/>
      <c r="DJ1401" s="24" t="n"/>
      <c r="DK1401" s="24" t="n"/>
      <c r="DL1401" s="24" t="n"/>
      <c r="DM1401" s="24" t="n"/>
      <c r="DN1401" s="24" t="n"/>
      <c r="DO1401" s="24" t="n"/>
      <c r="DP1401" s="24" t="n"/>
      <c r="DQ1401" s="24" t="n"/>
    </row>
    <row r="1402" ht="36" customHeight="1">
      <c r="A1402" s="24" t="inlineStr">
        <is>
          <t>abc395a360d3413b</t>
        </is>
      </c>
      <c r="B1402" s="24" t="inlineStr">
        <is>
          <t>2026-10-13T05:49:22.014322Z</t>
        </is>
      </c>
      <c r="C1402" s="24" t="inlineStr">
        <is>
          <t>2026-10-13T11:00Z</t>
        </is>
      </c>
      <c r="D1402" s="24" t="inlineStr">
        <is>
          <t>1020-2026:185483</t>
        </is>
      </c>
      <c r="E1402" s="24" t="inlineStr">
        <is>
          <t>TENNIS</t>
        </is>
      </c>
      <c r="F1402" s="24" t="inlineStr">
        <is>
          <t>Lidia Encheva</t>
        </is>
      </c>
      <c r="G1402" s="24" t="inlineStr">
        <is>
          <t>Aneta Kucmova</t>
        </is>
      </c>
      <c r="H1402" s="24" t="inlineStr">
        <is>
          <t>spread</t>
        </is>
      </c>
      <c r="I1402" s="24" t="inlineStr">
        <is>
          <t>away</t>
        </is>
      </c>
      <c r="J1402" s="25" t="n">
        <v>-7.5</v>
      </c>
      <c r="K1402" s="24" t="inlineStr">
        <is>
          <t>polymarket_us</t>
        </is>
      </c>
      <c r="L1402" s="26" t="n">
        <v>-113</v>
      </c>
      <c r="M1402" s="27" t="n">
        <v>1.884956</v>
      </c>
      <c r="N1402" s="28" t="n">
        <v>0.530516</v>
      </c>
      <c r="O1402" s="28" t="n">
        <v>0.8964</v>
      </c>
      <c r="P1402" s="28" t="n">
        <v>0.05</v>
      </c>
      <c r="Q1402" s="28" t="n">
        <v>0.365884</v>
      </c>
      <c r="R1402" s="26" t="n">
        <v>100</v>
      </c>
      <c r="S1402" s="29" t="n">
        <v>2</v>
      </c>
      <c r="T1402" s="24" t="inlineStr">
        <is>
          <t>tennis-learned-v3</t>
        </is>
      </c>
      <c r="U1402" s="24" t="inlineStr">
        <is>
          <t>settled</t>
        </is>
      </c>
      <c r="V1402" s="24" t="inlineStr">
        <is>
          <t>loss</t>
        </is>
      </c>
      <c r="W1402" s="26" t="n">
        <v>12</v>
      </c>
      <c r="X1402" s="26" t="n">
        <v>6</v>
      </c>
      <c r="Y1402" s="25" t="n"/>
      <c r="Z1402" s="26" t="n"/>
      <c r="AA1402" s="28" t="n"/>
      <c r="AB1402" s="28" t="n"/>
      <c r="AC1402" s="30" t="n">
        <v>-2</v>
      </c>
      <c r="AD1402" s="24" t="inlineStr">
        <is>
          <t>2026-10-13T16:08:53.982251Z</t>
        </is>
      </c>
      <c r="AE1402" s="31" t="inlineStr">
        <is>
          <t>Tennis Markov game spread -7.5 games: away cover p=0.896. Executable ask 0.5300 (asc-wta-anekuc-lidenc-2026-10-13-gs-neg-7pt5).</t>
        </is>
      </c>
      <c r="AF1402" s="31" t="inlineStr">
        <is>
          <t>Surface-blended Elo model; singles only, WTA+ATP market coverage, not yet locked-holdout qualified -- promoted by explicit operator directive, not genuine walk-forward validation.</t>
        </is>
      </c>
      <c r="AG1402" s="24" t="inlineStr">
        <is>
          <t>review_required</t>
        </is>
      </c>
      <c r="AH1402" s="24" t="n"/>
      <c r="AI1402" s="31" t="n"/>
      <c r="AJ1402" s="31" t="n"/>
      <c r="AK1402" s="24" t="inlineStr">
        <is>
          <t>paper_call</t>
        </is>
      </c>
      <c r="AL1402" s="26" t="n">
        <v>4</v>
      </c>
      <c r="AM1402" s="24" t="inlineStr">
        <is>
          <t>RESEARCH_OBSERVATION</t>
        </is>
      </c>
      <c r="AN1402" s="24" t="inlineStr">
        <is>
          <t>CALL</t>
        </is>
      </c>
      <c r="AO1402" s="24" t="inlineStr">
        <is>
          <t>PAPER_CALL_MODEL_UNVALIDATED</t>
        </is>
      </c>
      <c r="AP1402" s="24" t="inlineStr">
        <is>
          <t>Lidia Encheva</t>
        </is>
      </c>
      <c r="AQ1402" s="24" t="inlineStr">
        <is>
          <t>Lidia Encheva</t>
        </is>
      </c>
      <c r="AR1402" s="24" t="inlineStr">
        <is>
          <t>Lidia Encheva</t>
        </is>
      </c>
      <c r="AS1402" s="24" t="inlineStr">
        <is>
          <t>Aneta Kucmova</t>
        </is>
      </c>
      <c r="AT1402" s="24" t="inlineStr">
        <is>
          <t>Aneta Kucmova</t>
        </is>
      </c>
      <c r="AU1402" s="24" t="inlineStr">
        <is>
          <t>Aneta Kucmova</t>
        </is>
      </c>
      <c r="AV1402" s="24" t="n"/>
      <c r="AW1402" s="24" t="n"/>
      <c r="AX1402" s="24" t="inlineStr">
        <is>
          <t>statistical_model</t>
        </is>
      </c>
      <c r="AY1402" s="24" t="n"/>
      <c r="AZ1402" s="24" t="inlineStr">
        <is>
          <t>shadow_qualified</t>
        </is>
      </c>
      <c r="BA1402" s="24" t="inlineStr">
        <is>
          <t>7443acc419841200d57e1edf36b77f1940cdd0c48dce3d43fcd05498a109440b</t>
        </is>
      </c>
      <c r="BB1402" s="24" t="inlineStr">
        <is>
          <t>learned_v3</t>
        </is>
      </c>
      <c r="BC1402" s="24" t="inlineStr">
        <is>
          <t>tennis-learned-v3</t>
        </is>
      </c>
      <c r="BD1402" s="24" t="inlineStr">
        <is>
          <t>7443acc419841200d57e1edf36b77f1940cdd0c48dce3d43fcd05498a109440b</t>
        </is>
      </c>
      <c r="BE1402" s="24" t="inlineStr">
        <is>
          <t>tennis-learned-v3</t>
        </is>
      </c>
      <c r="BF1402" s="24" t="inlineStr">
        <is>
          <t>1</t>
        </is>
      </c>
      <c r="BG1402" s="24" t="inlineStr">
        <is>
          <t>7443acc419841200d57e1edf36b77f1940cdd0c48dce3d43fcd05498a109440b</t>
        </is>
      </c>
      <c r="BH1402" s="24" t="inlineStr">
        <is>
          <t>2026-10-13T05:05:05.734934Z</t>
        </is>
      </c>
      <c r="BI1402" s="24" t="inlineStr">
        <is>
          <t>["same_event","same_team_same_day","same_league_same_day"]</t>
        </is>
      </c>
      <c r="BJ1402" s="25" t="n">
        <v>-7.5</v>
      </c>
      <c r="BK1402" s="26" t="n">
        <v>-113</v>
      </c>
      <c r="BL1402" s="27" t="n">
        <v>1.884956</v>
      </c>
      <c r="BM1402" s="28" t="n">
        <v>0.530516</v>
      </c>
      <c r="BN1402" s="28" t="n"/>
      <c r="BO1402" s="28" t="n"/>
      <c r="BP1402" s="25" t="n"/>
      <c r="BQ1402" s="27" t="n"/>
      <c r="BR1402" s="28" t="n"/>
      <c r="BS1402" s="28" t="n"/>
      <c r="BT1402" s="28" t="n"/>
      <c r="BU1402" s="25" t="n"/>
      <c r="BV1402" s="29" t="n"/>
      <c r="BW1402" s="24" t="n"/>
      <c r="BX1402" s="30" t="n"/>
      <c r="BY1402" s="27" t="n"/>
      <c r="BZ1402" s="24" t="n"/>
      <c r="CA1402" s="31" t="n"/>
      <c r="CB1402" s="24" t="n"/>
      <c r="CC1402" s="24" t="n"/>
      <c r="CD1402" s="24" t="n"/>
      <c r="CE1402" s="24" t="n"/>
      <c r="CF1402" s="24" t="n"/>
      <c r="CG1402" s="24" t="n"/>
      <c r="CH1402" s="24" t="n"/>
      <c r="CI1402" s="24" t="n"/>
      <c r="CJ1402" s="24" t="n"/>
      <c r="CK1402" s="24" t="n"/>
      <c r="CL1402" s="24" t="n"/>
      <c r="CM1402" s="24" t="n"/>
      <c r="CN1402" s="24" t="n"/>
      <c r="CO1402" s="24" t="n"/>
      <c r="CP1402" s="24" t="n"/>
      <c r="CQ1402" s="24" t="n"/>
      <c r="CR1402" s="24" t="n"/>
      <c r="CS1402" s="24" t="inlineStr">
        <is>
          <t>True</t>
        </is>
      </c>
      <c r="CT1402" s="24" t="n"/>
      <c r="CU1402" s="24" t="n"/>
      <c r="CV1402" s="24" t="n"/>
      <c r="CW1402" s="24" t="n"/>
      <c r="CX1402" s="24" t="n"/>
      <c r="CY1402" s="24" t="n"/>
      <c r="CZ1402" s="24" t="n"/>
      <c r="DA1402" s="24" t="n"/>
      <c r="DB1402" s="24" t="n"/>
      <c r="DC1402" s="24" t="n"/>
      <c r="DD1402" s="24" t="inlineStr">
        <is>
          <t>29605ff5417d5681f7a89cc69bd247d26b2d2bd1a70ec6e5f5d4920fab45cae6</t>
        </is>
      </c>
      <c r="DE1402" s="24" t="inlineStr">
        <is>
          <t>E:\model-prediction\data\odds\tennis\2026-10-13\polymarket_snapshots.jsonl</t>
        </is>
      </c>
      <c r="DF1402" s="24" t="inlineStr">
        <is>
          <t>1394082:2026-10-13T05:05:05.734934Z</t>
        </is>
      </c>
      <c r="DG1402" s="24" t="n"/>
      <c r="DH1402" s="24" t="n"/>
      <c r="DI1402" s="24" t="n"/>
      <c r="DJ1402" s="24" t="n"/>
      <c r="DK1402" s="24" t="n"/>
      <c r="DL1402" s="24" t="n"/>
      <c r="DM1402" s="24" t="n"/>
      <c r="DN1402" s="24" t="n"/>
      <c r="DO1402" s="24" t="n"/>
      <c r="DP1402" s="24" t="n"/>
      <c r="DQ1402" s="24" t="n"/>
    </row>
    <row r="1403" ht="36" customHeight="1">
      <c r="A1403" s="24" t="inlineStr">
        <is>
          <t>bc093544515640c3</t>
        </is>
      </c>
      <c r="B1403" s="24" t="inlineStr">
        <is>
          <t>2026-10-13T05:49:22.014322Z</t>
        </is>
      </c>
      <c r="C1403" s="24" t="inlineStr">
        <is>
          <t>2026-10-13T11:00Z</t>
        </is>
      </c>
      <c r="D1403" s="24" t="inlineStr">
        <is>
          <t>1020-2026:185485</t>
        </is>
      </c>
      <c r="E1403" s="24" t="inlineStr">
        <is>
          <t>TENNIS</t>
        </is>
      </c>
      <c r="F1403" s="24" t="inlineStr">
        <is>
          <t>Ariana Geerlings</t>
        </is>
      </c>
      <c r="G1403" s="24" t="inlineStr">
        <is>
          <t>Tea Kovacevic</t>
        </is>
      </c>
      <c r="H1403" s="24" t="inlineStr">
        <is>
          <t>total</t>
        </is>
      </c>
      <c r="I1403" s="24" t="inlineStr">
        <is>
          <t>over</t>
        </is>
      </c>
      <c r="J1403" s="25" t="n">
        <v>17.5</v>
      </c>
      <c r="K1403" s="24" t="inlineStr">
        <is>
          <t>polymarket_us</t>
        </is>
      </c>
      <c r="L1403" s="26" t="n">
        <v>113</v>
      </c>
      <c r="M1403" s="27" t="n">
        <v>2.13</v>
      </c>
      <c r="N1403" s="28" t="n">
        <v>0.469484</v>
      </c>
      <c r="O1403" s="28" t="n">
        <v>0.6768</v>
      </c>
      <c r="P1403" s="28" t="n">
        <v>0.05</v>
      </c>
      <c r="Q1403" s="28" t="n">
        <v>0.207316</v>
      </c>
      <c r="R1403" s="26" t="n">
        <v>100</v>
      </c>
      <c r="S1403" s="29" t="n">
        <v>2</v>
      </c>
      <c r="T1403" s="24" t="inlineStr">
        <is>
          <t>tennis-learned-v3</t>
        </is>
      </c>
      <c r="U1403" s="24" t="inlineStr">
        <is>
          <t>settled</t>
        </is>
      </c>
      <c r="V1403" s="24" t="inlineStr">
        <is>
          <t>win</t>
        </is>
      </c>
      <c r="W1403" s="26" t="n">
        <v>12</v>
      </c>
      <c r="X1403" s="26" t="n">
        <v>6</v>
      </c>
      <c r="Y1403" s="25" t="n"/>
      <c r="Z1403" s="26" t="n"/>
      <c r="AA1403" s="28" t="n"/>
      <c r="AB1403" s="28" t="n"/>
      <c r="AC1403" s="30" t="n">
        <v>2.26</v>
      </c>
      <c r="AD1403" s="24" t="inlineStr">
        <is>
          <t>2026-10-13T16:08:59.308586Z</t>
        </is>
      </c>
      <c r="AE1403" s="31" t="inlineStr">
        <is>
          <t>Tennis Markov total games line 17.5: over p=0.677. Executable ask 0.4700 (tsc-wta-teakov-arigee-2026-10-12-tg-17pt5).</t>
        </is>
      </c>
      <c r="AF1403" s="31" t="inlineStr">
        <is>
          <t>Surface-blended Elo model; singles only, WTA+ATP market coverage, not yet locked-holdout qualified -- promoted by explicit operator directive, not genuine walk-forward validation.</t>
        </is>
      </c>
      <c r="AG1403" s="24" t="inlineStr">
        <is>
          <t>not_applicable</t>
        </is>
      </c>
      <c r="AH1403" s="24" t="n"/>
      <c r="AI1403" s="31" t="n"/>
      <c r="AJ1403" s="31" t="n"/>
      <c r="AK1403" s="24" t="inlineStr">
        <is>
          <t>paper_call</t>
        </is>
      </c>
      <c r="AL1403" s="26" t="n">
        <v>4</v>
      </c>
      <c r="AM1403" s="24" t="inlineStr">
        <is>
          <t>RESEARCH_OBSERVATION</t>
        </is>
      </c>
      <c r="AN1403" s="24" t="inlineStr">
        <is>
          <t>CALL</t>
        </is>
      </c>
      <c r="AO1403" s="24" t="inlineStr">
        <is>
          <t>PAPER_CALL_MODEL_UNVALIDATED</t>
        </is>
      </c>
      <c r="AP1403" s="24" t="inlineStr">
        <is>
          <t>Ariana Geerlings</t>
        </is>
      </c>
      <c r="AQ1403" s="24" t="inlineStr">
        <is>
          <t>Ariana Geerlings</t>
        </is>
      </c>
      <c r="AR1403" s="24" t="inlineStr">
        <is>
          <t>Ariana Geerlings</t>
        </is>
      </c>
      <c r="AS1403" s="24" t="inlineStr">
        <is>
          <t>Tea Kovacevic</t>
        </is>
      </c>
      <c r="AT1403" s="24" t="inlineStr">
        <is>
          <t>Tea Kovacevic</t>
        </is>
      </c>
      <c r="AU1403" s="24" t="inlineStr">
        <is>
          <t>Tea Kovacevic</t>
        </is>
      </c>
      <c r="AV1403" s="24" t="n"/>
      <c r="AW1403" s="24" t="n"/>
      <c r="AX1403" s="24" t="inlineStr">
        <is>
          <t>statistical_model</t>
        </is>
      </c>
      <c r="AY1403" s="24" t="n"/>
      <c r="AZ1403" s="24" t="inlineStr">
        <is>
          <t>shadow_qualified</t>
        </is>
      </c>
      <c r="BA1403" s="24" t="inlineStr">
        <is>
          <t>7443acc419841200d57e1edf36b77f1940cdd0c48dce3d43fcd05498a109440b</t>
        </is>
      </c>
      <c r="BB1403" s="24" t="inlineStr">
        <is>
          <t>learned_v3</t>
        </is>
      </c>
      <c r="BC1403" s="24" t="inlineStr">
        <is>
          <t>tennis-learned-v3</t>
        </is>
      </c>
      <c r="BD1403" s="24" t="inlineStr">
        <is>
          <t>7443acc419841200d57e1edf36b77f1940cdd0c48dce3d43fcd05498a109440b</t>
        </is>
      </c>
      <c r="BE1403" s="24" t="inlineStr">
        <is>
          <t>tennis-learned-v3</t>
        </is>
      </c>
      <c r="BF1403" s="24" t="inlineStr">
        <is>
          <t>1</t>
        </is>
      </c>
      <c r="BG1403" s="24" t="inlineStr">
        <is>
          <t>7443acc419841200d57e1edf36b77f1940cdd0c48dce3d43fcd05498a109440b</t>
        </is>
      </c>
      <c r="BH1403" s="24" t="inlineStr">
        <is>
          <t>2026-10-13T05:04:25.727863Z</t>
        </is>
      </c>
      <c r="BI1403" s="24" t="inlineStr">
        <is>
          <t>["same_event","same_team_same_day","same_league_same_day"]</t>
        </is>
      </c>
      <c r="BJ1403" s="25" t="n">
        <v>17.5</v>
      </c>
      <c r="BK1403" s="26" t="n">
        <v>113</v>
      </c>
      <c r="BL1403" s="27" t="n">
        <v>2.13</v>
      </c>
      <c r="BM1403" s="28" t="n">
        <v>0.469484</v>
      </c>
      <c r="BN1403" s="28" t="n"/>
      <c r="BO1403" s="28" t="n"/>
      <c r="BP1403" s="25" t="n"/>
      <c r="BQ1403" s="27" t="n"/>
      <c r="BR1403" s="28" t="n"/>
      <c r="BS1403" s="28" t="n"/>
      <c r="BT1403" s="28" t="n"/>
      <c r="BU1403" s="25" t="n"/>
      <c r="BV1403" s="29" t="n"/>
      <c r="BW1403" s="24" t="n"/>
      <c r="BX1403" s="30" t="n"/>
      <c r="BY1403" s="27" t="n"/>
      <c r="BZ1403" s="24" t="n"/>
      <c r="CA1403" s="31" t="n"/>
      <c r="CB1403" s="24" t="n"/>
      <c r="CC1403" s="24" t="n"/>
      <c r="CD1403" s="24" t="n"/>
      <c r="CE1403" s="24" t="n"/>
      <c r="CF1403" s="24" t="n"/>
      <c r="CG1403" s="24" t="n"/>
      <c r="CH1403" s="24" t="n"/>
      <c r="CI1403" s="24" t="n"/>
      <c r="CJ1403" s="24" t="n"/>
      <c r="CK1403" s="24" t="n"/>
      <c r="CL1403" s="24" t="n"/>
      <c r="CM1403" s="24" t="n"/>
      <c r="CN1403" s="24" t="n"/>
      <c r="CO1403" s="24" t="n"/>
      <c r="CP1403" s="24" t="n"/>
      <c r="CQ1403" s="24" t="n"/>
      <c r="CR1403" s="24" t="n"/>
      <c r="CS1403" s="24" t="inlineStr">
        <is>
          <t>True</t>
        </is>
      </c>
      <c r="CT1403" s="24" t="n"/>
      <c r="CU1403" s="24" t="n"/>
      <c r="CV1403" s="24" t="n"/>
      <c r="CW1403" s="24" t="n"/>
      <c r="CX1403" s="24" t="n"/>
      <c r="CY1403" s="24" t="n"/>
      <c r="CZ1403" s="24" t="n"/>
      <c r="DA1403" s="24" t="n"/>
      <c r="DB1403" s="24" t="n"/>
      <c r="DC1403" s="24" t="n"/>
      <c r="DD1403" s="24" t="inlineStr">
        <is>
          <t>71b59d69951be0667f375e09d7abdeeeb6147ff92cbd71e828790d13f7355776</t>
        </is>
      </c>
      <c r="DE1403" s="24" t="inlineStr">
        <is>
          <t>E:\model-prediction\data\odds\tennis\2026-10-13\polymarket_snapshots.jsonl</t>
        </is>
      </c>
      <c r="DF1403" s="24" t="inlineStr">
        <is>
          <t>1367468:2026-10-13T05:04:25.727863Z</t>
        </is>
      </c>
      <c r="DG1403" s="24" t="n"/>
      <c r="DH1403" s="24" t="n"/>
      <c r="DI1403" s="24" t="n"/>
      <c r="DJ1403" s="24" t="n"/>
      <c r="DK1403" s="24" t="n"/>
      <c r="DL1403" s="24" t="n"/>
      <c r="DM1403" s="24" t="n"/>
      <c r="DN1403" s="24" t="n"/>
      <c r="DO1403" s="24" t="n"/>
      <c r="DP1403" s="24" t="n"/>
      <c r="DQ1403" s="24" t="n"/>
    </row>
    <row r="1404" ht="36" customHeight="1">
      <c r="A1404" s="24" t="inlineStr">
        <is>
          <t>e75a791829204130</t>
        </is>
      </c>
      <c r="B1404" s="24" t="inlineStr">
        <is>
          <t>2026-10-13T05:49:22.014322Z</t>
        </is>
      </c>
      <c r="C1404" s="24" t="inlineStr">
        <is>
          <t>2026-10-13T11:00Z</t>
        </is>
      </c>
      <c r="D1404" s="24" t="inlineStr">
        <is>
          <t>1020-2026:185485</t>
        </is>
      </c>
      <c r="E1404" s="24" t="inlineStr">
        <is>
          <t>TENNIS</t>
        </is>
      </c>
      <c r="F1404" s="24" t="inlineStr">
        <is>
          <t>Ariana Geerlings</t>
        </is>
      </c>
      <c r="G1404" s="24" t="inlineStr">
        <is>
          <t>Tea Kovacevic</t>
        </is>
      </c>
      <c r="H1404" s="24" t="inlineStr">
        <is>
          <t>moneyline</t>
        </is>
      </c>
      <c r="I1404" s="24" t="inlineStr">
        <is>
          <t>away</t>
        </is>
      </c>
      <c r="J1404" s="25" t="n"/>
      <c r="K1404" s="24" t="inlineStr">
        <is>
          <t>polymarket_us</t>
        </is>
      </c>
      <c r="L1404" s="26" t="n">
        <v>-1567</v>
      </c>
      <c r="M1404" s="27" t="n">
        <v>1.063816</v>
      </c>
      <c r="N1404" s="28" t="n">
        <v>0.940012</v>
      </c>
      <c r="O1404" s="28" t="n">
        <v>0.6822</v>
      </c>
      <c r="P1404" s="28" t="n">
        <v>0.05</v>
      </c>
      <c r="Q1404" s="28" t="n">
        <v>-0.257812</v>
      </c>
      <c r="R1404" s="26" t="n">
        <v>0</v>
      </c>
      <c r="S1404" s="29" t="n">
        <v>1</v>
      </c>
      <c r="T1404" s="24" t="inlineStr">
        <is>
          <t>tennis-learned-v3</t>
        </is>
      </c>
      <c r="U1404" s="24" t="inlineStr">
        <is>
          <t>settled</t>
        </is>
      </c>
      <c r="V1404" s="24" t="inlineStr">
        <is>
          <t>win</t>
        </is>
      </c>
      <c r="W1404" s="26" t="n">
        <v>1</v>
      </c>
      <c r="X1404" s="26" t="n">
        <v>0</v>
      </c>
      <c r="Y1404" s="25" t="n"/>
      <c r="Z1404" s="26" t="n">
        <v>-1567</v>
      </c>
      <c r="AA1404" s="28" t="n">
        <v>0.9399999999999999</v>
      </c>
      <c r="AB1404" s="28" t="n">
        <v>-1.2e-05</v>
      </c>
      <c r="AC1404" s="30" t="n">
        <v>0.0638</v>
      </c>
      <c r="AD1404" s="24" t="inlineStr">
        <is>
          <t>2026-10-13T16:09:04.705344Z</t>
        </is>
      </c>
      <c r="AE1404" s="31" t="inlineStr">
        <is>
          <t>Tennis v3 Learned Fundamental on Grass (Bo3): Ariana Geerlings p=0.682 vs Tea Kovacevic. Executable ask 0.9400 (aec-wta-teakov-arigee-2026-10-12).</t>
        </is>
      </c>
      <c r="AF1404" s="31" t="inlineStr">
        <is>
          <t>Surface-blended Elo model; singles only, WTA+ATP market coverage, not yet locked-holdout qualified -- promoted by explicit operator directive, not genuine walk-forward validation.</t>
        </is>
      </c>
      <c r="AG1404" s="24" t="inlineStr">
        <is>
          <t>not_applicable</t>
        </is>
      </c>
      <c r="AH1404" s="24" t="n"/>
      <c r="AI1404" s="31" t="n"/>
      <c r="AJ1404" s="31" t="n"/>
      <c r="AK1404" s="24" t="inlineStr">
        <is>
          <t>paper_call</t>
        </is>
      </c>
      <c r="AL1404" s="26" t="n">
        <v>4</v>
      </c>
      <c r="AM1404" s="24" t="inlineStr">
        <is>
          <t>RESEARCH_OBSERVATION</t>
        </is>
      </c>
      <c r="AN1404" s="24" t="inlineStr">
        <is>
          <t>CALL</t>
        </is>
      </c>
      <c r="AO1404" s="24" t="inlineStr">
        <is>
          <t>PAPER_CALL_MODEL_UNVALIDATED</t>
        </is>
      </c>
      <c r="AP1404" s="24" t="inlineStr">
        <is>
          <t>Ariana Geerlings</t>
        </is>
      </c>
      <c r="AQ1404" s="24" t="inlineStr">
        <is>
          <t>Ariana Geerlings</t>
        </is>
      </c>
      <c r="AR1404" s="24" t="inlineStr">
        <is>
          <t>Ariana Geerlings</t>
        </is>
      </c>
      <c r="AS1404" s="24" t="inlineStr">
        <is>
          <t>Tea Kovacevic</t>
        </is>
      </c>
      <c r="AT1404" s="24" t="inlineStr">
        <is>
          <t>Tea Kovacevic</t>
        </is>
      </c>
      <c r="AU1404" s="24" t="inlineStr">
        <is>
          <t>Tea Kovacevic</t>
        </is>
      </c>
      <c r="AV1404" s="24" t="n"/>
      <c r="AW1404" s="24" t="n"/>
      <c r="AX1404" s="24" t="inlineStr">
        <is>
          <t>statistical_model</t>
        </is>
      </c>
      <c r="AY1404" s="24" t="n"/>
      <c r="AZ1404" s="24" t="inlineStr">
        <is>
          <t>shadow_qualified</t>
        </is>
      </c>
      <c r="BA1404" s="24" t="inlineStr">
        <is>
          <t>7443acc419841200d57e1edf36b77f1940cdd0c48dce3d43fcd05498a109440b</t>
        </is>
      </c>
      <c r="BB1404" s="24" t="inlineStr">
        <is>
          <t>learned_v3</t>
        </is>
      </c>
      <c r="BC1404" s="24" t="inlineStr">
        <is>
          <t>tennis-learned-v3</t>
        </is>
      </c>
      <c r="BD1404" s="24" t="inlineStr">
        <is>
          <t>7443acc419841200d57e1edf36b77f1940cdd0c48dce3d43fcd05498a109440b</t>
        </is>
      </c>
      <c r="BE1404" s="24" t="inlineStr">
        <is>
          <t>tennis-learned-v3</t>
        </is>
      </c>
      <c r="BF1404" s="24" t="inlineStr">
        <is>
          <t>1</t>
        </is>
      </c>
      <c r="BG1404" s="24" t="inlineStr">
        <is>
          <t>7443acc419841200d57e1edf36b77f1940cdd0c48dce3d43fcd05498a109440b</t>
        </is>
      </c>
      <c r="BH1404" s="24" t="inlineStr">
        <is>
          <t>2026-10-13T05:04:16.451215Z</t>
        </is>
      </c>
      <c r="BI1404" s="24" t="inlineStr">
        <is>
          <t>["same_event","same_team_same_day","same_league_same_day"]</t>
        </is>
      </c>
      <c r="BJ1404" s="25" t="n"/>
      <c r="BK1404" s="26" t="n">
        <v>-1567</v>
      </c>
      <c r="BL1404" s="27" t="n">
        <v>1.063816</v>
      </c>
      <c r="BM1404" s="28" t="n">
        <v>0.940012</v>
      </c>
      <c r="BN1404" s="28" t="n"/>
      <c r="BO1404" s="28" t="n"/>
      <c r="BP1404" s="25" t="n"/>
      <c r="BQ1404" s="27" t="n">
        <v>1.063816</v>
      </c>
      <c r="BR1404" s="28" t="n">
        <v>0.9399999999999999</v>
      </c>
      <c r="BS1404" s="28" t="n"/>
      <c r="BT1404" s="28" t="n"/>
      <c r="BU1404" s="25" t="n"/>
      <c r="BV1404" s="29" t="n"/>
      <c r="BW1404" s="24" t="n"/>
      <c r="BX1404" s="30" t="n"/>
      <c r="BY1404" s="27" t="n"/>
      <c r="BZ1404" s="24" t="n"/>
      <c r="CA1404" s="31" t="n"/>
      <c r="CB1404" s="24" t="n"/>
      <c r="CC1404" s="24" t="n"/>
      <c r="CD1404" s="24" t="n"/>
      <c r="CE1404" s="24" t="n"/>
      <c r="CF1404" s="24" t="n"/>
      <c r="CG1404" s="24" t="n"/>
      <c r="CH1404" s="24" t="n"/>
      <c r="CI1404" s="24" t="n"/>
      <c r="CJ1404" s="24" t="n"/>
      <c r="CK1404" s="24" t="n"/>
      <c r="CL1404" s="24" t="n"/>
      <c r="CM1404" s="24" t="n"/>
      <c r="CN1404" s="24" t="n"/>
      <c r="CO1404" s="24" t="n"/>
      <c r="CP1404" s="24" t="n"/>
      <c r="CQ1404" s="24" t="n"/>
      <c r="CR1404" s="24" t="n"/>
      <c r="CS1404" s="24" t="inlineStr">
        <is>
          <t>False</t>
        </is>
      </c>
      <c r="CT1404" s="24" t="n"/>
      <c r="CU1404" s="24" t="n"/>
      <c r="CV1404" s="24" t="n"/>
      <c r="CW1404" s="24" t="n"/>
      <c r="CX1404" s="24" t="n"/>
      <c r="CY1404" s="24" t="n"/>
      <c r="CZ1404" s="24" t="n"/>
      <c r="DA1404" s="24" t="n"/>
      <c r="DB1404" s="24" t="n"/>
      <c r="DC1404" s="24" t="n"/>
      <c r="DD1404" s="24" t="inlineStr">
        <is>
          <t>a379d0a5adcaec424eb8753a04221d0a968589bdbf6efffb7071280e1a81c208</t>
        </is>
      </c>
      <c r="DE1404" s="24" t="inlineStr">
        <is>
          <t>E:\model-prediction\data\odds\tennis\2026-10-13\polymarket_snapshots.jsonl</t>
        </is>
      </c>
      <c r="DF1404" s="24" t="inlineStr">
        <is>
          <t>1367150:2026-10-13T05:04:16.451215Z</t>
        </is>
      </c>
      <c r="DG1404" s="24" t="n"/>
      <c r="DH1404" s="24" t="n"/>
      <c r="DI1404" s="24" t="n"/>
      <c r="DJ1404" s="24" t="n"/>
      <c r="DK1404" s="24" t="n"/>
      <c r="DL1404" s="24" t="n"/>
      <c r="DM1404" s="24" t="n"/>
      <c r="DN1404" s="24" t="n"/>
      <c r="DO1404" s="24" t="n"/>
      <c r="DP1404" s="24" t="n"/>
      <c r="DQ1404" s="24" t="inlineStr">
        <is>
          <t>{"artifact_hash": "7443acc419841200d57e1edf36b77f1940cdd0c48dce3d43fcd05498a109440b", "away_team": "Ariana Geerlings", "event_id": "1020-2026:185485", "event_start_utc": "2026-10-13T11:00Z", "features": {"elo_p1_surface": 1500.0, "elo_p2_surface": 1489.3, "expected_games_p1": 13.28, "expected_games_p2": 7.86, "expected_total_games": 21.14, "history_matches": 16744, "min_player_matches": 1, "surface": "Grass"}, "historical_source_observation_times_verified": false, "home_team": "Tea Kovacevic", "inference_inputs": {"best_of": 3, "code_sha256": {"features/elo_ratings.py": "d6513e79d65448c06cc0f9b9eed0eaa091567835128e1f6647a310da8d78a872", "models/tennis.py": "7443acc419841200d57e1edf36b77f1940cdd0c48dce3d43fcd05498a109440b"}, "counts": [11, 1], "market_probability": null, "model_version": "tennis-learned-v3", "overall_ratings": [1493.2022718139679, 1478.5934959702029], "p_serve_a": 0.6452924679692031, "p_serve_b": 0.5347075320307968, "players": ["Ariana Geerlings", "Tea Kovacevic"], "rest_days": [28.0, 60.0], "sport": "TENNIS", "surface": "Grass", "surface_counts": [0, 1], "surface_ratings": [1493.2022718139679, 1489.2967479851015], "tour": "WTA"}, "market_type": "moneyline", "model_version": "tennis-learned-v3", "observed_at_utc": "2026-10-13T05:49:19.315977+00:00", "probabilities": {"away": 0.6822, "home": 0.3178}, "replay_scope": "Exact full-precision serving state and rounding; upstream historical observation times are not certified.", "schema": "coded-moneyline-replay-v1", "snapshot_hash": "1b5360d55fb1057b40b344447b2b7e8eb44fb42edf615043ef0084d20fa728d7", "sport": "TENNIS"}</t>
        </is>
      </c>
    </row>
    <row r="1405" ht="36" customHeight="1">
      <c r="A1405" s="24" t="inlineStr">
        <is>
          <t>184a3cd0f5304faf</t>
        </is>
      </c>
      <c r="B1405" s="24" t="inlineStr">
        <is>
          <t>2026-10-13T05:49:22.014322Z</t>
        </is>
      </c>
      <c r="C1405" s="24" t="inlineStr">
        <is>
          <t>2026-10-13T11:00Z</t>
        </is>
      </c>
      <c r="D1405" s="24" t="inlineStr">
        <is>
          <t>1020-2026:185485</t>
        </is>
      </c>
      <c r="E1405" s="24" t="inlineStr">
        <is>
          <t>TENNIS</t>
        </is>
      </c>
      <c r="F1405" s="24" t="inlineStr">
        <is>
          <t>Ariana Geerlings</t>
        </is>
      </c>
      <c r="G1405" s="24" t="inlineStr">
        <is>
          <t>Tea Kovacevic</t>
        </is>
      </c>
      <c r="H1405" s="24" t="inlineStr">
        <is>
          <t>spread</t>
        </is>
      </c>
      <c r="I1405" s="24" t="inlineStr">
        <is>
          <t>away</t>
        </is>
      </c>
      <c r="J1405" s="25" t="n">
        <v>-1.5</v>
      </c>
      <c r="K1405" s="24" t="inlineStr">
        <is>
          <t>polymarket_us</t>
        </is>
      </c>
      <c r="L1405" s="26" t="n">
        <v>-186</v>
      </c>
      <c r="M1405" s="27" t="n">
        <v>1.537634</v>
      </c>
      <c r="N1405" s="28" t="n">
        <v>0.65035</v>
      </c>
      <c r="O1405" s="28" t="n">
        <v>0.9517</v>
      </c>
      <c r="P1405" s="28" t="n">
        <v>0.05</v>
      </c>
      <c r="Q1405" s="28" t="n">
        <v>0.30135</v>
      </c>
      <c r="R1405" s="26" t="n">
        <v>100</v>
      </c>
      <c r="S1405" s="29" t="n">
        <v>2</v>
      </c>
      <c r="T1405" s="24" t="inlineStr">
        <is>
          <t>tennis-learned-v3</t>
        </is>
      </c>
      <c r="U1405" s="24" t="inlineStr">
        <is>
          <t>settled</t>
        </is>
      </c>
      <c r="V1405" s="24" t="inlineStr">
        <is>
          <t>win</t>
        </is>
      </c>
      <c r="W1405" s="26" t="n">
        <v>12</v>
      </c>
      <c r="X1405" s="26" t="n">
        <v>6</v>
      </c>
      <c r="Y1405" s="25" t="n"/>
      <c r="Z1405" s="26" t="n"/>
      <c r="AA1405" s="28" t="n"/>
      <c r="AB1405" s="28" t="n"/>
      <c r="AC1405" s="30" t="n">
        <v>1.0753</v>
      </c>
      <c r="AD1405" s="24" t="inlineStr">
        <is>
          <t>2026-10-13T16:09:11.586802Z</t>
        </is>
      </c>
      <c r="AE1405" s="31" t="inlineStr">
        <is>
          <t>Tennis Markov game spread -1.5 games: away cover p=0.952. Executable ask 0.6500 (asc-wta-teakov-arigee-2026-10-12-gs-neg-1pt5).</t>
        </is>
      </c>
      <c r="AF1405" s="31" t="inlineStr">
        <is>
          <t>Surface-blended Elo model; singles only, WTA+ATP market coverage, not yet locked-holdout qualified -- promoted by explicit operator directive, not genuine walk-forward validation.</t>
        </is>
      </c>
      <c r="AG1405" s="24" t="inlineStr">
        <is>
          <t>not_applicable</t>
        </is>
      </c>
      <c r="AH1405" s="24" t="n"/>
      <c r="AI1405" s="31" t="n"/>
      <c r="AJ1405" s="31" t="n"/>
      <c r="AK1405" s="24" t="inlineStr">
        <is>
          <t>paper_call</t>
        </is>
      </c>
      <c r="AL1405" s="26" t="n">
        <v>4</v>
      </c>
      <c r="AM1405" s="24" t="inlineStr">
        <is>
          <t>RESEARCH_OBSERVATION</t>
        </is>
      </c>
      <c r="AN1405" s="24" t="inlineStr">
        <is>
          <t>CALL</t>
        </is>
      </c>
      <c r="AO1405" s="24" t="inlineStr">
        <is>
          <t>PAPER_CALL_MODEL_UNVALIDATED</t>
        </is>
      </c>
      <c r="AP1405" s="24" t="inlineStr">
        <is>
          <t>Ariana Geerlings</t>
        </is>
      </c>
      <c r="AQ1405" s="24" t="inlineStr">
        <is>
          <t>Ariana Geerlings</t>
        </is>
      </c>
      <c r="AR1405" s="24" t="inlineStr">
        <is>
          <t>Ariana Geerlings</t>
        </is>
      </c>
      <c r="AS1405" s="24" t="inlineStr">
        <is>
          <t>Tea Kovacevic</t>
        </is>
      </c>
      <c r="AT1405" s="24" t="inlineStr">
        <is>
          <t>Tea Kovacevic</t>
        </is>
      </c>
      <c r="AU1405" s="24" t="inlineStr">
        <is>
          <t>Tea Kovacevic</t>
        </is>
      </c>
      <c r="AV1405" s="24" t="n"/>
      <c r="AW1405" s="24" t="n"/>
      <c r="AX1405" s="24" t="inlineStr">
        <is>
          <t>statistical_model</t>
        </is>
      </c>
      <c r="AY1405" s="24" t="n"/>
      <c r="AZ1405" s="24" t="inlineStr">
        <is>
          <t>shadow_qualified</t>
        </is>
      </c>
      <c r="BA1405" s="24" t="inlineStr">
        <is>
          <t>7443acc419841200d57e1edf36b77f1940cdd0c48dce3d43fcd05498a109440b</t>
        </is>
      </c>
      <c r="BB1405" s="24" t="inlineStr">
        <is>
          <t>learned_v3</t>
        </is>
      </c>
      <c r="BC1405" s="24" t="inlineStr">
        <is>
          <t>tennis-learned-v3</t>
        </is>
      </c>
      <c r="BD1405" s="24" t="inlineStr">
        <is>
          <t>7443acc419841200d57e1edf36b77f1940cdd0c48dce3d43fcd05498a109440b</t>
        </is>
      </c>
      <c r="BE1405" s="24" t="inlineStr">
        <is>
          <t>tennis-learned-v3</t>
        </is>
      </c>
      <c r="BF1405" s="24" t="inlineStr">
        <is>
          <t>1</t>
        </is>
      </c>
      <c r="BG1405" s="24" t="inlineStr">
        <is>
          <t>7443acc419841200d57e1edf36b77f1940cdd0c48dce3d43fcd05498a109440b</t>
        </is>
      </c>
      <c r="BH1405" s="24" t="inlineStr">
        <is>
          <t>2026-10-13T05:04:16.458763Z</t>
        </is>
      </c>
      <c r="BI1405" s="24" t="inlineStr">
        <is>
          <t>["same_event","same_team_same_day","same_league_same_day"]</t>
        </is>
      </c>
      <c r="BJ1405" s="25" t="n">
        <v>-1.5</v>
      </c>
      <c r="BK1405" s="26" t="n">
        <v>-186</v>
      </c>
      <c r="BL1405" s="27" t="n">
        <v>1.537634</v>
      </c>
      <c r="BM1405" s="28" t="n">
        <v>0.65035</v>
      </c>
      <c r="BN1405" s="28" t="n"/>
      <c r="BO1405" s="28" t="n"/>
      <c r="BP1405" s="25" t="n"/>
      <c r="BQ1405" s="27" t="n"/>
      <c r="BR1405" s="28" t="n"/>
      <c r="BS1405" s="28" t="n"/>
      <c r="BT1405" s="28" t="n"/>
      <c r="BU1405" s="25" t="n"/>
      <c r="BV1405" s="29" t="n"/>
      <c r="BW1405" s="24" t="n"/>
      <c r="BX1405" s="30" t="n"/>
      <c r="BY1405" s="27" t="n"/>
      <c r="BZ1405" s="24" t="n"/>
      <c r="CA1405" s="31" t="n"/>
      <c r="CB1405" s="24" t="n"/>
      <c r="CC1405" s="24" t="n"/>
      <c r="CD1405" s="24" t="n"/>
      <c r="CE1405" s="24" t="n"/>
      <c r="CF1405" s="24" t="n"/>
      <c r="CG1405" s="24" t="n"/>
      <c r="CH1405" s="24" t="n"/>
      <c r="CI1405" s="24" t="n"/>
      <c r="CJ1405" s="24" t="n"/>
      <c r="CK1405" s="24" t="n"/>
      <c r="CL1405" s="24" t="n"/>
      <c r="CM1405" s="24" t="n"/>
      <c r="CN1405" s="24" t="n"/>
      <c r="CO1405" s="24" t="n"/>
      <c r="CP1405" s="24" t="n"/>
      <c r="CQ1405" s="24" t="n"/>
      <c r="CR1405" s="24" t="n"/>
      <c r="CS1405" s="24" t="inlineStr">
        <is>
          <t>True</t>
        </is>
      </c>
      <c r="CT1405" s="24" t="n"/>
      <c r="CU1405" s="24" t="n"/>
      <c r="CV1405" s="24" t="n"/>
      <c r="CW1405" s="24" t="n"/>
      <c r="CX1405" s="24" t="n"/>
      <c r="CY1405" s="24" t="n"/>
      <c r="CZ1405" s="24" t="n"/>
      <c r="DA1405" s="24" t="n"/>
      <c r="DB1405" s="24" t="n"/>
      <c r="DC1405" s="24" t="n"/>
      <c r="DD1405" s="24" t="inlineStr">
        <is>
          <t>dddbd287f74fde440d8b0f72c0ef22d6b2928e6ac6edf453ff3a5b26f8d1ed3f</t>
        </is>
      </c>
      <c r="DE1405" s="24" t="inlineStr">
        <is>
          <t>E:\model-prediction\data\odds\tennis\2026-10-13\polymarket_snapshots.jsonl</t>
        </is>
      </c>
      <c r="DF1405" s="24" t="inlineStr">
        <is>
          <t>1367484:2026-10-13T05:04:16.458763Z</t>
        </is>
      </c>
      <c r="DG1405" s="24" t="n"/>
      <c r="DH1405" s="24" t="n"/>
      <c r="DI1405" s="24" t="n"/>
      <c r="DJ1405" s="24" t="n"/>
      <c r="DK1405" s="24" t="n"/>
      <c r="DL1405" s="24" t="n"/>
      <c r="DM1405" s="24" t="n"/>
      <c r="DN1405" s="24" t="n"/>
      <c r="DO1405" s="24" t="n"/>
      <c r="DP1405" s="24" t="n"/>
      <c r="DQ1405" s="24" t="n"/>
    </row>
    <row r="1406" ht="36" customHeight="1">
      <c r="A1406" s="24" t="inlineStr">
        <is>
          <t>54de020c958d4ace</t>
        </is>
      </c>
      <c r="B1406" s="24" t="inlineStr">
        <is>
          <t>2026-10-13T05:49:22.014322Z</t>
        </is>
      </c>
      <c r="C1406" s="24" t="inlineStr">
        <is>
          <t>2026-10-13T11:00Z</t>
        </is>
      </c>
      <c r="D1406" s="24" t="inlineStr">
        <is>
          <t>1020-2026:185492</t>
        </is>
      </c>
      <c r="E1406" s="24" t="inlineStr">
        <is>
          <t>TENNIS</t>
        </is>
      </c>
      <c r="F1406" s="24" t="inlineStr">
        <is>
          <t>Ane Mintegi Del Olmo</t>
        </is>
      </c>
      <c r="G1406" s="24" t="inlineStr">
        <is>
          <t>Anastasiia Sobolieva</t>
        </is>
      </c>
      <c r="H1406" s="24" t="inlineStr">
        <is>
          <t>moneyline</t>
        </is>
      </c>
      <c r="I1406" s="24" t="inlineStr">
        <is>
          <t>home</t>
        </is>
      </c>
      <c r="J1406" s="25" t="n"/>
      <c r="K1406" s="24" t="inlineStr">
        <is>
          <t>polymarket_us</t>
        </is>
      </c>
      <c r="L1406" s="26" t="n">
        <v>127</v>
      </c>
      <c r="M1406" s="27" t="n">
        <v>2.27</v>
      </c>
      <c r="N1406" s="28" t="n">
        <v>0.440529</v>
      </c>
      <c r="O1406" s="28" t="n">
        <v>0.5336</v>
      </c>
      <c r="P1406" s="28" t="n">
        <v>0.05</v>
      </c>
      <c r="Q1406" s="28" t="n">
        <v>0.093071</v>
      </c>
      <c r="R1406" s="26" t="n">
        <v>67</v>
      </c>
      <c r="S1406" s="29" t="n">
        <v>1.25</v>
      </c>
      <c r="T1406" s="24" t="inlineStr">
        <is>
          <t>tennis-learned-v3</t>
        </is>
      </c>
      <c r="U1406" s="24" t="inlineStr">
        <is>
          <t>settled</t>
        </is>
      </c>
      <c r="V1406" s="24" t="inlineStr">
        <is>
          <t>loss</t>
        </is>
      </c>
      <c r="W1406" s="26" t="n">
        <v>1</v>
      </c>
      <c r="X1406" s="26" t="n">
        <v>0</v>
      </c>
      <c r="Y1406" s="25" t="n"/>
      <c r="Z1406" s="26" t="n">
        <v>127</v>
      </c>
      <c r="AA1406" s="28" t="n">
        <v>0.44</v>
      </c>
      <c r="AB1406" s="28" t="n">
        <v>-0.000529</v>
      </c>
      <c r="AC1406" s="30" t="n">
        <v>-1.25</v>
      </c>
      <c r="AD1406" s="24" t="inlineStr">
        <is>
          <t>2026-10-13T16:09:17.656445Z</t>
        </is>
      </c>
      <c r="AE1406" s="31" t="inlineStr">
        <is>
          <t>Tennis v3 Learned Fundamental on Grass (Bo3): Ane Mintegi Del Olmo p=0.466 vs Anastasiia Sobolieva. Executable ask 0.4400 (aec-wta-anasob-aneolm-2026-10-12).</t>
        </is>
      </c>
      <c r="AF1406" s="31" t="inlineStr">
        <is>
          <t>Surface-blended Elo model; singles only, WTA+ATP market coverage, not yet locked-holdout qualified -- promoted by explicit operator directive, not genuine walk-forward validation.</t>
        </is>
      </c>
      <c r="AG1406" s="24" t="inlineStr">
        <is>
          <t>review_required</t>
        </is>
      </c>
      <c r="AH1406" s="24" t="n"/>
      <c r="AI1406" s="31" t="n"/>
      <c r="AJ1406" s="31" t="n"/>
      <c r="AK1406" s="24" t="inlineStr">
        <is>
          <t>paper_call</t>
        </is>
      </c>
      <c r="AL1406" s="26" t="n">
        <v>4</v>
      </c>
      <c r="AM1406" s="24" t="inlineStr">
        <is>
          <t>RESEARCH_OBSERVATION</t>
        </is>
      </c>
      <c r="AN1406" s="24" t="inlineStr">
        <is>
          <t>CALL</t>
        </is>
      </c>
      <c r="AO1406" s="24" t="inlineStr">
        <is>
          <t>PAPER_CALL_LOW_EDGE</t>
        </is>
      </c>
      <c r="AP1406" s="24" t="inlineStr">
        <is>
          <t>Ane Mintegi Del Olmo</t>
        </is>
      </c>
      <c r="AQ1406" s="24" t="inlineStr">
        <is>
          <t>Ane Mintegi Del Olmo</t>
        </is>
      </c>
      <c r="AR1406" s="24" t="inlineStr">
        <is>
          <t>Ane Mintegi Del Olmo</t>
        </is>
      </c>
      <c r="AS1406" s="24" t="inlineStr">
        <is>
          <t>Anastasiia Sobolieva</t>
        </is>
      </c>
      <c r="AT1406" s="24" t="inlineStr">
        <is>
          <t>Anastasiia Sobolieva</t>
        </is>
      </c>
      <c r="AU1406" s="24" t="inlineStr">
        <is>
          <t>Anastasiia Sobolieva</t>
        </is>
      </c>
      <c r="AV1406" s="24" t="n"/>
      <c r="AW1406" s="24" t="n"/>
      <c r="AX1406" s="24" t="inlineStr">
        <is>
          <t>statistical_model</t>
        </is>
      </c>
      <c r="AY1406" s="24" t="n"/>
      <c r="AZ1406" s="24" t="inlineStr">
        <is>
          <t>shadow_qualified</t>
        </is>
      </c>
      <c r="BA1406" s="24" t="inlineStr">
        <is>
          <t>7443acc419841200d57e1edf36b77f1940cdd0c48dce3d43fcd05498a109440b</t>
        </is>
      </c>
      <c r="BB1406" s="24" t="inlineStr">
        <is>
          <t>learned_v3</t>
        </is>
      </c>
      <c r="BC1406" s="24" t="inlineStr">
        <is>
          <t>tennis-learned-v3</t>
        </is>
      </c>
      <c r="BD1406" s="24" t="inlineStr">
        <is>
          <t>7443acc419841200d57e1edf36b77f1940cdd0c48dce3d43fcd05498a109440b</t>
        </is>
      </c>
      <c r="BE1406" s="24" t="inlineStr">
        <is>
          <t>tennis-learned-v3</t>
        </is>
      </c>
      <c r="BF1406" s="24" t="inlineStr">
        <is>
          <t>1</t>
        </is>
      </c>
      <c r="BG1406" s="24" t="inlineStr">
        <is>
          <t>7443acc419841200d57e1edf36b77f1940cdd0c48dce3d43fcd05498a109440b</t>
        </is>
      </c>
      <c r="BH1406" s="24" t="inlineStr">
        <is>
          <t>2026-10-13T05:04:06.391359Z</t>
        </is>
      </c>
      <c r="BI1406" s="24" t="inlineStr">
        <is>
          <t>["same_event","same_team_same_day","same_league_same_day"]</t>
        </is>
      </c>
      <c r="BJ1406" s="25" t="n"/>
      <c r="BK1406" s="26" t="n">
        <v>127</v>
      </c>
      <c r="BL1406" s="27" t="n">
        <v>2.27</v>
      </c>
      <c r="BM1406" s="28" t="n">
        <v>0.440529</v>
      </c>
      <c r="BN1406" s="28" t="n"/>
      <c r="BO1406" s="28" t="n"/>
      <c r="BP1406" s="25" t="n"/>
      <c r="BQ1406" s="27" t="n">
        <v>2.27</v>
      </c>
      <c r="BR1406" s="28" t="n">
        <v>0.44</v>
      </c>
      <c r="BS1406" s="28" t="n"/>
      <c r="BT1406" s="28" t="n"/>
      <c r="BU1406" s="25" t="n"/>
      <c r="BV1406" s="29" t="n"/>
      <c r="BW1406" s="24" t="n"/>
      <c r="BX1406" s="30" t="n"/>
      <c r="BY1406" s="27" t="n"/>
      <c r="BZ1406" s="24" t="n"/>
      <c r="CA1406" s="31" t="n"/>
      <c r="CB1406" s="24" t="n"/>
      <c r="CC1406" s="24" t="n"/>
      <c r="CD1406" s="24" t="n"/>
      <c r="CE1406" s="24" t="n"/>
      <c r="CF1406" s="24" t="n"/>
      <c r="CG1406" s="24" t="n"/>
      <c r="CH1406" s="24" t="n"/>
      <c r="CI1406" s="24" t="n"/>
      <c r="CJ1406" s="24" t="n"/>
      <c r="CK1406" s="24" t="n"/>
      <c r="CL1406" s="24" t="n"/>
      <c r="CM1406" s="24" t="n"/>
      <c r="CN1406" s="24" t="n"/>
      <c r="CO1406" s="24" t="n"/>
      <c r="CP1406" s="24" t="n"/>
      <c r="CQ1406" s="24" t="n"/>
      <c r="CR1406" s="24" t="n"/>
      <c r="CS1406" s="24" t="inlineStr">
        <is>
          <t>True</t>
        </is>
      </c>
      <c r="CT1406" s="24" t="n"/>
      <c r="CU1406" s="24" t="n"/>
      <c r="CV1406" s="24" t="n"/>
      <c r="CW1406" s="24" t="n"/>
      <c r="CX1406" s="24" t="n"/>
      <c r="CY1406" s="24" t="n"/>
      <c r="CZ1406" s="24" t="n"/>
      <c r="DA1406" s="24" t="n"/>
      <c r="DB1406" s="24" t="n"/>
      <c r="DC1406" s="24" t="n"/>
      <c r="DD1406" s="24" t="inlineStr">
        <is>
          <t>e844eccbca8225766e885dcaefbd7e50b9a7d2b49643338562d65595b73000ef</t>
        </is>
      </c>
      <c r="DE1406" s="24" t="inlineStr">
        <is>
          <t>E:\model-prediction\data\odds\tennis\2026-10-13\polymarket_snapshots.jsonl</t>
        </is>
      </c>
      <c r="DF1406" s="24" t="inlineStr">
        <is>
          <t>1366666:2026-10-13T05:04:06.391359Z</t>
        </is>
      </c>
      <c r="DG1406" s="24" t="n"/>
      <c r="DH1406" s="24" t="n"/>
      <c r="DI1406" s="24" t="n"/>
      <c r="DJ1406" s="24" t="n"/>
      <c r="DK1406" s="24" t="n"/>
      <c r="DL1406" s="24" t="n"/>
      <c r="DM1406" s="24" t="n"/>
      <c r="DN1406" s="24" t="n"/>
      <c r="DO1406" s="24" t="n"/>
      <c r="DP1406" s="24" t="n"/>
      <c r="DQ1406" s="24" t="inlineStr">
        <is>
          <t>{"artifact_hash": "7443acc419841200d57e1edf36b77f1940cdd0c48dce3d43fcd05498a109440b", "away_team": "Ane Mintegi Del Olmo", "event_id": "1020-2026:185492", "event_start_utc": "2026-10-13T11:00Z", "features": {"elo_p1_surface": 1500.0, "elo_p2_surface": 1519.2, "expected_games_p1": 11.97, "expected_games_p2": 12.71, "expected_total_games": 24.69, "history_matches": 16744, "min_player_matches": 22, "surface": "Grass"}, "historical_source_observation_times_verified": false, "home_team": "Anastasiia Sobolieva", "inference_inputs": {"best_of": 3, "code_sha256": {"features/elo_ratings.py": "d6513e79d65448c06cc0f9b9eed0eaa091567835128e1f6647a310da8d78a872", "models/tennis.py": "7443acc419841200d57e1edf36b77f1940cdd0c48dce3d43fcd05498a109440b"}, "counts": [22, 57], "market_probability": null, "model_version": "tennis-learned-v3", "overall_ratings": [1518.9200108747457, 1494.917218088482], "p_serve_a": 0.5802553567733468, "p_serve_b": 0.5997446432266531, "players": ["Ane Mintegi Del Olmo", "Anastasiia Sobolieva"], "rest_days": [26.0, 25.0], "sport": "TENNIS", "surface": "Grass", "surface_counts": [0, 1], "surface_ratings": [1518.9200108747457, 1519.1550368858068], "tour": "WTA"}, "market_type": "moneyline", "model_version": "tennis-learned-v3", "observed_at_utc": "2026-10-13T05:49:19.315977+00:00", "probabilities": {"away": 0.4664, "home": 0.5336}, "replay_scope": "Exact full-precision serving state and rounding; upstream historical observation times are not certified.", "schema": "coded-moneyline-replay-v1", "snapshot_hash": "f4523f3adafcaf75e442ea41f943ef5fd9f90ec7f7cd604d40633a0e00a3569d", "sport": "TENNIS"}</t>
        </is>
      </c>
    </row>
    <row r="1407" ht="36" customHeight="1">
      <c r="A1407" s="24" t="inlineStr">
        <is>
          <t>342f60f2a96a4679</t>
        </is>
      </c>
      <c r="B1407" s="24" t="inlineStr">
        <is>
          <t>2026-10-13T05:49:22.014322Z</t>
        </is>
      </c>
      <c r="C1407" s="24" t="inlineStr">
        <is>
          <t>2026-10-13T11:00Z</t>
        </is>
      </c>
      <c r="D1407" s="24" t="inlineStr">
        <is>
          <t>1020-2026:185492</t>
        </is>
      </c>
      <c r="E1407" s="24" t="inlineStr">
        <is>
          <t>TENNIS</t>
        </is>
      </c>
      <c r="F1407" s="24" t="inlineStr">
        <is>
          <t>Ane Mintegi Del Olmo</t>
        </is>
      </c>
      <c r="G1407" s="24" t="inlineStr">
        <is>
          <t>Anastasiia Sobolieva</t>
        </is>
      </c>
      <c r="H1407" s="24" t="inlineStr">
        <is>
          <t>total</t>
        </is>
      </c>
      <c r="I1407" s="24" t="inlineStr">
        <is>
          <t>over</t>
        </is>
      </c>
      <c r="J1407" s="25" t="n">
        <v>22.5</v>
      </c>
      <c r="K1407" s="24" t="inlineStr">
        <is>
          <t>polymarket_us</t>
        </is>
      </c>
      <c r="L1407" s="26" t="n">
        <v>-9900</v>
      </c>
      <c r="M1407" s="27" t="n">
        <v>1.010101</v>
      </c>
      <c r="N1407" s="28" t="n">
        <v>0.99</v>
      </c>
      <c r="O1407" s="28" t="n">
        <v>0.5698</v>
      </c>
      <c r="P1407" s="28" t="n">
        <v>0.05</v>
      </c>
      <c r="Q1407" s="28" t="n">
        <v>-0.4202</v>
      </c>
      <c r="R1407" s="26" t="n">
        <v>0</v>
      </c>
      <c r="S1407" s="29" t="n">
        <v>1</v>
      </c>
      <c r="T1407" s="24" t="inlineStr">
        <is>
          <t>tennis-learned-v3</t>
        </is>
      </c>
      <c r="U1407" s="24" t="inlineStr">
        <is>
          <t>settled</t>
        </is>
      </c>
      <c r="V1407" s="24" t="inlineStr">
        <is>
          <t>loss</t>
        </is>
      </c>
      <c r="W1407" s="26" t="n">
        <v>12</v>
      </c>
      <c r="X1407" s="26" t="n">
        <v>4</v>
      </c>
      <c r="Y1407" s="25" t="n"/>
      <c r="Z1407" s="26" t="n"/>
      <c r="AA1407" s="28" t="n"/>
      <c r="AB1407" s="28" t="n"/>
      <c r="AC1407" s="30" t="n">
        <v>-1</v>
      </c>
      <c r="AD1407" s="24" t="inlineStr">
        <is>
          <t>2026-10-13T16:09:27.163851Z</t>
        </is>
      </c>
      <c r="AE1407" s="31" t="inlineStr">
        <is>
          <t>Tennis Markov total games line 22.5: over p=0.570. Executable ask 0.9900 (tsc-wta-anasob-aneolm-2026-10-12-tg-22pt5).</t>
        </is>
      </c>
      <c r="AF1407" s="31" t="inlineStr">
        <is>
          <t>Surface-blended Elo model; singles only, WTA+ATP market coverage, not yet locked-holdout qualified -- promoted by explicit operator directive, not genuine walk-forward validation.</t>
        </is>
      </c>
      <c r="AG1407" s="24" t="inlineStr">
        <is>
          <t>review_required</t>
        </is>
      </c>
      <c r="AH1407" s="24" t="n"/>
      <c r="AI1407" s="31" t="n"/>
      <c r="AJ1407" s="31" t="n"/>
      <c r="AK1407" s="24" t="inlineStr">
        <is>
          <t>paper_call</t>
        </is>
      </c>
      <c r="AL1407" s="26" t="n">
        <v>4</v>
      </c>
      <c r="AM1407" s="24" t="inlineStr">
        <is>
          <t>RESEARCH_OBSERVATION</t>
        </is>
      </c>
      <c r="AN1407" s="24" t="inlineStr">
        <is>
          <t>CALL</t>
        </is>
      </c>
      <c r="AO1407" s="24" t="inlineStr">
        <is>
          <t>PAPER_CALL_LOW_EDGE</t>
        </is>
      </c>
      <c r="AP1407" s="24" t="inlineStr">
        <is>
          <t>Ane Mintegi Del Olmo</t>
        </is>
      </c>
      <c r="AQ1407" s="24" t="inlineStr">
        <is>
          <t>Ane Mintegi Del Olmo</t>
        </is>
      </c>
      <c r="AR1407" s="24" t="inlineStr">
        <is>
          <t>Ane Mintegi Del Olmo</t>
        </is>
      </c>
      <c r="AS1407" s="24" t="inlineStr">
        <is>
          <t>Anastasiia Sobolieva</t>
        </is>
      </c>
      <c r="AT1407" s="24" t="inlineStr">
        <is>
          <t>Anastasiia Sobolieva</t>
        </is>
      </c>
      <c r="AU1407" s="24" t="inlineStr">
        <is>
          <t>Anastasiia Sobolieva</t>
        </is>
      </c>
      <c r="AV1407" s="24" t="n"/>
      <c r="AW1407" s="24" t="n"/>
      <c r="AX1407" s="24" t="inlineStr">
        <is>
          <t>statistical_model</t>
        </is>
      </c>
      <c r="AY1407" s="24" t="n"/>
      <c r="AZ1407" s="24" t="inlineStr">
        <is>
          <t>shadow_qualified</t>
        </is>
      </c>
      <c r="BA1407" s="24" t="inlineStr">
        <is>
          <t>7443acc419841200d57e1edf36b77f1940cdd0c48dce3d43fcd05498a109440b</t>
        </is>
      </c>
      <c r="BB1407" s="24" t="inlineStr">
        <is>
          <t>learned_v3</t>
        </is>
      </c>
      <c r="BC1407" s="24" t="inlineStr">
        <is>
          <t>tennis-learned-v3</t>
        </is>
      </c>
      <c r="BD1407" s="24" t="inlineStr">
        <is>
          <t>7443acc419841200d57e1edf36b77f1940cdd0c48dce3d43fcd05498a109440b</t>
        </is>
      </c>
      <c r="BE1407" s="24" t="inlineStr">
        <is>
          <t>tennis-learned-v3</t>
        </is>
      </c>
      <c r="BF1407" s="24" t="inlineStr">
        <is>
          <t>1</t>
        </is>
      </c>
      <c r="BG1407" s="24" t="inlineStr">
        <is>
          <t>7443acc419841200d57e1edf36b77f1940cdd0c48dce3d43fcd05498a109440b</t>
        </is>
      </c>
      <c r="BH1407" s="24" t="inlineStr">
        <is>
          <t>2026-10-13T05:04:16.457111Z</t>
        </is>
      </c>
      <c r="BI1407" s="24" t="inlineStr">
        <is>
          <t>["same_event","same_team_same_day","same_league_same_day"]</t>
        </is>
      </c>
      <c r="BJ1407" s="25" t="n">
        <v>22.5</v>
      </c>
      <c r="BK1407" s="26" t="n">
        <v>-9900</v>
      </c>
      <c r="BL1407" s="27" t="n">
        <v>1.010101</v>
      </c>
      <c r="BM1407" s="28" t="n">
        <v>0.99</v>
      </c>
      <c r="BN1407" s="28" t="n"/>
      <c r="BO1407" s="28" t="n"/>
      <c r="BP1407" s="25" t="n"/>
      <c r="BQ1407" s="27" t="n"/>
      <c r="BR1407" s="28" t="n"/>
      <c r="BS1407" s="28" t="n"/>
      <c r="BT1407" s="28" t="n"/>
      <c r="BU1407" s="25" t="n"/>
      <c r="BV1407" s="29" t="n"/>
      <c r="BW1407" s="24" t="n"/>
      <c r="BX1407" s="30" t="n"/>
      <c r="BY1407" s="27" t="n"/>
      <c r="BZ1407" s="24" t="n"/>
      <c r="CA1407" s="31" t="n"/>
      <c r="CB1407" s="24" t="n"/>
      <c r="CC1407" s="24" t="n"/>
      <c r="CD1407" s="24" t="n"/>
      <c r="CE1407" s="24" t="n"/>
      <c r="CF1407" s="24" t="n"/>
      <c r="CG1407" s="24" t="n"/>
      <c r="CH1407" s="24" t="n"/>
      <c r="CI1407" s="24" t="n"/>
      <c r="CJ1407" s="24" t="n"/>
      <c r="CK1407" s="24" t="n"/>
      <c r="CL1407" s="24" t="n"/>
      <c r="CM1407" s="24" t="n"/>
      <c r="CN1407" s="24" t="n"/>
      <c r="CO1407" s="24" t="n"/>
      <c r="CP1407" s="24" t="n"/>
      <c r="CQ1407" s="24" t="n"/>
      <c r="CR1407" s="24" t="n"/>
      <c r="CS1407" s="24" t="inlineStr">
        <is>
          <t>False</t>
        </is>
      </c>
      <c r="CT1407" s="24" t="n"/>
      <c r="CU1407" s="24" t="n"/>
      <c r="CV1407" s="24" t="n"/>
      <c r="CW1407" s="24" t="n"/>
      <c r="CX1407" s="24" t="n"/>
      <c r="CY1407" s="24" t="n"/>
      <c r="CZ1407" s="24" t="n"/>
      <c r="DA1407" s="24" t="n"/>
      <c r="DB1407" s="24" t="n"/>
      <c r="DC1407" s="24" t="n"/>
      <c r="DD1407" s="24" t="inlineStr">
        <is>
          <t>0791c9d428fe68147359573b3805436e18a624a2e10039e0d24eec8931893a43</t>
        </is>
      </c>
      <c r="DE1407" s="24" t="inlineStr">
        <is>
          <t>E:\model-prediction\data\odds\tennis\2026-10-13\polymarket_snapshots.jsonl</t>
        </is>
      </c>
      <c r="DF1407" s="24" t="inlineStr">
        <is>
          <t>1367596:2026-10-13T05:04:16.457111Z</t>
        </is>
      </c>
      <c r="DG1407" s="24" t="n"/>
      <c r="DH1407" s="24" t="n"/>
      <c r="DI1407" s="24" t="n"/>
      <c r="DJ1407" s="24" t="n"/>
      <c r="DK1407" s="24" t="n"/>
      <c r="DL1407" s="24" t="n"/>
      <c r="DM1407" s="24" t="n"/>
      <c r="DN1407" s="24" t="n"/>
      <c r="DO1407" s="24" t="n"/>
      <c r="DP1407" s="24" t="n"/>
      <c r="DQ1407" s="24" t="n"/>
    </row>
    <row r="1408" ht="36" customHeight="1">
      <c r="A1408" s="24" t="inlineStr">
        <is>
          <t>a64d421bf5eb4393</t>
        </is>
      </c>
      <c r="B1408" s="24" t="inlineStr">
        <is>
          <t>2026-10-13T05:49:22.014322Z</t>
        </is>
      </c>
      <c r="C1408" s="24" t="inlineStr">
        <is>
          <t>2026-10-13T09:00Z</t>
        </is>
      </c>
      <c r="D1408" s="24" t="inlineStr">
        <is>
          <t>1025-2026:185451</t>
        </is>
      </c>
      <c r="E1408" s="24" t="inlineStr">
        <is>
          <t>TENNIS</t>
        </is>
      </c>
      <c r="F1408" s="24" t="inlineStr">
        <is>
          <t>Viktoria Hruncakova</t>
        </is>
      </c>
      <c r="G1408" s="24" t="inlineStr">
        <is>
          <t>Noemi Basiletti</t>
        </is>
      </c>
      <c r="H1408" s="24" t="inlineStr">
        <is>
          <t>moneyline</t>
        </is>
      </c>
      <c r="I1408" s="24" t="inlineStr">
        <is>
          <t>home</t>
        </is>
      </c>
      <c r="J1408" s="25" t="n"/>
      <c r="K1408" s="24" t="inlineStr">
        <is>
          <t>polymarket_us</t>
        </is>
      </c>
      <c r="L1408" s="26" t="n">
        <v>-122</v>
      </c>
      <c r="M1408" s="27" t="n">
        <v>1.819672</v>
      </c>
      <c r="N1408" s="28" t="n">
        <v>0.54955</v>
      </c>
      <c r="O1408" s="28" t="n">
        <v>0.5696</v>
      </c>
      <c r="P1408" s="28" t="n">
        <v>0.05</v>
      </c>
      <c r="Q1408" s="28" t="n">
        <v>0.02005</v>
      </c>
      <c r="R1408" s="26" t="n">
        <v>30</v>
      </c>
      <c r="S1408" s="29" t="n">
        <v>1</v>
      </c>
      <c r="T1408" s="24" t="inlineStr">
        <is>
          <t>tennis-learned-v3</t>
        </is>
      </c>
      <c r="U1408" s="24" t="inlineStr">
        <is>
          <t>settled</t>
        </is>
      </c>
      <c r="V1408" s="24" t="inlineStr">
        <is>
          <t>loss</t>
        </is>
      </c>
      <c r="W1408" s="26" t="n">
        <v>1</v>
      </c>
      <c r="X1408" s="26" t="n">
        <v>0</v>
      </c>
      <c r="Y1408" s="25" t="n"/>
      <c r="Z1408" s="26" t="n">
        <v>-122</v>
      </c>
      <c r="AA1408" s="28" t="n">
        <v>0.55</v>
      </c>
      <c r="AB1408" s="28" t="n">
        <v>0.00045</v>
      </c>
      <c r="AC1408" s="30" t="n">
        <v>-1</v>
      </c>
      <c r="AD1408" s="24" t="inlineStr">
        <is>
          <t>2026-10-13T16:09:32.458605Z</t>
        </is>
      </c>
      <c r="AE1408" s="31" t="inlineStr">
        <is>
          <t>Tennis v3 Learned Fundamental on Hard (Bo3): Viktoria Hruncakova p=0.430 vs Noemi Basiletti. Executable ask 0.5500 (aec-wta-noebas-vikhru-2026-10-12).</t>
        </is>
      </c>
      <c r="AF1408" s="31" t="inlineStr">
        <is>
          <t>Surface-blended Elo model; singles only, WTA+ATP market coverage, not yet locked-holdout qualified -- promoted by explicit operator directive, not genuine walk-forward validation.</t>
        </is>
      </c>
      <c r="AG1408" s="24" t="inlineStr">
        <is>
          <t>review_required</t>
        </is>
      </c>
      <c r="AH1408" s="24" t="n"/>
      <c r="AI1408" s="31" t="n"/>
      <c r="AJ1408" s="31" t="n"/>
      <c r="AK1408" s="24" t="inlineStr">
        <is>
          <t>paper_call</t>
        </is>
      </c>
      <c r="AL1408" s="26" t="n">
        <v>4</v>
      </c>
      <c r="AM1408" s="24" t="inlineStr">
        <is>
          <t>RESEARCH_OBSERVATION</t>
        </is>
      </c>
      <c r="AN1408" s="24" t="inlineStr">
        <is>
          <t>CALL</t>
        </is>
      </c>
      <c r="AO1408" s="24" t="inlineStr">
        <is>
          <t>PAPER_CALL_LOW_EDGE</t>
        </is>
      </c>
      <c r="AP1408" s="24" t="inlineStr">
        <is>
          <t>Viktoria Hruncakova</t>
        </is>
      </c>
      <c r="AQ1408" s="24" t="inlineStr">
        <is>
          <t>Viktoria Hruncakova</t>
        </is>
      </c>
      <c r="AR1408" s="24" t="inlineStr">
        <is>
          <t>Viktoria Hruncakova</t>
        </is>
      </c>
      <c r="AS1408" s="24" t="inlineStr">
        <is>
          <t>Noemi Basiletti</t>
        </is>
      </c>
      <c r="AT1408" s="24" t="inlineStr">
        <is>
          <t>Noemi Basiletti</t>
        </is>
      </c>
      <c r="AU1408" s="24" t="inlineStr">
        <is>
          <t>Noemi Basiletti</t>
        </is>
      </c>
      <c r="AV1408" s="24" t="n"/>
      <c r="AW1408" s="24" t="n"/>
      <c r="AX1408" s="24" t="inlineStr">
        <is>
          <t>statistical_model</t>
        </is>
      </c>
      <c r="AY1408" s="24" t="n"/>
      <c r="AZ1408" s="24" t="inlineStr">
        <is>
          <t>shadow_qualified</t>
        </is>
      </c>
      <c r="BA1408" s="24" t="inlineStr">
        <is>
          <t>7443acc419841200d57e1edf36b77f1940cdd0c48dce3d43fcd05498a109440b</t>
        </is>
      </c>
      <c r="BB1408" s="24" t="inlineStr">
        <is>
          <t>learned_v3</t>
        </is>
      </c>
      <c r="BC1408" s="24" t="inlineStr">
        <is>
          <t>tennis-learned-v3</t>
        </is>
      </c>
      <c r="BD1408" s="24" t="inlineStr">
        <is>
          <t>7443acc419841200d57e1edf36b77f1940cdd0c48dce3d43fcd05498a109440b</t>
        </is>
      </c>
      <c r="BE1408" s="24" t="inlineStr">
        <is>
          <t>tennis-learned-v3</t>
        </is>
      </c>
      <c r="BF1408" s="24" t="inlineStr">
        <is>
          <t>1</t>
        </is>
      </c>
      <c r="BG1408" s="24" t="inlineStr">
        <is>
          <t>7443acc419841200d57e1edf36b77f1940cdd0c48dce3d43fcd05498a109440b</t>
        </is>
      </c>
      <c r="BH1408" s="24" t="inlineStr">
        <is>
          <t>2026-10-13T05:02:05.470323Z</t>
        </is>
      </c>
      <c r="BI1408" s="24" t="inlineStr">
        <is>
          <t>["same_event","same_team_same_day","same_league_same_day"]</t>
        </is>
      </c>
      <c r="BJ1408" s="25" t="n"/>
      <c r="BK1408" s="26" t="n">
        <v>-122</v>
      </c>
      <c r="BL1408" s="27" t="n">
        <v>1.819672</v>
      </c>
      <c r="BM1408" s="28" t="n">
        <v>0.54955</v>
      </c>
      <c r="BN1408" s="28" t="n"/>
      <c r="BO1408" s="28" t="n"/>
      <c r="BP1408" s="25" t="n"/>
      <c r="BQ1408" s="27" t="n">
        <v>1.819672</v>
      </c>
      <c r="BR1408" s="28" t="n">
        <v>0.55</v>
      </c>
      <c r="BS1408" s="28" t="n"/>
      <c r="BT1408" s="28" t="n"/>
      <c r="BU1408" s="25" t="n"/>
      <c r="BV1408" s="29" t="n"/>
      <c r="BW1408" s="24" t="n"/>
      <c r="BX1408" s="30" t="n"/>
      <c r="BY1408" s="27" t="n"/>
      <c r="BZ1408" s="24" t="n"/>
      <c r="CA1408" s="31" t="n"/>
      <c r="CB1408" s="24" t="n"/>
      <c r="CC1408" s="24" t="n"/>
      <c r="CD1408" s="24" t="n"/>
      <c r="CE1408" s="24" t="n"/>
      <c r="CF1408" s="24" t="n"/>
      <c r="CG1408" s="24" t="n"/>
      <c r="CH1408" s="24" t="n"/>
      <c r="CI1408" s="24" t="n"/>
      <c r="CJ1408" s="24" t="n"/>
      <c r="CK1408" s="24" t="n"/>
      <c r="CL1408" s="24" t="n"/>
      <c r="CM1408" s="24" t="n"/>
      <c r="CN1408" s="24" t="n"/>
      <c r="CO1408" s="24" t="n"/>
      <c r="CP1408" s="24" t="n"/>
      <c r="CQ1408" s="24" t="n"/>
      <c r="CR1408" s="24" t="n"/>
      <c r="CS1408" s="24" t="inlineStr">
        <is>
          <t>True</t>
        </is>
      </c>
      <c r="CT1408" s="24" t="n"/>
      <c r="CU1408" s="24" t="n"/>
      <c r="CV1408" s="24" t="n"/>
      <c r="CW1408" s="24" t="n"/>
      <c r="CX1408" s="24" t="n"/>
      <c r="CY1408" s="24" t="n"/>
      <c r="CZ1408" s="24" t="n"/>
      <c r="DA1408" s="24" t="n"/>
      <c r="DB1408" s="24" t="n"/>
      <c r="DC1408" s="24" t="n"/>
      <c r="DD1408" s="24" t="inlineStr">
        <is>
          <t>b1ea227ce1f05c2853248692b444222d20f5328af188c8d59d5a49e717ac46ac</t>
        </is>
      </c>
      <c r="DE1408" s="24" t="inlineStr">
        <is>
          <t>E:\model-prediction\data\odds\tennis\2026-10-13\polymarket_snapshots.jsonl</t>
        </is>
      </c>
      <c r="DF1408" s="24" t="inlineStr">
        <is>
          <t>1342058:2026-10-13T05:02:05.470323Z</t>
        </is>
      </c>
      <c r="DG1408" s="24" t="n"/>
      <c r="DH1408" s="24" t="n"/>
      <c r="DI1408" s="24" t="n"/>
      <c r="DJ1408" s="24" t="n"/>
      <c r="DK1408" s="24" t="n"/>
      <c r="DL1408" s="24" t="n"/>
      <c r="DM1408" s="24" t="n"/>
      <c r="DN1408" s="24" t="n"/>
      <c r="DO1408" s="24" t="n"/>
      <c r="DP1408" s="24" t="n"/>
      <c r="DQ1408" s="24" t="inlineStr">
        <is>
          <t>{"artifact_hash": "7443acc419841200d57e1edf36b77f1940cdd0c48dce3d43fcd05498a109440b", "away_team": "Viktoria Hruncakova", "event_id": "1025-2026:185451", "event_start_utc": "2026-10-13T09:00Z", "features": {"elo_p1_surface": 1446.4, "elo_p2_surface": 1518.0, "expected_games_p1": 11.22, "expected_games_p2": 13.07, "expected_total_games": 24.29, "history_matches": 16744, "min_player_matches": 24, "surface": "Hard"}, "historical_source_observation_times_verified": false, "home_team": "Noemi Basiletti", "inference_inputs": {"best_of": 3, "code_sha256": {"features/elo_ratings.py": "d6513e79d65448c06cc0f9b9eed0eaa091567835128e1f6647a310da8d78a872", "models/tennis.py": "7443acc419841200d57e1edf36b77f1940cdd0c48dce3d43fcd05498a109440b"}, "counts": [45, 24], "market_probability": null, "model_version": "tennis-learned-v3", "overall_ratings": [1439.8932034116146, 1536.5870362072474], "p_serve_a": 0.5697246958200051, "p_serve_b": 0.6102753041799949, "players": ["Viktoria Hruncakova", "Noemi Basiletti"], "rest_days": [5.0, 19.0], "sport": "TENNIS", "surface": "Hard", "surface_counts": [37, 16], "surface_ratings": [1446.432299248147, 1517.971296846087], "tour": "WTA"}, "market_type": "moneyline", "model_version": "tennis-learned-v3", "observed_at_utc": "2026-10-13T05:49:19.315977+00:00", "probabilities": {"away": 0.4304, "home": 0.5696}, "replay_scope": "Exact full-precision serving state and rounding; upstream historical observation times are not certified.", "schema": "coded-moneyline-replay-v1", "snapshot_hash": "6dbd3b6bf0da8b64f1663f73d5c8730f1c88b0151f47a8da7a0810e9f3a394c9", "sport": "TENNIS"}</t>
        </is>
      </c>
    </row>
    <row r="1409" ht="36" customHeight="1">
      <c r="A1409" s="24" t="inlineStr">
        <is>
          <t>a1378e574d494a68</t>
        </is>
      </c>
      <c r="B1409" s="24" t="inlineStr">
        <is>
          <t>2026-10-13T05:49:22.014322Z</t>
        </is>
      </c>
      <c r="C1409" s="24" t="inlineStr">
        <is>
          <t>2026-10-13T09:00Z</t>
        </is>
      </c>
      <c r="D1409" s="24" t="inlineStr">
        <is>
          <t>1025-2026:185451</t>
        </is>
      </c>
      <c r="E1409" s="24" t="inlineStr">
        <is>
          <t>TENNIS</t>
        </is>
      </c>
      <c r="F1409" s="24" t="inlineStr">
        <is>
          <t>Viktoria Hruncakova</t>
        </is>
      </c>
      <c r="G1409" s="24" t="inlineStr">
        <is>
          <t>Noemi Basiletti</t>
        </is>
      </c>
      <c r="H1409" s="24" t="inlineStr">
        <is>
          <t>total</t>
        </is>
      </c>
      <c r="I1409" s="24" t="inlineStr">
        <is>
          <t>over</t>
        </is>
      </c>
      <c r="J1409" s="25" t="n">
        <v>22.5</v>
      </c>
      <c r="K1409" s="24" t="inlineStr">
        <is>
          <t>polymarket_us</t>
        </is>
      </c>
      <c r="L1409" s="26" t="n">
        <v>127</v>
      </c>
      <c r="M1409" s="27" t="n">
        <v>2.27</v>
      </c>
      <c r="N1409" s="28" t="n">
        <v>0.440529</v>
      </c>
      <c r="O1409" s="28" t="n">
        <v>0.5399</v>
      </c>
      <c r="P1409" s="28" t="n">
        <v>0.05</v>
      </c>
      <c r="Q1409" s="28" t="n">
        <v>0.099371</v>
      </c>
      <c r="R1409" s="26" t="n">
        <v>70</v>
      </c>
      <c r="S1409" s="29" t="n">
        <v>1.25</v>
      </c>
      <c r="T1409" s="24" t="inlineStr">
        <is>
          <t>tennis-learned-v3</t>
        </is>
      </c>
      <c r="U1409" s="24" t="inlineStr">
        <is>
          <t>settled</t>
        </is>
      </c>
      <c r="V1409" s="24" t="inlineStr">
        <is>
          <t>loss</t>
        </is>
      </c>
      <c r="W1409" s="26" t="n">
        <v>12</v>
      </c>
      <c r="X1409" s="26" t="n">
        <v>4</v>
      </c>
      <c r="Y1409" s="25" t="n"/>
      <c r="Z1409" s="26" t="n"/>
      <c r="AA1409" s="28" t="n"/>
      <c r="AB1409" s="28" t="n"/>
      <c r="AC1409" s="30" t="n">
        <v>-1.25</v>
      </c>
      <c r="AD1409" s="24" t="inlineStr">
        <is>
          <t>2026-10-13T16:09:39.257818Z</t>
        </is>
      </c>
      <c r="AE1409" s="31" t="inlineStr">
        <is>
          <t>Tennis Markov total games line 22.5: over p=0.540. Executable ask 0.4400 (tsc-wta-noebas-vikhru-2026-10-12-tg-22pt5).</t>
        </is>
      </c>
      <c r="AF1409" s="31" t="inlineStr">
        <is>
          <t>Surface-blended Elo model; singles only, WTA+ATP market coverage, not yet locked-holdout qualified -- promoted by explicit operator directive, not genuine walk-forward validation.</t>
        </is>
      </c>
      <c r="AG1409" s="24" t="inlineStr">
        <is>
          <t>review_required</t>
        </is>
      </c>
      <c r="AH1409" s="24" t="n"/>
      <c r="AI1409" s="31" t="n"/>
      <c r="AJ1409" s="31" t="n"/>
      <c r="AK1409" s="24" t="inlineStr">
        <is>
          <t>model_qualified</t>
        </is>
      </c>
      <c r="AL1409" s="26" t="n">
        <v>4</v>
      </c>
      <c r="AM1409" s="24" t="inlineStr">
        <is>
          <t>QUALIFIED_SHADOW_CALL</t>
        </is>
      </c>
      <c r="AN1409" s="24" t="inlineStr">
        <is>
          <t>CALL</t>
        </is>
      </c>
      <c r="AO1409" s="24" t="inlineStr">
        <is>
          <t>QUALIFIED</t>
        </is>
      </c>
      <c r="AP1409" s="24" t="inlineStr">
        <is>
          <t>Viktoria Hruncakova</t>
        </is>
      </c>
      <c r="AQ1409" s="24" t="inlineStr">
        <is>
          <t>Viktoria Hruncakova</t>
        </is>
      </c>
      <c r="AR1409" s="24" t="inlineStr">
        <is>
          <t>Viktoria Hruncakova</t>
        </is>
      </c>
      <c r="AS1409" s="24" t="inlineStr">
        <is>
          <t>Noemi Basiletti</t>
        </is>
      </c>
      <c r="AT1409" s="24" t="inlineStr">
        <is>
          <t>Noemi Basiletti</t>
        </is>
      </c>
      <c r="AU1409" s="24" t="inlineStr">
        <is>
          <t>Noemi Basiletti</t>
        </is>
      </c>
      <c r="AV1409" s="24" t="n"/>
      <c r="AW1409" s="24" t="n"/>
      <c r="AX1409" s="24" t="inlineStr">
        <is>
          <t>statistical_model</t>
        </is>
      </c>
      <c r="AY1409" s="24" t="n"/>
      <c r="AZ1409" s="24" t="inlineStr">
        <is>
          <t>shadow_qualified</t>
        </is>
      </c>
      <c r="BA1409" s="24" t="inlineStr">
        <is>
          <t>7443acc419841200d57e1edf36b77f1940cdd0c48dce3d43fcd05498a109440b</t>
        </is>
      </c>
      <c r="BB1409" s="24" t="inlineStr">
        <is>
          <t>learned_v3</t>
        </is>
      </c>
      <c r="BC1409" s="24" t="inlineStr">
        <is>
          <t>tennis-learned-v3</t>
        </is>
      </c>
      <c r="BD1409" s="24" t="inlineStr">
        <is>
          <t>7443acc419841200d57e1edf36b77f1940cdd0c48dce3d43fcd05498a109440b</t>
        </is>
      </c>
      <c r="BE1409" s="24" t="inlineStr">
        <is>
          <t>tennis-learned-v3</t>
        </is>
      </c>
      <c r="BF1409" s="24" t="inlineStr">
        <is>
          <t>1</t>
        </is>
      </c>
      <c r="BG1409" s="24" t="inlineStr">
        <is>
          <t>7443acc419841200d57e1edf36b77f1940cdd0c48dce3d43fcd05498a109440b</t>
        </is>
      </c>
      <c r="BH1409" s="24" t="inlineStr">
        <is>
          <t>2026-10-13T05:02:05.482396Z</t>
        </is>
      </c>
      <c r="BI1409" s="24" t="inlineStr">
        <is>
          <t>["same_event","same_team_same_day","same_league_same_day"]</t>
        </is>
      </c>
      <c r="BJ1409" s="25" t="n">
        <v>22.5</v>
      </c>
      <c r="BK1409" s="26" t="n">
        <v>127</v>
      </c>
      <c r="BL1409" s="27" t="n">
        <v>2.27</v>
      </c>
      <c r="BM1409" s="28" t="n">
        <v>0.440529</v>
      </c>
      <c r="BN1409" s="28" t="n"/>
      <c r="BO1409" s="28" t="n"/>
      <c r="BP1409" s="25" t="n"/>
      <c r="BQ1409" s="27" t="n"/>
      <c r="BR1409" s="28" t="n"/>
      <c r="BS1409" s="28" t="n"/>
      <c r="BT1409" s="28" t="n"/>
      <c r="BU1409" s="25" t="n"/>
      <c r="BV1409" s="29" t="n"/>
      <c r="BW1409" s="24" t="n"/>
      <c r="BX1409" s="30" t="n"/>
      <c r="BY1409" s="27" t="n"/>
      <c r="BZ1409" s="24" t="n"/>
      <c r="CA1409" s="31" t="n"/>
      <c r="CB1409" s="24" t="n"/>
      <c r="CC1409" s="24" t="n"/>
      <c r="CD1409" s="24" t="n"/>
      <c r="CE1409" s="24" t="n"/>
      <c r="CF1409" s="24" t="n"/>
      <c r="CG1409" s="24" t="n"/>
      <c r="CH1409" s="24" t="n"/>
      <c r="CI1409" s="24" t="n"/>
      <c r="CJ1409" s="24" t="n"/>
      <c r="CK1409" s="24" t="n"/>
      <c r="CL1409" s="24" t="n"/>
      <c r="CM1409" s="24" t="n"/>
      <c r="CN1409" s="24" t="n"/>
      <c r="CO1409" s="24" t="n"/>
      <c r="CP1409" s="24" t="n"/>
      <c r="CQ1409" s="24" t="n"/>
      <c r="CR1409" s="24" t="n"/>
      <c r="CS1409" s="24" t="inlineStr">
        <is>
          <t>True</t>
        </is>
      </c>
      <c r="CT1409" s="24" t="n"/>
      <c r="CU1409" s="24" t="n"/>
      <c r="CV1409" s="24" t="n"/>
      <c r="CW1409" s="24" t="n"/>
      <c r="CX1409" s="24" t="n"/>
      <c r="CY1409" s="24" t="n"/>
      <c r="CZ1409" s="24" t="n"/>
      <c r="DA1409" s="24" t="n"/>
      <c r="DB1409" s="24" t="n"/>
      <c r="DC1409" s="24" t="n"/>
      <c r="DD1409" s="24" t="inlineStr">
        <is>
          <t>2b61bc9c65e4d22a5782ffd236c5ff0d94433689c53777613d6614c5c8cddf2b</t>
        </is>
      </c>
      <c r="DE1409" s="24" t="inlineStr">
        <is>
          <t>E:\model-prediction\data\odds\tennis\2026-10-13\polymarket_snapshots.jsonl</t>
        </is>
      </c>
      <c r="DF1409" s="24" t="inlineStr">
        <is>
          <t>1353681:2026-10-13T05:02:05.482396Z</t>
        </is>
      </c>
      <c r="DG1409" s="24" t="n"/>
      <c r="DH1409" s="24" t="n"/>
      <c r="DI1409" s="24" t="n"/>
      <c r="DJ1409" s="24" t="n"/>
      <c r="DK1409" s="24" t="n"/>
      <c r="DL1409" s="24" t="n"/>
      <c r="DM1409" s="24" t="n"/>
      <c r="DN1409" s="24" t="n"/>
      <c r="DO1409" s="24" t="n"/>
      <c r="DP1409" s="24" t="n"/>
      <c r="DQ1409" s="24" t="n"/>
    </row>
    <row r="1410" ht="36" customHeight="1">
      <c r="A1410" s="24" t="inlineStr">
        <is>
          <t>c61513d9fce0424d</t>
        </is>
      </c>
      <c r="B1410" s="24" t="inlineStr">
        <is>
          <t>2026-10-13T05:49:22.014322Z</t>
        </is>
      </c>
      <c r="C1410" s="24" t="inlineStr">
        <is>
          <t>2026-10-13T09:00Z</t>
        </is>
      </c>
      <c r="D1410" s="24" t="inlineStr">
        <is>
          <t>1025-2026:185451</t>
        </is>
      </c>
      <c r="E1410" s="24" t="inlineStr">
        <is>
          <t>TENNIS</t>
        </is>
      </c>
      <c r="F1410" s="24" t="inlineStr">
        <is>
          <t>Viktoria Hruncakova</t>
        </is>
      </c>
      <c r="G1410" s="24" t="inlineStr">
        <is>
          <t>Noemi Basiletti</t>
        </is>
      </c>
      <c r="H1410" s="24" t="inlineStr">
        <is>
          <t>spread</t>
        </is>
      </c>
      <c r="I1410" s="24" t="inlineStr">
        <is>
          <t>away</t>
        </is>
      </c>
      <c r="J1410" s="25" t="n">
        <v>-7.5</v>
      </c>
      <c r="K1410" s="24" t="inlineStr">
        <is>
          <t>polymarket_us</t>
        </is>
      </c>
      <c r="L1410" s="26" t="n">
        <v>-133</v>
      </c>
      <c r="M1410" s="27" t="n">
        <v>1.75188</v>
      </c>
      <c r="N1410" s="28" t="n">
        <v>0.570815</v>
      </c>
      <c r="O1410" s="28" t="n">
        <v>0.945</v>
      </c>
      <c r="P1410" s="28" t="n">
        <v>0.05</v>
      </c>
      <c r="Q1410" s="28" t="n">
        <v>0.374185</v>
      </c>
      <c r="R1410" s="26" t="n">
        <v>100</v>
      </c>
      <c r="S1410" s="29" t="n">
        <v>2</v>
      </c>
      <c r="T1410" s="24" t="inlineStr">
        <is>
          <t>tennis-learned-v3</t>
        </is>
      </c>
      <c r="U1410" s="24" t="inlineStr">
        <is>
          <t>settled</t>
        </is>
      </c>
      <c r="V1410" s="24" t="inlineStr">
        <is>
          <t>win</t>
        </is>
      </c>
      <c r="W1410" s="26" t="n">
        <v>12</v>
      </c>
      <c r="X1410" s="26" t="n">
        <v>4</v>
      </c>
      <c r="Y1410" s="25" t="n"/>
      <c r="Z1410" s="26" t="n"/>
      <c r="AA1410" s="28" t="n"/>
      <c r="AB1410" s="28" t="n"/>
      <c r="AC1410" s="30" t="n">
        <v>1.5038</v>
      </c>
      <c r="AD1410" s="24" t="inlineStr">
        <is>
          <t>2026-10-13T16:09:44.535495Z</t>
        </is>
      </c>
      <c r="AE1410" s="31" t="inlineStr">
        <is>
          <t>Tennis Markov game spread -7.5 games: away cover p=0.945. Executable ask 0.5700 (asc-wta-noebas-vikhru-2026-10-12-gs-neg-7pt5).</t>
        </is>
      </c>
      <c r="AF1410" s="31" t="inlineStr">
        <is>
          <t>Surface-blended Elo model; singles only, WTA+ATP market coverage, not yet locked-holdout qualified -- promoted by explicit operator directive, not genuine walk-forward validation.</t>
        </is>
      </c>
      <c r="AG1410" s="24" t="inlineStr">
        <is>
          <t>not_applicable</t>
        </is>
      </c>
      <c r="AH1410" s="24" t="n"/>
      <c r="AI1410" s="31" t="n"/>
      <c r="AJ1410" s="31" t="n"/>
      <c r="AK1410" s="24" t="inlineStr">
        <is>
          <t>model_qualified</t>
        </is>
      </c>
      <c r="AL1410" s="26" t="n">
        <v>4</v>
      </c>
      <c r="AM1410" s="24" t="inlineStr">
        <is>
          <t>QUALIFIED_SHADOW_CALL</t>
        </is>
      </c>
      <c r="AN1410" s="24" t="inlineStr">
        <is>
          <t>CALL</t>
        </is>
      </c>
      <c r="AO1410" s="24" t="inlineStr">
        <is>
          <t>QUALIFIED</t>
        </is>
      </c>
      <c r="AP1410" s="24" t="inlineStr">
        <is>
          <t>Viktoria Hruncakova</t>
        </is>
      </c>
      <c r="AQ1410" s="24" t="inlineStr">
        <is>
          <t>Viktoria Hruncakova</t>
        </is>
      </c>
      <c r="AR1410" s="24" t="inlineStr">
        <is>
          <t>Viktoria Hruncakova</t>
        </is>
      </c>
      <c r="AS1410" s="24" t="inlineStr">
        <is>
          <t>Noemi Basiletti</t>
        </is>
      </c>
      <c r="AT1410" s="24" t="inlineStr">
        <is>
          <t>Noemi Basiletti</t>
        </is>
      </c>
      <c r="AU1410" s="24" t="inlineStr">
        <is>
          <t>Noemi Basiletti</t>
        </is>
      </c>
      <c r="AV1410" s="24" t="n"/>
      <c r="AW1410" s="24" t="n"/>
      <c r="AX1410" s="24" t="inlineStr">
        <is>
          <t>statistical_model</t>
        </is>
      </c>
      <c r="AY1410" s="24" t="n"/>
      <c r="AZ1410" s="24" t="inlineStr">
        <is>
          <t>shadow_qualified</t>
        </is>
      </c>
      <c r="BA1410" s="24" t="inlineStr">
        <is>
          <t>7443acc419841200d57e1edf36b77f1940cdd0c48dce3d43fcd05498a109440b</t>
        </is>
      </c>
      <c r="BB1410" s="24" t="inlineStr">
        <is>
          <t>learned_v3</t>
        </is>
      </c>
      <c r="BC1410" s="24" t="inlineStr">
        <is>
          <t>tennis-learned-v3</t>
        </is>
      </c>
      <c r="BD1410" s="24" t="inlineStr">
        <is>
          <t>7443acc419841200d57e1edf36b77f1940cdd0c48dce3d43fcd05498a109440b</t>
        </is>
      </c>
      <c r="BE1410" s="24" t="inlineStr">
        <is>
          <t>tennis-learned-v3</t>
        </is>
      </c>
      <c r="BF1410" s="24" t="inlineStr">
        <is>
          <t>1</t>
        </is>
      </c>
      <c r="BG1410" s="24" t="inlineStr">
        <is>
          <t>7443acc419841200d57e1edf36b77f1940cdd0c48dce3d43fcd05498a109440b</t>
        </is>
      </c>
      <c r="BH1410" s="24" t="inlineStr">
        <is>
          <t>2026-10-13T05:02:05.546058Z</t>
        </is>
      </c>
      <c r="BI1410" s="24" t="inlineStr">
        <is>
          <t>["same_event","same_team_same_day","same_league_same_day"]</t>
        </is>
      </c>
      <c r="BJ1410" s="25" t="n">
        <v>-7.5</v>
      </c>
      <c r="BK1410" s="26" t="n">
        <v>-133</v>
      </c>
      <c r="BL1410" s="27" t="n">
        <v>1.75188</v>
      </c>
      <c r="BM1410" s="28" t="n">
        <v>0.570815</v>
      </c>
      <c r="BN1410" s="28" t="n"/>
      <c r="BO1410" s="28" t="n"/>
      <c r="BP1410" s="25" t="n"/>
      <c r="BQ1410" s="27" t="n"/>
      <c r="BR1410" s="28" t="n"/>
      <c r="BS1410" s="28" t="n"/>
      <c r="BT1410" s="28" t="n"/>
      <c r="BU1410" s="25" t="n"/>
      <c r="BV1410" s="29" t="n"/>
      <c r="BW1410" s="24" t="n"/>
      <c r="BX1410" s="30" t="n"/>
      <c r="BY1410" s="27" t="n"/>
      <c r="BZ1410" s="24" t="n"/>
      <c r="CA1410" s="31" t="n"/>
      <c r="CB1410" s="24" t="n"/>
      <c r="CC1410" s="24" t="n"/>
      <c r="CD1410" s="24" t="n"/>
      <c r="CE1410" s="24" t="n"/>
      <c r="CF1410" s="24" t="n"/>
      <c r="CG1410" s="24" t="n"/>
      <c r="CH1410" s="24" t="n"/>
      <c r="CI1410" s="24" t="n"/>
      <c r="CJ1410" s="24" t="n"/>
      <c r="CK1410" s="24" t="n"/>
      <c r="CL1410" s="24" t="n"/>
      <c r="CM1410" s="24" t="n"/>
      <c r="CN1410" s="24" t="n"/>
      <c r="CO1410" s="24" t="n"/>
      <c r="CP1410" s="24" t="n"/>
      <c r="CQ1410" s="24" t="n"/>
      <c r="CR1410" s="24" t="n"/>
      <c r="CS1410" s="24" t="inlineStr">
        <is>
          <t>True</t>
        </is>
      </c>
      <c r="CT1410" s="24" t="n"/>
      <c r="CU1410" s="24" t="n"/>
      <c r="CV1410" s="24" t="n"/>
      <c r="CW1410" s="24" t="n"/>
      <c r="CX1410" s="24" t="n"/>
      <c r="CY1410" s="24" t="n"/>
      <c r="CZ1410" s="24" t="n"/>
      <c r="DA1410" s="24" t="n"/>
      <c r="DB1410" s="24" t="n"/>
      <c r="DC1410" s="24" t="n"/>
      <c r="DD1410" s="24" t="inlineStr">
        <is>
          <t>eeee714849e2c3d4201e18a60d667e2d2dd88b511ffe3d01734b4ccc3317a7f3</t>
        </is>
      </c>
      <c r="DE1410" s="24" t="inlineStr">
        <is>
          <t>E:\model-prediction\data\odds\tennis\2026-10-13\polymarket_snapshots.jsonl</t>
        </is>
      </c>
      <c r="DF1410" s="24" t="inlineStr">
        <is>
          <t>1353695:2026-10-13T05:02:05.546058Z</t>
        </is>
      </c>
      <c r="DG1410" s="24" t="n"/>
      <c r="DH1410" s="24" t="n"/>
      <c r="DI1410" s="24" t="n"/>
      <c r="DJ1410" s="24" t="n"/>
      <c r="DK1410" s="24" t="n"/>
      <c r="DL1410" s="24" t="n"/>
      <c r="DM1410" s="24" t="n"/>
      <c r="DN1410" s="24" t="n"/>
      <c r="DO1410" s="24" t="n"/>
      <c r="DP1410" s="24" t="n"/>
      <c r="DQ1410" s="24" t="n"/>
    </row>
    <row r="1411" ht="36" customHeight="1">
      <c r="A1411" s="24" t="inlineStr">
        <is>
          <t>6cd7236d54ad46f3</t>
        </is>
      </c>
      <c r="B1411" s="24" t="inlineStr">
        <is>
          <t>2026-10-13T05:49:22.014322Z</t>
        </is>
      </c>
      <c r="C1411" s="24" t="inlineStr">
        <is>
          <t>2026-10-13T09:00Z</t>
        </is>
      </c>
      <c r="D1411" s="24" t="inlineStr">
        <is>
          <t>1025-2026:185441</t>
        </is>
      </c>
      <c r="E1411" s="24" t="inlineStr">
        <is>
          <t>TENNIS</t>
        </is>
      </c>
      <c r="F1411" s="24" t="inlineStr">
        <is>
          <t>Tessa Johanna Brockmann</t>
        </is>
      </c>
      <c r="G1411" s="24" t="inlineStr">
        <is>
          <t>Jil Teichmann</t>
        </is>
      </c>
      <c r="H1411" s="24" t="inlineStr">
        <is>
          <t>total</t>
        </is>
      </c>
      <c r="I1411" s="24" t="inlineStr">
        <is>
          <t>under</t>
        </is>
      </c>
      <c r="J1411" s="25" t="n">
        <v>22.5</v>
      </c>
      <c r="K1411" s="24" t="inlineStr">
        <is>
          <t>polymarket_us</t>
        </is>
      </c>
      <c r="L1411" s="26" t="n">
        <v>-245</v>
      </c>
      <c r="M1411" s="27" t="n">
        <v>1.408163</v>
      </c>
      <c r="N1411" s="28" t="n">
        <v>0.710145</v>
      </c>
      <c r="O1411" s="28" t="n">
        <v>0.7454</v>
      </c>
      <c r="P1411" s="28" t="n">
        <v>0.05</v>
      </c>
      <c r="Q1411" s="28" t="n">
        <v>0.035255</v>
      </c>
      <c r="R1411" s="26" t="n">
        <v>38</v>
      </c>
      <c r="S1411" s="29" t="n">
        <v>1</v>
      </c>
      <c r="T1411" s="24" t="inlineStr">
        <is>
          <t>tennis-learned-v3</t>
        </is>
      </c>
      <c r="U1411" s="24" t="inlineStr">
        <is>
          <t>settled</t>
        </is>
      </c>
      <c r="V1411" s="24" t="inlineStr">
        <is>
          <t>win</t>
        </is>
      </c>
      <c r="W1411" s="26" t="n">
        <v>8</v>
      </c>
      <c r="X1411" s="26" t="n">
        <v>13</v>
      </c>
      <c r="Y1411" s="25" t="n"/>
      <c r="Z1411" s="26" t="n"/>
      <c r="AA1411" s="28" t="n"/>
      <c r="AB1411" s="28" t="n"/>
      <c r="AC1411" s="30" t="n">
        <v>0.4082</v>
      </c>
      <c r="AD1411" s="24" t="inlineStr">
        <is>
          <t>2026-10-13T16:09:50.071706Z</t>
        </is>
      </c>
      <c r="AE1411" s="31" t="inlineStr">
        <is>
          <t>Tennis Markov total games line 22.5: under p=0.745. Executable ask 0.7100 (tsc-wta-jiltei-tesbro-2026-10-13-tg-22pt5).</t>
        </is>
      </c>
      <c r="AF1411" s="31" t="inlineStr">
        <is>
          <t>Surface-blended Elo model; singles only, WTA+ATP market coverage, not yet locked-holdout qualified -- promoted by explicit operator directive, not genuine walk-forward validation.</t>
        </is>
      </c>
      <c r="AG1411" s="24" t="inlineStr">
        <is>
          <t>not_applicable</t>
        </is>
      </c>
      <c r="AH1411" s="24" t="n"/>
      <c r="AI1411" s="31" t="n"/>
      <c r="AJ1411" s="31" t="n"/>
      <c r="AK1411" s="24" t="inlineStr">
        <is>
          <t>paper_call</t>
        </is>
      </c>
      <c r="AL1411" s="26" t="n">
        <v>4</v>
      </c>
      <c r="AM1411" s="24" t="inlineStr">
        <is>
          <t>RESEARCH_OBSERVATION</t>
        </is>
      </c>
      <c r="AN1411" s="24" t="inlineStr">
        <is>
          <t>CALL</t>
        </is>
      </c>
      <c r="AO1411" s="24" t="inlineStr">
        <is>
          <t>PAPER_CALL_LOW_EDGE</t>
        </is>
      </c>
      <c r="AP1411" s="24" t="inlineStr">
        <is>
          <t>Tessa Johanna Brockmann</t>
        </is>
      </c>
      <c r="AQ1411" s="24" t="inlineStr">
        <is>
          <t>Tessa Johanna Brockmann</t>
        </is>
      </c>
      <c r="AR1411" s="24" t="inlineStr">
        <is>
          <t>Tessa Johanna Brockmann</t>
        </is>
      </c>
      <c r="AS1411" s="24" t="inlineStr">
        <is>
          <t>Jil Teichmann</t>
        </is>
      </c>
      <c r="AT1411" s="24" t="inlineStr">
        <is>
          <t>Jil Teichmann</t>
        </is>
      </c>
      <c r="AU1411" s="24" t="inlineStr">
        <is>
          <t>Jil Teichmann</t>
        </is>
      </c>
      <c r="AV1411" s="24" t="n"/>
      <c r="AW1411" s="24" t="n"/>
      <c r="AX1411" s="24" t="inlineStr">
        <is>
          <t>statistical_model</t>
        </is>
      </c>
      <c r="AY1411" s="24" t="n"/>
      <c r="AZ1411" s="24" t="inlineStr">
        <is>
          <t>shadow_qualified</t>
        </is>
      </c>
      <c r="BA1411" s="24" t="inlineStr">
        <is>
          <t>7443acc419841200d57e1edf36b77f1940cdd0c48dce3d43fcd05498a109440b</t>
        </is>
      </c>
      <c r="BB1411" s="24" t="inlineStr">
        <is>
          <t>learned_v3</t>
        </is>
      </c>
      <c r="BC1411" s="24" t="inlineStr">
        <is>
          <t>tennis-learned-v3</t>
        </is>
      </c>
      <c r="BD1411" s="24" t="inlineStr">
        <is>
          <t>7443acc419841200d57e1edf36b77f1940cdd0c48dce3d43fcd05498a109440b</t>
        </is>
      </c>
      <c r="BE1411" s="24" t="inlineStr">
        <is>
          <t>tennis-learned-v3</t>
        </is>
      </c>
      <c r="BF1411" s="24" t="inlineStr">
        <is>
          <t>1</t>
        </is>
      </c>
      <c r="BG1411" s="24" t="inlineStr">
        <is>
          <t>7443acc419841200d57e1edf36b77f1940cdd0c48dce3d43fcd05498a109440b</t>
        </is>
      </c>
      <c r="BH1411" s="24" t="inlineStr">
        <is>
          <t>2026-10-13T05:02:44.732306Z</t>
        </is>
      </c>
      <c r="BI1411" s="24" t="inlineStr">
        <is>
          <t>["same_event","same_team_same_day","same_league_same_day"]</t>
        </is>
      </c>
      <c r="BJ1411" s="25" t="n">
        <v>22.5</v>
      </c>
      <c r="BK1411" s="26" t="n">
        <v>-245</v>
      </c>
      <c r="BL1411" s="27" t="n">
        <v>1.408163</v>
      </c>
      <c r="BM1411" s="28" t="n">
        <v>0.710145</v>
      </c>
      <c r="BN1411" s="28" t="n"/>
      <c r="BO1411" s="28" t="n"/>
      <c r="BP1411" s="25" t="n"/>
      <c r="BQ1411" s="27" t="n"/>
      <c r="BR1411" s="28" t="n"/>
      <c r="BS1411" s="28" t="n"/>
      <c r="BT1411" s="28" t="n"/>
      <c r="BU1411" s="25" t="n"/>
      <c r="BV1411" s="29" t="n"/>
      <c r="BW1411" s="24" t="n"/>
      <c r="BX1411" s="30" t="n"/>
      <c r="BY1411" s="27" t="n"/>
      <c r="BZ1411" s="24" t="n"/>
      <c r="CA1411" s="31" t="n"/>
      <c r="CB1411" s="24" t="n"/>
      <c r="CC1411" s="24" t="n"/>
      <c r="CD1411" s="24" t="n"/>
      <c r="CE1411" s="24" t="n"/>
      <c r="CF1411" s="24" t="n"/>
      <c r="CG1411" s="24" t="n"/>
      <c r="CH1411" s="24" t="n"/>
      <c r="CI1411" s="24" t="n"/>
      <c r="CJ1411" s="24" t="n"/>
      <c r="CK1411" s="24" t="n"/>
      <c r="CL1411" s="24" t="n"/>
      <c r="CM1411" s="24" t="n"/>
      <c r="CN1411" s="24" t="n"/>
      <c r="CO1411" s="24" t="n"/>
      <c r="CP1411" s="24" t="n"/>
      <c r="CQ1411" s="24" t="n"/>
      <c r="CR1411" s="24" t="n"/>
      <c r="CS1411" s="24" t="inlineStr">
        <is>
          <t>True</t>
        </is>
      </c>
      <c r="CT1411" s="24" t="n"/>
      <c r="CU1411" s="24" t="n"/>
      <c r="CV1411" s="24" t="n"/>
      <c r="CW1411" s="24" t="n"/>
      <c r="CX1411" s="24" t="n"/>
      <c r="CY1411" s="24" t="n"/>
      <c r="CZ1411" s="24" t="n"/>
      <c r="DA1411" s="24" t="n"/>
      <c r="DB1411" s="24" t="n"/>
      <c r="DC1411" s="24" t="n"/>
      <c r="DD1411" s="24" t="inlineStr">
        <is>
          <t>8876c7a35f71cafd60a7b4aa94c64f1b9e1f10b2c0dde4fa1eb786b1346b6245</t>
        </is>
      </c>
      <c r="DE1411" s="24" t="inlineStr">
        <is>
          <t>E:\model-prediction\data\odds\tennis\2026-10-13\polymarket_snapshots.jsonl</t>
        </is>
      </c>
      <c r="DF1411" s="24" t="inlineStr">
        <is>
          <t>1392503:2026-10-13T05:02:44.732306Z</t>
        </is>
      </c>
      <c r="DG1411" s="24" t="n"/>
      <c r="DH1411" s="24" t="n"/>
      <c r="DI1411" s="24" t="n"/>
      <c r="DJ1411" s="24" t="n"/>
      <c r="DK1411" s="24" t="n"/>
      <c r="DL1411" s="24" t="n"/>
      <c r="DM1411" s="24" t="n"/>
      <c r="DN1411" s="24" t="n"/>
      <c r="DO1411" s="24" t="n"/>
      <c r="DP1411" s="24" t="n"/>
      <c r="DQ1411" s="24" t="n"/>
    </row>
    <row r="1412" ht="36" customHeight="1">
      <c r="A1412" s="24" t="inlineStr">
        <is>
          <t>00e62102549d458b</t>
        </is>
      </c>
      <c r="B1412" s="24" t="inlineStr">
        <is>
          <t>2026-10-13T05:49:22.014322Z</t>
        </is>
      </c>
      <c r="C1412" s="24" t="inlineStr">
        <is>
          <t>2026-10-13T10:30Z</t>
        </is>
      </c>
      <c r="D1412" s="24" t="inlineStr">
        <is>
          <t>1025-2026:185444</t>
        </is>
      </c>
      <c r="E1412" s="24" t="inlineStr">
        <is>
          <t>TENNIS</t>
        </is>
      </c>
      <c r="F1412" s="24" t="inlineStr">
        <is>
          <t>Alina Charaeva</t>
        </is>
      </c>
      <c r="G1412" s="24" t="inlineStr">
        <is>
          <t>Martyna Kubka</t>
        </is>
      </c>
      <c r="H1412" s="24" t="inlineStr">
        <is>
          <t>spread</t>
        </is>
      </c>
      <c r="I1412" s="24" t="inlineStr">
        <is>
          <t>away</t>
        </is>
      </c>
      <c r="J1412" s="25" t="n">
        <v>4.5</v>
      </c>
      <c r="K1412" s="24" t="inlineStr">
        <is>
          <t>polymarket_us</t>
        </is>
      </c>
      <c r="L1412" s="26" t="n">
        <v>108</v>
      </c>
      <c r="M1412" s="27" t="n">
        <v>2.08</v>
      </c>
      <c r="N1412" s="28" t="n">
        <v>0.480769</v>
      </c>
      <c r="O1412" s="28" t="n">
        <v>0.9762</v>
      </c>
      <c r="P1412" s="28" t="n">
        <v>0.05</v>
      </c>
      <c r="Q1412" s="28" t="n">
        <v>0.495431</v>
      </c>
      <c r="R1412" s="26" t="n">
        <v>100</v>
      </c>
      <c r="S1412" s="29" t="n">
        <v>2</v>
      </c>
      <c r="T1412" s="24" t="inlineStr">
        <is>
          <t>tennis-learned-v3</t>
        </is>
      </c>
      <c r="U1412" s="24" t="inlineStr">
        <is>
          <t>settled</t>
        </is>
      </c>
      <c r="V1412" s="24" t="inlineStr">
        <is>
          <t>loss</t>
        </is>
      </c>
      <c r="W1412" s="26" t="n">
        <v>3</v>
      </c>
      <c r="X1412" s="26" t="n">
        <v>12</v>
      </c>
      <c r="Y1412" s="25" t="n"/>
      <c r="Z1412" s="26" t="n"/>
      <c r="AA1412" s="28" t="n"/>
      <c r="AB1412" s="28" t="n"/>
      <c r="AC1412" s="30" t="n">
        <v>-2</v>
      </c>
      <c r="AD1412" s="24" t="inlineStr">
        <is>
          <t>2026-10-13T16:09:55.140012Z</t>
        </is>
      </c>
      <c r="AE1412" s="31" t="inlineStr">
        <is>
          <t>Tennis Markov game spread +4.5 games: away cover p=0.976. Executable ask 0.4800 (asc-wta-markub-alicha-2026-10-12-gs-pos-4pt5).</t>
        </is>
      </c>
      <c r="AF1412" s="31" t="inlineStr">
        <is>
          <t>Surface-blended Elo model; singles only, WTA+ATP market coverage, not yet locked-holdout qualified -- promoted by explicit operator directive, not genuine walk-forward validation.</t>
        </is>
      </c>
      <c r="AG1412" s="24" t="inlineStr">
        <is>
          <t>review_required</t>
        </is>
      </c>
      <c r="AH1412" s="24" t="n"/>
      <c r="AI1412" s="31" t="n"/>
      <c r="AJ1412" s="31" t="n"/>
      <c r="AK1412" s="24" t="inlineStr">
        <is>
          <t>model_qualified</t>
        </is>
      </c>
      <c r="AL1412" s="26" t="n">
        <v>4</v>
      </c>
      <c r="AM1412" s="24" t="inlineStr">
        <is>
          <t>QUALIFIED_SHADOW_CALL</t>
        </is>
      </c>
      <c r="AN1412" s="24" t="inlineStr">
        <is>
          <t>CALL</t>
        </is>
      </c>
      <c r="AO1412" s="24" t="inlineStr">
        <is>
          <t>QUALIFIED</t>
        </is>
      </c>
      <c r="AP1412" s="24" t="inlineStr">
        <is>
          <t>Alina Charaeva</t>
        </is>
      </c>
      <c r="AQ1412" s="24" t="inlineStr">
        <is>
          <t>Alina Charaeva</t>
        </is>
      </c>
      <c r="AR1412" s="24" t="inlineStr">
        <is>
          <t>Alina Charaeva</t>
        </is>
      </c>
      <c r="AS1412" s="24" t="inlineStr">
        <is>
          <t>Martyna Kubka</t>
        </is>
      </c>
      <c r="AT1412" s="24" t="inlineStr">
        <is>
          <t>Martyna Kubka</t>
        </is>
      </c>
      <c r="AU1412" s="24" t="inlineStr">
        <is>
          <t>Martyna Kubka</t>
        </is>
      </c>
      <c r="AV1412" s="24" t="n"/>
      <c r="AW1412" s="24" t="n"/>
      <c r="AX1412" s="24" t="inlineStr">
        <is>
          <t>statistical_model</t>
        </is>
      </c>
      <c r="AY1412" s="24" t="n"/>
      <c r="AZ1412" s="24" t="inlineStr">
        <is>
          <t>shadow_qualified</t>
        </is>
      </c>
      <c r="BA1412" s="24" t="inlineStr">
        <is>
          <t>7443acc419841200d57e1edf36b77f1940cdd0c48dce3d43fcd05498a109440b</t>
        </is>
      </c>
      <c r="BB1412" s="24" t="inlineStr">
        <is>
          <t>learned_v3</t>
        </is>
      </c>
      <c r="BC1412" s="24" t="inlineStr">
        <is>
          <t>tennis-learned-v3</t>
        </is>
      </c>
      <c r="BD1412" s="24" t="inlineStr">
        <is>
          <t>7443acc419841200d57e1edf36b77f1940cdd0c48dce3d43fcd05498a109440b</t>
        </is>
      </c>
      <c r="BE1412" s="24" t="inlineStr">
        <is>
          <t>tennis-learned-v3</t>
        </is>
      </c>
      <c r="BF1412" s="24" t="inlineStr">
        <is>
          <t>1</t>
        </is>
      </c>
      <c r="BG1412" s="24" t="inlineStr">
        <is>
          <t>7443acc419841200d57e1edf36b77f1940cdd0c48dce3d43fcd05498a109440b</t>
        </is>
      </c>
      <c r="BH1412" s="24" t="inlineStr">
        <is>
          <t>2026-10-13T05:03:36.143671Z</t>
        </is>
      </c>
      <c r="BI1412" s="24" t="inlineStr">
        <is>
          <t>["same_event","same_team_same_day","same_league_same_day"]</t>
        </is>
      </c>
      <c r="BJ1412" s="25" t="n">
        <v>4.5</v>
      </c>
      <c r="BK1412" s="26" t="n">
        <v>108</v>
      </c>
      <c r="BL1412" s="27" t="n">
        <v>2.08</v>
      </c>
      <c r="BM1412" s="28" t="n">
        <v>0.480769</v>
      </c>
      <c r="BN1412" s="28" t="n"/>
      <c r="BO1412" s="28" t="n"/>
      <c r="BP1412" s="25" t="n"/>
      <c r="BQ1412" s="27" t="n"/>
      <c r="BR1412" s="28" t="n"/>
      <c r="BS1412" s="28" t="n"/>
      <c r="BT1412" s="28" t="n"/>
      <c r="BU1412" s="25" t="n"/>
      <c r="BV1412" s="29" t="n"/>
      <c r="BW1412" s="24" t="n"/>
      <c r="BX1412" s="30" t="n"/>
      <c r="BY1412" s="27" t="n"/>
      <c r="BZ1412" s="24" t="n"/>
      <c r="CA1412" s="31" t="n"/>
      <c r="CB1412" s="24" t="n"/>
      <c r="CC1412" s="24" t="n"/>
      <c r="CD1412" s="24" t="n"/>
      <c r="CE1412" s="24" t="n"/>
      <c r="CF1412" s="24" t="n"/>
      <c r="CG1412" s="24" t="n"/>
      <c r="CH1412" s="24" t="n"/>
      <c r="CI1412" s="24" t="n"/>
      <c r="CJ1412" s="24" t="n"/>
      <c r="CK1412" s="24" t="n"/>
      <c r="CL1412" s="24" t="n"/>
      <c r="CM1412" s="24" t="n"/>
      <c r="CN1412" s="24" t="n"/>
      <c r="CO1412" s="24" t="n"/>
      <c r="CP1412" s="24" t="n"/>
      <c r="CQ1412" s="24" t="n"/>
      <c r="CR1412" s="24" t="n"/>
      <c r="CS1412" s="24" t="inlineStr">
        <is>
          <t>True</t>
        </is>
      </c>
      <c r="CT1412" s="24" t="n"/>
      <c r="CU1412" s="24" t="n"/>
      <c r="CV1412" s="24" t="n"/>
      <c r="CW1412" s="24" t="n"/>
      <c r="CX1412" s="24" t="n"/>
      <c r="CY1412" s="24" t="n"/>
      <c r="CZ1412" s="24" t="n"/>
      <c r="DA1412" s="24" t="n"/>
      <c r="DB1412" s="24" t="n"/>
      <c r="DC1412" s="24" t="n"/>
      <c r="DD1412" s="24" t="inlineStr">
        <is>
          <t>26b135d297c634485e2c338f78037d94a954a88aecb9ea64950726c5994627a8</t>
        </is>
      </c>
      <c r="DE1412" s="24" t="inlineStr">
        <is>
          <t>E:\model-prediction\data\odds\tennis\2026-10-13\polymarket_snapshots.jsonl</t>
        </is>
      </c>
      <c r="DF1412" s="24" t="inlineStr">
        <is>
          <t>1353699:2026-10-13T05:03:36.143671Z</t>
        </is>
      </c>
      <c r="DG1412" s="24" t="n"/>
      <c r="DH1412" s="24" t="n"/>
      <c r="DI1412" s="24" t="n"/>
      <c r="DJ1412" s="24" t="n"/>
      <c r="DK1412" s="24" t="n"/>
      <c r="DL1412" s="24" t="n"/>
      <c r="DM1412" s="24" t="n"/>
      <c r="DN1412" s="24" t="n"/>
      <c r="DO1412" s="24" t="n"/>
      <c r="DP1412" s="24" t="n"/>
      <c r="DQ1412" s="24" t="n"/>
    </row>
    <row r="1413" ht="36" customHeight="1">
      <c r="A1413" s="24" t="inlineStr">
        <is>
          <t>b415859c363e4552</t>
        </is>
      </c>
      <c r="B1413" s="24" t="inlineStr">
        <is>
          <t>2026-10-13T05:49:22.014322Z</t>
        </is>
      </c>
      <c r="C1413" s="24" t="inlineStr">
        <is>
          <t>2026-10-13T10:30Z</t>
        </is>
      </c>
      <c r="D1413" s="24" t="inlineStr">
        <is>
          <t>1025-2026:185444</t>
        </is>
      </c>
      <c r="E1413" s="24" t="inlineStr">
        <is>
          <t>TENNIS</t>
        </is>
      </c>
      <c r="F1413" s="24" t="inlineStr">
        <is>
          <t>Alina Charaeva</t>
        </is>
      </c>
      <c r="G1413" s="24" t="inlineStr">
        <is>
          <t>Martyna Kubka</t>
        </is>
      </c>
      <c r="H1413" s="24" t="inlineStr">
        <is>
          <t>moneyline</t>
        </is>
      </c>
      <c r="I1413" s="24" t="inlineStr">
        <is>
          <t>away</t>
        </is>
      </c>
      <c r="J1413" s="25" t="n"/>
      <c r="K1413" s="24" t="inlineStr">
        <is>
          <t>polymarket_us</t>
        </is>
      </c>
      <c r="L1413" s="26" t="n">
        <v>-400</v>
      </c>
      <c r="M1413" s="27" t="n">
        <v>1.25</v>
      </c>
      <c r="N1413" s="28" t="n">
        <v>0.8</v>
      </c>
      <c r="O1413" s="28" t="n">
        <v>0.8449</v>
      </c>
      <c r="P1413" s="28" t="n">
        <v>0.05</v>
      </c>
      <c r="Q1413" s="28" t="n">
        <v>0.0449</v>
      </c>
      <c r="R1413" s="26" t="n">
        <v>42</v>
      </c>
      <c r="S1413" s="29" t="n">
        <v>1</v>
      </c>
      <c r="T1413" s="24" t="inlineStr">
        <is>
          <t>tennis-learned-v3</t>
        </is>
      </c>
      <c r="U1413" s="24" t="inlineStr">
        <is>
          <t>settled</t>
        </is>
      </c>
      <c r="V1413" s="24" t="inlineStr">
        <is>
          <t>loss</t>
        </is>
      </c>
      <c r="W1413" s="26" t="n">
        <v>0</v>
      </c>
      <c r="X1413" s="26" t="n">
        <v>1</v>
      </c>
      <c r="Y1413" s="25" t="n"/>
      <c r="Z1413" s="26" t="n">
        <v>-400</v>
      </c>
      <c r="AA1413" s="28" t="n">
        <v>0.8</v>
      </c>
      <c r="AB1413" s="28" t="n">
        <v>0</v>
      </c>
      <c r="AC1413" s="30" t="n">
        <v>-1</v>
      </c>
      <c r="AD1413" s="24" t="inlineStr">
        <is>
          <t>2026-10-13T16:10:00.453520Z</t>
        </is>
      </c>
      <c r="AE1413" s="31" t="inlineStr">
        <is>
          <t>Tennis v3 Learned Fundamental on Hard (Bo3): Alina Charaeva p=0.845 vs Martyna Kubka. Executable ask 0.8000 (aec-wta-markub-alicha-2026-10-12).</t>
        </is>
      </c>
      <c r="AF1413" s="31" t="inlineStr">
        <is>
          <t>Surface-blended Elo model; singles only, WTA+ATP market coverage, not yet locked-holdout qualified -- promoted by explicit operator directive, not genuine walk-forward validation.</t>
        </is>
      </c>
      <c r="AG1413" s="24" t="inlineStr">
        <is>
          <t>review_required</t>
        </is>
      </c>
      <c r="AH1413" s="24" t="n"/>
      <c r="AI1413" s="31" t="n"/>
      <c r="AJ1413" s="31" t="n"/>
      <c r="AK1413" s="24" t="inlineStr">
        <is>
          <t>paper_call</t>
        </is>
      </c>
      <c r="AL1413" s="26" t="n">
        <v>4</v>
      </c>
      <c r="AM1413" s="24" t="inlineStr">
        <is>
          <t>RESEARCH_OBSERVATION</t>
        </is>
      </c>
      <c r="AN1413" s="24" t="inlineStr">
        <is>
          <t>CALL</t>
        </is>
      </c>
      <c r="AO1413" s="24" t="inlineStr">
        <is>
          <t>PAPER_CALL_LOW_EDGE</t>
        </is>
      </c>
      <c r="AP1413" s="24" t="inlineStr">
        <is>
          <t>Alina Charaeva</t>
        </is>
      </c>
      <c r="AQ1413" s="24" t="inlineStr">
        <is>
          <t>Alina Charaeva</t>
        </is>
      </c>
      <c r="AR1413" s="24" t="inlineStr">
        <is>
          <t>Alina Charaeva</t>
        </is>
      </c>
      <c r="AS1413" s="24" t="inlineStr">
        <is>
          <t>Martyna Kubka</t>
        </is>
      </c>
      <c r="AT1413" s="24" t="inlineStr">
        <is>
          <t>Martyna Kubka</t>
        </is>
      </c>
      <c r="AU1413" s="24" t="inlineStr">
        <is>
          <t>Martyna Kubka</t>
        </is>
      </c>
      <c r="AV1413" s="24" t="n"/>
      <c r="AW1413" s="24" t="n"/>
      <c r="AX1413" s="24" t="inlineStr">
        <is>
          <t>statistical_model</t>
        </is>
      </c>
      <c r="AY1413" s="24" t="n"/>
      <c r="AZ1413" s="24" t="inlineStr">
        <is>
          <t>shadow_qualified</t>
        </is>
      </c>
      <c r="BA1413" s="24" t="inlineStr">
        <is>
          <t>7443acc419841200d57e1edf36b77f1940cdd0c48dce3d43fcd05498a109440b</t>
        </is>
      </c>
      <c r="BB1413" s="24" t="inlineStr">
        <is>
          <t>learned_v3</t>
        </is>
      </c>
      <c r="BC1413" s="24" t="inlineStr">
        <is>
          <t>tennis-learned-v3</t>
        </is>
      </c>
      <c r="BD1413" s="24" t="inlineStr">
        <is>
          <t>7443acc419841200d57e1edf36b77f1940cdd0c48dce3d43fcd05498a109440b</t>
        </is>
      </c>
      <c r="BE1413" s="24" t="inlineStr">
        <is>
          <t>tennis-learned-v3</t>
        </is>
      </c>
      <c r="BF1413" s="24" t="inlineStr">
        <is>
          <t>1</t>
        </is>
      </c>
      <c r="BG1413" s="24" t="inlineStr">
        <is>
          <t>7443acc419841200d57e1edf36b77f1940cdd0c48dce3d43fcd05498a109440b</t>
        </is>
      </c>
      <c r="BH1413" s="24" t="inlineStr">
        <is>
          <t>2026-10-13T05:03:46.208546Z</t>
        </is>
      </c>
      <c r="BI1413" s="24" t="inlineStr">
        <is>
          <t>["same_event","same_team_same_day","same_league_same_day"]</t>
        </is>
      </c>
      <c r="BJ1413" s="25" t="n"/>
      <c r="BK1413" s="26" t="n">
        <v>-400</v>
      </c>
      <c r="BL1413" s="27" t="n">
        <v>1.25</v>
      </c>
      <c r="BM1413" s="28" t="n">
        <v>0.8</v>
      </c>
      <c r="BN1413" s="28" t="n"/>
      <c r="BO1413" s="28" t="n"/>
      <c r="BP1413" s="25" t="n"/>
      <c r="BQ1413" s="27" t="n">
        <v>1.25</v>
      </c>
      <c r="BR1413" s="28" t="n">
        <v>0.8</v>
      </c>
      <c r="BS1413" s="28" t="n"/>
      <c r="BT1413" s="28" t="n"/>
      <c r="BU1413" s="25" t="n"/>
      <c r="BV1413" s="29" t="n"/>
      <c r="BW1413" s="24" t="n"/>
      <c r="BX1413" s="30" t="n"/>
      <c r="BY1413" s="27" t="n"/>
      <c r="BZ1413" s="24" t="n"/>
      <c r="CA1413" s="31" t="n"/>
      <c r="CB1413" s="24" t="n"/>
      <c r="CC1413" s="24" t="n"/>
      <c r="CD1413" s="24" t="n"/>
      <c r="CE1413" s="24" t="n"/>
      <c r="CF1413" s="24" t="n"/>
      <c r="CG1413" s="24" t="n"/>
      <c r="CH1413" s="24" t="n"/>
      <c r="CI1413" s="24" t="n"/>
      <c r="CJ1413" s="24" t="n"/>
      <c r="CK1413" s="24" t="n"/>
      <c r="CL1413" s="24" t="n"/>
      <c r="CM1413" s="24" t="n"/>
      <c r="CN1413" s="24" t="n"/>
      <c r="CO1413" s="24" t="n"/>
      <c r="CP1413" s="24" t="n"/>
      <c r="CQ1413" s="24" t="n"/>
      <c r="CR1413" s="24" t="n"/>
      <c r="CS1413" s="24" t="inlineStr">
        <is>
          <t>True</t>
        </is>
      </c>
      <c r="CT1413" s="24" t="n"/>
      <c r="CU1413" s="24" t="n"/>
      <c r="CV1413" s="24" t="n"/>
      <c r="CW1413" s="24" t="n"/>
      <c r="CX1413" s="24" t="n"/>
      <c r="CY1413" s="24" t="n"/>
      <c r="CZ1413" s="24" t="n"/>
      <c r="DA1413" s="24" t="n"/>
      <c r="DB1413" s="24" t="n"/>
      <c r="DC1413" s="24" t="n"/>
      <c r="DD1413" s="24" t="inlineStr">
        <is>
          <t>f9506b40c54ae20dd13b23c328a08f9c4bd4eec9155b15b412b35b0eb0322467</t>
        </is>
      </c>
      <c r="DE1413" s="24" t="inlineStr">
        <is>
          <t>E:\model-prediction\data\odds\tennis\2026-10-13\polymarket_snapshots.jsonl</t>
        </is>
      </c>
      <c r="DF1413" s="24" t="inlineStr">
        <is>
          <t>1342059:2026-10-13T05:03:46.208546Z</t>
        </is>
      </c>
      <c r="DG1413" s="24" t="n"/>
      <c r="DH1413" s="24" t="n"/>
      <c r="DI1413" s="24" t="n"/>
      <c r="DJ1413" s="24" t="n"/>
      <c r="DK1413" s="24" t="n"/>
      <c r="DL1413" s="24" t="n"/>
      <c r="DM1413" s="24" t="n"/>
      <c r="DN1413" s="24" t="n"/>
      <c r="DO1413" s="24" t="n"/>
      <c r="DP1413" s="24" t="n"/>
      <c r="DQ1413" s="24" t="inlineStr">
        <is>
          <t>{"artifact_hash": "7443acc419841200d57e1edf36b77f1940cdd0c48dce3d43fcd05498a109440b", "away_team": "Alina Charaeva", "event_id": "1025-2026:185444", "event_start_utc": "2026-10-13T10:30Z", "features": {"elo_p1_surface": 1619.5, "elo_p2_surface": 1468.5, "expected_games_p1": 12.23, "expected_games_p2": 3.86, "expected_total_games": 16.09, "history_matches": 16744, "min_player_matches": 16, "surface": "Hard"}, "historical_source_observation_times_verified": false, "home_team": "Martyna Kubka", "inference_inputs": {"best_of": 3, "code_sha256": {"features/elo_ratings.py": "d6513e79d65448c06cc0f9b9eed0eaa091567835128e1f6647a310da8d78a872", "models/tennis.py": "7443acc419841200d57e1edf36b77f1940cdd0c48dce3d43fcd05498a109440b"}, "counts": [103, 16], "market_probability": null, "model_version": "tennis-learned-v3", "overall_ratings": [1675.8751290078008, 1459.1371755389291], "p_serve_a": 0.712676579187918, "p_serve_b": 0.4673234208120819, "players": ["Alina Charaeva", "Martyna Kubka"], "rest_days": [5.0, 13.0], "sport": "TENNIS", "surface": "Hard", "surface_counts": [89, 16], "surface_ratings": [1619.4912551461327, 1468.4654287217552], "tour": "WTA"}, "market_type": "moneyline", "model_version": "tennis-learned-v3", "observed_at_utc": "2026-10-13T05:49:19.315977+00:00", "probabilities": {"away": 0.8449, "home": 0.1551}, "replay_scope": "Exact full-precision serving state and rounding; upstream historical observation times are not certified.", "schema": "coded-moneyline-replay-v1", "snapshot_hash": "76e769da4bf9c10836d959cd39da8d47a5d093bcaa858c0154d438efad3675ef", "sport": "TENNIS"}</t>
        </is>
      </c>
    </row>
    <row r="1414" ht="36" customHeight="1">
      <c r="A1414" s="24" t="inlineStr">
        <is>
          <t>c53978755eca4139</t>
        </is>
      </c>
      <c r="B1414" s="24" t="inlineStr">
        <is>
          <t>2026-10-13T05:49:22.014322Z</t>
        </is>
      </c>
      <c r="C1414" s="24" t="inlineStr">
        <is>
          <t>2026-10-13T10:30Z</t>
        </is>
      </c>
      <c r="D1414" s="24" t="inlineStr">
        <is>
          <t>1025-2026:185443</t>
        </is>
      </c>
      <c r="E1414" s="24" t="inlineStr">
        <is>
          <t>TENNIS</t>
        </is>
      </c>
      <c r="F1414" s="24" t="inlineStr">
        <is>
          <t>Anna Siskova</t>
        </is>
      </c>
      <c r="G1414" s="24" t="inlineStr">
        <is>
          <t>Antonia Ruzic</t>
        </is>
      </c>
      <c r="H1414" s="24" t="inlineStr">
        <is>
          <t>spread</t>
        </is>
      </c>
      <c r="I1414" s="24" t="inlineStr">
        <is>
          <t>home</t>
        </is>
      </c>
      <c r="J1414" s="25" t="n">
        <v>-4.5</v>
      </c>
      <c r="K1414" s="24" t="inlineStr">
        <is>
          <t>polymarket_us</t>
        </is>
      </c>
      <c r="L1414" s="26" t="n">
        <v>104</v>
      </c>
      <c r="M1414" s="27" t="n">
        <v>2.04</v>
      </c>
      <c r="N1414" s="28" t="n">
        <v>0.490196</v>
      </c>
      <c r="O1414" s="28" t="n">
        <v>0.7623</v>
      </c>
      <c r="P1414" s="28" t="n">
        <v>0.05</v>
      </c>
      <c r="Q1414" s="28" t="n">
        <v>0.272104</v>
      </c>
      <c r="R1414" s="26" t="n">
        <v>100</v>
      </c>
      <c r="S1414" s="29" t="n">
        <v>2</v>
      </c>
      <c r="T1414" s="24" t="inlineStr">
        <is>
          <t>tennis-learned-v3</t>
        </is>
      </c>
      <c r="U1414" s="24" t="inlineStr">
        <is>
          <t>settled</t>
        </is>
      </c>
      <c r="V1414" s="24" t="inlineStr">
        <is>
          <t>win</t>
        </is>
      </c>
      <c r="W1414" s="26" t="n">
        <v>8</v>
      </c>
      <c r="X1414" s="26" t="n">
        <v>13</v>
      </c>
      <c r="Y1414" s="25" t="n"/>
      <c r="Z1414" s="26" t="n"/>
      <c r="AA1414" s="28" t="n"/>
      <c r="AB1414" s="28" t="n"/>
      <c r="AC1414" s="30" t="n">
        <v>2.08</v>
      </c>
      <c r="AD1414" s="24" t="inlineStr">
        <is>
          <t>2026-10-13T16:10:07.451078Z</t>
        </is>
      </c>
      <c r="AE1414" s="31" t="inlineStr">
        <is>
          <t>Tennis Markov game spread -4.5 games: home cover p=0.762. Executable ask 0.4900 (asc-wta-antruz-annsis-2026-10-12-gs-neg-4pt5).</t>
        </is>
      </c>
      <c r="AF1414" s="31" t="inlineStr">
        <is>
          <t>Surface-blended Elo model; singles only, WTA+ATP market coverage, not yet locked-holdout qualified -- promoted by explicit operator directive, not genuine walk-forward validation.</t>
        </is>
      </c>
      <c r="AG1414" s="24" t="inlineStr">
        <is>
          <t>not_applicable</t>
        </is>
      </c>
      <c r="AH1414" s="24" t="n"/>
      <c r="AI1414" s="31" t="n"/>
      <c r="AJ1414" s="31" t="n"/>
      <c r="AK1414" s="24" t="inlineStr">
        <is>
          <t>model_qualified</t>
        </is>
      </c>
      <c r="AL1414" s="26" t="n">
        <v>4</v>
      </c>
      <c r="AM1414" s="24" t="inlineStr">
        <is>
          <t>QUALIFIED_SHADOW_CALL</t>
        </is>
      </c>
      <c r="AN1414" s="24" t="inlineStr">
        <is>
          <t>CALL</t>
        </is>
      </c>
      <c r="AO1414" s="24" t="inlineStr">
        <is>
          <t>QUALIFIED</t>
        </is>
      </c>
      <c r="AP1414" s="24" t="inlineStr">
        <is>
          <t>Anna Siskova</t>
        </is>
      </c>
      <c r="AQ1414" s="24" t="inlineStr">
        <is>
          <t>Anna Siskova</t>
        </is>
      </c>
      <c r="AR1414" s="24" t="inlineStr">
        <is>
          <t>Anna Siskova</t>
        </is>
      </c>
      <c r="AS1414" s="24" t="inlineStr">
        <is>
          <t>Antonia Ruzic</t>
        </is>
      </c>
      <c r="AT1414" s="24" t="inlineStr">
        <is>
          <t>Antonia Ruzic</t>
        </is>
      </c>
      <c r="AU1414" s="24" t="inlineStr">
        <is>
          <t>Antonia Ruzic</t>
        </is>
      </c>
      <c r="AV1414" s="24" t="n"/>
      <c r="AW1414" s="24" t="n"/>
      <c r="AX1414" s="24" t="inlineStr">
        <is>
          <t>statistical_model</t>
        </is>
      </c>
      <c r="AY1414" s="24" t="n"/>
      <c r="AZ1414" s="24" t="inlineStr">
        <is>
          <t>shadow_qualified</t>
        </is>
      </c>
      <c r="BA1414" s="24" t="inlineStr">
        <is>
          <t>7443acc419841200d57e1edf36b77f1940cdd0c48dce3d43fcd05498a109440b</t>
        </is>
      </c>
      <c r="BB1414" s="24" t="inlineStr">
        <is>
          <t>learned_v3</t>
        </is>
      </c>
      <c r="BC1414" s="24" t="inlineStr">
        <is>
          <t>tennis-learned-v3</t>
        </is>
      </c>
      <c r="BD1414" s="24" t="inlineStr">
        <is>
          <t>7443acc419841200d57e1edf36b77f1940cdd0c48dce3d43fcd05498a109440b</t>
        </is>
      </c>
      <c r="BE1414" s="24" t="inlineStr">
        <is>
          <t>tennis-learned-v3</t>
        </is>
      </c>
      <c r="BF1414" s="24" t="inlineStr">
        <is>
          <t>1</t>
        </is>
      </c>
      <c r="BG1414" s="24" t="inlineStr">
        <is>
          <t>7443acc419841200d57e1edf36b77f1940cdd0c48dce3d43fcd05498a109440b</t>
        </is>
      </c>
      <c r="BH1414" s="24" t="inlineStr">
        <is>
          <t>2026-10-13T05:03:46.264727Z</t>
        </is>
      </c>
      <c r="BI1414" s="24" t="inlineStr">
        <is>
          <t>["same_event","same_team_same_day","same_league_same_day"]</t>
        </is>
      </c>
      <c r="BJ1414" s="25" t="n">
        <v>-4.5</v>
      </c>
      <c r="BK1414" s="26" t="n">
        <v>104</v>
      </c>
      <c r="BL1414" s="27" t="n">
        <v>2.04</v>
      </c>
      <c r="BM1414" s="28" t="n">
        <v>0.490196</v>
      </c>
      <c r="BN1414" s="28" t="n"/>
      <c r="BO1414" s="28" t="n"/>
      <c r="BP1414" s="25" t="n"/>
      <c r="BQ1414" s="27" t="n"/>
      <c r="BR1414" s="28" t="n"/>
      <c r="BS1414" s="28" t="n"/>
      <c r="BT1414" s="28" t="n"/>
      <c r="BU1414" s="25" t="n"/>
      <c r="BV1414" s="29" t="n"/>
      <c r="BW1414" s="24" t="n"/>
      <c r="BX1414" s="30" t="n"/>
      <c r="BY1414" s="27" t="n"/>
      <c r="BZ1414" s="24" t="n"/>
      <c r="CA1414" s="31" t="n"/>
      <c r="CB1414" s="24" t="n"/>
      <c r="CC1414" s="24" t="n"/>
      <c r="CD1414" s="24" t="n"/>
      <c r="CE1414" s="24" t="n"/>
      <c r="CF1414" s="24" t="n"/>
      <c r="CG1414" s="24" t="n"/>
      <c r="CH1414" s="24" t="n"/>
      <c r="CI1414" s="24" t="n"/>
      <c r="CJ1414" s="24" t="n"/>
      <c r="CK1414" s="24" t="n"/>
      <c r="CL1414" s="24" t="n"/>
      <c r="CM1414" s="24" t="n"/>
      <c r="CN1414" s="24" t="n"/>
      <c r="CO1414" s="24" t="n"/>
      <c r="CP1414" s="24" t="n"/>
      <c r="CQ1414" s="24" t="n"/>
      <c r="CR1414" s="24" t="n"/>
      <c r="CS1414" s="24" t="inlineStr">
        <is>
          <t>True</t>
        </is>
      </c>
      <c r="CT1414" s="24" t="n"/>
      <c r="CU1414" s="24" t="n"/>
      <c r="CV1414" s="24" t="n"/>
      <c r="CW1414" s="24" t="n"/>
      <c r="CX1414" s="24" t="n"/>
      <c r="CY1414" s="24" t="n"/>
      <c r="CZ1414" s="24" t="n"/>
      <c r="DA1414" s="24" t="n"/>
      <c r="DB1414" s="24" t="n"/>
      <c r="DC1414" s="24" t="n"/>
      <c r="DD1414" s="24" t="inlineStr">
        <is>
          <t>909a15b6a362ea70a60825c753a51815605219cc1b1a299e54a74a49dd843411</t>
        </is>
      </c>
      <c r="DE1414" s="24" t="inlineStr">
        <is>
          <t>E:\model-prediction\data\odds\tennis\2026-10-13\polymarket_snapshots.jsonl</t>
        </is>
      </c>
      <c r="DF1414" s="24" t="inlineStr">
        <is>
          <t>1353546:2026-10-13T05:03:46.264727Z</t>
        </is>
      </c>
      <c r="DG1414" s="24" t="n"/>
      <c r="DH1414" s="24" t="n"/>
      <c r="DI1414" s="24" t="n"/>
      <c r="DJ1414" s="24" t="n"/>
      <c r="DK1414" s="24" t="n"/>
      <c r="DL1414" s="24" t="n"/>
      <c r="DM1414" s="24" t="n"/>
      <c r="DN1414" s="24" t="n"/>
      <c r="DO1414" s="24" t="n"/>
      <c r="DP1414" s="24" t="n"/>
      <c r="DQ1414" s="24" t="n"/>
    </row>
    <row r="1415" ht="36" customHeight="1">
      <c r="A1415" s="24" t="inlineStr">
        <is>
          <t>8bed1da31b3140b1</t>
        </is>
      </c>
      <c r="B1415" s="24" t="inlineStr">
        <is>
          <t>2026-10-13T05:49:22.014322Z</t>
        </is>
      </c>
      <c r="C1415" s="24" t="inlineStr">
        <is>
          <t>2026-10-13T10:00Z</t>
        </is>
      </c>
      <c r="D1415" s="24" t="inlineStr">
        <is>
          <t>1079-2026:185402</t>
        </is>
      </c>
      <c r="E1415" s="24" t="inlineStr">
        <is>
          <t>TENNIS</t>
        </is>
      </c>
      <c r="F1415" s="24" t="inlineStr">
        <is>
          <t>Francesca Jones</t>
        </is>
      </c>
      <c r="G1415" s="24" t="inlineStr">
        <is>
          <t>Martina Colmegna</t>
        </is>
      </c>
      <c r="H1415" s="24" t="inlineStr">
        <is>
          <t>moneyline</t>
        </is>
      </c>
      <c r="I1415" s="24" t="inlineStr">
        <is>
          <t>away</t>
        </is>
      </c>
      <c r="J1415" s="25" t="n"/>
      <c r="K1415" s="24" t="inlineStr">
        <is>
          <t>polymarket_us</t>
        </is>
      </c>
      <c r="L1415" s="26" t="n">
        <v>-900</v>
      </c>
      <c r="M1415" s="27" t="n">
        <v>1.111111</v>
      </c>
      <c r="N1415" s="28" t="n">
        <v>0.9</v>
      </c>
      <c r="O1415" s="28" t="n">
        <v>0.7744</v>
      </c>
      <c r="P1415" s="28" t="n">
        <v>0.05</v>
      </c>
      <c r="Q1415" s="28" t="n">
        <v>-0.1256</v>
      </c>
      <c r="R1415" s="26" t="n">
        <v>0</v>
      </c>
      <c r="S1415" s="29" t="n">
        <v>1</v>
      </c>
      <c r="T1415" s="24" t="inlineStr">
        <is>
          <t>tennis-learned-v3</t>
        </is>
      </c>
      <c r="U1415" s="24" t="inlineStr">
        <is>
          <t>settled</t>
        </is>
      </c>
      <c r="V1415" s="24" t="inlineStr">
        <is>
          <t>win</t>
        </is>
      </c>
      <c r="W1415" s="26" t="n">
        <v>1</v>
      </c>
      <c r="X1415" s="26" t="n">
        <v>0</v>
      </c>
      <c r="Y1415" s="25" t="n"/>
      <c r="Z1415" s="26" t="n">
        <v>-900</v>
      </c>
      <c r="AA1415" s="28" t="n">
        <v>0.9</v>
      </c>
      <c r="AB1415" s="28" t="n">
        <v>0</v>
      </c>
      <c r="AC1415" s="30" t="n">
        <v>0.1111</v>
      </c>
      <c r="AD1415" s="24" t="inlineStr">
        <is>
          <t>2026-10-13T16:10:13.437329Z</t>
        </is>
      </c>
      <c r="AE1415" s="31" t="inlineStr">
        <is>
          <t>Tennis v3 Learned Fundamental on Hard (Bo3): Francesca Jones p=0.774 vs Martina Colmegna. Executable ask 0.9000 (aec-wta-marcol-frajon-2026-10-12).</t>
        </is>
      </c>
      <c r="AF1415" s="31" t="inlineStr">
        <is>
          <t>Surface-blended Elo model; singles only, WTA+ATP market coverage, not yet locked-holdout qualified -- promoted by explicit operator directive, not genuine walk-forward validation.</t>
        </is>
      </c>
      <c r="AG1415" s="24" t="inlineStr">
        <is>
          <t>not_applicable</t>
        </is>
      </c>
      <c r="AH1415" s="24" t="n"/>
      <c r="AI1415" s="31" t="n"/>
      <c r="AJ1415" s="31" t="n"/>
      <c r="AK1415" s="24" t="inlineStr">
        <is>
          <t>paper_call</t>
        </is>
      </c>
      <c r="AL1415" s="26" t="n">
        <v>4</v>
      </c>
      <c r="AM1415" s="24" t="inlineStr">
        <is>
          <t>RESEARCH_OBSERVATION</t>
        </is>
      </c>
      <c r="AN1415" s="24" t="inlineStr">
        <is>
          <t>CALL</t>
        </is>
      </c>
      <c r="AO1415" s="24" t="inlineStr">
        <is>
          <t>PAPER_CALL_LOW_EDGE</t>
        </is>
      </c>
      <c r="AP1415" s="24" t="inlineStr">
        <is>
          <t>Francesca Jones</t>
        </is>
      </c>
      <c r="AQ1415" s="24" t="inlineStr">
        <is>
          <t>Francesca Jones</t>
        </is>
      </c>
      <c r="AR1415" s="24" t="inlineStr">
        <is>
          <t>Francesca Jones</t>
        </is>
      </c>
      <c r="AS1415" s="24" t="inlineStr">
        <is>
          <t>Martina Colmegna</t>
        </is>
      </c>
      <c r="AT1415" s="24" t="inlineStr">
        <is>
          <t>Martina Colmegna</t>
        </is>
      </c>
      <c r="AU1415" s="24" t="inlineStr">
        <is>
          <t>Martina Colmegna</t>
        </is>
      </c>
      <c r="AV1415" s="24" t="n"/>
      <c r="AW1415" s="24" t="n"/>
      <c r="AX1415" s="24" t="inlineStr">
        <is>
          <t>statistical_model</t>
        </is>
      </c>
      <c r="AY1415" s="24" t="n"/>
      <c r="AZ1415" s="24" t="inlineStr">
        <is>
          <t>shadow_qualified</t>
        </is>
      </c>
      <c r="BA1415" s="24" t="inlineStr">
        <is>
          <t>7443acc419841200d57e1edf36b77f1940cdd0c48dce3d43fcd05498a109440b</t>
        </is>
      </c>
      <c r="BB1415" s="24" t="inlineStr">
        <is>
          <t>learned_v3</t>
        </is>
      </c>
      <c r="BC1415" s="24" t="inlineStr">
        <is>
          <t>tennis-learned-v3</t>
        </is>
      </c>
      <c r="BD1415" s="24" t="inlineStr">
        <is>
          <t>7443acc419841200d57e1edf36b77f1940cdd0c48dce3d43fcd05498a109440b</t>
        </is>
      </c>
      <c r="BE1415" s="24" t="inlineStr">
        <is>
          <t>tennis-learned-v3</t>
        </is>
      </c>
      <c r="BF1415" s="24" t="inlineStr">
        <is>
          <t>1</t>
        </is>
      </c>
      <c r="BG1415" s="24" t="inlineStr">
        <is>
          <t>7443acc419841200d57e1edf36b77f1940cdd0c48dce3d43fcd05498a109440b</t>
        </is>
      </c>
      <c r="BH1415" s="24" t="inlineStr">
        <is>
          <t>2026-10-13T05:03:25.999911Z</t>
        </is>
      </c>
      <c r="BI1415" s="24" t="inlineStr">
        <is>
          <t>["same_event","same_team_same_day","same_league_same_day"]</t>
        </is>
      </c>
      <c r="BJ1415" s="25" t="n"/>
      <c r="BK1415" s="26" t="n">
        <v>-900</v>
      </c>
      <c r="BL1415" s="27" t="n">
        <v>1.111111</v>
      </c>
      <c r="BM1415" s="28" t="n">
        <v>0.9</v>
      </c>
      <c r="BN1415" s="28" t="n"/>
      <c r="BO1415" s="28" t="n"/>
      <c r="BP1415" s="25" t="n"/>
      <c r="BQ1415" s="27" t="n">
        <v>1.111111</v>
      </c>
      <c r="BR1415" s="28" t="n">
        <v>0.9</v>
      </c>
      <c r="BS1415" s="28" t="n"/>
      <c r="BT1415" s="28" t="n"/>
      <c r="BU1415" s="25" t="n"/>
      <c r="BV1415" s="29" t="n"/>
      <c r="BW1415" s="24" t="n"/>
      <c r="BX1415" s="30" t="n"/>
      <c r="BY1415" s="27" t="n"/>
      <c r="BZ1415" s="24" t="n"/>
      <c r="CA1415" s="31" t="n"/>
      <c r="CB1415" s="24" t="n"/>
      <c r="CC1415" s="24" t="n"/>
      <c r="CD1415" s="24" t="n"/>
      <c r="CE1415" s="24" t="n"/>
      <c r="CF1415" s="24" t="n"/>
      <c r="CG1415" s="24" t="n"/>
      <c r="CH1415" s="24" t="n"/>
      <c r="CI1415" s="24" t="n"/>
      <c r="CJ1415" s="24" t="n"/>
      <c r="CK1415" s="24" t="n"/>
      <c r="CL1415" s="24" t="n"/>
      <c r="CM1415" s="24" t="n"/>
      <c r="CN1415" s="24" t="n"/>
      <c r="CO1415" s="24" t="n"/>
      <c r="CP1415" s="24" t="n"/>
      <c r="CQ1415" s="24" t="n"/>
      <c r="CR1415" s="24" t="n"/>
      <c r="CS1415" s="24" t="inlineStr">
        <is>
          <t>False</t>
        </is>
      </c>
      <c r="CT1415" s="24" t="n"/>
      <c r="CU1415" s="24" t="n"/>
      <c r="CV1415" s="24" t="n"/>
      <c r="CW1415" s="24" t="n"/>
      <c r="CX1415" s="24" t="n"/>
      <c r="CY1415" s="24" t="n"/>
      <c r="CZ1415" s="24" t="n"/>
      <c r="DA1415" s="24" t="n"/>
      <c r="DB1415" s="24" t="n"/>
      <c r="DC1415" s="24" t="n"/>
      <c r="DD1415" s="24" t="inlineStr">
        <is>
          <t>d6b550261cb42f45190f8dcf05d3ccdc6090c5518ad19d3a3e7d43a1e5b031b3</t>
        </is>
      </c>
      <c r="DE1415" s="24" t="inlineStr">
        <is>
          <t>E:\model-prediction\data\odds\tennis\2026-10-13\polymarket_snapshots.jsonl</t>
        </is>
      </c>
      <c r="DF1415" s="24" t="inlineStr">
        <is>
          <t>1368283:2026-10-13T05:03:25.999911Z</t>
        </is>
      </c>
      <c r="DG1415" s="24" t="n"/>
      <c r="DH1415" s="24" t="n"/>
      <c r="DI1415" s="24" t="n"/>
      <c r="DJ1415" s="24" t="n"/>
      <c r="DK1415" s="24" t="n"/>
      <c r="DL1415" s="24" t="n"/>
      <c r="DM1415" s="24" t="n"/>
      <c r="DN1415" s="24" t="n"/>
      <c r="DO1415" s="24" t="n"/>
      <c r="DP1415" s="24" t="n"/>
      <c r="DQ1415" s="24" t="inlineStr">
        <is>
          <t>{"artifact_hash": "7443acc419841200d57e1edf36b77f1940cdd0c48dce3d43fcd05498a109440b", "away_team": "Francesca Jones", "event_id": "1079-2026:185402", "event_start_utc": "2026-10-13T10:00Z", "features": {"elo_p1_surface": 1619.0, "elo_p2_surface": 1504.9, "expected_games_p1": 12.65, "expected_games_p2": 5.48, "expected_total_games": 18.13, "history_matches": 16744, "min_player_matches": 22, "surface": "Hard"}, "historical_source_observation_times_verified": false, "home_team": "Martina Colmegna", "inference_inputs": {"best_of": 3, "code_sha256": {"features/elo_ratings.py": "d6513e79d65448c06cc0f9b9eed0eaa091567835128e1f6647a310da8d78a872", "models/tennis.py": "7443acc419841200d57e1edf36b77f1940cdd0c48dce3d43fcd05498a109440b"}, "counts": [124, 22], "market_probability": null, "model_version": "tennis-learned-v3", "overall_ratings": [1630.5867159714362, 1501.3656889324493], "p_serve_a": 0.6792650085296519, "p_serve_b": 0.5007349914703481, "players": ["Francesca Jones", "Martina Colmegna"], "rest_days": [26.0, 27.0], "sport": "TENNIS", "surface": "Hard", "surface_counts": [102, 19], "surface_ratings": [1618.9809387119967, 1504.8898064440743], "tour": "WTA"}, "market_type": "moneyline", "model_version": "tennis-learned-v3", "observed_at_utc": "2026-10-13T05:49:19.315977+00:00", "probabilities": {"away": 0.7744, "home": 0.2256}, "replay_scope": "Exact full-precision serving state and rounding; upstream historical observation times are not certified.", "schema": "coded-moneyline-replay-v1", "snapshot_hash": "faab029227c88f1bb93a1d8621def4286df149851ac163fed0a3520dc1351f2b", "sport": "TENNIS"}</t>
        </is>
      </c>
    </row>
    <row r="1416" ht="36" customHeight="1">
      <c r="A1416" s="24" t="inlineStr">
        <is>
          <t>867925cf5ec54bbd</t>
        </is>
      </c>
      <c r="B1416" s="24" t="inlineStr">
        <is>
          <t>2026-10-13T05:49:22.014322Z</t>
        </is>
      </c>
      <c r="C1416" s="24" t="inlineStr">
        <is>
          <t>2026-10-13T10:00Z</t>
        </is>
      </c>
      <c r="D1416" s="24" t="inlineStr">
        <is>
          <t>1079-2026:185402</t>
        </is>
      </c>
      <c r="E1416" s="24" t="inlineStr">
        <is>
          <t>TENNIS</t>
        </is>
      </c>
      <c r="F1416" s="24" t="inlineStr">
        <is>
          <t>Francesca Jones</t>
        </is>
      </c>
      <c r="G1416" s="24" t="inlineStr">
        <is>
          <t>Martina Colmegna</t>
        </is>
      </c>
      <c r="H1416" s="24" t="inlineStr">
        <is>
          <t>total</t>
        </is>
      </c>
      <c r="I1416" s="24" t="inlineStr">
        <is>
          <t>under</t>
        </is>
      </c>
      <c r="J1416" s="25" t="n">
        <v>22.5</v>
      </c>
      <c r="K1416" s="24" t="inlineStr">
        <is>
          <t>polymarket_us</t>
        </is>
      </c>
      <c r="L1416" s="26" t="n">
        <v>-9900</v>
      </c>
      <c r="M1416" s="27" t="n">
        <v>1.010101</v>
      </c>
      <c r="N1416" s="28" t="n">
        <v>0.99</v>
      </c>
      <c r="O1416" s="28" t="n">
        <v>0.8723</v>
      </c>
      <c r="P1416" s="28" t="n">
        <v>0.05</v>
      </c>
      <c r="Q1416" s="28" t="n">
        <v>-0.1177</v>
      </c>
      <c r="R1416" s="26" t="n">
        <v>0</v>
      </c>
      <c r="S1416" s="29" t="n">
        <v>1</v>
      </c>
      <c r="T1416" s="24" t="inlineStr">
        <is>
          <t>tennis-learned-v3</t>
        </is>
      </c>
      <c r="U1416" s="24" t="inlineStr">
        <is>
          <t>settled</t>
        </is>
      </c>
      <c r="V1416" s="24" t="inlineStr">
        <is>
          <t>win</t>
        </is>
      </c>
      <c r="W1416" s="26" t="n">
        <v>13</v>
      </c>
      <c r="X1416" s="26" t="n">
        <v>6</v>
      </c>
      <c r="Y1416" s="25" t="n"/>
      <c r="Z1416" s="26" t="n"/>
      <c r="AA1416" s="28" t="n"/>
      <c r="AB1416" s="28" t="n"/>
      <c r="AC1416" s="30" t="n">
        <v>0.0101</v>
      </c>
      <c r="AD1416" s="24" t="inlineStr">
        <is>
          <t>2026-10-13T16:10:21.637915Z</t>
        </is>
      </c>
      <c r="AE1416" s="31" t="inlineStr">
        <is>
          <t>Tennis Markov total games line 22.5: under p=0.872. Executable ask 0.9900 (tsc-wta-marcol-frajon-2026-10-12-tg-22pt5).</t>
        </is>
      </c>
      <c r="AF1416" s="31" t="inlineStr">
        <is>
          <t>Surface-blended Elo model; singles only, WTA+ATP market coverage, not yet locked-holdout qualified -- promoted by explicit operator directive, not genuine walk-forward validation.</t>
        </is>
      </c>
      <c r="AG1416" s="24" t="inlineStr">
        <is>
          <t>not_applicable</t>
        </is>
      </c>
      <c r="AH1416" s="24" t="n"/>
      <c r="AI1416" s="31" t="n"/>
      <c r="AJ1416" s="31" t="n"/>
      <c r="AK1416" s="24" t="inlineStr">
        <is>
          <t>paper_call</t>
        </is>
      </c>
      <c r="AL1416" s="26" t="n">
        <v>4</v>
      </c>
      <c r="AM1416" s="24" t="inlineStr">
        <is>
          <t>RESEARCH_OBSERVATION</t>
        </is>
      </c>
      <c r="AN1416" s="24" t="inlineStr">
        <is>
          <t>CALL</t>
        </is>
      </c>
      <c r="AO1416" s="24" t="inlineStr">
        <is>
          <t>PAPER_CALL_LOW_EDGE</t>
        </is>
      </c>
      <c r="AP1416" s="24" t="inlineStr">
        <is>
          <t>Francesca Jones</t>
        </is>
      </c>
      <c r="AQ1416" s="24" t="inlineStr">
        <is>
          <t>Francesca Jones</t>
        </is>
      </c>
      <c r="AR1416" s="24" t="inlineStr">
        <is>
          <t>Francesca Jones</t>
        </is>
      </c>
      <c r="AS1416" s="24" t="inlineStr">
        <is>
          <t>Martina Colmegna</t>
        </is>
      </c>
      <c r="AT1416" s="24" t="inlineStr">
        <is>
          <t>Martina Colmegna</t>
        </is>
      </c>
      <c r="AU1416" s="24" t="inlineStr">
        <is>
          <t>Martina Colmegna</t>
        </is>
      </c>
      <c r="AV1416" s="24" t="n"/>
      <c r="AW1416" s="24" t="n"/>
      <c r="AX1416" s="24" t="inlineStr">
        <is>
          <t>statistical_model</t>
        </is>
      </c>
      <c r="AY1416" s="24" t="n"/>
      <c r="AZ1416" s="24" t="inlineStr">
        <is>
          <t>shadow_qualified</t>
        </is>
      </c>
      <c r="BA1416" s="24" t="inlineStr">
        <is>
          <t>7443acc419841200d57e1edf36b77f1940cdd0c48dce3d43fcd05498a109440b</t>
        </is>
      </c>
      <c r="BB1416" s="24" t="inlineStr">
        <is>
          <t>learned_v3</t>
        </is>
      </c>
      <c r="BC1416" s="24" t="inlineStr">
        <is>
          <t>tennis-learned-v3</t>
        </is>
      </c>
      <c r="BD1416" s="24" t="inlineStr">
        <is>
          <t>7443acc419841200d57e1edf36b77f1940cdd0c48dce3d43fcd05498a109440b</t>
        </is>
      </c>
      <c r="BE1416" s="24" t="inlineStr">
        <is>
          <t>tennis-learned-v3</t>
        </is>
      </c>
      <c r="BF1416" s="24" t="inlineStr">
        <is>
          <t>1</t>
        </is>
      </c>
      <c r="BG1416" s="24" t="inlineStr">
        <is>
          <t>7443acc419841200d57e1edf36b77f1940cdd0c48dce3d43fcd05498a109440b</t>
        </is>
      </c>
      <c r="BH1416" s="24" t="inlineStr">
        <is>
          <t>2026-10-13T05:03:26.031743Z</t>
        </is>
      </c>
      <c r="BI1416" s="24" t="inlineStr">
        <is>
          <t>["same_event","same_team_same_day","same_league_same_day"]</t>
        </is>
      </c>
      <c r="BJ1416" s="25" t="n">
        <v>22.5</v>
      </c>
      <c r="BK1416" s="26" t="n">
        <v>-9900</v>
      </c>
      <c r="BL1416" s="27" t="n">
        <v>1.010101</v>
      </c>
      <c r="BM1416" s="28" t="n">
        <v>0.99</v>
      </c>
      <c r="BN1416" s="28" t="n"/>
      <c r="BO1416" s="28" t="n"/>
      <c r="BP1416" s="25" t="n"/>
      <c r="BQ1416" s="27" t="n"/>
      <c r="BR1416" s="28" t="n"/>
      <c r="BS1416" s="28" t="n"/>
      <c r="BT1416" s="28" t="n"/>
      <c r="BU1416" s="25" t="n"/>
      <c r="BV1416" s="29" t="n"/>
      <c r="BW1416" s="24" t="n"/>
      <c r="BX1416" s="30" t="n"/>
      <c r="BY1416" s="27" t="n"/>
      <c r="BZ1416" s="24" t="n"/>
      <c r="CA1416" s="31" t="n"/>
      <c r="CB1416" s="24" t="n"/>
      <c r="CC1416" s="24" t="n"/>
      <c r="CD1416" s="24" t="n"/>
      <c r="CE1416" s="24" t="n"/>
      <c r="CF1416" s="24" t="n"/>
      <c r="CG1416" s="24" t="n"/>
      <c r="CH1416" s="24" t="n"/>
      <c r="CI1416" s="24" t="n"/>
      <c r="CJ1416" s="24" t="n"/>
      <c r="CK1416" s="24" t="n"/>
      <c r="CL1416" s="24" t="n"/>
      <c r="CM1416" s="24" t="n"/>
      <c r="CN1416" s="24" t="n"/>
      <c r="CO1416" s="24" t="n"/>
      <c r="CP1416" s="24" t="n"/>
      <c r="CQ1416" s="24" t="n"/>
      <c r="CR1416" s="24" t="n"/>
      <c r="CS1416" s="24" t="inlineStr">
        <is>
          <t>False</t>
        </is>
      </c>
      <c r="CT1416" s="24" t="n"/>
      <c r="CU1416" s="24" t="n"/>
      <c r="CV1416" s="24" t="n"/>
      <c r="CW1416" s="24" t="n"/>
      <c r="CX1416" s="24" t="n"/>
      <c r="CY1416" s="24" t="n"/>
      <c r="CZ1416" s="24" t="n"/>
      <c r="DA1416" s="24" t="n"/>
      <c r="DB1416" s="24" t="n"/>
      <c r="DC1416" s="24" t="n"/>
      <c r="DD1416" s="24" t="inlineStr">
        <is>
          <t>c9e33b151e825c120c33bde08ad491399e0ee12e1791b757bc3e11e479fbf807</t>
        </is>
      </c>
      <c r="DE1416" s="24" t="inlineStr">
        <is>
          <t>E:\model-prediction\data\odds\tennis\2026-10-13\polymarket_snapshots.jsonl</t>
        </is>
      </c>
      <c r="DF1416" s="24" t="inlineStr">
        <is>
          <t>1369078:2026-10-13T05:03:26.031743Z</t>
        </is>
      </c>
      <c r="DG1416" s="24" t="n"/>
      <c r="DH1416" s="24" t="n"/>
      <c r="DI1416" s="24" t="n"/>
      <c r="DJ1416" s="24" t="n"/>
      <c r="DK1416" s="24" t="n"/>
      <c r="DL1416" s="24" t="n"/>
      <c r="DM1416" s="24" t="n"/>
      <c r="DN1416" s="24" t="n"/>
      <c r="DO1416" s="24" t="n"/>
      <c r="DP1416" s="24" t="n"/>
      <c r="DQ1416" s="24" t="n"/>
    </row>
    <row r="1417" ht="36" customHeight="1">
      <c r="A1417" s="24" t="inlineStr">
        <is>
          <t>9690675031b54a27</t>
        </is>
      </c>
      <c r="B1417" s="24" t="inlineStr">
        <is>
          <t>2026-10-13T05:49:22.014322Z</t>
        </is>
      </c>
      <c r="C1417" s="24" t="inlineStr">
        <is>
          <t>2026-10-13T10:00Z</t>
        </is>
      </c>
      <c r="D1417" s="24" t="inlineStr">
        <is>
          <t>1079-2026:185401</t>
        </is>
      </c>
      <c r="E1417" s="24" t="inlineStr">
        <is>
          <t>TENNIS</t>
        </is>
      </c>
      <c r="F1417" s="24" t="inlineStr">
        <is>
          <t>Mathilde Lollia</t>
        </is>
      </c>
      <c r="G1417" s="24" t="inlineStr">
        <is>
          <t>Darja Semenistaja</t>
        </is>
      </c>
      <c r="H1417" s="24" t="inlineStr">
        <is>
          <t>moneyline</t>
        </is>
      </c>
      <c r="I1417" s="24" t="inlineStr">
        <is>
          <t>home</t>
        </is>
      </c>
      <c r="J1417" s="25" t="n"/>
      <c r="K1417" s="24" t="inlineStr">
        <is>
          <t>polymarket_us</t>
        </is>
      </c>
      <c r="L1417" s="26" t="n">
        <v>-488</v>
      </c>
      <c r="M1417" s="27" t="n">
        <v>1.204918</v>
      </c>
      <c r="N1417" s="28" t="n">
        <v>0.829932</v>
      </c>
      <c r="O1417" s="28" t="n">
        <v>0.6758999999999999</v>
      </c>
      <c r="P1417" s="28" t="n">
        <v>0.05</v>
      </c>
      <c r="Q1417" s="28" t="n">
        <v>-0.154032</v>
      </c>
      <c r="R1417" s="26" t="n">
        <v>0</v>
      </c>
      <c r="S1417" s="29" t="n">
        <v>1</v>
      </c>
      <c r="T1417" s="24" t="inlineStr">
        <is>
          <t>tennis-learned-v3</t>
        </is>
      </c>
      <c r="U1417" s="24" t="inlineStr">
        <is>
          <t>settled</t>
        </is>
      </c>
      <c r="V1417" s="24" t="inlineStr">
        <is>
          <t>loss</t>
        </is>
      </c>
      <c r="W1417" s="26" t="n">
        <v>1</v>
      </c>
      <c r="X1417" s="26" t="n">
        <v>0</v>
      </c>
      <c r="Y1417" s="25" t="n"/>
      <c r="Z1417" s="26" t="n">
        <v>-488</v>
      </c>
      <c r="AA1417" s="28" t="n">
        <v>0.83</v>
      </c>
      <c r="AB1417" s="28" t="n">
        <v>6.8e-05</v>
      </c>
      <c r="AC1417" s="30" t="n">
        <v>-1</v>
      </c>
      <c r="AD1417" s="24" t="inlineStr">
        <is>
          <t>2026-10-13T16:10:32.171206Z</t>
        </is>
      </c>
      <c r="AE1417" s="31" t="inlineStr">
        <is>
          <t>Tennis v3 Learned Fundamental on Hard (Bo3): Mathilde Lollia p=0.324 vs Darja Semenistaja. Executable ask 0.8300 (aec-wta-darsem-matlol-2026-10-13).</t>
        </is>
      </c>
      <c r="AF1417" s="31" t="inlineStr">
        <is>
          <t>Surface-blended Elo model; singles only, WTA+ATP market coverage, not yet locked-holdout qualified -- promoted by explicit operator directive, not genuine walk-forward validation.</t>
        </is>
      </c>
      <c r="AG1417" s="24" t="inlineStr">
        <is>
          <t>review_required</t>
        </is>
      </c>
      <c r="AH1417" s="24" t="n"/>
      <c r="AI1417" s="31" t="n"/>
      <c r="AJ1417" s="31" t="n"/>
      <c r="AK1417" s="24" t="inlineStr">
        <is>
          <t>paper_call</t>
        </is>
      </c>
      <c r="AL1417" s="26" t="n">
        <v>4</v>
      </c>
      <c r="AM1417" s="24" t="inlineStr">
        <is>
          <t>RESEARCH_OBSERVATION</t>
        </is>
      </c>
      <c r="AN1417" s="24" t="inlineStr">
        <is>
          <t>CALL</t>
        </is>
      </c>
      <c r="AO1417" s="24" t="inlineStr">
        <is>
          <t>PAPER_CALL_MODEL_UNVALIDATED</t>
        </is>
      </c>
      <c r="AP1417" s="24" t="inlineStr">
        <is>
          <t>Mathilde Lollia</t>
        </is>
      </c>
      <c r="AQ1417" s="24" t="inlineStr">
        <is>
          <t>Mathilde Lollia</t>
        </is>
      </c>
      <c r="AR1417" s="24" t="inlineStr">
        <is>
          <t>Mathilde Lollia</t>
        </is>
      </c>
      <c r="AS1417" s="24" t="inlineStr">
        <is>
          <t>Darja Semenistaja</t>
        </is>
      </c>
      <c r="AT1417" s="24" t="inlineStr">
        <is>
          <t>Darja Semenistaja</t>
        </is>
      </c>
      <c r="AU1417" s="24" t="inlineStr">
        <is>
          <t>Darja Semenistaja</t>
        </is>
      </c>
      <c r="AV1417" s="24" t="n"/>
      <c r="AW1417" s="24" t="n"/>
      <c r="AX1417" s="24" t="inlineStr">
        <is>
          <t>statistical_model</t>
        </is>
      </c>
      <c r="AY1417" s="24" t="n"/>
      <c r="AZ1417" s="24" t="inlineStr">
        <is>
          <t>shadow_qualified</t>
        </is>
      </c>
      <c r="BA1417" s="24" t="inlineStr">
        <is>
          <t>7443acc419841200d57e1edf36b77f1940cdd0c48dce3d43fcd05498a109440b</t>
        </is>
      </c>
      <c r="BB1417" s="24" t="inlineStr">
        <is>
          <t>learned_v3</t>
        </is>
      </c>
      <c r="BC1417" s="24" t="inlineStr">
        <is>
          <t>tennis-learned-v3</t>
        </is>
      </c>
      <c r="BD1417" s="24" t="inlineStr">
        <is>
          <t>7443acc419841200d57e1edf36b77f1940cdd0c48dce3d43fcd05498a109440b</t>
        </is>
      </c>
      <c r="BE1417" s="24" t="inlineStr">
        <is>
          <t>tennis-learned-v3</t>
        </is>
      </c>
      <c r="BF1417" s="24" t="inlineStr">
        <is>
          <t>1</t>
        </is>
      </c>
      <c r="BG1417" s="24" t="inlineStr">
        <is>
          <t>7443acc419841200d57e1edf36b77f1940cdd0c48dce3d43fcd05498a109440b</t>
        </is>
      </c>
      <c r="BH1417" s="24" t="inlineStr">
        <is>
          <t>2026-10-13T05:03:46.213610Z</t>
        </is>
      </c>
      <c r="BI1417" s="24" t="inlineStr">
        <is>
          <t>["same_event","same_team_same_day","same_league_same_day"]</t>
        </is>
      </c>
      <c r="BJ1417" s="25" t="n"/>
      <c r="BK1417" s="26" t="n">
        <v>-488</v>
      </c>
      <c r="BL1417" s="27" t="n">
        <v>1.204918</v>
      </c>
      <c r="BM1417" s="28" t="n">
        <v>0.829932</v>
      </c>
      <c r="BN1417" s="28" t="n"/>
      <c r="BO1417" s="28" t="n"/>
      <c r="BP1417" s="25" t="n"/>
      <c r="BQ1417" s="27" t="n">
        <v>1.204918</v>
      </c>
      <c r="BR1417" s="28" t="n">
        <v>0.83</v>
      </c>
      <c r="BS1417" s="28" t="n"/>
      <c r="BT1417" s="28" t="n"/>
      <c r="BU1417" s="25" t="n"/>
      <c r="BV1417" s="29" t="n"/>
      <c r="BW1417" s="24" t="n"/>
      <c r="BX1417" s="30" t="n"/>
      <c r="BY1417" s="27" t="n"/>
      <c r="BZ1417" s="24" t="n"/>
      <c r="CA1417" s="31" t="n"/>
      <c r="CB1417" s="24" t="n"/>
      <c r="CC1417" s="24" t="n"/>
      <c r="CD1417" s="24" t="n"/>
      <c r="CE1417" s="24" t="n"/>
      <c r="CF1417" s="24" t="n"/>
      <c r="CG1417" s="24" t="n"/>
      <c r="CH1417" s="24" t="n"/>
      <c r="CI1417" s="24" t="n"/>
      <c r="CJ1417" s="24" t="n"/>
      <c r="CK1417" s="24" t="n"/>
      <c r="CL1417" s="24" t="n"/>
      <c r="CM1417" s="24" t="n"/>
      <c r="CN1417" s="24" t="n"/>
      <c r="CO1417" s="24" t="n"/>
      <c r="CP1417" s="24" t="n"/>
      <c r="CQ1417" s="24" t="n"/>
      <c r="CR1417" s="24" t="n"/>
      <c r="CS1417" s="24" t="inlineStr">
        <is>
          <t>False</t>
        </is>
      </c>
      <c r="CT1417" s="24" t="n"/>
      <c r="CU1417" s="24" t="n"/>
      <c r="CV1417" s="24" t="n"/>
      <c r="CW1417" s="24" t="n"/>
      <c r="CX1417" s="24" t="n"/>
      <c r="CY1417" s="24" t="n"/>
      <c r="CZ1417" s="24" t="n"/>
      <c r="DA1417" s="24" t="n"/>
      <c r="DB1417" s="24" t="n"/>
      <c r="DC1417" s="24" t="n"/>
      <c r="DD1417" s="24" t="inlineStr">
        <is>
          <t>70b769b50b9038d296ce5c5d6b15548e207f17b8f60b1452df68a5511d30c76b</t>
        </is>
      </c>
      <c r="DE1417" s="24" t="inlineStr">
        <is>
          <t>E:\model-prediction\data\odds\tennis\2026-10-13\polymarket_snapshots.jsonl</t>
        </is>
      </c>
      <c r="DF1417" s="24" t="inlineStr">
        <is>
          <t>1395618:2026-10-13T05:03:46.213610Z</t>
        </is>
      </c>
      <c r="DG1417" s="24" t="n"/>
      <c r="DH1417" s="24" t="n"/>
      <c r="DI1417" s="24" t="n"/>
      <c r="DJ1417" s="24" t="n"/>
      <c r="DK1417" s="24" t="n"/>
      <c r="DL1417" s="24" t="n"/>
      <c r="DM1417" s="24" t="n"/>
      <c r="DN1417" s="24" t="n"/>
      <c r="DO1417" s="24" t="n"/>
      <c r="DP1417" s="24" t="n"/>
      <c r="DQ1417" s="24" t="inlineStr">
        <is>
          <t>{"artifact_hash": "7443acc419841200d57e1edf36b77f1940cdd0c48dce3d43fcd05498a109440b", "away_team": "Mathilde Lollia", "event_id": "1079-2026:185401", "event_start_utc": "2026-10-13T10:00Z", "features": {"elo_p1_surface": 1528.8, "elo_p2_surface": 1536.2, "expected_games_p1": 8.5, "expected_games_p2": 13.2, "expected_total_games": 21.7, "history_matches": 16744, "min_player_matches": 5, "surface": "Hard"}, "historical_source_observation_times_verified": false, "home_team": "Darja Semenistaja", "inference_inputs": {"best_of": 3, "code_sha256": {"features/elo_ratings.py": "d6513e79d65448c06cc0f9b9eed0eaa091567835128e1f6647a310da8d78a872", "models/tennis.py": "7443acc419841200d57e1edf36b77f1940cdd0c48dce3d43fcd05498a109440b"}, "counts": [5, 156], "market_probability": null, "model_version": "tennis-learned-v3", "overall_ratings": [1556.3663685623503, 1512.0848693438618], "p_serve_a": 0.5367931335242416, "p_serve_b": 0.6432068664757583, "players": ["Mathilde Lollia", "Darja Semenistaja"], "rest_days": [0.0, 26.0], "sport": "TENNIS", "surface": "Hard", "surface_counts": [5, 131], "surface_ratings": [1528.7688535201567, 1536.2426557416502], "tour": "WTA"}, "market_type": "moneyline", "model_version": "tennis-learned-v3", "observed_at_utc": "2026-10-13T05:49:19.315977+00:00", "probabilities": {"away": 0.3241, "home": 0.6759}, "replay_scope": "Exact full-precision serving state and rounding; upstream historical observation times are not certified.", "schema": "coded-moneyline-replay-v1", "snapshot_hash": "05320666cb4336f99b94cfb5807103dde595fcac2be48e765885303ff7d8e943", "sport": "TENNIS"}</t>
        </is>
      </c>
    </row>
    <row r="1418" ht="36" customHeight="1">
      <c r="A1418" s="24" t="inlineStr">
        <is>
          <t>5c0bed8773d24880</t>
        </is>
      </c>
      <c r="B1418" s="24" t="inlineStr">
        <is>
          <t>2026-10-13T05:49:22.014322Z</t>
        </is>
      </c>
      <c r="C1418" s="24" t="inlineStr">
        <is>
          <t>2026-10-13T10:00Z</t>
        </is>
      </c>
      <c r="D1418" s="24" t="inlineStr">
        <is>
          <t>1079-2026:185401</t>
        </is>
      </c>
      <c r="E1418" s="24" t="inlineStr">
        <is>
          <t>TENNIS</t>
        </is>
      </c>
      <c r="F1418" s="24" t="inlineStr">
        <is>
          <t>Mathilde Lollia</t>
        </is>
      </c>
      <c r="G1418" s="24" t="inlineStr">
        <is>
          <t>Darja Semenistaja</t>
        </is>
      </c>
      <c r="H1418" s="24" t="inlineStr">
        <is>
          <t>spread</t>
        </is>
      </c>
      <c r="I1418" s="24" t="inlineStr">
        <is>
          <t>away</t>
        </is>
      </c>
      <c r="J1418" s="25" t="n">
        <v>-7.5</v>
      </c>
      <c r="K1418" s="24" t="inlineStr">
        <is>
          <t>polymarket_us</t>
        </is>
      </c>
      <c r="L1418" s="26" t="n">
        <v>-213</v>
      </c>
      <c r="M1418" s="27" t="n">
        <v>1.469484</v>
      </c>
      <c r="N1418" s="28" t="n">
        <v>0.680511</v>
      </c>
      <c r="O1418" s="28" t="n">
        <v>0.8362000000000001</v>
      </c>
      <c r="P1418" s="28" t="n">
        <v>0.05</v>
      </c>
      <c r="Q1418" s="28" t="n">
        <v>0.155689</v>
      </c>
      <c r="R1418" s="26" t="n">
        <v>98</v>
      </c>
      <c r="S1418" s="29" t="n">
        <v>1.75</v>
      </c>
      <c r="T1418" s="24" t="inlineStr">
        <is>
          <t>tennis-learned-v3</t>
        </is>
      </c>
      <c r="U1418" s="24" t="inlineStr">
        <is>
          <t>settled</t>
        </is>
      </c>
      <c r="V1418" s="24" t="inlineStr">
        <is>
          <t>loss</t>
        </is>
      </c>
      <c r="W1418" s="26" t="n">
        <v>18</v>
      </c>
      <c r="X1418" s="26" t="n">
        <v>15</v>
      </c>
      <c r="Y1418" s="25" t="n"/>
      <c r="Z1418" s="26" t="n"/>
      <c r="AA1418" s="28" t="n"/>
      <c r="AB1418" s="28" t="n"/>
      <c r="AC1418" s="30" t="n">
        <v>-1.75</v>
      </c>
      <c r="AD1418" s="24" t="inlineStr">
        <is>
          <t>2026-10-13T16:10:38.816610Z</t>
        </is>
      </c>
      <c r="AE1418" s="31" t="inlineStr">
        <is>
          <t>Tennis Markov game spread -7.5 games: away cover p=0.836. Executable ask 0.6800 (asc-wta-darsem-matlol-2026-10-13-gs-neg-7pt5).</t>
        </is>
      </c>
      <c r="AF1418" s="31" t="inlineStr">
        <is>
          <t>Surface-blended Elo model; singles only, WTA+ATP market coverage, not yet locked-holdout qualified -- promoted by explicit operator directive, not genuine walk-forward validation.</t>
        </is>
      </c>
      <c r="AG1418" s="24" t="inlineStr">
        <is>
          <t>review_required</t>
        </is>
      </c>
      <c r="AH1418" s="24" t="n"/>
      <c r="AI1418" s="31" t="n"/>
      <c r="AJ1418" s="31" t="n"/>
      <c r="AK1418" s="24" t="inlineStr">
        <is>
          <t>paper_call</t>
        </is>
      </c>
      <c r="AL1418" s="26" t="n">
        <v>4</v>
      </c>
      <c r="AM1418" s="24" t="inlineStr">
        <is>
          <t>RESEARCH_OBSERVATION</t>
        </is>
      </c>
      <c r="AN1418" s="24" t="inlineStr">
        <is>
          <t>CALL</t>
        </is>
      </c>
      <c r="AO1418" s="24" t="inlineStr">
        <is>
          <t>PAPER_CALL_MODEL_UNVALIDATED</t>
        </is>
      </c>
      <c r="AP1418" s="24" t="inlineStr">
        <is>
          <t>Mathilde Lollia</t>
        </is>
      </c>
      <c r="AQ1418" s="24" t="inlineStr">
        <is>
          <t>Mathilde Lollia</t>
        </is>
      </c>
      <c r="AR1418" s="24" t="inlineStr">
        <is>
          <t>Mathilde Lollia</t>
        </is>
      </c>
      <c r="AS1418" s="24" t="inlineStr">
        <is>
          <t>Darja Semenistaja</t>
        </is>
      </c>
      <c r="AT1418" s="24" t="inlineStr">
        <is>
          <t>Darja Semenistaja</t>
        </is>
      </c>
      <c r="AU1418" s="24" t="inlineStr">
        <is>
          <t>Darja Semenistaja</t>
        </is>
      </c>
      <c r="AV1418" s="24" t="n"/>
      <c r="AW1418" s="24" t="n"/>
      <c r="AX1418" s="24" t="inlineStr">
        <is>
          <t>statistical_model</t>
        </is>
      </c>
      <c r="AY1418" s="24" t="n"/>
      <c r="AZ1418" s="24" t="inlineStr">
        <is>
          <t>shadow_qualified</t>
        </is>
      </c>
      <c r="BA1418" s="24" t="inlineStr">
        <is>
          <t>7443acc419841200d57e1edf36b77f1940cdd0c48dce3d43fcd05498a109440b</t>
        </is>
      </c>
      <c r="BB1418" s="24" t="inlineStr">
        <is>
          <t>learned_v3</t>
        </is>
      </c>
      <c r="BC1418" s="24" t="inlineStr">
        <is>
          <t>tennis-learned-v3</t>
        </is>
      </c>
      <c r="BD1418" s="24" t="inlineStr">
        <is>
          <t>7443acc419841200d57e1edf36b77f1940cdd0c48dce3d43fcd05498a109440b</t>
        </is>
      </c>
      <c r="BE1418" s="24" t="inlineStr">
        <is>
          <t>tennis-learned-v3</t>
        </is>
      </c>
      <c r="BF1418" s="24" t="inlineStr">
        <is>
          <t>1</t>
        </is>
      </c>
      <c r="BG1418" s="24" t="inlineStr">
        <is>
          <t>7443acc419841200d57e1edf36b77f1940cdd0c48dce3d43fcd05498a109440b</t>
        </is>
      </c>
      <c r="BH1418" s="24" t="inlineStr">
        <is>
          <t>2026-10-13T05:03:46.216146Z</t>
        </is>
      </c>
      <c r="BI1418" s="24" t="inlineStr">
        <is>
          <t>["same_event","same_team_same_day","same_league_same_day"]</t>
        </is>
      </c>
      <c r="BJ1418" s="25" t="n">
        <v>-7.5</v>
      </c>
      <c r="BK1418" s="26" t="n">
        <v>-213</v>
      </c>
      <c r="BL1418" s="27" t="n">
        <v>1.469484</v>
      </c>
      <c r="BM1418" s="28" t="n">
        <v>0.680511</v>
      </c>
      <c r="BN1418" s="28" t="n"/>
      <c r="BO1418" s="28" t="n"/>
      <c r="BP1418" s="25" t="n"/>
      <c r="BQ1418" s="27" t="n"/>
      <c r="BR1418" s="28" t="n"/>
      <c r="BS1418" s="28" t="n"/>
      <c r="BT1418" s="28" t="n"/>
      <c r="BU1418" s="25" t="n"/>
      <c r="BV1418" s="29" t="n"/>
      <c r="BW1418" s="24" t="n"/>
      <c r="BX1418" s="30" t="n"/>
      <c r="BY1418" s="27" t="n"/>
      <c r="BZ1418" s="24" t="n"/>
      <c r="CA1418" s="31" t="n"/>
      <c r="CB1418" s="24" t="n"/>
      <c r="CC1418" s="24" t="n"/>
      <c r="CD1418" s="24" t="n"/>
      <c r="CE1418" s="24" t="n"/>
      <c r="CF1418" s="24" t="n"/>
      <c r="CG1418" s="24" t="n"/>
      <c r="CH1418" s="24" t="n"/>
      <c r="CI1418" s="24" t="n"/>
      <c r="CJ1418" s="24" t="n"/>
      <c r="CK1418" s="24" t="n"/>
      <c r="CL1418" s="24" t="n"/>
      <c r="CM1418" s="24" t="n"/>
      <c r="CN1418" s="24" t="n"/>
      <c r="CO1418" s="24" t="n"/>
      <c r="CP1418" s="24" t="n"/>
      <c r="CQ1418" s="24" t="n"/>
      <c r="CR1418" s="24" t="n"/>
      <c r="CS1418" s="24" t="inlineStr">
        <is>
          <t>True</t>
        </is>
      </c>
      <c r="CT1418" s="24" t="n"/>
      <c r="CU1418" s="24" t="n"/>
      <c r="CV1418" s="24" t="n"/>
      <c r="CW1418" s="24" t="n"/>
      <c r="CX1418" s="24" t="n"/>
      <c r="CY1418" s="24" t="n"/>
      <c r="CZ1418" s="24" t="n"/>
      <c r="DA1418" s="24" t="n"/>
      <c r="DB1418" s="24" t="n"/>
      <c r="DC1418" s="24" t="n"/>
      <c r="DD1418" s="24" t="inlineStr">
        <is>
          <t>bd351e3fed250610ea5f5ce6e23a29a842bd6abfe677980e4d15d85623f73453</t>
        </is>
      </c>
      <c r="DE1418" s="24" t="inlineStr">
        <is>
          <t>E:\model-prediction\data\odds\tennis\2026-10-13\polymarket_snapshots.jsonl</t>
        </is>
      </c>
      <c r="DF1418" s="24" t="inlineStr">
        <is>
          <t>1395802:2026-10-13T05:03:46.216146Z</t>
        </is>
      </c>
      <c r="DG1418" s="24" t="n"/>
      <c r="DH1418" s="24" t="n"/>
      <c r="DI1418" s="24" t="n"/>
      <c r="DJ1418" s="24" t="n"/>
      <c r="DK1418" s="24" t="n"/>
      <c r="DL1418" s="24" t="n"/>
      <c r="DM1418" s="24" t="n"/>
      <c r="DN1418" s="24" t="n"/>
      <c r="DO1418" s="24" t="n"/>
      <c r="DP1418" s="24" t="n"/>
      <c r="DQ1418" s="24" t="n"/>
    </row>
    <row r="1419" ht="36" customHeight="1">
      <c r="A1419" s="24" t="inlineStr">
        <is>
          <t>4dffbbbc69824f28</t>
        </is>
      </c>
      <c r="B1419" s="24" t="inlineStr">
        <is>
          <t>2026-10-13T05:49:22.014322Z</t>
        </is>
      </c>
      <c r="C1419" s="24" t="inlineStr">
        <is>
          <t>2026-10-13T10:00Z</t>
        </is>
      </c>
      <c r="D1419" s="24" t="inlineStr">
        <is>
          <t>1079-2026:185401</t>
        </is>
      </c>
      <c r="E1419" s="24" t="inlineStr">
        <is>
          <t>TENNIS</t>
        </is>
      </c>
      <c r="F1419" s="24" t="inlineStr">
        <is>
          <t>Mathilde Lollia</t>
        </is>
      </c>
      <c r="G1419" s="24" t="inlineStr">
        <is>
          <t>Darja Semenistaja</t>
        </is>
      </c>
      <c r="H1419" s="24" t="inlineStr">
        <is>
          <t>total</t>
        </is>
      </c>
      <c r="I1419" s="24" t="inlineStr">
        <is>
          <t>under</t>
        </is>
      </c>
      <c r="J1419" s="25" t="n">
        <v>27.5</v>
      </c>
      <c r="K1419" s="24" t="inlineStr">
        <is>
          <t>polymarket_us</t>
        </is>
      </c>
      <c r="L1419" s="26" t="n">
        <v>-9900</v>
      </c>
      <c r="M1419" s="27" t="n">
        <v>1.010101</v>
      </c>
      <c r="N1419" s="28" t="n">
        <v>0.99</v>
      </c>
      <c r="O1419" s="28" t="n">
        <v>0.8100000000000001</v>
      </c>
      <c r="P1419" s="28" t="n">
        <v>0.05</v>
      </c>
      <c r="Q1419" s="28" t="n">
        <v>-0.18</v>
      </c>
      <c r="R1419" s="26" t="n">
        <v>0</v>
      </c>
      <c r="S1419" s="29" t="n">
        <v>1</v>
      </c>
      <c r="T1419" s="24" t="inlineStr">
        <is>
          <t>tennis-learned-v3</t>
        </is>
      </c>
      <c r="U1419" s="24" t="inlineStr">
        <is>
          <t>settled</t>
        </is>
      </c>
      <c r="V1419" s="24" t="inlineStr">
        <is>
          <t>loss</t>
        </is>
      </c>
      <c r="W1419" s="26" t="n">
        <v>18</v>
      </c>
      <c r="X1419" s="26" t="n">
        <v>15</v>
      </c>
      <c r="Y1419" s="25" t="n"/>
      <c r="Z1419" s="26" t="n"/>
      <c r="AA1419" s="28" t="n"/>
      <c r="AB1419" s="28" t="n"/>
      <c r="AC1419" s="30" t="n">
        <v>-1</v>
      </c>
      <c r="AD1419" s="24" t="inlineStr">
        <is>
          <t>2026-10-13T16:10:44.477284Z</t>
        </is>
      </c>
      <c r="AE1419" s="31" t="inlineStr">
        <is>
          <t>Tennis Markov total games line 27.5: under p=0.810. Executable ask 0.9900 (tsc-wta-darsem-matlol-2026-10-13-tg-27pt5).</t>
        </is>
      </c>
      <c r="AF1419" s="31" t="inlineStr">
        <is>
          <t>Surface-blended Elo model; singles only, WTA+ATP market coverage, not yet locked-holdout qualified -- promoted by explicit operator directive, not genuine walk-forward validation.</t>
        </is>
      </c>
      <c r="AG1419" s="24" t="inlineStr">
        <is>
          <t>review_required</t>
        </is>
      </c>
      <c r="AH1419" s="24" t="n"/>
      <c r="AI1419" s="31" t="n"/>
      <c r="AJ1419" s="31" t="n"/>
      <c r="AK1419" s="24" t="inlineStr">
        <is>
          <t>paper_call</t>
        </is>
      </c>
      <c r="AL1419" s="26" t="n">
        <v>4</v>
      </c>
      <c r="AM1419" s="24" t="inlineStr">
        <is>
          <t>RESEARCH_OBSERVATION</t>
        </is>
      </c>
      <c r="AN1419" s="24" t="inlineStr">
        <is>
          <t>CALL</t>
        </is>
      </c>
      <c r="AO1419" s="24" t="inlineStr">
        <is>
          <t>PAPER_CALL_MODEL_UNVALIDATED</t>
        </is>
      </c>
      <c r="AP1419" s="24" t="inlineStr">
        <is>
          <t>Mathilde Lollia</t>
        </is>
      </c>
      <c r="AQ1419" s="24" t="inlineStr">
        <is>
          <t>Mathilde Lollia</t>
        </is>
      </c>
      <c r="AR1419" s="24" t="inlineStr">
        <is>
          <t>Mathilde Lollia</t>
        </is>
      </c>
      <c r="AS1419" s="24" t="inlineStr">
        <is>
          <t>Darja Semenistaja</t>
        </is>
      </c>
      <c r="AT1419" s="24" t="inlineStr">
        <is>
          <t>Darja Semenistaja</t>
        </is>
      </c>
      <c r="AU1419" s="24" t="inlineStr">
        <is>
          <t>Darja Semenistaja</t>
        </is>
      </c>
      <c r="AV1419" s="24" t="n"/>
      <c r="AW1419" s="24" t="n"/>
      <c r="AX1419" s="24" t="inlineStr">
        <is>
          <t>statistical_model</t>
        </is>
      </c>
      <c r="AY1419" s="24" t="n"/>
      <c r="AZ1419" s="24" t="inlineStr">
        <is>
          <t>shadow_qualified</t>
        </is>
      </c>
      <c r="BA1419" s="24" t="inlineStr">
        <is>
          <t>7443acc419841200d57e1edf36b77f1940cdd0c48dce3d43fcd05498a109440b</t>
        </is>
      </c>
      <c r="BB1419" s="24" t="inlineStr">
        <is>
          <t>learned_v3</t>
        </is>
      </c>
      <c r="BC1419" s="24" t="inlineStr">
        <is>
          <t>tennis-learned-v3</t>
        </is>
      </c>
      <c r="BD1419" s="24" t="inlineStr">
        <is>
          <t>7443acc419841200d57e1edf36b77f1940cdd0c48dce3d43fcd05498a109440b</t>
        </is>
      </c>
      <c r="BE1419" s="24" t="inlineStr">
        <is>
          <t>tennis-learned-v3</t>
        </is>
      </c>
      <c r="BF1419" s="24" t="inlineStr">
        <is>
          <t>1</t>
        </is>
      </c>
      <c r="BG1419" s="24" t="inlineStr">
        <is>
          <t>7443acc419841200d57e1edf36b77f1940cdd0c48dce3d43fcd05498a109440b</t>
        </is>
      </c>
      <c r="BH1419" s="24" t="inlineStr">
        <is>
          <t>2026-10-13T05:03:36.144670Z</t>
        </is>
      </c>
      <c r="BI1419" s="24" t="inlineStr">
        <is>
          <t>["same_event","same_team_same_day","same_league_same_day"]</t>
        </is>
      </c>
      <c r="BJ1419" s="25" t="n">
        <v>27.5</v>
      </c>
      <c r="BK1419" s="26" t="n">
        <v>-9900</v>
      </c>
      <c r="BL1419" s="27" t="n">
        <v>1.010101</v>
      </c>
      <c r="BM1419" s="28" t="n">
        <v>0.99</v>
      </c>
      <c r="BN1419" s="28" t="n"/>
      <c r="BO1419" s="28" t="n"/>
      <c r="BP1419" s="25" t="n"/>
      <c r="BQ1419" s="27" t="n"/>
      <c r="BR1419" s="28" t="n"/>
      <c r="BS1419" s="28" t="n"/>
      <c r="BT1419" s="28" t="n"/>
      <c r="BU1419" s="25" t="n"/>
      <c r="BV1419" s="29" t="n"/>
      <c r="BW1419" s="24" t="n"/>
      <c r="BX1419" s="30" t="n"/>
      <c r="BY1419" s="27" t="n"/>
      <c r="BZ1419" s="24" t="n"/>
      <c r="CA1419" s="31" t="n"/>
      <c r="CB1419" s="24" t="n"/>
      <c r="CC1419" s="24" t="n"/>
      <c r="CD1419" s="24" t="n"/>
      <c r="CE1419" s="24" t="n"/>
      <c r="CF1419" s="24" t="n"/>
      <c r="CG1419" s="24" t="n"/>
      <c r="CH1419" s="24" t="n"/>
      <c r="CI1419" s="24" t="n"/>
      <c r="CJ1419" s="24" t="n"/>
      <c r="CK1419" s="24" t="n"/>
      <c r="CL1419" s="24" t="n"/>
      <c r="CM1419" s="24" t="n"/>
      <c r="CN1419" s="24" t="n"/>
      <c r="CO1419" s="24" t="n"/>
      <c r="CP1419" s="24" t="n"/>
      <c r="CQ1419" s="24" t="n"/>
      <c r="CR1419" s="24" t="n"/>
      <c r="CS1419" s="24" t="inlineStr">
        <is>
          <t>False</t>
        </is>
      </c>
      <c r="CT1419" s="24" t="n"/>
      <c r="CU1419" s="24" t="n"/>
      <c r="CV1419" s="24" t="n"/>
      <c r="CW1419" s="24" t="n"/>
      <c r="CX1419" s="24" t="n"/>
      <c r="CY1419" s="24" t="n"/>
      <c r="CZ1419" s="24" t="n"/>
      <c r="DA1419" s="24" t="n"/>
      <c r="DB1419" s="24" t="n"/>
      <c r="DC1419" s="24" t="n"/>
      <c r="DD1419" s="24" t="inlineStr">
        <is>
          <t>4e08314c43d60c84f8d0b64a54ee42c2bd48964fe2c0450e22f0c39132d0f016</t>
        </is>
      </c>
      <c r="DE1419" s="24" t="inlineStr">
        <is>
          <t>E:\model-prediction\data\odds\tennis\2026-10-13\polymarket_snapshots.jsonl</t>
        </is>
      </c>
      <c r="DF1419" s="24" t="inlineStr">
        <is>
          <t>1395786:2026-10-13T05:03:36.144670Z</t>
        </is>
      </c>
      <c r="DG1419" s="24" t="n"/>
      <c r="DH1419" s="24" t="n"/>
      <c r="DI1419" s="24" t="n"/>
      <c r="DJ1419" s="24" t="n"/>
      <c r="DK1419" s="24" t="n"/>
      <c r="DL1419" s="24" t="n"/>
      <c r="DM1419" s="24" t="n"/>
      <c r="DN1419" s="24" t="n"/>
      <c r="DO1419" s="24" t="n"/>
      <c r="DP1419" s="24" t="n"/>
      <c r="DQ1419" s="24" t="n"/>
    </row>
    <row r="1420" ht="36" customHeight="1">
      <c r="A1420" s="24" t="inlineStr">
        <is>
          <t>1cdd99536f4348cb</t>
        </is>
      </c>
      <c r="B1420" s="24" t="inlineStr">
        <is>
          <t>2026-10-13T05:49:22.014322Z</t>
        </is>
      </c>
      <c r="C1420" s="24" t="inlineStr">
        <is>
          <t>2026-10-13T10:00Z</t>
        </is>
      </c>
      <c r="D1420" s="24" t="inlineStr">
        <is>
          <t>1079-2026:185398</t>
        </is>
      </c>
      <c r="E1420" s="24" t="inlineStr">
        <is>
          <t>TENNIS</t>
        </is>
      </c>
      <c r="F1420" s="24" t="inlineStr">
        <is>
          <t>Matilde Jorge</t>
        </is>
      </c>
      <c r="G1420" s="24" t="inlineStr">
        <is>
          <t>Lisa Zaar</t>
        </is>
      </c>
      <c r="H1420" s="24" t="inlineStr">
        <is>
          <t>moneyline</t>
        </is>
      </c>
      <c r="I1420" s="24" t="inlineStr">
        <is>
          <t>away</t>
        </is>
      </c>
      <c r="J1420" s="25" t="n"/>
      <c r="K1420" s="24" t="inlineStr">
        <is>
          <t>polymarket_us</t>
        </is>
      </c>
      <c r="L1420" s="26" t="n">
        <v>178</v>
      </c>
      <c r="M1420" s="27" t="n">
        <v>2.78</v>
      </c>
      <c r="N1420" s="28" t="n">
        <v>0.359712</v>
      </c>
      <c r="O1420" s="28" t="n">
        <v>0.5994</v>
      </c>
      <c r="P1420" s="28" t="n">
        <v>0.05</v>
      </c>
      <c r="Q1420" s="28" t="n">
        <v>0.239688</v>
      </c>
      <c r="R1420" s="26" t="n">
        <v>100</v>
      </c>
      <c r="S1420" s="29" t="n">
        <v>2</v>
      </c>
      <c r="T1420" s="24" t="inlineStr">
        <is>
          <t>tennis-learned-v3</t>
        </is>
      </c>
      <c r="U1420" s="24" t="inlineStr">
        <is>
          <t>settled</t>
        </is>
      </c>
      <c r="V1420" s="24" t="inlineStr">
        <is>
          <t>win</t>
        </is>
      </c>
      <c r="W1420" s="26" t="n">
        <v>1</v>
      </c>
      <c r="X1420" s="26" t="n">
        <v>0</v>
      </c>
      <c r="Y1420" s="25" t="n"/>
      <c r="Z1420" s="26" t="n">
        <v>178</v>
      </c>
      <c r="AA1420" s="28" t="n">
        <v>0.36</v>
      </c>
      <c r="AB1420" s="28" t="n">
        <v>0.000288</v>
      </c>
      <c r="AC1420" s="30" t="n">
        <v>3.56</v>
      </c>
      <c r="AD1420" s="24" t="inlineStr">
        <is>
          <t>2026-10-13T16:10:49.810548Z</t>
        </is>
      </c>
      <c r="AE1420" s="31" t="inlineStr">
        <is>
          <t>Tennis v3 Learned Fundamental on Hard (Bo3): Matilde Jorge p=0.599 vs Lisa Zaar. Executable ask 0.3600 (aec-wta-liszaa-matjor-2026-10-12).</t>
        </is>
      </c>
      <c r="AF1420" s="31" t="inlineStr">
        <is>
          <t>Surface-blended Elo model; singles only, WTA+ATP market coverage, not yet locked-holdout qualified -- promoted by explicit operator directive, not genuine walk-forward validation.</t>
        </is>
      </c>
      <c r="AG1420" s="24" t="inlineStr">
        <is>
          <t>not_applicable</t>
        </is>
      </c>
      <c r="AH1420" s="24" t="n"/>
      <c r="AI1420" s="31" t="n"/>
      <c r="AJ1420" s="31" t="n"/>
      <c r="AK1420" s="24" t="inlineStr">
        <is>
          <t>model_qualified</t>
        </is>
      </c>
      <c r="AL1420" s="26" t="n">
        <v>4</v>
      </c>
      <c r="AM1420" s="24" t="inlineStr">
        <is>
          <t>QUALIFIED_SHADOW_CALL</t>
        </is>
      </c>
      <c r="AN1420" s="24" t="inlineStr">
        <is>
          <t>CALL</t>
        </is>
      </c>
      <c r="AO1420" s="24" t="inlineStr">
        <is>
          <t>QUALIFIED</t>
        </is>
      </c>
      <c r="AP1420" s="24" t="inlineStr">
        <is>
          <t>Matilde Jorge</t>
        </is>
      </c>
      <c r="AQ1420" s="24" t="inlineStr">
        <is>
          <t>Matilde Jorge</t>
        </is>
      </c>
      <c r="AR1420" s="24" t="inlineStr">
        <is>
          <t>Matilde Jorge</t>
        </is>
      </c>
      <c r="AS1420" s="24" t="inlineStr">
        <is>
          <t>Lisa Zaar</t>
        </is>
      </c>
      <c r="AT1420" s="24" t="inlineStr">
        <is>
          <t>Lisa Zaar</t>
        </is>
      </c>
      <c r="AU1420" s="24" t="inlineStr">
        <is>
          <t>Lisa Zaar</t>
        </is>
      </c>
      <c r="AV1420" s="24" t="n"/>
      <c r="AW1420" s="24" t="n"/>
      <c r="AX1420" s="24" t="inlineStr">
        <is>
          <t>statistical_model</t>
        </is>
      </c>
      <c r="AY1420" s="24" t="n"/>
      <c r="AZ1420" s="24" t="inlineStr">
        <is>
          <t>shadow_qualified</t>
        </is>
      </c>
      <c r="BA1420" s="24" t="inlineStr">
        <is>
          <t>7443acc419841200d57e1edf36b77f1940cdd0c48dce3d43fcd05498a109440b</t>
        </is>
      </c>
      <c r="BB1420" s="24" t="inlineStr">
        <is>
          <t>learned_v3</t>
        </is>
      </c>
      <c r="BC1420" s="24" t="inlineStr">
        <is>
          <t>tennis-learned-v3</t>
        </is>
      </c>
      <c r="BD1420" s="24" t="inlineStr">
        <is>
          <t>7443acc419841200d57e1edf36b77f1940cdd0c48dce3d43fcd05498a109440b</t>
        </is>
      </c>
      <c r="BE1420" s="24" t="inlineStr">
        <is>
          <t>tennis-learned-v3</t>
        </is>
      </c>
      <c r="BF1420" s="24" t="inlineStr">
        <is>
          <t>1</t>
        </is>
      </c>
      <c r="BG1420" s="24" t="inlineStr">
        <is>
          <t>7443acc419841200d57e1edf36b77f1940cdd0c48dce3d43fcd05498a109440b</t>
        </is>
      </c>
      <c r="BH1420" s="24" t="inlineStr">
        <is>
          <t>2026-10-13T05:03:04.974756Z</t>
        </is>
      </c>
      <c r="BI1420" s="24" t="inlineStr">
        <is>
          <t>["same_event","same_team_same_day","same_league_same_day"]</t>
        </is>
      </c>
      <c r="BJ1420" s="25" t="n"/>
      <c r="BK1420" s="26" t="n">
        <v>178</v>
      </c>
      <c r="BL1420" s="27" t="n">
        <v>2.78</v>
      </c>
      <c r="BM1420" s="28" t="n">
        <v>0.359712</v>
      </c>
      <c r="BN1420" s="28" t="n"/>
      <c r="BO1420" s="28" t="n"/>
      <c r="BP1420" s="25" t="n"/>
      <c r="BQ1420" s="27" t="n">
        <v>2.78</v>
      </c>
      <c r="BR1420" s="28" t="n">
        <v>0.36</v>
      </c>
      <c r="BS1420" s="28" t="n"/>
      <c r="BT1420" s="28" t="n"/>
      <c r="BU1420" s="25" t="n"/>
      <c r="BV1420" s="29" t="n"/>
      <c r="BW1420" s="24" t="n"/>
      <c r="BX1420" s="30" t="n"/>
      <c r="BY1420" s="27" t="n"/>
      <c r="BZ1420" s="24" t="n"/>
      <c r="CA1420" s="31" t="n"/>
      <c r="CB1420" s="24" t="n"/>
      <c r="CC1420" s="24" t="n"/>
      <c r="CD1420" s="24" t="n"/>
      <c r="CE1420" s="24" t="n"/>
      <c r="CF1420" s="24" t="n"/>
      <c r="CG1420" s="24" t="n"/>
      <c r="CH1420" s="24" t="n"/>
      <c r="CI1420" s="24" t="n"/>
      <c r="CJ1420" s="24" t="n"/>
      <c r="CK1420" s="24" t="n"/>
      <c r="CL1420" s="24" t="n"/>
      <c r="CM1420" s="24" t="n"/>
      <c r="CN1420" s="24" t="n"/>
      <c r="CO1420" s="24" t="n"/>
      <c r="CP1420" s="24" t="n"/>
      <c r="CQ1420" s="24" t="n"/>
      <c r="CR1420" s="24" t="n"/>
      <c r="CS1420" s="24" t="inlineStr">
        <is>
          <t>True</t>
        </is>
      </c>
      <c r="CT1420" s="24" t="n"/>
      <c r="CU1420" s="24" t="n"/>
      <c r="CV1420" s="24" t="n"/>
      <c r="CW1420" s="24" t="n"/>
      <c r="CX1420" s="24" t="n"/>
      <c r="CY1420" s="24" t="n"/>
      <c r="CZ1420" s="24" t="n"/>
      <c r="DA1420" s="24" t="n"/>
      <c r="DB1420" s="24" t="n"/>
      <c r="DC1420" s="24" t="n"/>
      <c r="DD1420" s="24" t="inlineStr">
        <is>
          <t>339734ca3b23fdeffaed5b8f77bb5f06f2e448010b9603cc0ad40649036d5cba</t>
        </is>
      </c>
      <c r="DE1420" s="24" t="inlineStr">
        <is>
          <t>E:\model-prediction\data\odds\tennis\2026-10-13\polymarket_snapshots.jsonl</t>
        </is>
      </c>
      <c r="DF1420" s="24" t="inlineStr">
        <is>
          <t>1368288:2026-10-13T05:03:04.974756Z</t>
        </is>
      </c>
      <c r="DG1420" s="24" t="n"/>
      <c r="DH1420" s="24" t="n"/>
      <c r="DI1420" s="24" t="n"/>
      <c r="DJ1420" s="24" t="n"/>
      <c r="DK1420" s="24" t="n"/>
      <c r="DL1420" s="24" t="n"/>
      <c r="DM1420" s="24" t="n"/>
      <c r="DN1420" s="24" t="n"/>
      <c r="DO1420" s="24" t="n"/>
      <c r="DP1420" s="24" t="n"/>
      <c r="DQ1420" s="24" t="inlineStr">
        <is>
          <t>{"artifact_hash": "7443acc419841200d57e1edf36b77f1940cdd0c48dce3d43fcd05498a109440b", "away_team": "Matilde Jorge", "event_id": "1079-2026:185398", "event_start_utc": "2026-10-13T10:00Z", "features": {"elo_p1_surface": 1487.1, "elo_p2_surface": 1471.5, "expected_games_p1": 13.43, "expected_games_p2": 10.08, "expected_total_games": 23.51, "history_matches": 16744, "min_player_matches": 12, "surface": "Hard"}, "historical_source_observation_times_verified": false, "home_team": "Lisa Zaar", "inference_inputs": {"best_of": 3, "code_sha256": {"features/elo_ratings.py": "d6513e79d65448c06cc0f9b9eed0eaa091567835128e1f6647a310da8d78a872", "models/tennis.py": "7443acc419841200d57e1edf36b77f1940cdd0c48dce3d43fcd05498a109440b"}, "counts": [22, 12], "market_probability": null, "model_version": "tennis-learned-v3", "overall_ratings": [1484.2207279155912, 1440.4150421177553], "p_serve_a": 0.6191646294358031, "p_serve_b": 0.5608353705641969, "players": ["Matilde Jorge", "Lisa Zaar"], "rest_days": [19.0, 21.0], "sport": "TENNIS", "surface": "Hard", "surface_counts": [20, 11], "surface_ratings": [1487.0737618732344, 1471.5251209273465], "tour": "WTA"}, "market_type": "moneyline", "model_version": "tennis-learned-v3", "observed_at_utc": "2026-10-13T05:49:19.315977+00:00", "probabilities": {"away": 0.5994, "home": 0.4006}, "replay_scope": "Exact full-precision serving state and rounding; upstream historical observation times are not certified.", "schema": "coded-moneyline-replay-v1", "snapshot_hash": "adf6f38e0b60a65d5da35d197c0cbacdd87ec838bbc3d9aab5b73868933dc136", "sport": "TENNIS"}</t>
        </is>
      </c>
    </row>
    <row r="1421" ht="36" customHeight="1">
      <c r="A1421" s="24" t="inlineStr">
        <is>
          <t>d201f4d6f35f4b63</t>
        </is>
      </c>
      <c r="B1421" s="24" t="inlineStr">
        <is>
          <t>2026-10-13T05:49:22.014322Z</t>
        </is>
      </c>
      <c r="C1421" s="24" t="inlineStr">
        <is>
          <t>2026-10-13T10:00Z</t>
        </is>
      </c>
      <c r="D1421" s="24" t="inlineStr">
        <is>
          <t>1079-2026:185398</t>
        </is>
      </c>
      <c r="E1421" s="24" t="inlineStr">
        <is>
          <t>TENNIS</t>
        </is>
      </c>
      <c r="F1421" s="24" t="inlineStr">
        <is>
          <t>Matilde Jorge</t>
        </is>
      </c>
      <c r="G1421" s="24" t="inlineStr">
        <is>
          <t>Lisa Zaar</t>
        </is>
      </c>
      <c r="H1421" s="24" t="inlineStr">
        <is>
          <t>total</t>
        </is>
      </c>
      <c r="I1421" s="24" t="inlineStr">
        <is>
          <t>under</t>
        </is>
      </c>
      <c r="J1421" s="25" t="n">
        <v>22.5</v>
      </c>
      <c r="K1421" s="24" t="inlineStr">
        <is>
          <t>polymarket_us</t>
        </is>
      </c>
      <c r="L1421" s="26" t="n">
        <v>-9900</v>
      </c>
      <c r="M1421" s="27" t="n">
        <v>1.010101</v>
      </c>
      <c r="N1421" s="28" t="n">
        <v>0.99</v>
      </c>
      <c r="O1421" s="28" t="n">
        <v>0.5141</v>
      </c>
      <c r="P1421" s="28" t="n">
        <v>0.05</v>
      </c>
      <c r="Q1421" s="28" t="n">
        <v>-0.4759</v>
      </c>
      <c r="R1421" s="26" t="n">
        <v>0</v>
      </c>
      <c r="S1421" s="29" t="n">
        <v>1</v>
      </c>
      <c r="T1421" s="24" t="inlineStr">
        <is>
          <t>tennis-learned-v3</t>
        </is>
      </c>
      <c r="U1421" s="24" t="inlineStr">
        <is>
          <t>settled</t>
        </is>
      </c>
      <c r="V1421" s="24" t="inlineStr">
        <is>
          <t>win</t>
        </is>
      </c>
      <c r="W1421" s="26" t="n">
        <v>13</v>
      </c>
      <c r="X1421" s="26" t="n">
        <v>6</v>
      </c>
      <c r="Y1421" s="25" t="n"/>
      <c r="Z1421" s="26" t="n"/>
      <c r="AA1421" s="28" t="n"/>
      <c r="AB1421" s="28" t="n"/>
      <c r="AC1421" s="30" t="n">
        <v>0.0101</v>
      </c>
      <c r="AD1421" s="24" t="inlineStr">
        <is>
          <t>2026-10-13T16:10:56.704916Z</t>
        </is>
      </c>
      <c r="AE1421" s="31" t="inlineStr">
        <is>
          <t>Tennis Markov total games line 22.5: under p=0.514. Executable ask 0.9900 (tsc-wta-liszaa-matjor-2026-10-12-tg-22pt5).</t>
        </is>
      </c>
      <c r="AF1421" s="31" t="inlineStr">
        <is>
          <t>Surface-blended Elo model; singles only, WTA+ATP market coverage, not yet locked-holdout qualified -- promoted by explicit operator directive, not genuine walk-forward validation.</t>
        </is>
      </c>
      <c r="AG1421" s="24" t="inlineStr">
        <is>
          <t>not_applicable</t>
        </is>
      </c>
      <c r="AH1421" s="24" t="n"/>
      <c r="AI1421" s="31" t="n"/>
      <c r="AJ1421" s="31" t="n"/>
      <c r="AK1421" s="24" t="inlineStr">
        <is>
          <t>paper_call</t>
        </is>
      </c>
      <c r="AL1421" s="26" t="n">
        <v>4</v>
      </c>
      <c r="AM1421" s="24" t="inlineStr">
        <is>
          <t>RESEARCH_OBSERVATION</t>
        </is>
      </c>
      <c r="AN1421" s="24" t="inlineStr">
        <is>
          <t>CALL</t>
        </is>
      </c>
      <c r="AO1421" s="24" t="inlineStr">
        <is>
          <t>PAPER_CALL_LOW_EDGE</t>
        </is>
      </c>
      <c r="AP1421" s="24" t="inlineStr">
        <is>
          <t>Matilde Jorge</t>
        </is>
      </c>
      <c r="AQ1421" s="24" t="inlineStr">
        <is>
          <t>Matilde Jorge</t>
        </is>
      </c>
      <c r="AR1421" s="24" t="inlineStr">
        <is>
          <t>Matilde Jorge</t>
        </is>
      </c>
      <c r="AS1421" s="24" t="inlineStr">
        <is>
          <t>Lisa Zaar</t>
        </is>
      </c>
      <c r="AT1421" s="24" t="inlineStr">
        <is>
          <t>Lisa Zaar</t>
        </is>
      </c>
      <c r="AU1421" s="24" t="inlineStr">
        <is>
          <t>Lisa Zaar</t>
        </is>
      </c>
      <c r="AV1421" s="24" t="n"/>
      <c r="AW1421" s="24" t="n"/>
      <c r="AX1421" s="24" t="inlineStr">
        <is>
          <t>statistical_model</t>
        </is>
      </c>
      <c r="AY1421" s="24" t="n"/>
      <c r="AZ1421" s="24" t="inlineStr">
        <is>
          <t>shadow_qualified</t>
        </is>
      </c>
      <c r="BA1421" s="24" t="inlineStr">
        <is>
          <t>7443acc419841200d57e1edf36b77f1940cdd0c48dce3d43fcd05498a109440b</t>
        </is>
      </c>
      <c r="BB1421" s="24" t="inlineStr">
        <is>
          <t>learned_v3</t>
        </is>
      </c>
      <c r="BC1421" s="24" t="inlineStr">
        <is>
          <t>tennis-learned-v3</t>
        </is>
      </c>
      <c r="BD1421" s="24" t="inlineStr">
        <is>
          <t>7443acc419841200d57e1edf36b77f1940cdd0c48dce3d43fcd05498a109440b</t>
        </is>
      </c>
      <c r="BE1421" s="24" t="inlineStr">
        <is>
          <t>tennis-learned-v3</t>
        </is>
      </c>
      <c r="BF1421" s="24" t="inlineStr">
        <is>
          <t>1</t>
        </is>
      </c>
      <c r="BG1421" s="24" t="inlineStr">
        <is>
          <t>7443acc419841200d57e1edf36b77f1940cdd0c48dce3d43fcd05498a109440b</t>
        </is>
      </c>
      <c r="BH1421" s="24" t="inlineStr">
        <is>
          <t>2026-10-13T05:03:26.019047Z</t>
        </is>
      </c>
      <c r="BI1421" s="24" t="inlineStr">
        <is>
          <t>["same_event","same_team_same_day","same_league_same_day"]</t>
        </is>
      </c>
      <c r="BJ1421" s="25" t="n">
        <v>22.5</v>
      </c>
      <c r="BK1421" s="26" t="n">
        <v>-9900</v>
      </c>
      <c r="BL1421" s="27" t="n">
        <v>1.010101</v>
      </c>
      <c r="BM1421" s="28" t="n">
        <v>0.99</v>
      </c>
      <c r="BN1421" s="28" t="n"/>
      <c r="BO1421" s="28" t="n"/>
      <c r="BP1421" s="25" t="n"/>
      <c r="BQ1421" s="27" t="n"/>
      <c r="BR1421" s="28" t="n"/>
      <c r="BS1421" s="28" t="n"/>
      <c r="BT1421" s="28" t="n"/>
      <c r="BU1421" s="25" t="n"/>
      <c r="BV1421" s="29" t="n"/>
      <c r="BW1421" s="24" t="n"/>
      <c r="BX1421" s="30" t="n"/>
      <c r="BY1421" s="27" t="n"/>
      <c r="BZ1421" s="24" t="n"/>
      <c r="CA1421" s="31" t="n"/>
      <c r="CB1421" s="24" t="n"/>
      <c r="CC1421" s="24" t="n"/>
      <c r="CD1421" s="24" t="n"/>
      <c r="CE1421" s="24" t="n"/>
      <c r="CF1421" s="24" t="n"/>
      <c r="CG1421" s="24" t="n"/>
      <c r="CH1421" s="24" t="n"/>
      <c r="CI1421" s="24" t="n"/>
      <c r="CJ1421" s="24" t="n"/>
      <c r="CK1421" s="24" t="n"/>
      <c r="CL1421" s="24" t="n"/>
      <c r="CM1421" s="24" t="n"/>
      <c r="CN1421" s="24" t="n"/>
      <c r="CO1421" s="24" t="n"/>
      <c r="CP1421" s="24" t="n"/>
      <c r="CQ1421" s="24" t="n"/>
      <c r="CR1421" s="24" t="n"/>
      <c r="CS1421" s="24" t="inlineStr">
        <is>
          <t>False</t>
        </is>
      </c>
      <c r="CT1421" s="24" t="n"/>
      <c r="CU1421" s="24" t="n"/>
      <c r="CV1421" s="24" t="n"/>
      <c r="CW1421" s="24" t="n"/>
      <c r="CX1421" s="24" t="n"/>
      <c r="CY1421" s="24" t="n"/>
      <c r="CZ1421" s="24" t="n"/>
      <c r="DA1421" s="24" t="n"/>
      <c r="DB1421" s="24" t="n"/>
      <c r="DC1421" s="24" t="n"/>
      <c r="DD1421" s="24" t="inlineStr">
        <is>
          <t>13a192d2c7bfd4e910db53fca3312999c9e5cfecbad5795e40c5be874ff54bbd</t>
        </is>
      </c>
      <c r="DE1421" s="24" t="inlineStr">
        <is>
          <t>E:\model-prediction\data\odds\tennis\2026-10-13\polymarket_snapshots.jsonl</t>
        </is>
      </c>
      <c r="DF1421" s="24" t="inlineStr">
        <is>
          <t>1369133:2026-10-13T05:03:26.019047Z</t>
        </is>
      </c>
      <c r="DG1421" s="24" t="n"/>
      <c r="DH1421" s="24" t="n"/>
      <c r="DI1421" s="24" t="n"/>
      <c r="DJ1421" s="24" t="n"/>
      <c r="DK1421" s="24" t="n"/>
      <c r="DL1421" s="24" t="n"/>
      <c r="DM1421" s="24" t="n"/>
      <c r="DN1421" s="24" t="n"/>
      <c r="DO1421" s="24" t="n"/>
      <c r="DP1421" s="24" t="n"/>
      <c r="DQ1421" s="24" t="n"/>
    </row>
    <row r="1422" ht="36" customHeight="1">
      <c r="A1422" s="24" t="inlineStr">
        <is>
          <t>52c6203ef75747a4</t>
        </is>
      </c>
      <c r="B1422" s="24" t="inlineStr">
        <is>
          <t>2026-10-13T05:49:22.014322Z</t>
        </is>
      </c>
      <c r="C1422" s="24" t="inlineStr">
        <is>
          <t>2026-10-13T10:00Z</t>
        </is>
      </c>
      <c r="D1422" s="24" t="inlineStr">
        <is>
          <t>1079-2026:185391</t>
        </is>
      </c>
      <c r="E1422" s="24" t="inlineStr">
        <is>
          <t>TENNIS</t>
        </is>
      </c>
      <c r="F1422" s="24" t="inlineStr">
        <is>
          <t>Selena Janicijevic</t>
        </is>
      </c>
      <c r="G1422" s="24" t="inlineStr">
        <is>
          <t>Adrienn Nagy</t>
        </is>
      </c>
      <c r="H1422" s="24" t="inlineStr">
        <is>
          <t>spread</t>
        </is>
      </c>
      <c r="I1422" s="24" t="inlineStr">
        <is>
          <t>away</t>
        </is>
      </c>
      <c r="J1422" s="25" t="n">
        <v>-7.5</v>
      </c>
      <c r="K1422" s="24" t="inlineStr">
        <is>
          <t>polymarket_us</t>
        </is>
      </c>
      <c r="L1422" s="26" t="n">
        <v>-113</v>
      </c>
      <c r="M1422" s="27" t="n">
        <v>1.884956</v>
      </c>
      <c r="N1422" s="28" t="n">
        <v>0.530516</v>
      </c>
      <c r="O1422" s="28" t="n">
        <v>0.9876</v>
      </c>
      <c r="P1422" s="28" t="n">
        <v>0.05</v>
      </c>
      <c r="Q1422" s="28" t="n">
        <v>0.457084</v>
      </c>
      <c r="R1422" s="26" t="n">
        <v>100</v>
      </c>
      <c r="S1422" s="29" t="n">
        <v>2</v>
      </c>
      <c r="T1422" s="24" t="inlineStr">
        <is>
          <t>tennis-learned-v3</t>
        </is>
      </c>
      <c r="U1422" s="24" t="inlineStr">
        <is>
          <t>settled</t>
        </is>
      </c>
      <c r="V1422" s="24" t="inlineStr">
        <is>
          <t>loss</t>
        </is>
      </c>
      <c r="W1422" s="26" t="n">
        <v>12</v>
      </c>
      <c r="X1422" s="26" t="n">
        <v>7</v>
      </c>
      <c r="Y1422" s="25" t="n"/>
      <c r="Z1422" s="26" t="n"/>
      <c r="AA1422" s="28" t="n"/>
      <c r="AB1422" s="28" t="n"/>
      <c r="AC1422" s="30" t="n">
        <v>-2</v>
      </c>
      <c r="AD1422" s="24" t="inlineStr">
        <is>
          <t>2026-10-13T16:11:10.007312Z</t>
        </is>
      </c>
      <c r="AE1422" s="31" t="inlineStr">
        <is>
          <t>Tennis Markov game spread -7.5 games: away cover p=0.988. Executable ask 0.5300 (asc-wta-adrnag-seljan-2026-10-13-gs-neg-7pt5).</t>
        </is>
      </c>
      <c r="AF1422" s="31" t="inlineStr">
        <is>
          <t>Surface-blended Elo model; singles only, WTA+ATP market coverage, not yet locked-holdout qualified -- promoted by explicit operator directive, not genuine walk-forward validation.</t>
        </is>
      </c>
      <c r="AG1422" s="24" t="inlineStr">
        <is>
          <t>review_required</t>
        </is>
      </c>
      <c r="AH1422" s="24" t="n"/>
      <c r="AI1422" s="31" t="n"/>
      <c r="AJ1422" s="31" t="n"/>
      <c r="AK1422" s="24" t="inlineStr">
        <is>
          <t>paper_call</t>
        </is>
      </c>
      <c r="AL1422" s="26" t="n">
        <v>4</v>
      </c>
      <c r="AM1422" s="24" t="inlineStr">
        <is>
          <t>RESEARCH_OBSERVATION</t>
        </is>
      </c>
      <c r="AN1422" s="24" t="inlineStr">
        <is>
          <t>CALL</t>
        </is>
      </c>
      <c r="AO1422" s="24" t="inlineStr">
        <is>
          <t>PAPER_CALL_MODEL_UNVALIDATED</t>
        </is>
      </c>
      <c r="AP1422" s="24" t="inlineStr">
        <is>
          <t>Selena Janicijevic</t>
        </is>
      </c>
      <c r="AQ1422" s="24" t="inlineStr">
        <is>
          <t>Selena Janicijevic</t>
        </is>
      </c>
      <c r="AR1422" s="24" t="inlineStr">
        <is>
          <t>Selena Janicijevic</t>
        </is>
      </c>
      <c r="AS1422" s="24" t="inlineStr">
        <is>
          <t>Adrienn Nagy</t>
        </is>
      </c>
      <c r="AT1422" s="24" t="inlineStr">
        <is>
          <t>Adrienn Nagy</t>
        </is>
      </c>
      <c r="AU1422" s="24" t="inlineStr">
        <is>
          <t>Adrienn Nagy</t>
        </is>
      </c>
      <c r="AV1422" s="24" t="n"/>
      <c r="AW1422" s="24" t="n"/>
      <c r="AX1422" s="24" t="inlineStr">
        <is>
          <t>statistical_model</t>
        </is>
      </c>
      <c r="AY1422" s="24" t="n"/>
      <c r="AZ1422" s="24" t="inlineStr">
        <is>
          <t>shadow_qualified</t>
        </is>
      </c>
      <c r="BA1422" s="24" t="inlineStr">
        <is>
          <t>7443acc419841200d57e1edf36b77f1940cdd0c48dce3d43fcd05498a109440b</t>
        </is>
      </c>
      <c r="BB1422" s="24" t="inlineStr">
        <is>
          <t>learned_v3</t>
        </is>
      </c>
      <c r="BC1422" s="24" t="inlineStr">
        <is>
          <t>tennis-learned-v3</t>
        </is>
      </c>
      <c r="BD1422" s="24" t="inlineStr">
        <is>
          <t>7443acc419841200d57e1edf36b77f1940cdd0c48dce3d43fcd05498a109440b</t>
        </is>
      </c>
      <c r="BE1422" s="24" t="inlineStr">
        <is>
          <t>tennis-learned-v3</t>
        </is>
      </c>
      <c r="BF1422" s="24" t="inlineStr">
        <is>
          <t>1</t>
        </is>
      </c>
      <c r="BG1422" s="24" t="inlineStr">
        <is>
          <t>7443acc419841200d57e1edf36b77f1940cdd0c48dce3d43fcd05498a109440b</t>
        </is>
      </c>
      <c r="BH1422" s="24" t="inlineStr">
        <is>
          <t>2026-10-13T05:03:15.911134Z</t>
        </is>
      </c>
      <c r="BI1422" s="24" t="inlineStr">
        <is>
          <t>["same_event","same_team_same_day","same_league_same_day"]</t>
        </is>
      </c>
      <c r="BJ1422" s="25" t="n">
        <v>-7.5</v>
      </c>
      <c r="BK1422" s="26" t="n">
        <v>-113</v>
      </c>
      <c r="BL1422" s="27" t="n">
        <v>1.884956</v>
      </c>
      <c r="BM1422" s="28" t="n">
        <v>0.530516</v>
      </c>
      <c r="BN1422" s="28" t="n"/>
      <c r="BO1422" s="28" t="n"/>
      <c r="BP1422" s="25" t="n"/>
      <c r="BQ1422" s="27" t="n"/>
      <c r="BR1422" s="28" t="n"/>
      <c r="BS1422" s="28" t="n"/>
      <c r="BT1422" s="28" t="n"/>
      <c r="BU1422" s="25" t="n"/>
      <c r="BV1422" s="29" t="n"/>
      <c r="BW1422" s="24" t="n"/>
      <c r="BX1422" s="30" t="n"/>
      <c r="BY1422" s="27" t="n"/>
      <c r="BZ1422" s="24" t="n"/>
      <c r="CA1422" s="31" t="n"/>
      <c r="CB1422" s="24" t="n"/>
      <c r="CC1422" s="24" t="n"/>
      <c r="CD1422" s="24" t="n"/>
      <c r="CE1422" s="24" t="n"/>
      <c r="CF1422" s="24" t="n"/>
      <c r="CG1422" s="24" t="n"/>
      <c r="CH1422" s="24" t="n"/>
      <c r="CI1422" s="24" t="n"/>
      <c r="CJ1422" s="24" t="n"/>
      <c r="CK1422" s="24" t="n"/>
      <c r="CL1422" s="24" t="n"/>
      <c r="CM1422" s="24" t="n"/>
      <c r="CN1422" s="24" t="n"/>
      <c r="CO1422" s="24" t="n"/>
      <c r="CP1422" s="24" t="n"/>
      <c r="CQ1422" s="24" t="n"/>
      <c r="CR1422" s="24" t="n"/>
      <c r="CS1422" s="24" t="inlineStr">
        <is>
          <t>True</t>
        </is>
      </c>
      <c r="CT1422" s="24" t="n"/>
      <c r="CU1422" s="24" t="n"/>
      <c r="CV1422" s="24" t="n"/>
      <c r="CW1422" s="24" t="n"/>
      <c r="CX1422" s="24" t="n"/>
      <c r="CY1422" s="24" t="n"/>
      <c r="CZ1422" s="24" t="n"/>
      <c r="DA1422" s="24" t="n"/>
      <c r="DB1422" s="24" t="n"/>
      <c r="DC1422" s="24" t="n"/>
      <c r="DD1422" s="24" t="inlineStr">
        <is>
          <t>d9cae3322b53264668eb02b142c9e538457e9fea2cc8ce0443f68656fce5bab7</t>
        </is>
      </c>
      <c r="DE1422" s="24" t="inlineStr">
        <is>
          <t>E:\model-prediction\data\odds\tennis\2026-10-13\polymarket_snapshots.jsonl</t>
        </is>
      </c>
      <c r="DF1422" s="24" t="inlineStr">
        <is>
          <t>1395813:2026-10-13T05:03:15.911134Z</t>
        </is>
      </c>
      <c r="DG1422" s="24" t="n"/>
      <c r="DH1422" s="24" t="n"/>
      <c r="DI1422" s="24" t="n"/>
      <c r="DJ1422" s="24" t="n"/>
      <c r="DK1422" s="24" t="n"/>
      <c r="DL1422" s="24" t="n"/>
      <c r="DM1422" s="24" t="n"/>
      <c r="DN1422" s="24" t="n"/>
      <c r="DO1422" s="24" t="n"/>
      <c r="DP1422" s="24" t="n"/>
      <c r="DQ1422" s="24" t="n"/>
    </row>
    <row r="1423" ht="36" customHeight="1">
      <c r="A1423" s="24" t="inlineStr">
        <is>
          <t>5ac486153abb43d4</t>
        </is>
      </c>
      <c r="B1423" s="24" t="inlineStr">
        <is>
          <t>2026-10-13T05:49:22.014322Z</t>
        </is>
      </c>
      <c r="C1423" s="24" t="inlineStr">
        <is>
          <t>2026-10-13T10:00Z</t>
        </is>
      </c>
      <c r="D1423" s="24" t="inlineStr">
        <is>
          <t>1079-2026:185391</t>
        </is>
      </c>
      <c r="E1423" s="24" t="inlineStr">
        <is>
          <t>TENNIS</t>
        </is>
      </c>
      <c r="F1423" s="24" t="inlineStr">
        <is>
          <t>Selena Janicijevic</t>
        </is>
      </c>
      <c r="G1423" s="24" t="inlineStr">
        <is>
          <t>Adrienn Nagy</t>
        </is>
      </c>
      <c r="H1423" s="24" t="inlineStr">
        <is>
          <t>total</t>
        </is>
      </c>
      <c r="I1423" s="24" t="inlineStr">
        <is>
          <t>under</t>
        </is>
      </c>
      <c r="J1423" s="25" t="n">
        <v>27.5</v>
      </c>
      <c r="K1423" s="24" t="inlineStr">
        <is>
          <t>polymarket_us</t>
        </is>
      </c>
      <c r="L1423" s="26" t="n">
        <v>-9900</v>
      </c>
      <c r="M1423" s="27" t="n">
        <v>1.010101</v>
      </c>
      <c r="N1423" s="28" t="n">
        <v>0.99</v>
      </c>
      <c r="O1423" s="28" t="n">
        <v>0.6479</v>
      </c>
      <c r="P1423" s="28" t="n">
        <v>0.05</v>
      </c>
      <c r="Q1423" s="28" t="n">
        <v>-0.3421</v>
      </c>
      <c r="R1423" s="26" t="n">
        <v>0</v>
      </c>
      <c r="S1423" s="29" t="n">
        <v>1</v>
      </c>
      <c r="T1423" s="24" t="inlineStr">
        <is>
          <t>tennis-learned-v3</t>
        </is>
      </c>
      <c r="U1423" s="24" t="inlineStr">
        <is>
          <t>settled</t>
        </is>
      </c>
      <c r="V1423" s="24" t="inlineStr">
        <is>
          <t>win</t>
        </is>
      </c>
      <c r="W1423" s="26" t="n">
        <v>12</v>
      </c>
      <c r="X1423" s="26" t="n">
        <v>7</v>
      </c>
      <c r="Y1423" s="25" t="n"/>
      <c r="Z1423" s="26" t="n"/>
      <c r="AA1423" s="28" t="n"/>
      <c r="AB1423" s="28" t="n"/>
      <c r="AC1423" s="30" t="n">
        <v>0.0101</v>
      </c>
      <c r="AD1423" s="24" t="inlineStr">
        <is>
          <t>2026-10-13T16:11:15.431540Z</t>
        </is>
      </c>
      <c r="AE1423" s="31" t="inlineStr">
        <is>
          <t>Tennis Markov total games line 27.5: under p=0.648. Executable ask 0.9900 (tsc-wta-adrnag-seljan-2026-10-13-tg-27pt5).</t>
        </is>
      </c>
      <c r="AF1423" s="31" t="inlineStr">
        <is>
          <t>Surface-blended Elo model; singles only, WTA+ATP market coverage, not yet locked-holdout qualified -- promoted by explicit operator directive, not genuine walk-forward validation.</t>
        </is>
      </c>
      <c r="AG1423" s="24" t="inlineStr">
        <is>
          <t>not_applicable</t>
        </is>
      </c>
      <c r="AH1423" s="24" t="n"/>
      <c r="AI1423" s="31" t="n"/>
      <c r="AJ1423" s="31" t="n"/>
      <c r="AK1423" s="24" t="inlineStr">
        <is>
          <t>paper_call</t>
        </is>
      </c>
      <c r="AL1423" s="26" t="n">
        <v>4</v>
      </c>
      <c r="AM1423" s="24" t="inlineStr">
        <is>
          <t>RESEARCH_OBSERVATION</t>
        </is>
      </c>
      <c r="AN1423" s="24" t="inlineStr">
        <is>
          <t>CALL</t>
        </is>
      </c>
      <c r="AO1423" s="24" t="inlineStr">
        <is>
          <t>PAPER_CALL_MODEL_UNVALIDATED</t>
        </is>
      </c>
      <c r="AP1423" s="24" t="inlineStr">
        <is>
          <t>Selena Janicijevic</t>
        </is>
      </c>
      <c r="AQ1423" s="24" t="inlineStr">
        <is>
          <t>Selena Janicijevic</t>
        </is>
      </c>
      <c r="AR1423" s="24" t="inlineStr">
        <is>
          <t>Selena Janicijevic</t>
        </is>
      </c>
      <c r="AS1423" s="24" t="inlineStr">
        <is>
          <t>Adrienn Nagy</t>
        </is>
      </c>
      <c r="AT1423" s="24" t="inlineStr">
        <is>
          <t>Adrienn Nagy</t>
        </is>
      </c>
      <c r="AU1423" s="24" t="inlineStr">
        <is>
          <t>Adrienn Nagy</t>
        </is>
      </c>
      <c r="AV1423" s="24" t="n"/>
      <c r="AW1423" s="24" t="n"/>
      <c r="AX1423" s="24" t="inlineStr">
        <is>
          <t>statistical_model</t>
        </is>
      </c>
      <c r="AY1423" s="24" t="n"/>
      <c r="AZ1423" s="24" t="inlineStr">
        <is>
          <t>shadow_qualified</t>
        </is>
      </c>
      <c r="BA1423" s="24" t="inlineStr">
        <is>
          <t>7443acc419841200d57e1edf36b77f1940cdd0c48dce3d43fcd05498a109440b</t>
        </is>
      </c>
      <c r="BB1423" s="24" t="inlineStr">
        <is>
          <t>learned_v3</t>
        </is>
      </c>
      <c r="BC1423" s="24" t="inlineStr">
        <is>
          <t>tennis-learned-v3</t>
        </is>
      </c>
      <c r="BD1423" s="24" t="inlineStr">
        <is>
          <t>7443acc419841200d57e1edf36b77f1940cdd0c48dce3d43fcd05498a109440b</t>
        </is>
      </c>
      <c r="BE1423" s="24" t="inlineStr">
        <is>
          <t>tennis-learned-v3</t>
        </is>
      </c>
      <c r="BF1423" s="24" t="inlineStr">
        <is>
          <t>1</t>
        </is>
      </c>
      <c r="BG1423" s="24" t="inlineStr">
        <is>
          <t>7443acc419841200d57e1edf36b77f1940cdd0c48dce3d43fcd05498a109440b</t>
        </is>
      </c>
      <c r="BH1423" s="24" t="inlineStr">
        <is>
          <t>2026-10-13T05:03:56.278530Z</t>
        </is>
      </c>
      <c r="BI1423" s="24" t="inlineStr">
        <is>
          <t>["same_event","same_team_same_day","same_league_same_day"]</t>
        </is>
      </c>
      <c r="BJ1423" s="25" t="n">
        <v>27.5</v>
      </c>
      <c r="BK1423" s="26" t="n">
        <v>-9900</v>
      </c>
      <c r="BL1423" s="27" t="n">
        <v>1.010101</v>
      </c>
      <c r="BM1423" s="28" t="n">
        <v>0.99</v>
      </c>
      <c r="BN1423" s="28" t="n"/>
      <c r="BO1423" s="28" t="n"/>
      <c r="BP1423" s="25" t="n"/>
      <c r="BQ1423" s="27" t="n"/>
      <c r="BR1423" s="28" t="n"/>
      <c r="BS1423" s="28" t="n"/>
      <c r="BT1423" s="28" t="n"/>
      <c r="BU1423" s="25" t="n"/>
      <c r="BV1423" s="29" t="n"/>
      <c r="BW1423" s="24" t="n"/>
      <c r="BX1423" s="30" t="n"/>
      <c r="BY1423" s="27" t="n"/>
      <c r="BZ1423" s="24" t="n"/>
      <c r="CA1423" s="31" t="n"/>
      <c r="CB1423" s="24" t="n"/>
      <c r="CC1423" s="24" t="n"/>
      <c r="CD1423" s="24" t="n"/>
      <c r="CE1423" s="24" t="n"/>
      <c r="CF1423" s="24" t="n"/>
      <c r="CG1423" s="24" t="n"/>
      <c r="CH1423" s="24" t="n"/>
      <c r="CI1423" s="24" t="n"/>
      <c r="CJ1423" s="24" t="n"/>
      <c r="CK1423" s="24" t="n"/>
      <c r="CL1423" s="24" t="n"/>
      <c r="CM1423" s="24" t="n"/>
      <c r="CN1423" s="24" t="n"/>
      <c r="CO1423" s="24" t="n"/>
      <c r="CP1423" s="24" t="n"/>
      <c r="CQ1423" s="24" t="n"/>
      <c r="CR1423" s="24" t="n"/>
      <c r="CS1423" s="24" t="inlineStr">
        <is>
          <t>False</t>
        </is>
      </c>
      <c r="CT1423" s="24" t="n"/>
      <c r="CU1423" s="24" t="n"/>
      <c r="CV1423" s="24" t="n"/>
      <c r="CW1423" s="24" t="n"/>
      <c r="CX1423" s="24" t="n"/>
      <c r="CY1423" s="24" t="n"/>
      <c r="CZ1423" s="24" t="n"/>
      <c r="DA1423" s="24" t="n"/>
      <c r="DB1423" s="24" t="n"/>
      <c r="DC1423" s="24" t="n"/>
      <c r="DD1423" s="24" t="inlineStr">
        <is>
          <t>4018a0d52f0372b43a7aaad49d46c6e695967a568e98c752d169f792271e01fa</t>
        </is>
      </c>
      <c r="DE1423" s="24" t="inlineStr">
        <is>
          <t>E:\model-prediction\data\odds\tennis\2026-10-13\polymarket_snapshots.jsonl</t>
        </is>
      </c>
      <c r="DF1423" s="24" t="inlineStr">
        <is>
          <t>1395784:2026-10-13T05:03:56.278530Z</t>
        </is>
      </c>
      <c r="DG1423" s="24" t="n"/>
      <c r="DH1423" s="24" t="n"/>
      <c r="DI1423" s="24" t="n"/>
      <c r="DJ1423" s="24" t="n"/>
      <c r="DK1423" s="24" t="n"/>
      <c r="DL1423" s="24" t="n"/>
      <c r="DM1423" s="24" t="n"/>
      <c r="DN1423" s="24" t="n"/>
      <c r="DO1423" s="24" t="n"/>
      <c r="DP1423" s="24" t="n"/>
      <c r="DQ1423" s="24" t="n"/>
    </row>
    <row r="1424" ht="36" customHeight="1">
      <c r="A1424" s="24" t="inlineStr">
        <is>
          <t>0bcf24ba66d845ac</t>
        </is>
      </c>
      <c r="B1424" s="24" t="inlineStr">
        <is>
          <t>2026-10-13T05:49:22.014322Z</t>
        </is>
      </c>
      <c r="C1424" s="24" t="inlineStr">
        <is>
          <t>2026-10-13T06:00Z</t>
        </is>
      </c>
      <c r="D1424" s="24" t="inlineStr">
        <is>
          <t>315-2026:184951</t>
        </is>
      </c>
      <c r="E1424" s="24" t="inlineStr">
        <is>
          <t>TENNIS</t>
        </is>
      </c>
      <c r="F1424" s="24" t="inlineStr">
        <is>
          <t>Jakub Mensik</t>
        </is>
      </c>
      <c r="G1424" s="24" t="inlineStr">
        <is>
          <t>Arthur Gea</t>
        </is>
      </c>
      <c r="H1424" s="24" t="inlineStr">
        <is>
          <t>spread</t>
        </is>
      </c>
      <c r="I1424" s="24" t="inlineStr">
        <is>
          <t>home</t>
        </is>
      </c>
      <c r="J1424" s="25" t="n">
        <v>7.5</v>
      </c>
      <c r="K1424" s="24" t="inlineStr">
        <is>
          <t>polymarket_us</t>
        </is>
      </c>
      <c r="L1424" s="26" t="n">
        <v>-9900</v>
      </c>
      <c r="M1424" s="27" t="n">
        <v>1.010101</v>
      </c>
      <c r="N1424" s="28" t="n">
        <v>0.99</v>
      </c>
      <c r="O1424" s="28" t="n">
        <v>0.7703</v>
      </c>
      <c r="P1424" s="28" t="n">
        <v>0.05</v>
      </c>
      <c r="Q1424" s="28" t="n">
        <v>-0.2197</v>
      </c>
      <c r="R1424" s="26" t="n">
        <v>0</v>
      </c>
      <c r="S1424" s="29" t="n">
        <v>1</v>
      </c>
      <c r="T1424" s="24" t="inlineStr">
        <is>
          <t>tennis-learned-v3</t>
        </is>
      </c>
      <c r="U1424" s="24" t="inlineStr">
        <is>
          <t>settled</t>
        </is>
      </c>
      <c r="V1424" s="24" t="inlineStr">
        <is>
          <t>win</t>
        </is>
      </c>
      <c r="W1424" s="26" t="n">
        <v>10</v>
      </c>
      <c r="X1424" s="26" t="n">
        <v>13</v>
      </c>
      <c r="Y1424" s="25" t="n"/>
      <c r="Z1424" s="26" t="n"/>
      <c r="AA1424" s="28" t="n"/>
      <c r="AB1424" s="28" t="n"/>
      <c r="AC1424" s="30" t="n">
        <v>0.0101</v>
      </c>
      <c r="AD1424" s="24" t="inlineStr">
        <is>
          <t>2026-10-13T10:07:44.722618Z</t>
        </is>
      </c>
      <c r="AE1424" s="31" t="inlineStr">
        <is>
          <t>Tennis Markov game spread +7.5 games: home cover p=0.770. Executable ask 0.9900 (asc-atp-artgea-jakmen-2026-10-11-gs-pos-7pt5).</t>
        </is>
      </c>
      <c r="AF1424" s="31" t="inlineStr">
        <is>
          <t>Surface-blended Elo model; singles only, WTA+ATP market coverage, not yet locked-holdout qualified -- promoted by explicit operator directive, not genuine walk-forward validation.</t>
        </is>
      </c>
      <c r="AG1424" s="24" t="inlineStr">
        <is>
          <t>not_applicable</t>
        </is>
      </c>
      <c r="AH1424" s="24" t="n"/>
      <c r="AI1424" s="31" t="n"/>
      <c r="AJ1424" s="31" t="n"/>
      <c r="AK1424" s="24" t="inlineStr">
        <is>
          <t>paper_call</t>
        </is>
      </c>
      <c r="AL1424" s="26" t="n">
        <v>4</v>
      </c>
      <c r="AM1424" s="24" t="inlineStr">
        <is>
          <t>RESEARCH_OBSERVATION</t>
        </is>
      </c>
      <c r="AN1424" s="24" t="inlineStr">
        <is>
          <t>CALL</t>
        </is>
      </c>
      <c r="AO1424" s="24" t="inlineStr">
        <is>
          <t>PAPER_CALL_LOW_EDGE</t>
        </is>
      </c>
      <c r="AP1424" s="24" t="inlineStr">
        <is>
          <t>Jakub Mensik</t>
        </is>
      </c>
      <c r="AQ1424" s="24" t="inlineStr">
        <is>
          <t>Jakub Mensik</t>
        </is>
      </c>
      <c r="AR1424" s="24" t="inlineStr">
        <is>
          <t>Jakub Mensik</t>
        </is>
      </c>
      <c r="AS1424" s="24" t="inlineStr">
        <is>
          <t>Arthur Gea</t>
        </is>
      </c>
      <c r="AT1424" s="24" t="inlineStr">
        <is>
          <t>Arthur Gea</t>
        </is>
      </c>
      <c r="AU1424" s="24" t="inlineStr">
        <is>
          <t>Arthur Gea</t>
        </is>
      </c>
      <c r="AV1424" s="24" t="n"/>
      <c r="AW1424" s="24" t="n"/>
      <c r="AX1424" s="24" t="inlineStr">
        <is>
          <t>statistical_model</t>
        </is>
      </c>
      <c r="AY1424" s="24" t="n"/>
      <c r="AZ1424" s="24" t="inlineStr">
        <is>
          <t>shadow_qualified</t>
        </is>
      </c>
      <c r="BA1424" s="24" t="inlineStr">
        <is>
          <t>7443acc419841200d57e1edf36b77f1940cdd0c48dce3d43fcd05498a109440b</t>
        </is>
      </c>
      <c r="BB1424" s="24" t="inlineStr">
        <is>
          <t>learned_v3</t>
        </is>
      </c>
      <c r="BC1424" s="24" t="inlineStr">
        <is>
          <t>tennis-learned-v3</t>
        </is>
      </c>
      <c r="BD1424" s="24" t="inlineStr">
        <is>
          <t>7443acc419841200d57e1edf36b77f1940cdd0c48dce3d43fcd05498a109440b</t>
        </is>
      </c>
      <c r="BE1424" s="24" t="inlineStr">
        <is>
          <t>tennis-learned-v3</t>
        </is>
      </c>
      <c r="BF1424" s="24" t="inlineStr">
        <is>
          <t>1</t>
        </is>
      </c>
      <c r="BG1424" s="24" t="inlineStr">
        <is>
          <t>7443acc419841200d57e1edf36b77f1940cdd0c48dce3d43fcd05498a109440b</t>
        </is>
      </c>
      <c r="BH1424" s="24" t="inlineStr">
        <is>
          <t>2026-10-13T05:09:56.030286Z</t>
        </is>
      </c>
      <c r="BI1424" s="24" t="inlineStr">
        <is>
          <t>["same_event","same_team_same_day","same_league_same_day"]</t>
        </is>
      </c>
      <c r="BJ1424" s="25" t="n">
        <v>7.5</v>
      </c>
      <c r="BK1424" s="26" t="n">
        <v>-9900</v>
      </c>
      <c r="BL1424" s="27" t="n">
        <v>1.010101</v>
      </c>
      <c r="BM1424" s="28" t="n">
        <v>0.99</v>
      </c>
      <c r="BN1424" s="28" t="n"/>
      <c r="BO1424" s="28" t="n"/>
      <c r="BP1424" s="25" t="n"/>
      <c r="BQ1424" s="27" t="n"/>
      <c r="BR1424" s="28" t="n"/>
      <c r="BS1424" s="28" t="n"/>
      <c r="BT1424" s="28" t="n"/>
      <c r="BU1424" s="25" t="n"/>
      <c r="BV1424" s="29" t="n"/>
      <c r="BW1424" s="24" t="n"/>
      <c r="BX1424" s="30" t="n"/>
      <c r="BY1424" s="27" t="n"/>
      <c r="BZ1424" s="24" t="n"/>
      <c r="CA1424" s="31" t="n"/>
      <c r="CB1424" s="24" t="n"/>
      <c r="CC1424" s="24" t="n"/>
      <c r="CD1424" s="24" t="n"/>
      <c r="CE1424" s="24" t="n"/>
      <c r="CF1424" s="24" t="n"/>
      <c r="CG1424" s="24" t="n"/>
      <c r="CH1424" s="24" t="n"/>
      <c r="CI1424" s="24" t="n"/>
      <c r="CJ1424" s="24" t="n"/>
      <c r="CK1424" s="24" t="n"/>
      <c r="CL1424" s="24" t="n"/>
      <c r="CM1424" s="24" t="n"/>
      <c r="CN1424" s="24" t="n"/>
      <c r="CO1424" s="24" t="n"/>
      <c r="CP1424" s="24" t="n"/>
      <c r="CQ1424" s="24" t="n"/>
      <c r="CR1424" s="24" t="n"/>
      <c r="CS1424" s="24" t="inlineStr">
        <is>
          <t>False</t>
        </is>
      </c>
      <c r="CT1424" s="24" t="n"/>
      <c r="CU1424" s="24" t="n"/>
      <c r="CV1424" s="24" t="n"/>
      <c r="CW1424" s="24" t="n"/>
      <c r="CX1424" s="24" t="n"/>
      <c r="CY1424" s="24" t="n"/>
      <c r="CZ1424" s="24" t="n"/>
      <c r="DA1424" s="24" t="n"/>
      <c r="DB1424" s="24" t="n"/>
      <c r="DC1424" s="24" t="n"/>
      <c r="DD1424" s="24" t="inlineStr">
        <is>
          <t>d505851f1abca123b7c86c4bb0391480b644f0f563ee09a1e1dd66f446412499</t>
        </is>
      </c>
      <c r="DE1424" s="24" t="inlineStr">
        <is>
          <t>E:\model-prediction\data\odds\tennis\2026-10-13\polymarket_snapshots.jsonl</t>
        </is>
      </c>
      <c r="DF1424" s="24" t="inlineStr">
        <is>
          <t>1366013:2026-10-13T05:09:56.030286Z</t>
        </is>
      </c>
      <c r="DG1424" s="24" t="n"/>
      <c r="DH1424" s="24" t="n"/>
      <c r="DI1424" s="24" t="n"/>
      <c r="DJ1424" s="24" t="n"/>
      <c r="DK1424" s="24" t="n"/>
      <c r="DL1424" s="24" t="n"/>
      <c r="DM1424" s="24" t="n"/>
      <c r="DN1424" s="24" t="n"/>
      <c r="DO1424" s="24" t="n"/>
      <c r="DP1424" s="24" t="n"/>
      <c r="DQ1424" s="24" t="n"/>
    </row>
    <row r="1425" ht="36" customHeight="1">
      <c r="A1425" s="24" t="inlineStr">
        <is>
          <t>1170e13737a74031</t>
        </is>
      </c>
      <c r="B1425" s="24" t="inlineStr">
        <is>
          <t>2026-10-13T05:49:22.014322Z</t>
        </is>
      </c>
      <c r="C1425" s="24" t="inlineStr">
        <is>
          <t>2026-10-13T06:00Z</t>
        </is>
      </c>
      <c r="D1425" s="24" t="inlineStr">
        <is>
          <t>315-2026:184951</t>
        </is>
      </c>
      <c r="E1425" s="24" t="inlineStr">
        <is>
          <t>TENNIS</t>
        </is>
      </c>
      <c r="F1425" s="24" t="inlineStr">
        <is>
          <t>Jakub Mensik</t>
        </is>
      </c>
      <c r="G1425" s="24" t="inlineStr">
        <is>
          <t>Arthur Gea</t>
        </is>
      </c>
      <c r="H1425" s="24" t="inlineStr">
        <is>
          <t>total</t>
        </is>
      </c>
      <c r="I1425" s="24" t="inlineStr">
        <is>
          <t>under</t>
        </is>
      </c>
      <c r="J1425" s="25" t="n">
        <v>22.5</v>
      </c>
      <c r="K1425" s="24" t="inlineStr">
        <is>
          <t>polymarket_us</t>
        </is>
      </c>
      <c r="L1425" s="26" t="n">
        <v>113</v>
      </c>
      <c r="M1425" s="27" t="n">
        <v>2.13</v>
      </c>
      <c r="N1425" s="28" t="n">
        <v>0.469484</v>
      </c>
      <c r="O1425" s="28" t="n">
        <v>0.7211</v>
      </c>
      <c r="P1425" s="28" t="n">
        <v>0.05</v>
      </c>
      <c r="Q1425" s="28" t="n">
        <v>0.251616</v>
      </c>
      <c r="R1425" s="26" t="n">
        <v>100</v>
      </c>
      <c r="S1425" s="29" t="n">
        <v>2</v>
      </c>
      <c r="T1425" s="24" t="inlineStr">
        <is>
          <t>tennis-learned-v3</t>
        </is>
      </c>
      <c r="U1425" s="24" t="inlineStr">
        <is>
          <t>settled</t>
        </is>
      </c>
      <c r="V1425" s="24" t="inlineStr">
        <is>
          <t>loss</t>
        </is>
      </c>
      <c r="W1425" s="26" t="n">
        <v>10</v>
      </c>
      <c r="X1425" s="26" t="n">
        <v>13</v>
      </c>
      <c r="Y1425" s="25" t="n"/>
      <c r="Z1425" s="26" t="n"/>
      <c r="AA1425" s="28" t="n"/>
      <c r="AB1425" s="28" t="n"/>
      <c r="AC1425" s="30" t="n">
        <v>-2</v>
      </c>
      <c r="AD1425" s="24" t="inlineStr">
        <is>
          <t>2026-10-13T10:07:58.102610Z</t>
        </is>
      </c>
      <c r="AE1425" s="31" t="inlineStr">
        <is>
          <t>Tennis Markov total games line 22.5: under p=0.721. Executable ask 0.4700 (tsc-atp-artgea-jakmen-2026-10-11-tg-22pt5).</t>
        </is>
      </c>
      <c r="AF1425" s="31" t="inlineStr">
        <is>
          <t>Surface-blended Elo model; singles only, WTA+ATP market coverage, not yet locked-holdout qualified -- promoted by explicit operator directive, not genuine walk-forward validation.</t>
        </is>
      </c>
      <c r="AG1425" s="24" t="inlineStr">
        <is>
          <t>review_required</t>
        </is>
      </c>
      <c r="AH1425" s="24" t="n"/>
      <c r="AI1425" s="31" t="n"/>
      <c r="AJ1425" s="31" t="n"/>
      <c r="AK1425" s="24" t="inlineStr">
        <is>
          <t>model_qualified</t>
        </is>
      </c>
      <c r="AL1425" s="26" t="n">
        <v>4</v>
      </c>
      <c r="AM1425" s="24" t="inlineStr">
        <is>
          <t>QUALIFIED_SHADOW_CALL</t>
        </is>
      </c>
      <c r="AN1425" s="24" t="inlineStr">
        <is>
          <t>CALL</t>
        </is>
      </c>
      <c r="AO1425" s="24" t="inlineStr">
        <is>
          <t>QUALIFIED</t>
        </is>
      </c>
      <c r="AP1425" s="24" t="inlineStr">
        <is>
          <t>Jakub Mensik</t>
        </is>
      </c>
      <c r="AQ1425" s="24" t="inlineStr">
        <is>
          <t>Jakub Mensik</t>
        </is>
      </c>
      <c r="AR1425" s="24" t="inlineStr">
        <is>
          <t>Jakub Mensik</t>
        </is>
      </c>
      <c r="AS1425" s="24" t="inlineStr">
        <is>
          <t>Arthur Gea</t>
        </is>
      </c>
      <c r="AT1425" s="24" t="inlineStr">
        <is>
          <t>Arthur Gea</t>
        </is>
      </c>
      <c r="AU1425" s="24" t="inlineStr">
        <is>
          <t>Arthur Gea</t>
        </is>
      </c>
      <c r="AV1425" s="24" t="n"/>
      <c r="AW1425" s="24" t="n"/>
      <c r="AX1425" s="24" t="inlineStr">
        <is>
          <t>statistical_model</t>
        </is>
      </c>
      <c r="AY1425" s="24" t="n"/>
      <c r="AZ1425" s="24" t="inlineStr">
        <is>
          <t>shadow_qualified</t>
        </is>
      </c>
      <c r="BA1425" s="24" t="inlineStr">
        <is>
          <t>7443acc419841200d57e1edf36b77f1940cdd0c48dce3d43fcd05498a109440b</t>
        </is>
      </c>
      <c r="BB1425" s="24" t="inlineStr">
        <is>
          <t>learned_v3</t>
        </is>
      </c>
      <c r="BC1425" s="24" t="inlineStr">
        <is>
          <t>tennis-learned-v3</t>
        </is>
      </c>
      <c r="BD1425" s="24" t="inlineStr">
        <is>
          <t>7443acc419841200d57e1edf36b77f1940cdd0c48dce3d43fcd05498a109440b</t>
        </is>
      </c>
      <c r="BE1425" s="24" t="inlineStr">
        <is>
          <t>tennis-learned-v3</t>
        </is>
      </c>
      <c r="BF1425" s="24" t="inlineStr">
        <is>
          <t>1</t>
        </is>
      </c>
      <c r="BG1425" s="24" t="inlineStr">
        <is>
          <t>7443acc419841200d57e1edf36b77f1940cdd0c48dce3d43fcd05498a109440b</t>
        </is>
      </c>
      <c r="BH1425" s="24" t="inlineStr">
        <is>
          <t>2026-10-13T05:09:55.908256Z</t>
        </is>
      </c>
      <c r="BI1425" s="24" t="inlineStr">
        <is>
          <t>["same_event","same_team_same_day","same_league_same_day"]</t>
        </is>
      </c>
      <c r="BJ1425" s="25" t="n">
        <v>22.5</v>
      </c>
      <c r="BK1425" s="26" t="n">
        <v>113</v>
      </c>
      <c r="BL1425" s="27" t="n">
        <v>2.13</v>
      </c>
      <c r="BM1425" s="28" t="n">
        <v>0.469484</v>
      </c>
      <c r="BN1425" s="28" t="n"/>
      <c r="BO1425" s="28" t="n"/>
      <c r="BP1425" s="25" t="n"/>
      <c r="BQ1425" s="27" t="n"/>
      <c r="BR1425" s="28" t="n"/>
      <c r="BS1425" s="28" t="n"/>
      <c r="BT1425" s="28" t="n"/>
      <c r="BU1425" s="25" t="n"/>
      <c r="BV1425" s="29" t="n"/>
      <c r="BW1425" s="24" t="n"/>
      <c r="BX1425" s="30" t="n"/>
      <c r="BY1425" s="27" t="n"/>
      <c r="BZ1425" s="24" t="n"/>
      <c r="CA1425" s="31" t="n"/>
      <c r="CB1425" s="24" t="n"/>
      <c r="CC1425" s="24" t="n"/>
      <c r="CD1425" s="24" t="n"/>
      <c r="CE1425" s="24" t="n"/>
      <c r="CF1425" s="24" t="n"/>
      <c r="CG1425" s="24" t="n"/>
      <c r="CH1425" s="24" t="n"/>
      <c r="CI1425" s="24" t="n"/>
      <c r="CJ1425" s="24" t="n"/>
      <c r="CK1425" s="24" t="n"/>
      <c r="CL1425" s="24" t="n"/>
      <c r="CM1425" s="24" t="n"/>
      <c r="CN1425" s="24" t="n"/>
      <c r="CO1425" s="24" t="n"/>
      <c r="CP1425" s="24" t="n"/>
      <c r="CQ1425" s="24" t="n"/>
      <c r="CR1425" s="24" t="n"/>
      <c r="CS1425" s="24" t="inlineStr">
        <is>
          <t>True</t>
        </is>
      </c>
      <c r="CT1425" s="24" t="n"/>
      <c r="CU1425" s="24" t="n"/>
      <c r="CV1425" s="24" t="n"/>
      <c r="CW1425" s="24" t="n"/>
      <c r="CX1425" s="24" t="n"/>
      <c r="CY1425" s="24" t="n"/>
      <c r="CZ1425" s="24" t="n"/>
      <c r="DA1425" s="24" t="n"/>
      <c r="DB1425" s="24" t="n"/>
      <c r="DC1425" s="24" t="n"/>
      <c r="DD1425" s="24" t="inlineStr">
        <is>
          <t>d24643dafc87aea572c393eac83219034df13d0a1e636b70075632ef4de7dab8</t>
        </is>
      </c>
      <c r="DE1425" s="24" t="inlineStr">
        <is>
          <t>E:\model-prediction\data\odds\tennis\2026-10-13\polymarket_snapshots.jsonl</t>
        </is>
      </c>
      <c r="DF1425" s="24" t="inlineStr">
        <is>
          <t>1366005:2026-10-13T05:09:55.908256Z</t>
        </is>
      </c>
      <c r="DG1425" s="24" t="n"/>
      <c r="DH1425" s="24" t="n"/>
      <c r="DI1425" s="24" t="n"/>
      <c r="DJ1425" s="24" t="n"/>
      <c r="DK1425" s="24" t="n"/>
      <c r="DL1425" s="24" t="n"/>
      <c r="DM1425" s="24" t="n"/>
      <c r="DN1425" s="24" t="n"/>
      <c r="DO1425" s="24" t="n"/>
      <c r="DP1425" s="24" t="n"/>
      <c r="DQ1425" s="24" t="n"/>
    </row>
    <row r="1426" ht="36" customHeight="1">
      <c r="A1426" s="24" t="inlineStr">
        <is>
          <t>9c0ef1eaef0548a5</t>
        </is>
      </c>
      <c r="B1426" s="24" t="inlineStr">
        <is>
          <t>2026-10-13T05:49:22.014322Z</t>
        </is>
      </c>
      <c r="C1426" s="24" t="inlineStr">
        <is>
          <t>2026-10-13T10:00Z</t>
        </is>
      </c>
      <c r="D1426" s="24" t="inlineStr">
        <is>
          <t>315-2026:184959</t>
        </is>
      </c>
      <c r="E1426" s="24" t="inlineStr">
        <is>
          <t>TENNIS</t>
        </is>
      </c>
      <c r="F1426" s="24" t="inlineStr">
        <is>
          <t>Alexander Bublik</t>
        </is>
      </c>
      <c r="G1426" s="24" t="inlineStr">
        <is>
          <t>Alexander Zverev</t>
        </is>
      </c>
      <c r="H1426" s="24" t="inlineStr">
        <is>
          <t>moneyline</t>
        </is>
      </c>
      <c r="I1426" s="24" t="inlineStr">
        <is>
          <t>home</t>
        </is>
      </c>
      <c r="J1426" s="25" t="n"/>
      <c r="K1426" s="24" t="inlineStr">
        <is>
          <t>polymarket_us</t>
        </is>
      </c>
      <c r="L1426" s="26" t="n">
        <v>-245</v>
      </c>
      <c r="M1426" s="27" t="n">
        <v>1.408163</v>
      </c>
      <c r="N1426" s="28" t="n">
        <v>0.710145</v>
      </c>
      <c r="O1426" s="28" t="n">
        <v>0.7711</v>
      </c>
      <c r="P1426" s="28" t="n">
        <v>0.05</v>
      </c>
      <c r="Q1426" s="28" t="n">
        <v>0.060955</v>
      </c>
      <c r="R1426" s="26" t="n">
        <v>50</v>
      </c>
      <c r="S1426" s="29" t="n">
        <v>1</v>
      </c>
      <c r="T1426" s="24" t="inlineStr">
        <is>
          <t>tennis-learned-v3</t>
        </is>
      </c>
      <c r="U1426" s="24" t="inlineStr">
        <is>
          <t>settled</t>
        </is>
      </c>
      <c r="V1426" s="24" t="inlineStr">
        <is>
          <t>win</t>
        </is>
      </c>
      <c r="W1426" s="26" t="n">
        <v>0</v>
      </c>
      <c r="X1426" s="26" t="n">
        <v>1</v>
      </c>
      <c r="Y1426" s="25" t="n"/>
      <c r="Z1426" s="26" t="n">
        <v>-245</v>
      </c>
      <c r="AA1426" s="28" t="n">
        <v>0.71</v>
      </c>
      <c r="AB1426" s="28" t="n">
        <v>-0.000145</v>
      </c>
      <c r="AC1426" s="30" t="n">
        <v>0.4082</v>
      </c>
      <c r="AD1426" s="24" t="inlineStr">
        <is>
          <t>2026-10-13T16:11:20.813096Z</t>
        </is>
      </c>
      <c r="AE1426" s="31" t="inlineStr">
        <is>
          <t>Tennis v3 Learned Fundamental on Hard (Bo3): Alexander Bublik p=0.229 vs Alexander Zverev. Executable ask 0.7100 (aec-atp-alezve-alebub-2026-10-11).</t>
        </is>
      </c>
      <c r="AF1426" s="31" t="inlineStr">
        <is>
          <t>Surface-blended Elo model; singles only, WTA+ATP market coverage, not yet locked-holdout qualified -- promoted by explicit operator directive, not genuine walk-forward validation.</t>
        </is>
      </c>
      <c r="AG1426" s="24" t="inlineStr">
        <is>
          <t>not_applicable</t>
        </is>
      </c>
      <c r="AH1426" s="24" t="n"/>
      <c r="AI1426" s="31" t="n"/>
      <c r="AJ1426" s="31" t="n"/>
      <c r="AK1426" s="24" t="inlineStr">
        <is>
          <t>model_qualified</t>
        </is>
      </c>
      <c r="AL1426" s="26" t="n">
        <v>4</v>
      </c>
      <c r="AM1426" s="24" t="inlineStr">
        <is>
          <t>QUALIFIED_SHADOW_CALL</t>
        </is>
      </c>
      <c r="AN1426" s="24" t="inlineStr">
        <is>
          <t>CALL</t>
        </is>
      </c>
      <c r="AO1426" s="24" t="inlineStr">
        <is>
          <t>QUALIFIED</t>
        </is>
      </c>
      <c r="AP1426" s="24" t="inlineStr">
        <is>
          <t>Alexander Bublik</t>
        </is>
      </c>
      <c r="AQ1426" s="24" t="inlineStr">
        <is>
          <t>Alexander Bublik</t>
        </is>
      </c>
      <c r="AR1426" s="24" t="inlineStr">
        <is>
          <t>Alexander Bublik</t>
        </is>
      </c>
      <c r="AS1426" s="24" t="inlineStr">
        <is>
          <t>Alexander Zverev</t>
        </is>
      </c>
      <c r="AT1426" s="24" t="inlineStr">
        <is>
          <t>Alexander Zverev</t>
        </is>
      </c>
      <c r="AU1426" s="24" t="inlineStr">
        <is>
          <t>Alexander Zverev</t>
        </is>
      </c>
      <c r="AV1426" s="24" t="n"/>
      <c r="AW1426" s="24" t="n"/>
      <c r="AX1426" s="24" t="inlineStr">
        <is>
          <t>statistical_model</t>
        </is>
      </c>
      <c r="AY1426" s="24" t="n"/>
      <c r="AZ1426" s="24" t="inlineStr">
        <is>
          <t>shadow_qualified</t>
        </is>
      </c>
      <c r="BA1426" s="24" t="inlineStr">
        <is>
          <t>7443acc419841200d57e1edf36b77f1940cdd0c48dce3d43fcd05498a109440b</t>
        </is>
      </c>
      <c r="BB1426" s="24" t="inlineStr">
        <is>
          <t>learned_v3</t>
        </is>
      </c>
      <c r="BC1426" s="24" t="inlineStr">
        <is>
          <t>tennis-learned-v3</t>
        </is>
      </c>
      <c r="BD1426" s="24" t="inlineStr">
        <is>
          <t>7443acc419841200d57e1edf36b77f1940cdd0c48dce3d43fcd05498a109440b</t>
        </is>
      </c>
      <c r="BE1426" s="24" t="inlineStr">
        <is>
          <t>tennis-learned-v3</t>
        </is>
      </c>
      <c r="BF1426" s="24" t="inlineStr">
        <is>
          <t>1</t>
        </is>
      </c>
      <c r="BG1426" s="24" t="inlineStr">
        <is>
          <t>7443acc419841200d57e1edf36b77f1940cdd0c48dce3d43fcd05498a109440b</t>
        </is>
      </c>
      <c r="BH1426" s="24" t="inlineStr">
        <is>
          <t>2026-10-13T05:16:39.488684Z</t>
        </is>
      </c>
      <c r="BI1426" s="24" t="inlineStr">
        <is>
          <t>["same_event","same_team_same_day","same_league_same_day"]</t>
        </is>
      </c>
      <c r="BJ1426" s="25" t="n"/>
      <c r="BK1426" s="26" t="n">
        <v>-245</v>
      </c>
      <c r="BL1426" s="27" t="n">
        <v>1.408163</v>
      </c>
      <c r="BM1426" s="28" t="n">
        <v>0.710145</v>
      </c>
      <c r="BN1426" s="28" t="n"/>
      <c r="BO1426" s="28" t="n"/>
      <c r="BP1426" s="25" t="n"/>
      <c r="BQ1426" s="27" t="n">
        <v>1.408163</v>
      </c>
      <c r="BR1426" s="28" t="n">
        <v>0.71</v>
      </c>
      <c r="BS1426" s="28" t="n"/>
      <c r="BT1426" s="28" t="n"/>
      <c r="BU1426" s="25" t="n"/>
      <c r="BV1426" s="29" t="n"/>
      <c r="BW1426" s="24" t="n"/>
      <c r="BX1426" s="30" t="n"/>
      <c r="BY1426" s="27" t="n"/>
      <c r="BZ1426" s="24" t="n"/>
      <c r="CA1426" s="31" t="n"/>
      <c r="CB1426" s="24" t="n"/>
      <c r="CC1426" s="24" t="n"/>
      <c r="CD1426" s="24" t="n"/>
      <c r="CE1426" s="24" t="n"/>
      <c r="CF1426" s="24" t="n"/>
      <c r="CG1426" s="24" t="n"/>
      <c r="CH1426" s="24" t="n"/>
      <c r="CI1426" s="24" t="n"/>
      <c r="CJ1426" s="24" t="n"/>
      <c r="CK1426" s="24" t="n"/>
      <c r="CL1426" s="24" t="n"/>
      <c r="CM1426" s="24" t="n"/>
      <c r="CN1426" s="24" t="n"/>
      <c r="CO1426" s="24" t="n"/>
      <c r="CP1426" s="24" t="n"/>
      <c r="CQ1426" s="24" t="n"/>
      <c r="CR1426" s="24" t="n"/>
      <c r="CS1426" s="24" t="inlineStr">
        <is>
          <t>True</t>
        </is>
      </c>
      <c r="CT1426" s="24" t="n"/>
      <c r="CU1426" s="24" t="n"/>
      <c r="CV1426" s="24" t="n"/>
      <c r="CW1426" s="24" t="n"/>
      <c r="CX1426" s="24" t="n"/>
      <c r="CY1426" s="24" t="n"/>
      <c r="CZ1426" s="24" t="n"/>
      <c r="DA1426" s="24" t="n"/>
      <c r="DB1426" s="24" t="n"/>
      <c r="DC1426" s="24" t="n"/>
      <c r="DD1426" s="24" t="inlineStr">
        <is>
          <t>895ea93906b60eeae3616669cfa9c410095e3af0f5b96b5e5fc9bbccf85e4040</t>
        </is>
      </c>
      <c r="DE1426" s="24" t="inlineStr">
        <is>
          <t>E:\model-prediction\data\odds\tennis\2026-10-13\polymarket_snapshots.jsonl</t>
        </is>
      </c>
      <c r="DF1426" s="24" t="inlineStr">
        <is>
          <t>1368273:2026-10-13T05:16:39.488684Z</t>
        </is>
      </c>
      <c r="DG1426" s="24" t="n"/>
      <c r="DH1426" s="24" t="n"/>
      <c r="DI1426" s="24" t="n"/>
      <c r="DJ1426" s="24" t="n"/>
      <c r="DK1426" s="24" t="n"/>
      <c r="DL1426" s="24" t="n"/>
      <c r="DM1426" s="24" t="n"/>
      <c r="DN1426" s="24" t="n"/>
      <c r="DO1426" s="24" t="n"/>
      <c r="DP1426" s="24" t="n"/>
      <c r="DQ1426" s="24" t="inlineStr">
        <is>
          <t>{"artifact_hash": "7443acc419841200d57e1edf36b77f1940cdd0c48dce3d43fcd05498a109440b", "away_team": "Alexander Bublik", "event_id": "315-2026:184959", "event_start_utc": "2026-10-13T10:00Z", "features": {"elo_p1_surface": 1659.4, "elo_p2_surface": 1805.4, "expected_games_p1": 6.92, "expected_games_p2": 12.77, "expected_total_games": 19.7, "history_matches": 11486, "min_player_matches": 157, "surface": "Hard"}, "historical_source_observation_times_verified": false, "home_team": "Alexander Zverev", "inference_inputs": {"best_of": 3, "code_sha256": {"features/elo_ratings.py": "d6513e79d65448c06cc0f9b9eed0eaa091567835128e1f6647a310da8d78a872", "models/tennis.py": "7443acc419841200d57e1edf36b77f1940cdd0c48dce3d43fcd05498a109440b"}, "counts": [157, 228], "market_probability": null, "model_version": "tennis-learned-v3", "overall_ratings": [1721.7142075941365, 1938.4522509453725], "p_serve_a": 0.5470873111413679, "p_serve_b": 0.7229126888586321, "players": ["Alexander Bublik", "Alexander Zverev"], "rest_days": [1.0, 1.0], "sport": "TENNIS", "surface": "Hard", "surface_counts": [105, 146], "surface_ratings": [1659.3550289180992, 1805.3783974955527], "tour": "ATP"}, "market_type": "moneyline", "model_version": "tennis-learned-v3", "observed_at_utc": "2026-10-13T05:49:19.315977+00:00", "probabilities": {"away": 0.2289, "home": 0.7711}, "replay_scope": "Exact full-precision serving state and rounding; upstream historical observation times are not certified.", "schema": "coded-moneyline-replay-v1", "snapshot_hash": "5a1cb4ae01aec33b0163ef720d38648835f210a7ecf2906b5cf933010d8ffc0e", "sport": "TENNIS"}</t>
        </is>
      </c>
    </row>
    <row r="1427" ht="36" customHeight="1">
      <c r="A1427" s="24" t="inlineStr">
        <is>
          <t>16498e1497b34fe5</t>
        </is>
      </c>
      <c r="B1427" s="24" t="inlineStr">
        <is>
          <t>2026-10-13T05:49:22.014322Z</t>
        </is>
      </c>
      <c r="C1427" s="24" t="inlineStr">
        <is>
          <t>2026-10-13T10:00Z</t>
        </is>
      </c>
      <c r="D1427" s="24" t="inlineStr">
        <is>
          <t>315-2026:184959</t>
        </is>
      </c>
      <c r="E1427" s="24" t="inlineStr">
        <is>
          <t>TENNIS</t>
        </is>
      </c>
      <c r="F1427" s="24" t="inlineStr">
        <is>
          <t>Alexander Bublik</t>
        </is>
      </c>
      <c r="G1427" s="24" t="inlineStr">
        <is>
          <t>Alexander Zverev</t>
        </is>
      </c>
      <c r="H1427" s="24" t="inlineStr">
        <is>
          <t>total</t>
        </is>
      </c>
      <c r="I1427" s="24" t="inlineStr">
        <is>
          <t>under</t>
        </is>
      </c>
      <c r="J1427" s="25" t="n">
        <v>27.5</v>
      </c>
      <c r="K1427" s="24" t="inlineStr">
        <is>
          <t>polymarket_us</t>
        </is>
      </c>
      <c r="L1427" s="26" t="n">
        <v>-317</v>
      </c>
      <c r="M1427" s="27" t="n">
        <v>1.315457</v>
      </c>
      <c r="N1427" s="28" t="n">
        <v>0.760192</v>
      </c>
      <c r="O1427" s="28" t="n">
        <v>0.9147</v>
      </c>
      <c r="P1427" s="28" t="n">
        <v>0.05</v>
      </c>
      <c r="Q1427" s="28" t="n">
        <v>0.154508</v>
      </c>
      <c r="R1427" s="26" t="n">
        <v>97</v>
      </c>
      <c r="S1427" s="29" t="n">
        <v>1.75</v>
      </c>
      <c r="T1427" s="24" t="inlineStr">
        <is>
          <t>tennis-learned-v3</t>
        </is>
      </c>
      <c r="U1427" s="24" t="inlineStr">
        <is>
          <t>settled</t>
        </is>
      </c>
      <c r="V1427" s="24" t="inlineStr">
        <is>
          <t>loss</t>
        </is>
      </c>
      <c r="W1427" s="26" t="n">
        <v>18</v>
      </c>
      <c r="X1427" s="26" t="n">
        <v>18</v>
      </c>
      <c r="Y1427" s="25" t="n"/>
      <c r="Z1427" s="26" t="n"/>
      <c r="AA1427" s="28" t="n"/>
      <c r="AB1427" s="28" t="n"/>
      <c r="AC1427" s="30" t="n">
        <v>-1.75</v>
      </c>
      <c r="AD1427" s="24" t="inlineStr">
        <is>
          <t>2026-10-13T16:11:27.556298Z</t>
        </is>
      </c>
      <c r="AE1427" s="31" t="inlineStr">
        <is>
          <t>Tennis Markov total games line 27.5: under p=0.915. Executable ask 0.7600 (tsc-atp-alezve-alebub-2026-10-11-tg-27pt5).</t>
        </is>
      </c>
      <c r="AF1427" s="31" t="inlineStr">
        <is>
          <t>Surface-blended Elo model; singles only, WTA+ATP market coverage, not yet locked-holdout qualified -- promoted by explicit operator directive, not genuine walk-forward validation.</t>
        </is>
      </c>
      <c r="AG1427" s="24" t="inlineStr">
        <is>
          <t>review_required</t>
        </is>
      </c>
      <c r="AH1427" s="24" t="n"/>
      <c r="AI1427" s="31" t="n"/>
      <c r="AJ1427" s="31" t="n"/>
      <c r="AK1427" s="24" t="inlineStr">
        <is>
          <t>model_qualified</t>
        </is>
      </c>
      <c r="AL1427" s="26" t="n">
        <v>4</v>
      </c>
      <c r="AM1427" s="24" t="inlineStr">
        <is>
          <t>QUALIFIED_SHADOW_CALL</t>
        </is>
      </c>
      <c r="AN1427" s="24" t="inlineStr">
        <is>
          <t>CALL</t>
        </is>
      </c>
      <c r="AO1427" s="24" t="inlineStr">
        <is>
          <t>QUALIFIED</t>
        </is>
      </c>
      <c r="AP1427" s="24" t="inlineStr">
        <is>
          <t>Alexander Bublik</t>
        </is>
      </c>
      <c r="AQ1427" s="24" t="inlineStr">
        <is>
          <t>Alexander Bublik</t>
        </is>
      </c>
      <c r="AR1427" s="24" t="inlineStr">
        <is>
          <t>Alexander Bublik</t>
        </is>
      </c>
      <c r="AS1427" s="24" t="inlineStr">
        <is>
          <t>Alexander Zverev</t>
        </is>
      </c>
      <c r="AT1427" s="24" t="inlineStr">
        <is>
          <t>Alexander Zverev</t>
        </is>
      </c>
      <c r="AU1427" s="24" t="inlineStr">
        <is>
          <t>Alexander Zverev</t>
        </is>
      </c>
      <c r="AV1427" s="24" t="n"/>
      <c r="AW1427" s="24" t="n"/>
      <c r="AX1427" s="24" t="inlineStr">
        <is>
          <t>statistical_model</t>
        </is>
      </c>
      <c r="AY1427" s="24" t="n"/>
      <c r="AZ1427" s="24" t="inlineStr">
        <is>
          <t>shadow_qualified</t>
        </is>
      </c>
      <c r="BA1427" s="24" t="inlineStr">
        <is>
          <t>7443acc419841200d57e1edf36b77f1940cdd0c48dce3d43fcd05498a109440b</t>
        </is>
      </c>
      <c r="BB1427" s="24" t="inlineStr">
        <is>
          <t>learned_v3</t>
        </is>
      </c>
      <c r="BC1427" s="24" t="inlineStr">
        <is>
          <t>tennis-learned-v3</t>
        </is>
      </c>
      <c r="BD1427" s="24" t="inlineStr">
        <is>
          <t>7443acc419841200d57e1edf36b77f1940cdd0c48dce3d43fcd05498a109440b</t>
        </is>
      </c>
      <c r="BE1427" s="24" t="inlineStr">
        <is>
          <t>tennis-learned-v3</t>
        </is>
      </c>
      <c r="BF1427" s="24" t="inlineStr">
        <is>
          <t>1</t>
        </is>
      </c>
      <c r="BG1427" s="24" t="inlineStr">
        <is>
          <t>7443acc419841200d57e1edf36b77f1940cdd0c48dce3d43fcd05498a109440b</t>
        </is>
      </c>
      <c r="BH1427" s="24" t="inlineStr">
        <is>
          <t>2026-10-13T05:16:29.402202Z</t>
        </is>
      </c>
      <c r="BI1427" s="24" t="inlineStr">
        <is>
          <t>["same_event","same_team_same_day","same_league_same_day"]</t>
        </is>
      </c>
      <c r="BJ1427" s="25" t="n">
        <v>27.5</v>
      </c>
      <c r="BK1427" s="26" t="n">
        <v>-317</v>
      </c>
      <c r="BL1427" s="27" t="n">
        <v>1.315457</v>
      </c>
      <c r="BM1427" s="28" t="n">
        <v>0.760192</v>
      </c>
      <c r="BN1427" s="28" t="n"/>
      <c r="BO1427" s="28" t="n"/>
      <c r="BP1427" s="25" t="n"/>
      <c r="BQ1427" s="27" t="n"/>
      <c r="BR1427" s="28" t="n"/>
      <c r="BS1427" s="28" t="n"/>
      <c r="BT1427" s="28" t="n"/>
      <c r="BU1427" s="25" t="n"/>
      <c r="BV1427" s="29" t="n"/>
      <c r="BW1427" s="24" t="n"/>
      <c r="BX1427" s="30" t="n"/>
      <c r="BY1427" s="27" t="n"/>
      <c r="BZ1427" s="24" t="n"/>
      <c r="CA1427" s="31" t="n"/>
      <c r="CB1427" s="24" t="n"/>
      <c r="CC1427" s="24" t="n"/>
      <c r="CD1427" s="24" t="n"/>
      <c r="CE1427" s="24" t="n"/>
      <c r="CF1427" s="24" t="n"/>
      <c r="CG1427" s="24" t="n"/>
      <c r="CH1427" s="24" t="n"/>
      <c r="CI1427" s="24" t="n"/>
      <c r="CJ1427" s="24" t="n"/>
      <c r="CK1427" s="24" t="n"/>
      <c r="CL1427" s="24" t="n"/>
      <c r="CM1427" s="24" t="n"/>
      <c r="CN1427" s="24" t="n"/>
      <c r="CO1427" s="24" t="n"/>
      <c r="CP1427" s="24" t="n"/>
      <c r="CQ1427" s="24" t="n"/>
      <c r="CR1427" s="24" t="n"/>
      <c r="CS1427" s="24" t="inlineStr">
        <is>
          <t>True</t>
        </is>
      </c>
      <c r="CT1427" s="24" t="n"/>
      <c r="CU1427" s="24" t="n"/>
      <c r="CV1427" s="24" t="n"/>
      <c r="CW1427" s="24" t="n"/>
      <c r="CX1427" s="24" t="n"/>
      <c r="CY1427" s="24" t="n"/>
      <c r="CZ1427" s="24" t="n"/>
      <c r="DA1427" s="24" t="n"/>
      <c r="DB1427" s="24" t="n"/>
      <c r="DC1427" s="24" t="n"/>
      <c r="DD1427" s="24" t="inlineStr">
        <is>
          <t>d182d312edef39ef3a99667959074ad9605ca3a69b07fbabc7d68a462be6a7f0</t>
        </is>
      </c>
      <c r="DE1427" s="24" t="inlineStr">
        <is>
          <t>E:\model-prediction\data\odds\tennis\2026-10-13\polymarket_snapshots.jsonl</t>
        </is>
      </c>
      <c r="DF1427" s="24" t="inlineStr">
        <is>
          <t>1384091:2026-10-13T05:16:29.402202Z</t>
        </is>
      </c>
      <c r="DG1427" s="24" t="n"/>
      <c r="DH1427" s="24" t="n"/>
      <c r="DI1427" s="24" t="n"/>
      <c r="DJ1427" s="24" t="n"/>
      <c r="DK1427" s="24" t="n"/>
      <c r="DL1427" s="24" t="n"/>
      <c r="DM1427" s="24" t="n"/>
      <c r="DN1427" s="24" t="n"/>
      <c r="DO1427" s="24" t="n"/>
      <c r="DP1427" s="24" t="n"/>
      <c r="DQ1427" s="24" t="n"/>
    </row>
    <row r="1428" ht="36" customHeight="1">
      <c r="A1428" s="24" t="inlineStr">
        <is>
          <t>b3a5587436fe4208</t>
        </is>
      </c>
      <c r="B1428" s="24" t="inlineStr">
        <is>
          <t>2026-10-13T05:49:22.014322Z</t>
        </is>
      </c>
      <c r="C1428" s="24" t="inlineStr">
        <is>
          <t>2026-10-13T10:00Z</t>
        </is>
      </c>
      <c r="D1428" s="24" t="inlineStr">
        <is>
          <t>315-2026:184959</t>
        </is>
      </c>
      <c r="E1428" s="24" t="inlineStr">
        <is>
          <t>TENNIS</t>
        </is>
      </c>
      <c r="F1428" s="24" t="inlineStr">
        <is>
          <t>Alexander Bublik</t>
        </is>
      </c>
      <c r="G1428" s="24" t="inlineStr">
        <is>
          <t>Alexander Zverev</t>
        </is>
      </c>
      <c r="H1428" s="24" t="inlineStr">
        <is>
          <t>spread</t>
        </is>
      </c>
      <c r="I1428" s="24" t="inlineStr">
        <is>
          <t>away</t>
        </is>
      </c>
      <c r="J1428" s="25" t="n">
        <v>-7.5</v>
      </c>
      <c r="K1428" s="24" t="inlineStr">
        <is>
          <t>polymarket_us</t>
        </is>
      </c>
      <c r="L1428" s="26" t="n">
        <v>223</v>
      </c>
      <c r="M1428" s="27" t="n">
        <v>3.23</v>
      </c>
      <c r="N1428" s="28" t="n">
        <v>0.309598</v>
      </c>
      <c r="O1428" s="28" t="n">
        <v>0.767</v>
      </c>
      <c r="P1428" s="28" t="n">
        <v>0.05</v>
      </c>
      <c r="Q1428" s="28" t="n">
        <v>0.457402</v>
      </c>
      <c r="R1428" s="26" t="n">
        <v>100</v>
      </c>
      <c r="S1428" s="29" t="n">
        <v>2</v>
      </c>
      <c r="T1428" s="24" t="inlineStr">
        <is>
          <t>tennis-learned-v3</t>
        </is>
      </c>
      <c r="U1428" s="24" t="inlineStr">
        <is>
          <t>settled</t>
        </is>
      </c>
      <c r="V1428" s="24" t="inlineStr">
        <is>
          <t>loss</t>
        </is>
      </c>
      <c r="W1428" s="26" t="n">
        <v>18</v>
      </c>
      <c r="X1428" s="26" t="n">
        <v>18</v>
      </c>
      <c r="Y1428" s="25" t="n"/>
      <c r="Z1428" s="26" t="n"/>
      <c r="AA1428" s="28" t="n"/>
      <c r="AB1428" s="28" t="n"/>
      <c r="AC1428" s="30" t="n">
        <v>-2</v>
      </c>
      <c r="AD1428" s="24" t="inlineStr">
        <is>
          <t>2026-10-13T16:11:33.098518Z</t>
        </is>
      </c>
      <c r="AE1428" s="31" t="inlineStr">
        <is>
          <t>Tennis Markov game spread -7.5 games: away cover p=0.767. Executable ask 0.3100 (asc-atp-alezve-alebub-2026-10-11-gs-neg-7pt5).</t>
        </is>
      </c>
      <c r="AF1428" s="31" t="inlineStr">
        <is>
          <t>Surface-blended Elo model; singles only, WTA+ATP market coverage, not yet locked-holdout qualified -- promoted by explicit operator directive, not genuine walk-forward validation.</t>
        </is>
      </c>
      <c r="AG1428" s="24" t="inlineStr">
        <is>
          <t>review_required</t>
        </is>
      </c>
      <c r="AH1428" s="24" t="n"/>
      <c r="AI1428" s="31" t="n"/>
      <c r="AJ1428" s="31" t="n"/>
      <c r="AK1428" s="24" t="inlineStr">
        <is>
          <t>model_qualified</t>
        </is>
      </c>
      <c r="AL1428" s="26" t="n">
        <v>4</v>
      </c>
      <c r="AM1428" s="24" t="inlineStr">
        <is>
          <t>QUALIFIED_SHADOW_CALL</t>
        </is>
      </c>
      <c r="AN1428" s="24" t="inlineStr">
        <is>
          <t>CALL</t>
        </is>
      </c>
      <c r="AO1428" s="24" t="inlineStr">
        <is>
          <t>QUALIFIED</t>
        </is>
      </c>
      <c r="AP1428" s="24" t="inlineStr">
        <is>
          <t>Alexander Bublik</t>
        </is>
      </c>
      <c r="AQ1428" s="24" t="inlineStr">
        <is>
          <t>Alexander Bublik</t>
        </is>
      </c>
      <c r="AR1428" s="24" t="inlineStr">
        <is>
          <t>Alexander Bublik</t>
        </is>
      </c>
      <c r="AS1428" s="24" t="inlineStr">
        <is>
          <t>Alexander Zverev</t>
        </is>
      </c>
      <c r="AT1428" s="24" t="inlineStr">
        <is>
          <t>Alexander Zverev</t>
        </is>
      </c>
      <c r="AU1428" s="24" t="inlineStr">
        <is>
          <t>Alexander Zverev</t>
        </is>
      </c>
      <c r="AV1428" s="24" t="n"/>
      <c r="AW1428" s="24" t="n"/>
      <c r="AX1428" s="24" t="inlineStr">
        <is>
          <t>statistical_model</t>
        </is>
      </c>
      <c r="AY1428" s="24" t="n"/>
      <c r="AZ1428" s="24" t="inlineStr">
        <is>
          <t>shadow_qualified</t>
        </is>
      </c>
      <c r="BA1428" s="24" t="inlineStr">
        <is>
          <t>7443acc419841200d57e1edf36b77f1940cdd0c48dce3d43fcd05498a109440b</t>
        </is>
      </c>
      <c r="BB1428" s="24" t="inlineStr">
        <is>
          <t>learned_v3</t>
        </is>
      </c>
      <c r="BC1428" s="24" t="inlineStr">
        <is>
          <t>tennis-learned-v3</t>
        </is>
      </c>
      <c r="BD1428" s="24" t="inlineStr">
        <is>
          <t>7443acc419841200d57e1edf36b77f1940cdd0c48dce3d43fcd05498a109440b</t>
        </is>
      </c>
      <c r="BE1428" s="24" t="inlineStr">
        <is>
          <t>tennis-learned-v3</t>
        </is>
      </c>
      <c r="BF1428" s="24" t="inlineStr">
        <is>
          <t>1</t>
        </is>
      </c>
      <c r="BG1428" s="24" t="inlineStr">
        <is>
          <t>7443acc419841200d57e1edf36b77f1940cdd0c48dce3d43fcd05498a109440b</t>
        </is>
      </c>
      <c r="BH1428" s="24" t="inlineStr">
        <is>
          <t>2026-10-13T05:16:39.511768Z</t>
        </is>
      </c>
      <c r="BI1428" s="24" t="inlineStr">
        <is>
          <t>["same_event","same_team_same_day","same_league_same_day"]</t>
        </is>
      </c>
      <c r="BJ1428" s="25" t="n">
        <v>-7.5</v>
      </c>
      <c r="BK1428" s="26" t="n">
        <v>223</v>
      </c>
      <c r="BL1428" s="27" t="n">
        <v>3.23</v>
      </c>
      <c r="BM1428" s="28" t="n">
        <v>0.309598</v>
      </c>
      <c r="BN1428" s="28" t="n"/>
      <c r="BO1428" s="28" t="n"/>
      <c r="BP1428" s="25" t="n"/>
      <c r="BQ1428" s="27" t="n"/>
      <c r="BR1428" s="28" t="n"/>
      <c r="BS1428" s="28" t="n"/>
      <c r="BT1428" s="28" t="n"/>
      <c r="BU1428" s="25" t="n"/>
      <c r="BV1428" s="29" t="n"/>
      <c r="BW1428" s="24" t="n"/>
      <c r="BX1428" s="30" t="n"/>
      <c r="BY1428" s="27" t="n"/>
      <c r="BZ1428" s="24" t="n"/>
      <c r="CA1428" s="31" t="n"/>
      <c r="CB1428" s="24" t="n"/>
      <c r="CC1428" s="24" t="n"/>
      <c r="CD1428" s="24" t="n"/>
      <c r="CE1428" s="24" t="n"/>
      <c r="CF1428" s="24" t="n"/>
      <c r="CG1428" s="24" t="n"/>
      <c r="CH1428" s="24" t="n"/>
      <c r="CI1428" s="24" t="n"/>
      <c r="CJ1428" s="24" t="n"/>
      <c r="CK1428" s="24" t="n"/>
      <c r="CL1428" s="24" t="n"/>
      <c r="CM1428" s="24" t="n"/>
      <c r="CN1428" s="24" t="n"/>
      <c r="CO1428" s="24" t="n"/>
      <c r="CP1428" s="24" t="n"/>
      <c r="CQ1428" s="24" t="n"/>
      <c r="CR1428" s="24" t="n"/>
      <c r="CS1428" s="24" t="inlineStr">
        <is>
          <t>True</t>
        </is>
      </c>
      <c r="CT1428" s="24" t="n"/>
      <c r="CU1428" s="24" t="n"/>
      <c r="CV1428" s="24" t="n"/>
      <c r="CW1428" s="24" t="n"/>
      <c r="CX1428" s="24" t="n"/>
      <c r="CY1428" s="24" t="n"/>
      <c r="CZ1428" s="24" t="n"/>
      <c r="DA1428" s="24" t="n"/>
      <c r="DB1428" s="24" t="n"/>
      <c r="DC1428" s="24" t="n"/>
      <c r="DD1428" s="24" t="inlineStr">
        <is>
          <t>1986a6b9b8a827eef3030e2c53e014673e80fc34ca75047055d31d1fb7daf181</t>
        </is>
      </c>
      <c r="DE1428" s="24" t="inlineStr">
        <is>
          <t>E:\model-prediction\data\odds\tennis\2026-10-13\polymarket_snapshots.jsonl</t>
        </is>
      </c>
      <c r="DF1428" s="24" t="inlineStr">
        <is>
          <t>1384106:2026-10-13T05:16:39.511768Z</t>
        </is>
      </c>
      <c r="DG1428" s="24" t="n"/>
      <c r="DH1428" s="24" t="n"/>
      <c r="DI1428" s="24" t="n"/>
      <c r="DJ1428" s="24" t="n"/>
      <c r="DK1428" s="24" t="n"/>
      <c r="DL1428" s="24" t="n"/>
      <c r="DM1428" s="24" t="n"/>
      <c r="DN1428" s="24" t="n"/>
      <c r="DO1428" s="24" t="n"/>
      <c r="DP1428" s="24" t="n"/>
      <c r="DQ1428" s="24" t="n"/>
    </row>
    <row r="1429" ht="36" customHeight="1">
      <c r="A1429" s="24" t="inlineStr">
        <is>
          <t>04eb7e2f872c40f2</t>
        </is>
      </c>
      <c r="B1429" s="24" t="inlineStr">
        <is>
          <t>2026-10-13T11:17:05.945016Z</t>
        </is>
      </c>
      <c r="C1429" s="24" t="inlineStr">
        <is>
          <t>2026-10-13T12:45Z</t>
        </is>
      </c>
      <c r="D1429" s="24" t="inlineStr">
        <is>
          <t>381-2026:185359</t>
        </is>
      </c>
      <c r="E1429" s="24" t="inlineStr">
        <is>
          <t>TENNIS</t>
        </is>
      </c>
      <c r="F1429" s="24" t="inlineStr">
        <is>
          <t>Wang Xiyu</t>
        </is>
      </c>
      <c r="G1429" s="24" t="inlineStr">
        <is>
          <t>Mia Pohankova</t>
        </is>
      </c>
      <c r="H1429" s="24" t="inlineStr">
        <is>
          <t>moneyline</t>
        </is>
      </c>
      <c r="I1429" s="24" t="inlineStr">
        <is>
          <t>away</t>
        </is>
      </c>
      <c r="J1429" s="25" t="n"/>
      <c r="K1429" s="24" t="inlineStr">
        <is>
          <t>polymarket_us</t>
        </is>
      </c>
      <c r="L1429" s="26" t="n">
        <v>-213</v>
      </c>
      <c r="M1429" s="27" t="n">
        <v>1.469484</v>
      </c>
      <c r="N1429" s="28" t="n">
        <v>0.680511</v>
      </c>
      <c r="O1429" s="28" t="n">
        <v>0.7179</v>
      </c>
      <c r="P1429" s="28" t="n">
        <v>0.05</v>
      </c>
      <c r="Q1429" s="28" t="n">
        <v>0.037389</v>
      </c>
      <c r="R1429" s="26" t="n">
        <v>39</v>
      </c>
      <c r="S1429" s="29" t="n">
        <v>1</v>
      </c>
      <c r="T1429" s="24" t="inlineStr">
        <is>
          <t>tennis-learned-v3</t>
        </is>
      </c>
      <c r="U1429" s="24" t="inlineStr">
        <is>
          <t>settled</t>
        </is>
      </c>
      <c r="V1429" s="24" t="inlineStr">
        <is>
          <t>loss</t>
        </is>
      </c>
      <c r="W1429" s="26" t="n">
        <v>0</v>
      </c>
      <c r="X1429" s="26" t="n">
        <v>1</v>
      </c>
      <c r="Y1429" s="25" t="n"/>
      <c r="Z1429" s="26" t="n"/>
      <c r="AA1429" s="28" t="n"/>
      <c r="AB1429" s="28" t="n"/>
      <c r="AC1429" s="30" t="n">
        <v>-1</v>
      </c>
      <c r="AD1429" s="24" t="inlineStr">
        <is>
          <t>2026-10-13T16:11:38.934561Z</t>
        </is>
      </c>
      <c r="AE1429" s="31" t="inlineStr">
        <is>
          <t>Tennis v3 Learned Fundamental on Hard (Bo3): Wang Xiyu p=0.718 vs Mia Pohankova. Executable ask 0.6800 (aec-wta-miapoh-xiywan-2026-10-13).</t>
        </is>
      </c>
      <c r="AF1429" s="31" t="inlineStr">
        <is>
          <t>Surface-blended Elo model; singles only, WTA+ATP market coverage, not yet locked-holdout qualified -- promoted by explicit operator directive, not genuine walk-forward validation.</t>
        </is>
      </c>
      <c r="AG1429" s="24" t="inlineStr">
        <is>
          <t>review_required</t>
        </is>
      </c>
      <c r="AH1429" s="24" t="n"/>
      <c r="AI1429" s="31" t="n"/>
      <c r="AJ1429" s="31" t="n"/>
      <c r="AK1429" s="24" t="inlineStr">
        <is>
          <t>paper_call</t>
        </is>
      </c>
      <c r="AL1429" s="26" t="n">
        <v>4</v>
      </c>
      <c r="AM1429" s="24" t="inlineStr">
        <is>
          <t>RESEARCH_OBSERVATION</t>
        </is>
      </c>
      <c r="AN1429" s="24" t="inlineStr">
        <is>
          <t>CALL</t>
        </is>
      </c>
      <c r="AO1429" s="24" t="inlineStr">
        <is>
          <t>PAPER_CALL_LOW_EDGE</t>
        </is>
      </c>
      <c r="AP1429" s="24" t="inlineStr">
        <is>
          <t>Wang Xiyu</t>
        </is>
      </c>
      <c r="AQ1429" s="24" t="inlineStr">
        <is>
          <t>Wang Xiyu</t>
        </is>
      </c>
      <c r="AR1429" s="24" t="inlineStr">
        <is>
          <t>Wang Xiyu</t>
        </is>
      </c>
      <c r="AS1429" s="24" t="inlineStr">
        <is>
          <t>Mia Pohankova</t>
        </is>
      </c>
      <c r="AT1429" s="24" t="inlineStr">
        <is>
          <t>Mia Pohankova</t>
        </is>
      </c>
      <c r="AU1429" s="24" t="inlineStr">
        <is>
          <t>Mia Pohankova</t>
        </is>
      </c>
      <c r="AV1429" s="24" t="n"/>
      <c r="AW1429" s="24" t="n"/>
      <c r="AX1429" s="24" t="inlineStr">
        <is>
          <t>statistical_model</t>
        </is>
      </c>
      <c r="AY1429" s="24" t="n"/>
      <c r="AZ1429" s="24" t="inlineStr">
        <is>
          <t>shadow_qualified</t>
        </is>
      </c>
      <c r="BA1429" s="24" t="inlineStr">
        <is>
          <t>7443acc419841200d57e1edf36b77f1940cdd0c48dce3d43fcd05498a109440b</t>
        </is>
      </c>
      <c r="BB1429" s="24" t="inlineStr">
        <is>
          <t>learned_v3</t>
        </is>
      </c>
      <c r="BC1429" s="24" t="inlineStr">
        <is>
          <t>tennis-learned-v3</t>
        </is>
      </c>
      <c r="BD1429" s="24" t="inlineStr">
        <is>
          <t>7443acc419841200d57e1edf36b77f1940cdd0c48dce3d43fcd05498a109440b</t>
        </is>
      </c>
      <c r="BE1429" s="24" t="inlineStr">
        <is>
          <t>tennis-learned-v3</t>
        </is>
      </c>
      <c r="BF1429" s="24" t="inlineStr">
        <is>
          <t>1</t>
        </is>
      </c>
      <c r="BG1429" s="24" t="inlineStr">
        <is>
          <t>7443acc419841200d57e1edf36b77f1940cdd0c48dce3d43fcd05498a109440b</t>
        </is>
      </c>
      <c r="BH1429" s="24" t="inlineStr">
        <is>
          <t>2026-10-13T05:05:56.132493Z</t>
        </is>
      </c>
      <c r="BI1429" s="24" t="inlineStr">
        <is>
          <t>["same_event","same_team_same_day","same_league_same_day"]</t>
        </is>
      </c>
      <c r="BJ1429" s="25" t="n"/>
      <c r="BK1429" s="26" t="n">
        <v>-213</v>
      </c>
      <c r="BL1429" s="27" t="n">
        <v>1.469484</v>
      </c>
      <c r="BM1429" s="28" t="n">
        <v>0.680511</v>
      </c>
      <c r="BN1429" s="28" t="n"/>
      <c r="BO1429" s="28" t="n"/>
      <c r="BP1429" s="25" t="n"/>
      <c r="BQ1429" s="27" t="n"/>
      <c r="BR1429" s="28" t="n"/>
      <c r="BS1429" s="28" t="n"/>
      <c r="BT1429" s="28" t="n"/>
      <c r="BU1429" s="25" t="n"/>
      <c r="BV1429" s="29" t="n"/>
      <c r="BW1429" s="24" t="n"/>
      <c r="BX1429" s="30" t="n"/>
      <c r="BY1429" s="27" t="n"/>
      <c r="BZ1429" s="24" t="n"/>
      <c r="CA1429" s="31" t="n"/>
      <c r="CB1429" s="24" t="n"/>
      <c r="CC1429" s="24" t="n"/>
      <c r="CD1429" s="24" t="n"/>
      <c r="CE1429" s="24" t="n"/>
      <c r="CF1429" s="24" t="n"/>
      <c r="CG1429" s="24" t="n"/>
      <c r="CH1429" s="24" t="n"/>
      <c r="CI1429" s="24" t="n"/>
      <c r="CJ1429" s="24" t="n"/>
      <c r="CK1429" s="24" t="n"/>
      <c r="CL1429" s="24" t="n"/>
      <c r="CM1429" s="24" t="n"/>
      <c r="CN1429" s="24" t="n"/>
      <c r="CO1429" s="24" t="n"/>
      <c r="CP1429" s="24" t="n"/>
      <c r="CQ1429" s="24" t="n"/>
      <c r="CR1429" s="24" t="n"/>
      <c r="CS1429" s="24" t="inlineStr">
        <is>
          <t>True</t>
        </is>
      </c>
      <c r="CT1429" s="24" t="n"/>
      <c r="CU1429" s="24" t="n"/>
      <c r="CV1429" s="24" t="n"/>
      <c r="CW1429" s="24" t="n"/>
      <c r="CX1429" s="24" t="n"/>
      <c r="CY1429" s="24" t="n"/>
      <c r="CZ1429" s="24" t="n"/>
      <c r="DA1429" s="24" t="n"/>
      <c r="DB1429" s="24" t="n"/>
      <c r="DC1429" s="24" t="n"/>
      <c r="DD1429" s="24" t="inlineStr">
        <is>
          <t>66827b0b5272bdd1be765c614fe860c32aaeef79d2c4d26b5082c4fd52b750c6</t>
        </is>
      </c>
      <c r="DE1429" s="24" t="inlineStr">
        <is>
          <t>E:\model-prediction\data\odds\tennis\2026-10-13\polymarket_snapshots.jsonl</t>
        </is>
      </c>
      <c r="DF1429" s="24" t="inlineStr">
        <is>
          <t>1392082:2026-10-13T05:05:56.132493Z</t>
        </is>
      </c>
      <c r="DG1429" s="24" t="n"/>
      <c r="DH1429" s="24" t="n"/>
      <c r="DI1429" s="24" t="n"/>
      <c r="DJ1429" s="24" t="n"/>
      <c r="DK1429" s="24" t="n"/>
      <c r="DL1429" s="24" t="n"/>
      <c r="DM1429" s="24" t="n"/>
      <c r="DN1429" s="24" t="n"/>
      <c r="DO1429" s="24" t="n"/>
      <c r="DP1429" s="24" t="n"/>
      <c r="DQ1429" s="24" t="inlineStr">
        <is>
          <t>{"artifact_hash": "7443acc419841200d57e1edf36b77f1940cdd0c48dce3d43fcd05498a109440b", "away_team": "Wang Xiyu", "event_id": "381-2026:185359", "event_start_utc": "2026-10-13T12:45Z", "features": {"elo_p1_surface": 1581.9, "elo_p2_surface": 1544.6, "expected_games_p1": 13.06, "expected_games_p2": 6.91, "expected_total_games": 19.97, "history_matches": 16744, "min_player_matches": 22, "surface": "Hard"}, "historical_source_observation_times_verified": false, "home_team": "Mia Pohankova", "inference_inputs": {"best_of": 3, "code_sha256": {"features/elo_ratings.py": "d6513e79d65448c06cc0f9b9eed0eaa091567835128e1f6647a310da8d78a872", "models/tennis.py": "7443acc419841200d57e1edf36b77f1940cdd0c48dce3d43fcd05498a109440b"}, "counts": [114, 22], "market_probability": null, "model_version": "tennis-learned-v3", "overall_ratings": [1690.9276621337801, 1585.639489834236], "p_serve_a": 0.6575966211299186, "p_serve_b": 0.5224033788700814, "players": ["Wang Xiyu", "Mia Pohankova"], "rest_days": [1.0, 1.0], "sport": "TENNIS", "surface": "Hard", "surface_counts": [85, 18], "surface_ratings": [1581.931088657847, 1544.5554852976122], "tour": "WTA"}, "market_type": "moneyline", "model_version": "tennis-learned-v3", "observed_at_utc": "2026-10-13T11:17:02.991709+00:00", "probabilities": {"away": 0.7179, "home": 0.2821}, "replay_scope": "Exact full-precision serving state and rounding; upstream historical observation times are not certified.", "schema": "coded-moneyline-replay-v1", "snapshot_hash": "baea0d6c537bde56fc2e0ae229bf302a365fcf2c0f0f7bb2dfbf4a5b56992f5b", "sport": "TENNIS"}</t>
        </is>
      </c>
    </row>
    <row r="1430" ht="36" customHeight="1">
      <c r="A1430" s="24" t="inlineStr">
        <is>
          <t>7987697da4524004</t>
        </is>
      </c>
      <c r="B1430" s="24" t="inlineStr">
        <is>
          <t>2026-10-13T11:17:05.945016Z</t>
        </is>
      </c>
      <c r="C1430" s="24" t="inlineStr">
        <is>
          <t>2026-10-13T12:45Z</t>
        </is>
      </c>
      <c r="D1430" s="24" t="inlineStr">
        <is>
          <t>381-2026:185359</t>
        </is>
      </c>
      <c r="E1430" s="24" t="inlineStr">
        <is>
          <t>TENNIS</t>
        </is>
      </c>
      <c r="F1430" s="24" t="inlineStr">
        <is>
          <t>Wang Xiyu</t>
        </is>
      </c>
      <c r="G1430" s="24" t="inlineStr">
        <is>
          <t>Mia Pohankova</t>
        </is>
      </c>
      <c r="H1430" s="24" t="inlineStr">
        <is>
          <t>spread</t>
        </is>
      </c>
      <c r="I1430" s="24" t="inlineStr">
        <is>
          <t>away</t>
        </is>
      </c>
      <c r="J1430" s="25" t="n">
        <v>-1.5</v>
      </c>
      <c r="K1430" s="24" t="inlineStr">
        <is>
          <t>polymarket_us</t>
        </is>
      </c>
      <c r="L1430" s="26" t="n">
        <v>-156</v>
      </c>
      <c r="M1430" s="27" t="n">
        <v>1.641026</v>
      </c>
      <c r="N1430" s="28" t="n">
        <v>0.609375</v>
      </c>
      <c r="O1430" s="28" t="n">
        <v>0.976</v>
      </c>
      <c r="P1430" s="28" t="n">
        <v>0.05</v>
      </c>
      <c r="Q1430" s="28" t="n">
        <v>0.366625</v>
      </c>
      <c r="R1430" s="26" t="n">
        <v>100</v>
      </c>
      <c r="S1430" s="29" t="n">
        <v>2</v>
      </c>
      <c r="T1430" s="24" t="inlineStr">
        <is>
          <t>tennis-learned-v3</t>
        </is>
      </c>
      <c r="U1430" s="24" t="inlineStr">
        <is>
          <t>settled</t>
        </is>
      </c>
      <c r="V1430" s="24" t="inlineStr">
        <is>
          <t>loss</t>
        </is>
      </c>
      <c r="W1430" s="26" t="n">
        <v>14</v>
      </c>
      <c r="X1430" s="26" t="n">
        <v>19</v>
      </c>
      <c r="Y1430" s="25" t="n"/>
      <c r="Z1430" s="26" t="n"/>
      <c r="AA1430" s="28" t="n"/>
      <c r="AB1430" s="28" t="n"/>
      <c r="AC1430" s="30" t="n">
        <v>-2</v>
      </c>
      <c r="AD1430" s="24" t="inlineStr">
        <is>
          <t>2026-10-13T16:11:45.863180Z</t>
        </is>
      </c>
      <c r="AE1430" s="31" t="inlineStr">
        <is>
          <t>Tennis Markov game spread -1.5 games: away cover p=0.976. Executable ask 0.6100 (asc-wta-miapoh-xiywan-2026-10-13-gs-neg-1pt5).</t>
        </is>
      </c>
      <c r="AF1430" s="31" t="inlineStr">
        <is>
          <t>Surface-blended Elo model; singles only, WTA+ATP market coverage, not yet locked-holdout qualified -- promoted by explicit operator directive, not genuine walk-forward validation.</t>
        </is>
      </c>
      <c r="AG1430" s="24" t="inlineStr">
        <is>
          <t>review_required</t>
        </is>
      </c>
      <c r="AH1430" s="24" t="n"/>
      <c r="AI1430" s="31" t="n"/>
      <c r="AJ1430" s="31" t="n"/>
      <c r="AK1430" s="24" t="inlineStr">
        <is>
          <t>model_qualified</t>
        </is>
      </c>
      <c r="AL1430" s="26" t="n">
        <v>4</v>
      </c>
      <c r="AM1430" s="24" t="inlineStr">
        <is>
          <t>QUALIFIED_SHADOW_CALL</t>
        </is>
      </c>
      <c r="AN1430" s="24" t="inlineStr">
        <is>
          <t>CALL</t>
        </is>
      </c>
      <c r="AO1430" s="24" t="inlineStr">
        <is>
          <t>QUALIFIED</t>
        </is>
      </c>
      <c r="AP1430" s="24" t="inlineStr">
        <is>
          <t>Wang Xiyu</t>
        </is>
      </c>
      <c r="AQ1430" s="24" t="inlineStr">
        <is>
          <t>Wang Xiyu</t>
        </is>
      </c>
      <c r="AR1430" s="24" t="inlineStr">
        <is>
          <t>Wang Xiyu</t>
        </is>
      </c>
      <c r="AS1430" s="24" t="inlineStr">
        <is>
          <t>Mia Pohankova</t>
        </is>
      </c>
      <c r="AT1430" s="24" t="inlineStr">
        <is>
          <t>Mia Pohankova</t>
        </is>
      </c>
      <c r="AU1430" s="24" t="inlineStr">
        <is>
          <t>Mia Pohankova</t>
        </is>
      </c>
      <c r="AV1430" s="24" t="n"/>
      <c r="AW1430" s="24" t="n"/>
      <c r="AX1430" s="24" t="inlineStr">
        <is>
          <t>statistical_model</t>
        </is>
      </c>
      <c r="AY1430" s="24" t="n"/>
      <c r="AZ1430" s="24" t="inlineStr">
        <is>
          <t>shadow_qualified</t>
        </is>
      </c>
      <c r="BA1430" s="24" t="inlineStr">
        <is>
          <t>7443acc419841200d57e1edf36b77f1940cdd0c48dce3d43fcd05498a109440b</t>
        </is>
      </c>
      <c r="BB1430" s="24" t="inlineStr">
        <is>
          <t>learned_v3</t>
        </is>
      </c>
      <c r="BC1430" s="24" t="inlineStr">
        <is>
          <t>tennis-learned-v3</t>
        </is>
      </c>
      <c r="BD1430" s="24" t="inlineStr">
        <is>
          <t>7443acc419841200d57e1edf36b77f1940cdd0c48dce3d43fcd05498a109440b</t>
        </is>
      </c>
      <c r="BE1430" s="24" t="inlineStr">
        <is>
          <t>tennis-learned-v3</t>
        </is>
      </c>
      <c r="BF1430" s="24" t="inlineStr">
        <is>
          <t>1</t>
        </is>
      </c>
      <c r="BG1430" s="24" t="inlineStr">
        <is>
          <t>7443acc419841200d57e1edf36b77f1940cdd0c48dce3d43fcd05498a109440b</t>
        </is>
      </c>
      <c r="BH1430" s="24" t="inlineStr">
        <is>
          <t>2026-10-13T10:39:46.347577Z</t>
        </is>
      </c>
      <c r="BI1430" s="24" t="inlineStr">
        <is>
          <t>["same_event","same_team_same_day","same_league_same_day"]</t>
        </is>
      </c>
      <c r="BJ1430" s="25" t="n">
        <v>-1.5</v>
      </c>
      <c r="BK1430" s="26" t="n">
        <v>-156</v>
      </c>
      <c r="BL1430" s="27" t="n">
        <v>1.641026</v>
      </c>
      <c r="BM1430" s="28" t="n">
        <v>0.609375</v>
      </c>
      <c r="BN1430" s="28" t="n"/>
      <c r="BO1430" s="28" t="n"/>
      <c r="BP1430" s="25" t="n"/>
      <c r="BQ1430" s="27" t="n"/>
      <c r="BR1430" s="28" t="n"/>
      <c r="BS1430" s="28" t="n"/>
      <c r="BT1430" s="28" t="n"/>
      <c r="BU1430" s="25" t="n"/>
      <c r="BV1430" s="29" t="n"/>
      <c r="BW1430" s="24" t="n"/>
      <c r="BX1430" s="30" t="n"/>
      <c r="BY1430" s="27" t="n"/>
      <c r="BZ1430" s="24" t="n"/>
      <c r="CA1430" s="31" t="n"/>
      <c r="CB1430" s="24" t="n"/>
      <c r="CC1430" s="24" t="n"/>
      <c r="CD1430" s="24" t="n"/>
      <c r="CE1430" s="24" t="n"/>
      <c r="CF1430" s="24" t="n"/>
      <c r="CG1430" s="24" t="n"/>
      <c r="CH1430" s="24" t="n"/>
      <c r="CI1430" s="24" t="n"/>
      <c r="CJ1430" s="24" t="n"/>
      <c r="CK1430" s="24" t="n"/>
      <c r="CL1430" s="24" t="n"/>
      <c r="CM1430" s="24" t="n"/>
      <c r="CN1430" s="24" t="n"/>
      <c r="CO1430" s="24" t="n"/>
      <c r="CP1430" s="24" t="n"/>
      <c r="CQ1430" s="24" t="n"/>
      <c r="CR1430" s="24" t="n"/>
      <c r="CS1430" s="24" t="inlineStr">
        <is>
          <t>True</t>
        </is>
      </c>
      <c r="CT1430" s="24" t="n"/>
      <c r="CU1430" s="24" t="n"/>
      <c r="CV1430" s="24" t="n"/>
      <c r="CW1430" s="24" t="n"/>
      <c r="CX1430" s="24" t="n"/>
      <c r="CY1430" s="24" t="n"/>
      <c r="CZ1430" s="24" t="n"/>
      <c r="DA1430" s="24" t="n"/>
      <c r="DB1430" s="24" t="n"/>
      <c r="DC1430" s="24" t="n"/>
      <c r="DD1430" s="24" t="inlineStr">
        <is>
          <t>c6c816da22bb277491348c0c0e4c6952aec285dd9d4cd7c278a0966a848faa4d</t>
        </is>
      </c>
      <c r="DE1430" s="24" t="inlineStr">
        <is>
          <t>E:\model-prediction\data\odds\tennis\2026-10-13\polymarket_snapshots.jsonl</t>
        </is>
      </c>
      <c r="DF1430" s="24" t="inlineStr">
        <is>
          <t>1392504:2026-10-13T10:39:46.347577Z</t>
        </is>
      </c>
      <c r="DG1430" s="24" t="n"/>
      <c r="DH1430" s="24" t="n"/>
      <c r="DI1430" s="24" t="n"/>
      <c r="DJ1430" s="24" t="n"/>
      <c r="DK1430" s="24" t="n"/>
      <c r="DL1430" s="24" t="n"/>
      <c r="DM1430" s="24" t="n"/>
      <c r="DN1430" s="24" t="n"/>
      <c r="DO1430" s="24" t="n"/>
      <c r="DP1430" s="24" t="n"/>
      <c r="DQ1430" s="24" t="n"/>
    </row>
    <row r="1431" ht="36" customHeight="1">
      <c r="A1431" s="24" t="inlineStr">
        <is>
          <t>c5989161aafc4f8f</t>
        </is>
      </c>
      <c r="B1431" s="24" t="inlineStr">
        <is>
          <t>2026-10-13T11:17:05.945016Z</t>
        </is>
      </c>
      <c r="C1431" s="24" t="inlineStr">
        <is>
          <t>2026-10-13T11:25Z</t>
        </is>
      </c>
      <c r="D1431" s="24" t="inlineStr">
        <is>
          <t>1020-2026:185492</t>
        </is>
      </c>
      <c r="E1431" s="24" t="inlineStr">
        <is>
          <t>TENNIS</t>
        </is>
      </c>
      <c r="F1431" s="24" t="inlineStr">
        <is>
          <t>Ane Mintegi Del Olmo</t>
        </is>
      </c>
      <c r="G1431" s="24" t="inlineStr">
        <is>
          <t>Anastasiia Sobolieva</t>
        </is>
      </c>
      <c r="H1431" s="24" t="inlineStr">
        <is>
          <t>spread</t>
        </is>
      </c>
      <c r="I1431" s="24" t="inlineStr">
        <is>
          <t>away</t>
        </is>
      </c>
      <c r="J1431" s="25" t="n">
        <v>-7.5</v>
      </c>
      <c r="K1431" s="24" t="inlineStr">
        <is>
          <t>polymarket_us</t>
        </is>
      </c>
      <c r="L1431" s="26" t="n">
        <v>-163</v>
      </c>
      <c r="M1431" s="27" t="n">
        <v>1.613497</v>
      </c>
      <c r="N1431" s="28" t="n">
        <v>0.619772</v>
      </c>
      <c r="O1431" s="28" t="n">
        <v>0.9641</v>
      </c>
      <c r="P1431" s="28" t="n">
        <v>0.05</v>
      </c>
      <c r="Q1431" s="28" t="n">
        <v>0.344328</v>
      </c>
      <c r="R1431" s="26" t="n">
        <v>100</v>
      </c>
      <c r="S1431" s="29" t="n">
        <v>2</v>
      </c>
      <c r="T1431" s="24" t="inlineStr">
        <is>
          <t>tennis-learned-v3</t>
        </is>
      </c>
      <c r="U1431" s="24" t="inlineStr">
        <is>
          <t>settled</t>
        </is>
      </c>
      <c r="V1431" s="24" t="inlineStr">
        <is>
          <t>win</t>
        </is>
      </c>
      <c r="W1431" s="26" t="n">
        <v>12</v>
      </c>
      <c r="X1431" s="26" t="n">
        <v>4</v>
      </c>
      <c r="Y1431" s="25" t="n"/>
      <c r="Z1431" s="26" t="n"/>
      <c r="AA1431" s="28" t="n"/>
      <c r="AB1431" s="28" t="n"/>
      <c r="AC1431" s="30" t="n">
        <v>1.227</v>
      </c>
      <c r="AD1431" s="24" t="inlineStr">
        <is>
          <t>2026-10-13T16:11:53.191078Z</t>
        </is>
      </c>
      <c r="AE1431" s="31" t="inlineStr">
        <is>
          <t>Tennis Markov game spread -7.5 games: away cover p=0.964. Executable ask 0.6200 (asc-wta-anasob-aneolm-2026-10-12-gs-neg-7pt5).</t>
        </is>
      </c>
      <c r="AF1431" s="31" t="inlineStr">
        <is>
          <t>Surface-blended Elo model; singles only, WTA+ATP market coverage, not yet locked-holdout qualified -- promoted by explicit operator directive, not genuine walk-forward validation.</t>
        </is>
      </c>
      <c r="AG1431" s="24" t="inlineStr">
        <is>
          <t>not_applicable</t>
        </is>
      </c>
      <c r="AH1431" s="24" t="n"/>
      <c r="AI1431" s="31" t="n"/>
      <c r="AJ1431" s="31" t="n"/>
      <c r="AK1431" s="24" t="inlineStr">
        <is>
          <t>model_qualified</t>
        </is>
      </c>
      <c r="AL1431" s="26" t="n">
        <v>4</v>
      </c>
      <c r="AM1431" s="24" t="inlineStr">
        <is>
          <t>QUALIFIED_SHADOW_CALL</t>
        </is>
      </c>
      <c r="AN1431" s="24" t="inlineStr">
        <is>
          <t>CALL</t>
        </is>
      </c>
      <c r="AO1431" s="24" t="inlineStr">
        <is>
          <t>QUALIFIED</t>
        </is>
      </c>
      <c r="AP1431" s="24" t="inlineStr">
        <is>
          <t>Ane Mintegi Del Olmo</t>
        </is>
      </c>
      <c r="AQ1431" s="24" t="inlineStr">
        <is>
          <t>Ane Mintegi Del Olmo</t>
        </is>
      </c>
      <c r="AR1431" s="24" t="inlineStr">
        <is>
          <t>Ane Mintegi Del Olmo</t>
        </is>
      </c>
      <c r="AS1431" s="24" t="inlineStr">
        <is>
          <t>Anastasiia Sobolieva</t>
        </is>
      </c>
      <c r="AT1431" s="24" t="inlineStr">
        <is>
          <t>Anastasiia Sobolieva</t>
        </is>
      </c>
      <c r="AU1431" s="24" t="inlineStr">
        <is>
          <t>Anastasiia Sobolieva</t>
        </is>
      </c>
      <c r="AV1431" s="24" t="n"/>
      <c r="AW1431" s="24" t="n"/>
      <c r="AX1431" s="24" t="inlineStr">
        <is>
          <t>statistical_model</t>
        </is>
      </c>
      <c r="AY1431" s="24" t="n"/>
      <c r="AZ1431" s="24" t="inlineStr">
        <is>
          <t>shadow_qualified</t>
        </is>
      </c>
      <c r="BA1431" s="24" t="inlineStr">
        <is>
          <t>7443acc419841200d57e1edf36b77f1940cdd0c48dce3d43fcd05498a109440b</t>
        </is>
      </c>
      <c r="BB1431" s="24" t="inlineStr">
        <is>
          <t>learned_v3</t>
        </is>
      </c>
      <c r="BC1431" s="24" t="inlineStr">
        <is>
          <t>tennis-learned-v3</t>
        </is>
      </c>
      <c r="BD1431" s="24" t="inlineStr">
        <is>
          <t>7443acc419841200d57e1edf36b77f1940cdd0c48dce3d43fcd05498a109440b</t>
        </is>
      </c>
      <c r="BE1431" s="24" t="inlineStr">
        <is>
          <t>tennis-learned-v3</t>
        </is>
      </c>
      <c r="BF1431" s="24" t="inlineStr">
        <is>
          <t>1</t>
        </is>
      </c>
      <c r="BG1431" s="24" t="inlineStr">
        <is>
          <t>7443acc419841200d57e1edf36b77f1940cdd0c48dce3d43fcd05498a109440b</t>
        </is>
      </c>
      <c r="BH1431" s="24" t="inlineStr">
        <is>
          <t>2026-10-13T10:37:46.533661Z</t>
        </is>
      </c>
      <c r="BI1431" s="24" t="inlineStr">
        <is>
          <t>["same_event","same_team_same_day","same_league_same_day"]</t>
        </is>
      </c>
      <c r="BJ1431" s="25" t="n">
        <v>-7.5</v>
      </c>
      <c r="BK1431" s="26" t="n">
        <v>-163</v>
      </c>
      <c r="BL1431" s="27" t="n">
        <v>1.613497</v>
      </c>
      <c r="BM1431" s="28" t="n">
        <v>0.619772</v>
      </c>
      <c r="BN1431" s="28" t="n"/>
      <c r="BO1431" s="28" t="n"/>
      <c r="BP1431" s="25" t="n"/>
      <c r="BQ1431" s="27" t="n"/>
      <c r="BR1431" s="28" t="n"/>
      <c r="BS1431" s="28" t="n"/>
      <c r="BT1431" s="28" t="n"/>
      <c r="BU1431" s="25" t="n"/>
      <c r="BV1431" s="29" t="n"/>
      <c r="BW1431" s="24" t="n"/>
      <c r="BX1431" s="30" t="n"/>
      <c r="BY1431" s="27" t="n"/>
      <c r="BZ1431" s="24" t="n"/>
      <c r="CA1431" s="31" t="n"/>
      <c r="CB1431" s="24" t="n"/>
      <c r="CC1431" s="24" t="n"/>
      <c r="CD1431" s="24" t="n"/>
      <c r="CE1431" s="24" t="n"/>
      <c r="CF1431" s="24" t="n"/>
      <c r="CG1431" s="24" t="n"/>
      <c r="CH1431" s="24" t="n"/>
      <c r="CI1431" s="24" t="n"/>
      <c r="CJ1431" s="24" t="n"/>
      <c r="CK1431" s="24" t="n"/>
      <c r="CL1431" s="24" t="n"/>
      <c r="CM1431" s="24" t="n"/>
      <c r="CN1431" s="24" t="n"/>
      <c r="CO1431" s="24" t="n"/>
      <c r="CP1431" s="24" t="n"/>
      <c r="CQ1431" s="24" t="n"/>
      <c r="CR1431" s="24" t="n"/>
      <c r="CS1431" s="24" t="inlineStr">
        <is>
          <t>True</t>
        </is>
      </c>
      <c r="CT1431" s="24" t="n"/>
      <c r="CU1431" s="24" t="n"/>
      <c r="CV1431" s="24" t="n"/>
      <c r="CW1431" s="24" t="n"/>
      <c r="CX1431" s="24" t="n"/>
      <c r="CY1431" s="24" t="n"/>
      <c r="CZ1431" s="24" t="n"/>
      <c r="DA1431" s="24" t="n"/>
      <c r="DB1431" s="24" t="n"/>
      <c r="DC1431" s="24" t="n"/>
      <c r="DD1431" s="24" t="inlineStr">
        <is>
          <t>2027ebff986e4362ae3f3023b22e10ba0ebe707e01c24bc89640e72fc6a17037</t>
        </is>
      </c>
      <c r="DE1431" s="24" t="inlineStr">
        <is>
          <t>E:\model-prediction\data\odds\tennis\2026-10-13\polymarket_snapshots.jsonl</t>
        </is>
      </c>
      <c r="DF1431" s="24" t="inlineStr">
        <is>
          <t>1367606:2026-10-13T10:37:46.533661Z</t>
        </is>
      </c>
      <c r="DG1431" s="24" t="n"/>
      <c r="DH1431" s="24" t="n"/>
      <c r="DI1431" s="24" t="n"/>
      <c r="DJ1431" s="24" t="n"/>
      <c r="DK1431" s="24" t="n"/>
      <c r="DL1431" s="24" t="n"/>
      <c r="DM1431" s="24" t="n"/>
      <c r="DN1431" s="24" t="n"/>
      <c r="DO1431" s="24" t="n"/>
      <c r="DP1431" s="24" t="n"/>
      <c r="DQ1431" s="24" t="n"/>
    </row>
    <row r="1432" ht="36" customHeight="1">
      <c r="A1432" s="24" t="inlineStr">
        <is>
          <t>ae75a43ab01c4b1b</t>
        </is>
      </c>
      <c r="B1432" s="24" t="inlineStr">
        <is>
          <t>2026-10-13T11:17:05.945016Z</t>
        </is>
      </c>
      <c r="C1432" s="24" t="inlineStr">
        <is>
          <t>2026-10-13T11:25Z</t>
        </is>
      </c>
      <c r="D1432" s="24" t="inlineStr">
        <is>
          <t>1020-2026:185492</t>
        </is>
      </c>
      <c r="E1432" s="24" t="inlineStr">
        <is>
          <t>TENNIS</t>
        </is>
      </c>
      <c r="F1432" s="24" t="inlineStr">
        <is>
          <t>Ane Mintegi Del Olmo</t>
        </is>
      </c>
      <c r="G1432" s="24" t="inlineStr">
        <is>
          <t>Anastasiia Sobolieva</t>
        </is>
      </c>
      <c r="H1432" s="24" t="inlineStr">
        <is>
          <t>total</t>
        </is>
      </c>
      <c r="I1432" s="24" t="inlineStr">
        <is>
          <t>over</t>
        </is>
      </c>
      <c r="J1432" s="25" t="n">
        <v>17.5</v>
      </c>
      <c r="K1432" s="24" t="inlineStr">
        <is>
          <t>polymarket_us</t>
        </is>
      </c>
      <c r="L1432" s="26" t="n">
        <v>-9900</v>
      </c>
      <c r="M1432" s="27" t="n">
        <v>1.010101</v>
      </c>
      <c r="N1432" s="28" t="n">
        <v>0.99</v>
      </c>
      <c r="O1432" s="28" t="n">
        <v>0.8996</v>
      </c>
      <c r="P1432" s="28" t="n">
        <v>0.05</v>
      </c>
      <c r="Q1432" s="28" t="n">
        <v>-0.09039999999999999</v>
      </c>
      <c r="R1432" s="26" t="n">
        <v>0</v>
      </c>
      <c r="S1432" s="29" t="n">
        <v>1</v>
      </c>
      <c r="T1432" s="24" t="inlineStr">
        <is>
          <t>tennis-learned-v3</t>
        </is>
      </c>
      <c r="U1432" s="24" t="inlineStr">
        <is>
          <t>settled</t>
        </is>
      </c>
      <c r="V1432" s="24" t="inlineStr">
        <is>
          <t>loss</t>
        </is>
      </c>
      <c r="W1432" s="26" t="n">
        <v>12</v>
      </c>
      <c r="X1432" s="26" t="n">
        <v>4</v>
      </c>
      <c r="Y1432" s="25" t="n"/>
      <c r="Z1432" s="26" t="n"/>
      <c r="AA1432" s="28" t="n"/>
      <c r="AB1432" s="28" t="n"/>
      <c r="AC1432" s="30" t="n">
        <v>-1</v>
      </c>
      <c r="AD1432" s="24" t="inlineStr">
        <is>
          <t>2026-10-13T16:11:58.761349Z</t>
        </is>
      </c>
      <c r="AE1432" s="31" t="inlineStr">
        <is>
          <t>Tennis Markov total games line 17.5: over p=0.900. Executable ask 0.9900 (tsc-wta-anasob-aneolm-2026-10-12-tg-17pt5).</t>
        </is>
      </c>
      <c r="AF1432" s="31" t="inlineStr">
        <is>
          <t>Surface-blended Elo model; singles only, WTA+ATP market coverage, not yet locked-holdout qualified -- promoted by explicit operator directive, not genuine walk-forward validation.</t>
        </is>
      </c>
      <c r="AG1432" s="24" t="inlineStr">
        <is>
          <t>review_required</t>
        </is>
      </c>
      <c r="AH1432" s="24" t="n"/>
      <c r="AI1432" s="31" t="n"/>
      <c r="AJ1432" s="31" t="n"/>
      <c r="AK1432" s="24" t="inlineStr">
        <is>
          <t>paper_call</t>
        </is>
      </c>
      <c r="AL1432" s="26" t="n">
        <v>4</v>
      </c>
      <c r="AM1432" s="24" t="inlineStr">
        <is>
          <t>RESEARCH_OBSERVATION</t>
        </is>
      </c>
      <c r="AN1432" s="24" t="inlineStr">
        <is>
          <t>CALL</t>
        </is>
      </c>
      <c r="AO1432" s="24" t="inlineStr">
        <is>
          <t>PAPER_CALL_LOW_EDGE</t>
        </is>
      </c>
      <c r="AP1432" s="24" t="inlineStr">
        <is>
          <t>Ane Mintegi Del Olmo</t>
        </is>
      </c>
      <c r="AQ1432" s="24" t="inlineStr">
        <is>
          <t>Ane Mintegi Del Olmo</t>
        </is>
      </c>
      <c r="AR1432" s="24" t="inlineStr">
        <is>
          <t>Ane Mintegi Del Olmo</t>
        </is>
      </c>
      <c r="AS1432" s="24" t="inlineStr">
        <is>
          <t>Anastasiia Sobolieva</t>
        </is>
      </c>
      <c r="AT1432" s="24" t="inlineStr">
        <is>
          <t>Anastasiia Sobolieva</t>
        </is>
      </c>
      <c r="AU1432" s="24" t="inlineStr">
        <is>
          <t>Anastasiia Sobolieva</t>
        </is>
      </c>
      <c r="AV1432" s="24" t="n"/>
      <c r="AW1432" s="24" t="n"/>
      <c r="AX1432" s="24" t="inlineStr">
        <is>
          <t>statistical_model</t>
        </is>
      </c>
      <c r="AY1432" s="24" t="n"/>
      <c r="AZ1432" s="24" t="inlineStr">
        <is>
          <t>shadow_qualified</t>
        </is>
      </c>
      <c r="BA1432" s="24" t="inlineStr">
        <is>
          <t>7443acc419841200d57e1edf36b77f1940cdd0c48dce3d43fcd05498a109440b</t>
        </is>
      </c>
      <c r="BB1432" s="24" t="inlineStr">
        <is>
          <t>learned_v3</t>
        </is>
      </c>
      <c r="BC1432" s="24" t="inlineStr">
        <is>
          <t>tennis-learned-v3</t>
        </is>
      </c>
      <c r="BD1432" s="24" t="inlineStr">
        <is>
          <t>7443acc419841200d57e1edf36b77f1940cdd0c48dce3d43fcd05498a109440b</t>
        </is>
      </c>
      <c r="BE1432" s="24" t="inlineStr">
        <is>
          <t>tennis-learned-v3</t>
        </is>
      </c>
      <c r="BF1432" s="24" t="inlineStr">
        <is>
          <t>1</t>
        </is>
      </c>
      <c r="BG1432" s="24" t="inlineStr">
        <is>
          <t>7443acc419841200d57e1edf36b77f1940cdd0c48dce3d43fcd05498a109440b</t>
        </is>
      </c>
      <c r="BH1432" s="24" t="inlineStr">
        <is>
          <t>2026-10-13T10:37:16.374042Z</t>
        </is>
      </c>
      <c r="BI1432" s="24" t="inlineStr">
        <is>
          <t>["same_event","same_team_same_day","same_league_same_day"]</t>
        </is>
      </c>
      <c r="BJ1432" s="25" t="n">
        <v>17.5</v>
      </c>
      <c r="BK1432" s="26" t="n">
        <v>-9900</v>
      </c>
      <c r="BL1432" s="27" t="n">
        <v>1.010101</v>
      </c>
      <c r="BM1432" s="28" t="n">
        <v>0.99</v>
      </c>
      <c r="BN1432" s="28" t="n"/>
      <c r="BO1432" s="28" t="n"/>
      <c r="BP1432" s="25" t="n"/>
      <c r="BQ1432" s="27" t="n"/>
      <c r="BR1432" s="28" t="n"/>
      <c r="BS1432" s="28" t="n"/>
      <c r="BT1432" s="28" t="n"/>
      <c r="BU1432" s="25" t="n"/>
      <c r="BV1432" s="29" t="n"/>
      <c r="BW1432" s="24" t="n"/>
      <c r="BX1432" s="30" t="n"/>
      <c r="BY1432" s="27" t="n"/>
      <c r="BZ1432" s="24" t="n"/>
      <c r="CA1432" s="31" t="n"/>
      <c r="CB1432" s="24" t="n"/>
      <c r="CC1432" s="24" t="n"/>
      <c r="CD1432" s="24" t="n"/>
      <c r="CE1432" s="24" t="n"/>
      <c r="CF1432" s="24" t="n"/>
      <c r="CG1432" s="24" t="n"/>
      <c r="CH1432" s="24" t="n"/>
      <c r="CI1432" s="24" t="n"/>
      <c r="CJ1432" s="24" t="n"/>
      <c r="CK1432" s="24" t="n"/>
      <c r="CL1432" s="24" t="n"/>
      <c r="CM1432" s="24" t="n"/>
      <c r="CN1432" s="24" t="n"/>
      <c r="CO1432" s="24" t="n"/>
      <c r="CP1432" s="24" t="n"/>
      <c r="CQ1432" s="24" t="n"/>
      <c r="CR1432" s="24" t="n"/>
      <c r="CS1432" s="24" t="inlineStr">
        <is>
          <t>False</t>
        </is>
      </c>
      <c r="CT1432" s="24" t="n"/>
      <c r="CU1432" s="24" t="n"/>
      <c r="CV1432" s="24" t="n"/>
      <c r="CW1432" s="24" t="n"/>
      <c r="CX1432" s="24" t="n"/>
      <c r="CY1432" s="24" t="n"/>
      <c r="CZ1432" s="24" t="n"/>
      <c r="DA1432" s="24" t="n"/>
      <c r="DB1432" s="24" t="n"/>
      <c r="DC1432" s="24" t="n"/>
      <c r="DD1432" s="24" t="inlineStr">
        <is>
          <t>03c377e3d12c063da81b5a84bd18a8747a1cd0252d78d29cbeac0c203dfa03ce</t>
        </is>
      </c>
      <c r="DE1432" s="24" t="inlineStr">
        <is>
          <t>E:\model-prediction\data\odds\tennis\2026-10-13\polymarket_snapshots.jsonl</t>
        </is>
      </c>
      <c r="DF1432" s="24" t="inlineStr">
        <is>
          <t>1367598:2026-10-13T10:37:16.374042Z</t>
        </is>
      </c>
      <c r="DG1432" s="24" t="n"/>
      <c r="DH1432" s="24" t="n"/>
      <c r="DI1432" s="24" t="n"/>
      <c r="DJ1432" s="24" t="n"/>
      <c r="DK1432" s="24" t="n"/>
      <c r="DL1432" s="24" t="n"/>
      <c r="DM1432" s="24" t="n"/>
      <c r="DN1432" s="24" t="n"/>
      <c r="DO1432" s="24" t="n"/>
      <c r="DP1432" s="24" t="n"/>
      <c r="DQ1432" s="24" t="n"/>
    </row>
    <row r="1433" ht="36" customHeight="1">
      <c r="A1433" s="24" t="inlineStr">
        <is>
          <t>3ba144f8c58e4c20</t>
        </is>
      </c>
      <c r="B1433" s="24" t="inlineStr">
        <is>
          <t>2026-10-13T11:17:05.945016Z</t>
        </is>
      </c>
      <c r="C1433" s="24" t="inlineStr">
        <is>
          <t>2026-10-13T11:30Z</t>
        </is>
      </c>
      <c r="D1433" s="24" t="inlineStr">
        <is>
          <t>1020-2026:185483</t>
        </is>
      </c>
      <c r="E1433" s="24" t="inlineStr">
        <is>
          <t>TENNIS</t>
        </is>
      </c>
      <c r="F1433" s="24" t="inlineStr">
        <is>
          <t>Lidia Encheva</t>
        </is>
      </c>
      <c r="G1433" s="24" t="inlineStr">
        <is>
          <t>Aneta Kucmova</t>
        </is>
      </c>
      <c r="H1433" s="24" t="inlineStr">
        <is>
          <t>spread</t>
        </is>
      </c>
      <c r="I1433" s="24" t="inlineStr">
        <is>
          <t>home</t>
        </is>
      </c>
      <c r="J1433" s="25" t="n">
        <v>1.5</v>
      </c>
      <c r="K1433" s="24" t="inlineStr">
        <is>
          <t>polymarket_us</t>
        </is>
      </c>
      <c r="L1433" s="26" t="n">
        <v>117</v>
      </c>
      <c r="M1433" s="27" t="n">
        <v>2.17</v>
      </c>
      <c r="N1433" s="28" t="n">
        <v>0.460829</v>
      </c>
      <c r="O1433" s="28" t="n">
        <v>0.8704</v>
      </c>
      <c r="P1433" s="28" t="n">
        <v>0.05</v>
      </c>
      <c r="Q1433" s="28" t="n">
        <v>0.409571</v>
      </c>
      <c r="R1433" s="26" t="n">
        <v>100</v>
      </c>
      <c r="S1433" s="29" t="n">
        <v>2</v>
      </c>
      <c r="T1433" s="24" t="inlineStr">
        <is>
          <t>tennis-learned-v3</t>
        </is>
      </c>
      <c r="U1433" s="24" t="inlineStr">
        <is>
          <t>settled</t>
        </is>
      </c>
      <c r="V1433" s="24" t="inlineStr">
        <is>
          <t>loss</t>
        </is>
      </c>
      <c r="W1433" s="26" t="n">
        <v>12</v>
      </c>
      <c r="X1433" s="26" t="n">
        <v>6</v>
      </c>
      <c r="Y1433" s="25" t="n"/>
      <c r="Z1433" s="26" t="n"/>
      <c r="AA1433" s="28" t="n"/>
      <c r="AB1433" s="28" t="n"/>
      <c r="AC1433" s="30" t="n">
        <v>-2</v>
      </c>
      <c r="AD1433" s="24" t="inlineStr">
        <is>
          <t>2026-10-13T16:12:04.470088Z</t>
        </is>
      </c>
      <c r="AE1433" s="31" t="inlineStr">
        <is>
          <t>Tennis Markov game spread +1.5 games: home cover p=0.870. Executable ask 0.4600 (asc-wta-anekuc-lidenc-2026-10-13-gs-pos-1pt5).</t>
        </is>
      </c>
      <c r="AF1433" s="31" t="inlineStr">
        <is>
          <t>Surface-blended Elo model; singles only, WTA+ATP market coverage, not yet locked-holdout qualified -- promoted by explicit operator directive, not genuine walk-forward validation.</t>
        </is>
      </c>
      <c r="AG1433" s="24" t="inlineStr">
        <is>
          <t>review_required</t>
        </is>
      </c>
      <c r="AH1433" s="24" t="n"/>
      <c r="AI1433" s="31" t="n"/>
      <c r="AJ1433" s="31" t="n"/>
      <c r="AK1433" s="24" t="inlineStr">
        <is>
          <t>paper_call</t>
        </is>
      </c>
      <c r="AL1433" s="26" t="n">
        <v>4</v>
      </c>
      <c r="AM1433" s="24" t="inlineStr">
        <is>
          <t>RESEARCH_OBSERVATION</t>
        </is>
      </c>
      <c r="AN1433" s="24" t="inlineStr">
        <is>
          <t>CALL</t>
        </is>
      </c>
      <c r="AO1433" s="24" t="inlineStr">
        <is>
          <t>PAPER_CALL_MODEL_UNVALIDATED</t>
        </is>
      </c>
      <c r="AP1433" s="24" t="inlineStr">
        <is>
          <t>Lidia Encheva</t>
        </is>
      </c>
      <c r="AQ1433" s="24" t="inlineStr">
        <is>
          <t>Lidia Encheva</t>
        </is>
      </c>
      <c r="AR1433" s="24" t="inlineStr">
        <is>
          <t>Lidia Encheva</t>
        </is>
      </c>
      <c r="AS1433" s="24" t="inlineStr">
        <is>
          <t>Aneta Kucmova</t>
        </is>
      </c>
      <c r="AT1433" s="24" t="inlineStr">
        <is>
          <t>Aneta Kucmova</t>
        </is>
      </c>
      <c r="AU1433" s="24" t="inlineStr">
        <is>
          <t>Aneta Kucmova</t>
        </is>
      </c>
      <c r="AV1433" s="24" t="n"/>
      <c r="AW1433" s="24" t="n"/>
      <c r="AX1433" s="24" t="inlineStr">
        <is>
          <t>statistical_model</t>
        </is>
      </c>
      <c r="AY1433" s="24" t="n"/>
      <c r="AZ1433" s="24" t="inlineStr">
        <is>
          <t>shadow_qualified</t>
        </is>
      </c>
      <c r="BA1433" s="24" t="inlineStr">
        <is>
          <t>7443acc419841200d57e1edf36b77f1940cdd0c48dce3d43fcd05498a109440b</t>
        </is>
      </c>
      <c r="BB1433" s="24" t="inlineStr">
        <is>
          <t>learned_v3</t>
        </is>
      </c>
      <c r="BC1433" s="24" t="inlineStr">
        <is>
          <t>tennis-learned-v3</t>
        </is>
      </c>
      <c r="BD1433" s="24" t="inlineStr">
        <is>
          <t>7443acc419841200d57e1edf36b77f1940cdd0c48dce3d43fcd05498a109440b</t>
        </is>
      </c>
      <c r="BE1433" s="24" t="inlineStr">
        <is>
          <t>tennis-learned-v3</t>
        </is>
      </c>
      <c r="BF1433" s="24" t="inlineStr">
        <is>
          <t>1</t>
        </is>
      </c>
      <c r="BG1433" s="24" t="inlineStr">
        <is>
          <t>7443acc419841200d57e1edf36b77f1940cdd0c48dce3d43fcd05498a109440b</t>
        </is>
      </c>
      <c r="BH1433" s="24" t="inlineStr">
        <is>
          <t>2026-10-13T10:37:46.523813Z</t>
        </is>
      </c>
      <c r="BI1433" s="24" t="inlineStr">
        <is>
          <t>["same_event","same_team_same_day","same_league_same_day"]</t>
        </is>
      </c>
      <c r="BJ1433" s="25" t="n">
        <v>1.5</v>
      </c>
      <c r="BK1433" s="26" t="n">
        <v>117</v>
      </c>
      <c r="BL1433" s="27" t="n">
        <v>2.17</v>
      </c>
      <c r="BM1433" s="28" t="n">
        <v>0.460829</v>
      </c>
      <c r="BN1433" s="28" t="n"/>
      <c r="BO1433" s="28" t="n"/>
      <c r="BP1433" s="25" t="n"/>
      <c r="BQ1433" s="27" t="n"/>
      <c r="BR1433" s="28" t="n"/>
      <c r="BS1433" s="28" t="n"/>
      <c r="BT1433" s="28" t="n"/>
      <c r="BU1433" s="25" t="n"/>
      <c r="BV1433" s="29" t="n"/>
      <c r="BW1433" s="24" t="n"/>
      <c r="BX1433" s="30" t="n"/>
      <c r="BY1433" s="27" t="n"/>
      <c r="BZ1433" s="24" t="n"/>
      <c r="CA1433" s="31" t="n"/>
      <c r="CB1433" s="24" t="n"/>
      <c r="CC1433" s="24" t="n"/>
      <c r="CD1433" s="24" t="n"/>
      <c r="CE1433" s="24" t="n"/>
      <c r="CF1433" s="24" t="n"/>
      <c r="CG1433" s="24" t="n"/>
      <c r="CH1433" s="24" t="n"/>
      <c r="CI1433" s="24" t="n"/>
      <c r="CJ1433" s="24" t="n"/>
      <c r="CK1433" s="24" t="n"/>
      <c r="CL1433" s="24" t="n"/>
      <c r="CM1433" s="24" t="n"/>
      <c r="CN1433" s="24" t="n"/>
      <c r="CO1433" s="24" t="n"/>
      <c r="CP1433" s="24" t="n"/>
      <c r="CQ1433" s="24" t="n"/>
      <c r="CR1433" s="24" t="n"/>
      <c r="CS1433" s="24" t="inlineStr">
        <is>
          <t>True</t>
        </is>
      </c>
      <c r="CT1433" s="24" t="n"/>
      <c r="CU1433" s="24" t="n"/>
      <c r="CV1433" s="24" t="n"/>
      <c r="CW1433" s="24" t="n"/>
      <c r="CX1433" s="24" t="n"/>
      <c r="CY1433" s="24" t="n"/>
      <c r="CZ1433" s="24" t="n"/>
      <c r="DA1433" s="24" t="n"/>
      <c r="DB1433" s="24" t="n"/>
      <c r="DC1433" s="24" t="n"/>
      <c r="DD1433" s="24" t="inlineStr">
        <is>
          <t>b14ab5116c9d1875876cc19dd8595b766aabe832c9009a46ace5768e47a02dde</t>
        </is>
      </c>
      <c r="DE1433" s="24" t="inlineStr">
        <is>
          <t>E:\model-prediction\data\odds\tennis\2026-10-13\polymarket_snapshots.jsonl</t>
        </is>
      </c>
      <c r="DF1433" s="24" t="inlineStr">
        <is>
          <t>1394091:2026-10-13T10:37:46.523813Z</t>
        </is>
      </c>
      <c r="DG1433" s="24" t="n"/>
      <c r="DH1433" s="24" t="n"/>
      <c r="DI1433" s="24" t="n"/>
      <c r="DJ1433" s="24" t="n"/>
      <c r="DK1433" s="24" t="n"/>
      <c r="DL1433" s="24" t="n"/>
      <c r="DM1433" s="24" t="n"/>
      <c r="DN1433" s="24" t="n"/>
      <c r="DO1433" s="24" t="n"/>
      <c r="DP1433" s="24" t="n"/>
      <c r="DQ1433" s="24" t="n"/>
    </row>
    <row r="1434" ht="36" customHeight="1">
      <c r="A1434" s="24" t="inlineStr">
        <is>
          <t>2a4275a9eab041f0</t>
        </is>
      </c>
      <c r="B1434" s="24" t="inlineStr">
        <is>
          <t>2026-10-13T11:17:05.945016Z</t>
        </is>
      </c>
      <c r="C1434" s="24" t="inlineStr">
        <is>
          <t>2026-10-13T11:30Z</t>
        </is>
      </c>
      <c r="D1434" s="24" t="inlineStr">
        <is>
          <t>1020-2026:185483</t>
        </is>
      </c>
      <c r="E1434" s="24" t="inlineStr">
        <is>
          <t>TENNIS</t>
        </is>
      </c>
      <c r="F1434" s="24" t="inlineStr">
        <is>
          <t>Lidia Encheva</t>
        </is>
      </c>
      <c r="G1434" s="24" t="inlineStr">
        <is>
          <t>Aneta Kucmova</t>
        </is>
      </c>
      <c r="H1434" s="24" t="inlineStr">
        <is>
          <t>moneyline</t>
        </is>
      </c>
      <c r="I1434" s="24" t="inlineStr">
        <is>
          <t>home</t>
        </is>
      </c>
      <c r="J1434" s="25" t="n"/>
      <c r="K1434" s="24" t="inlineStr">
        <is>
          <t>polymarket_us</t>
        </is>
      </c>
      <c r="L1434" s="26" t="n">
        <v>138</v>
      </c>
      <c r="M1434" s="27" t="n">
        <v>2.38</v>
      </c>
      <c r="N1434" s="28" t="n">
        <v>0.420168</v>
      </c>
      <c r="O1434" s="28" t="n">
        <v>0.6284999999999999</v>
      </c>
      <c r="P1434" s="28" t="n">
        <v>0.05</v>
      </c>
      <c r="Q1434" s="28" t="n">
        <v>0.208332</v>
      </c>
      <c r="R1434" s="26" t="n">
        <v>100</v>
      </c>
      <c r="S1434" s="29" t="n">
        <v>2</v>
      </c>
      <c r="T1434" s="24" t="inlineStr">
        <is>
          <t>tennis-learned-v3</t>
        </is>
      </c>
      <c r="U1434" s="24" t="inlineStr">
        <is>
          <t>settled</t>
        </is>
      </c>
      <c r="V1434" s="24" t="inlineStr">
        <is>
          <t>loss</t>
        </is>
      </c>
      <c r="W1434" s="26" t="n">
        <v>1</v>
      </c>
      <c r="X1434" s="26" t="n">
        <v>0</v>
      </c>
      <c r="Y1434" s="25" t="n"/>
      <c r="Z1434" s="26" t="n">
        <v>138</v>
      </c>
      <c r="AA1434" s="28" t="n">
        <v>0.42</v>
      </c>
      <c r="AB1434" s="28" t="n">
        <v>-0.000168</v>
      </c>
      <c r="AC1434" s="30" t="n">
        <v>-2</v>
      </c>
      <c r="AD1434" s="24" t="inlineStr">
        <is>
          <t>2026-10-13T16:12:09.710364Z</t>
        </is>
      </c>
      <c r="AE1434" s="31" t="inlineStr">
        <is>
          <t>Tennis v3 Learned Fundamental on Grass (Bo3): Lidia Encheva p=0.372 vs Aneta Kucmova. Executable ask 0.4200 (aec-wta-anekuc-lidenc-2026-10-13).</t>
        </is>
      </c>
      <c r="AF1434" s="31" t="inlineStr">
        <is>
          <t>Surface-blended Elo model; singles only, WTA+ATP market coverage, not yet locked-holdout qualified -- promoted by explicit operator directive, not genuine walk-forward validation.</t>
        </is>
      </c>
      <c r="AG1434" s="24" t="inlineStr">
        <is>
          <t>review_required</t>
        </is>
      </c>
      <c r="AH1434" s="24" t="n"/>
      <c r="AI1434" s="31" t="n"/>
      <c r="AJ1434" s="31" t="n"/>
      <c r="AK1434" s="24" t="inlineStr">
        <is>
          <t>paper_call</t>
        </is>
      </c>
      <c r="AL1434" s="26" t="n">
        <v>4</v>
      </c>
      <c r="AM1434" s="24" t="inlineStr">
        <is>
          <t>RESEARCH_OBSERVATION</t>
        </is>
      </c>
      <c r="AN1434" s="24" t="inlineStr">
        <is>
          <t>CALL</t>
        </is>
      </c>
      <c r="AO1434" s="24" t="inlineStr">
        <is>
          <t>PAPER_CALL_MODEL_UNVALIDATED</t>
        </is>
      </c>
      <c r="AP1434" s="24" t="inlineStr">
        <is>
          <t>Lidia Encheva</t>
        </is>
      </c>
      <c r="AQ1434" s="24" t="inlineStr">
        <is>
          <t>Lidia Encheva</t>
        </is>
      </c>
      <c r="AR1434" s="24" t="inlineStr">
        <is>
          <t>Lidia Encheva</t>
        </is>
      </c>
      <c r="AS1434" s="24" t="inlineStr">
        <is>
          <t>Aneta Kucmova</t>
        </is>
      </c>
      <c r="AT1434" s="24" t="inlineStr">
        <is>
          <t>Aneta Kucmova</t>
        </is>
      </c>
      <c r="AU1434" s="24" t="inlineStr">
        <is>
          <t>Aneta Kucmova</t>
        </is>
      </c>
      <c r="AV1434" s="24" t="n"/>
      <c r="AW1434" s="24" t="n"/>
      <c r="AX1434" s="24" t="inlineStr">
        <is>
          <t>statistical_model</t>
        </is>
      </c>
      <c r="AY1434" s="24" t="n"/>
      <c r="AZ1434" s="24" t="inlineStr">
        <is>
          <t>shadow_qualified</t>
        </is>
      </c>
      <c r="BA1434" s="24" t="inlineStr">
        <is>
          <t>7443acc419841200d57e1edf36b77f1940cdd0c48dce3d43fcd05498a109440b</t>
        </is>
      </c>
      <c r="BB1434" s="24" t="inlineStr">
        <is>
          <t>learned_v3</t>
        </is>
      </c>
      <c r="BC1434" s="24" t="inlineStr">
        <is>
          <t>tennis-learned-v3</t>
        </is>
      </c>
      <c r="BD1434" s="24" t="inlineStr">
        <is>
          <t>7443acc419841200d57e1edf36b77f1940cdd0c48dce3d43fcd05498a109440b</t>
        </is>
      </c>
      <c r="BE1434" s="24" t="inlineStr">
        <is>
          <t>tennis-learned-v3</t>
        </is>
      </c>
      <c r="BF1434" s="24" t="inlineStr">
        <is>
          <t>1</t>
        </is>
      </c>
      <c r="BG1434" s="24" t="inlineStr">
        <is>
          <t>7443acc419841200d57e1edf36b77f1940cdd0c48dce3d43fcd05498a109440b</t>
        </is>
      </c>
      <c r="BH1434" s="24" t="inlineStr">
        <is>
          <t>2026-10-13T10:37:26.291235Z</t>
        </is>
      </c>
      <c r="BI1434" s="24" t="inlineStr">
        <is>
          <t>["same_event","same_team_same_day","same_league_same_day"]</t>
        </is>
      </c>
      <c r="BJ1434" s="25" t="n"/>
      <c r="BK1434" s="26" t="n">
        <v>138</v>
      </c>
      <c r="BL1434" s="27" t="n">
        <v>2.38</v>
      </c>
      <c r="BM1434" s="28" t="n">
        <v>0.420168</v>
      </c>
      <c r="BN1434" s="28" t="n"/>
      <c r="BO1434" s="28" t="n"/>
      <c r="BP1434" s="25" t="n"/>
      <c r="BQ1434" s="27" t="n">
        <v>2.38</v>
      </c>
      <c r="BR1434" s="28" t="n">
        <v>0.42</v>
      </c>
      <c r="BS1434" s="28" t="n"/>
      <c r="BT1434" s="28" t="n"/>
      <c r="BU1434" s="25" t="n"/>
      <c r="BV1434" s="29" t="n"/>
      <c r="BW1434" s="24" t="n"/>
      <c r="BX1434" s="30" t="n"/>
      <c r="BY1434" s="27" t="n"/>
      <c r="BZ1434" s="24" t="n"/>
      <c r="CA1434" s="31" t="n"/>
      <c r="CB1434" s="24" t="n"/>
      <c r="CC1434" s="24" t="n"/>
      <c r="CD1434" s="24" t="n"/>
      <c r="CE1434" s="24" t="n"/>
      <c r="CF1434" s="24" t="n"/>
      <c r="CG1434" s="24" t="n"/>
      <c r="CH1434" s="24" t="n"/>
      <c r="CI1434" s="24" t="n"/>
      <c r="CJ1434" s="24" t="n"/>
      <c r="CK1434" s="24" t="n"/>
      <c r="CL1434" s="24" t="n"/>
      <c r="CM1434" s="24" t="n"/>
      <c r="CN1434" s="24" t="n"/>
      <c r="CO1434" s="24" t="n"/>
      <c r="CP1434" s="24" t="n"/>
      <c r="CQ1434" s="24" t="n"/>
      <c r="CR1434" s="24" t="n"/>
      <c r="CS1434" s="24" t="inlineStr">
        <is>
          <t>True</t>
        </is>
      </c>
      <c r="CT1434" s="24" t="n"/>
      <c r="CU1434" s="24" t="n"/>
      <c r="CV1434" s="24" t="n"/>
      <c r="CW1434" s="24" t="n"/>
      <c r="CX1434" s="24" t="n"/>
      <c r="CY1434" s="24" t="n"/>
      <c r="CZ1434" s="24" t="n"/>
      <c r="DA1434" s="24" t="n"/>
      <c r="DB1434" s="24" t="n"/>
      <c r="DC1434" s="24" t="n"/>
      <c r="DD1434" s="24" t="inlineStr">
        <is>
          <t>be187238041eb0c5c4527dcf4094457bd5a86ea49b6c2e2396a2809b4f47e5c1</t>
        </is>
      </c>
      <c r="DE1434" s="24" t="inlineStr">
        <is>
          <t>E:\model-prediction\data\odds\tennis\2026-10-13\polymarket_snapshots.jsonl</t>
        </is>
      </c>
      <c r="DF1434" s="24" t="inlineStr">
        <is>
          <t>1393056:2026-10-13T10:37:26.291235Z</t>
        </is>
      </c>
      <c r="DG1434" s="24" t="n"/>
      <c r="DH1434" s="24" t="n"/>
      <c r="DI1434" s="24" t="n"/>
      <c r="DJ1434" s="24" t="n"/>
      <c r="DK1434" s="24" t="n"/>
      <c r="DL1434" s="24" t="n"/>
      <c r="DM1434" s="24" t="n"/>
      <c r="DN1434" s="24" t="n"/>
      <c r="DO1434" s="24" t="n"/>
      <c r="DP1434" s="24" t="n"/>
      <c r="DQ1434" s="24" t="inlineStr">
        <is>
          <t>{"artifact_hash": "7443acc419841200d57e1edf36b77f1940cdd0c48dce3d43fcd05498a109440b", "away_team": "Lidia Encheva", "event_id": "1020-2026:185483", "event_start_utc": "2026-10-13T11:30Z", "features": {"elo_p1_surface": 1498.9, "elo_p2_surface": 1496.2, "expected_games_p1": 9.77, "expected_games_p2": 13.29, "expected_total_games": 23.06, "history_matches": 16744, "min_player_matches": 2, "surface": "Grass"}, "historical_source_observation_times_verified": false, "home_team": "Aneta Kucmova", "inference_inputs": {"best_of": 3, "code_sha256": {"features/elo_ratings.py": "d6513e79d65448c06cc0f9b9eed0eaa091567835128e1f6647a310da8d78a872", "models/tennis.py": "7443acc419841200d57e1edf36b77f1940cdd0c48dce3d43fcd05498a109440b"}, "counts": [2, 11], "market_probability": null, "model_version": "tennis-learned-v3", "overall_ratings": [1497.8793221913008, 1522.0936952795896], "p_serve_a": 0.551946772695168, "p_serve_b": 0.6280532273048319, "players": ["Lidia Encheva", "Aneta Kucmova"], "rest_days": [1.0, 1.0], "sport": "TENNIS", "surface": "Grass", "surface_counts": [2, 6], "surface_ratings": [1498.8987637141367, 1496.2327677772168], "tour": "WTA"}, "market_type": "moneyline", "model_version": "tennis-learned-v3", "observed_at_utc": "2026-10-13T11:17:02.991709+00:00", "probabilities": {"away": 0.3715, "home": 0.6285}, "replay_scope": "Exact full-precision serving state and rounding; upstream historical observation times are not certified.", "schema": "coded-moneyline-replay-v1", "snapshot_hash": "e179029ded53bb8a4e5c91f3c78d0b8e17d8f4cd8c8fc9b27df2c03bd4154def", "sport": "TENNIS"}</t>
        </is>
      </c>
    </row>
    <row r="1435" ht="36" customHeight="1">
      <c r="A1435" s="24" t="inlineStr">
        <is>
          <t>b3fbbcb169f04389</t>
        </is>
      </c>
      <c r="B1435" s="24" t="inlineStr">
        <is>
          <t>2026-10-13T11:17:05.945016Z</t>
        </is>
      </c>
      <c r="C1435" s="24" t="inlineStr">
        <is>
          <t>2026-10-13T12:00Z</t>
        </is>
      </c>
      <c r="D1435" s="24" t="inlineStr">
        <is>
          <t>1020-2026:185487</t>
        </is>
      </c>
      <c r="E1435" s="24" t="inlineStr">
        <is>
          <t>TENNIS</t>
        </is>
      </c>
      <c r="F1435" s="24" t="inlineStr">
        <is>
          <t>Ekaterine Gorgodze</t>
        </is>
      </c>
      <c r="G1435" s="24" t="inlineStr">
        <is>
          <t>Lucia Cortez Llorca</t>
        </is>
      </c>
      <c r="H1435" s="24" t="inlineStr">
        <is>
          <t>spread</t>
        </is>
      </c>
      <c r="I1435" s="24" t="inlineStr">
        <is>
          <t>away</t>
        </is>
      </c>
      <c r="J1435" s="25" t="n">
        <v>-7.5</v>
      </c>
      <c r="K1435" s="24" t="inlineStr">
        <is>
          <t>polymarket_us</t>
        </is>
      </c>
      <c r="L1435" s="26" t="n">
        <v>-178</v>
      </c>
      <c r="M1435" s="27" t="n">
        <v>1.561798</v>
      </c>
      <c r="N1435" s="28" t="n">
        <v>0.640288</v>
      </c>
      <c r="O1435" s="28" t="n">
        <v>0.9995000000000001</v>
      </c>
      <c r="P1435" s="28" t="n">
        <v>0.05</v>
      </c>
      <c r="Q1435" s="28" t="n">
        <v>0.359212</v>
      </c>
      <c r="R1435" s="26" t="n">
        <v>100</v>
      </c>
      <c r="S1435" s="29" t="n">
        <v>2</v>
      </c>
      <c r="T1435" s="24" t="inlineStr">
        <is>
          <t>tennis-learned-v3</t>
        </is>
      </c>
      <c r="U1435" s="24" t="inlineStr">
        <is>
          <t>settled</t>
        </is>
      </c>
      <c r="V1435" s="24" t="inlineStr">
        <is>
          <t>loss</t>
        </is>
      </c>
      <c r="W1435" s="26" t="n">
        <v>10</v>
      </c>
      <c r="X1435" s="26" t="n">
        <v>13</v>
      </c>
      <c r="Y1435" s="25" t="n"/>
      <c r="Z1435" s="26" t="n"/>
      <c r="AA1435" s="28" t="n"/>
      <c r="AB1435" s="28" t="n"/>
      <c r="AC1435" s="30" t="n">
        <v>-2</v>
      </c>
      <c r="AD1435" s="24" t="inlineStr">
        <is>
          <t>2026-10-13T16:12:16.580827Z</t>
        </is>
      </c>
      <c r="AE1435" s="31" t="inlineStr">
        <is>
          <t>Tennis Markov game spread -7.5 games: away cover p=1.000. Executable ask 0.6400 (asc-wta-lucllo-ekagor-2026-10-12-gs-neg-7pt5).</t>
        </is>
      </c>
      <c r="AF1435" s="31" t="inlineStr">
        <is>
          <t>Surface-blended Elo model; singles only, WTA+ATP market coverage, not yet locked-holdout qualified -- promoted by explicit operator directive, not genuine walk-forward validation.</t>
        </is>
      </c>
      <c r="AG1435" s="24" t="inlineStr">
        <is>
          <t>review_required</t>
        </is>
      </c>
      <c r="AH1435" s="24" t="n"/>
      <c r="AI1435" s="31" t="n"/>
      <c r="AJ1435" s="31" t="n"/>
      <c r="AK1435" s="24" t="inlineStr">
        <is>
          <t>model_qualified</t>
        </is>
      </c>
      <c r="AL1435" s="26" t="n">
        <v>4</v>
      </c>
      <c r="AM1435" s="24" t="inlineStr">
        <is>
          <t>QUALIFIED_SHADOW_CALL</t>
        </is>
      </c>
      <c r="AN1435" s="24" t="inlineStr">
        <is>
          <t>CALL</t>
        </is>
      </c>
      <c r="AO1435" s="24" t="inlineStr">
        <is>
          <t>QUALIFIED</t>
        </is>
      </c>
      <c r="AP1435" s="24" t="inlineStr">
        <is>
          <t>Ekaterine Gorgodze</t>
        </is>
      </c>
      <c r="AQ1435" s="24" t="inlineStr">
        <is>
          <t>Ekaterine Gorgodze</t>
        </is>
      </c>
      <c r="AR1435" s="24" t="inlineStr">
        <is>
          <t>Ekaterine Gorgodze</t>
        </is>
      </c>
      <c r="AS1435" s="24" t="inlineStr">
        <is>
          <t>Lucia Cortez Llorca</t>
        </is>
      </c>
      <c r="AT1435" s="24" t="inlineStr">
        <is>
          <t>Lucia Cortez Llorca</t>
        </is>
      </c>
      <c r="AU1435" s="24" t="inlineStr">
        <is>
          <t>Lucia Cortez Llorca</t>
        </is>
      </c>
      <c r="AV1435" s="24" t="n"/>
      <c r="AW1435" s="24" t="n"/>
      <c r="AX1435" s="24" t="inlineStr">
        <is>
          <t>statistical_model</t>
        </is>
      </c>
      <c r="AY1435" s="24" t="n"/>
      <c r="AZ1435" s="24" t="inlineStr">
        <is>
          <t>shadow_qualified</t>
        </is>
      </c>
      <c r="BA1435" s="24" t="inlineStr">
        <is>
          <t>7443acc419841200d57e1edf36b77f1940cdd0c48dce3d43fcd05498a109440b</t>
        </is>
      </c>
      <c r="BB1435" s="24" t="inlineStr">
        <is>
          <t>learned_v3</t>
        </is>
      </c>
      <c r="BC1435" s="24" t="inlineStr">
        <is>
          <t>tennis-learned-v3</t>
        </is>
      </c>
      <c r="BD1435" s="24" t="inlineStr">
        <is>
          <t>7443acc419841200d57e1edf36b77f1940cdd0c48dce3d43fcd05498a109440b</t>
        </is>
      </c>
      <c r="BE1435" s="24" t="inlineStr">
        <is>
          <t>tennis-learned-v3</t>
        </is>
      </c>
      <c r="BF1435" s="24" t="inlineStr">
        <is>
          <t>1</t>
        </is>
      </c>
      <c r="BG1435" s="24" t="inlineStr">
        <is>
          <t>7443acc419841200d57e1edf36b77f1940cdd0c48dce3d43fcd05498a109440b</t>
        </is>
      </c>
      <c r="BH1435" s="24" t="inlineStr">
        <is>
          <t>2026-10-13T10:38:55.887069Z</t>
        </is>
      </c>
      <c r="BI1435" s="24" t="inlineStr">
        <is>
          <t>["same_event","same_team_same_day","same_league_same_day"]</t>
        </is>
      </c>
      <c r="BJ1435" s="25" t="n">
        <v>-7.5</v>
      </c>
      <c r="BK1435" s="26" t="n">
        <v>-178</v>
      </c>
      <c r="BL1435" s="27" t="n">
        <v>1.561798</v>
      </c>
      <c r="BM1435" s="28" t="n">
        <v>0.640288</v>
      </c>
      <c r="BN1435" s="28" t="n"/>
      <c r="BO1435" s="28" t="n"/>
      <c r="BP1435" s="25" t="n"/>
      <c r="BQ1435" s="27" t="n"/>
      <c r="BR1435" s="28" t="n"/>
      <c r="BS1435" s="28" t="n"/>
      <c r="BT1435" s="28" t="n"/>
      <c r="BU1435" s="25" t="n"/>
      <c r="BV1435" s="29" t="n"/>
      <c r="BW1435" s="24" t="n"/>
      <c r="BX1435" s="30" t="n"/>
      <c r="BY1435" s="27" t="n"/>
      <c r="BZ1435" s="24" t="n"/>
      <c r="CA1435" s="31" t="n"/>
      <c r="CB1435" s="24" t="n"/>
      <c r="CC1435" s="24" t="n"/>
      <c r="CD1435" s="24" t="n"/>
      <c r="CE1435" s="24" t="n"/>
      <c r="CF1435" s="24" t="n"/>
      <c r="CG1435" s="24" t="n"/>
      <c r="CH1435" s="24" t="n"/>
      <c r="CI1435" s="24" t="n"/>
      <c r="CJ1435" s="24" t="n"/>
      <c r="CK1435" s="24" t="n"/>
      <c r="CL1435" s="24" t="n"/>
      <c r="CM1435" s="24" t="n"/>
      <c r="CN1435" s="24" t="n"/>
      <c r="CO1435" s="24" t="n"/>
      <c r="CP1435" s="24" t="n"/>
      <c r="CQ1435" s="24" t="n"/>
      <c r="CR1435" s="24" t="n"/>
      <c r="CS1435" s="24" t="inlineStr">
        <is>
          <t>True</t>
        </is>
      </c>
      <c r="CT1435" s="24" t="n"/>
      <c r="CU1435" s="24" t="n"/>
      <c r="CV1435" s="24" t="n"/>
      <c r="CW1435" s="24" t="n"/>
      <c r="CX1435" s="24" t="n"/>
      <c r="CY1435" s="24" t="n"/>
      <c r="CZ1435" s="24" t="n"/>
      <c r="DA1435" s="24" t="n"/>
      <c r="DB1435" s="24" t="n"/>
      <c r="DC1435" s="24" t="n"/>
      <c r="DD1435" s="24" t="inlineStr">
        <is>
          <t>c46112d2524314532dee3d6705851fd820318c054ad044b42aabcfbb2436ddf4</t>
        </is>
      </c>
      <c r="DE1435" s="24" t="inlineStr">
        <is>
          <t>E:\model-prediction\data\odds\tennis\2026-10-13\polymarket_snapshots.jsonl</t>
        </is>
      </c>
      <c r="DF1435" s="24" t="inlineStr">
        <is>
          <t>1367445:2026-10-13T10:38:55.887069Z</t>
        </is>
      </c>
      <c r="DG1435" s="24" t="n"/>
      <c r="DH1435" s="24" t="n"/>
      <c r="DI1435" s="24" t="n"/>
      <c r="DJ1435" s="24" t="n"/>
      <c r="DK1435" s="24" t="n"/>
      <c r="DL1435" s="24" t="n"/>
      <c r="DM1435" s="24" t="n"/>
      <c r="DN1435" s="24" t="n"/>
      <c r="DO1435" s="24" t="n"/>
      <c r="DP1435" s="24" t="n"/>
      <c r="DQ1435" s="24" t="n"/>
    </row>
    <row r="1436" ht="36" customHeight="1">
      <c r="A1436" s="24" t="inlineStr">
        <is>
          <t>d24b5516863c45a9</t>
        </is>
      </c>
      <c r="B1436" s="24" t="inlineStr">
        <is>
          <t>2026-10-13T11:17:05.945016Z</t>
        </is>
      </c>
      <c r="C1436" s="24" t="inlineStr">
        <is>
          <t>2026-10-13T12:00Z</t>
        </is>
      </c>
      <c r="D1436" s="24" t="inlineStr">
        <is>
          <t>1020-2026:185487</t>
        </is>
      </c>
      <c r="E1436" s="24" t="inlineStr">
        <is>
          <t>TENNIS</t>
        </is>
      </c>
      <c r="F1436" s="24" t="inlineStr">
        <is>
          <t>Ekaterine Gorgodze</t>
        </is>
      </c>
      <c r="G1436" s="24" t="inlineStr">
        <is>
          <t>Lucia Cortez Llorca</t>
        </is>
      </c>
      <c r="H1436" s="24" t="inlineStr">
        <is>
          <t>total</t>
        </is>
      </c>
      <c r="I1436" s="24" t="inlineStr">
        <is>
          <t>under</t>
        </is>
      </c>
      <c r="J1436" s="25" t="n">
        <v>22.5</v>
      </c>
      <c r="K1436" s="24" t="inlineStr">
        <is>
          <t>polymarket_us</t>
        </is>
      </c>
      <c r="L1436" s="26" t="n">
        <v>-150</v>
      </c>
      <c r="M1436" s="27" t="n">
        <v>1.666667</v>
      </c>
      <c r="N1436" s="28" t="n">
        <v>0.6</v>
      </c>
      <c r="O1436" s="28" t="n">
        <v>0.7499</v>
      </c>
      <c r="P1436" s="28" t="n">
        <v>0.05</v>
      </c>
      <c r="Q1436" s="28" t="n">
        <v>0.1499</v>
      </c>
      <c r="R1436" s="26" t="n">
        <v>95</v>
      </c>
      <c r="S1436" s="29" t="n">
        <v>1.75</v>
      </c>
      <c r="T1436" s="24" t="inlineStr">
        <is>
          <t>tennis-learned-v3</t>
        </is>
      </c>
      <c r="U1436" s="24" t="inlineStr">
        <is>
          <t>settled</t>
        </is>
      </c>
      <c r="V1436" s="24" t="inlineStr">
        <is>
          <t>loss</t>
        </is>
      </c>
      <c r="W1436" s="26" t="n">
        <v>10</v>
      </c>
      <c r="X1436" s="26" t="n">
        <v>13</v>
      </c>
      <c r="Y1436" s="25" t="n"/>
      <c r="Z1436" s="26" t="n"/>
      <c r="AA1436" s="28" t="n"/>
      <c r="AB1436" s="28" t="n"/>
      <c r="AC1436" s="30" t="n">
        <v>-1.75</v>
      </c>
      <c r="AD1436" s="24" t="inlineStr">
        <is>
          <t>2026-10-13T16:12:22.742609Z</t>
        </is>
      </c>
      <c r="AE1436" s="31" t="inlineStr">
        <is>
          <t>Tennis Markov total games line 22.5: under p=0.750. Executable ask 0.6000 (tsc-wta-lucllo-ekagor-2026-10-12-tg-22pt5).</t>
        </is>
      </c>
      <c r="AF1436" s="31" t="inlineStr">
        <is>
          <t>Surface-blended Elo model; singles only, WTA+ATP market coverage, not yet locked-holdout qualified -- promoted by explicit operator directive, not genuine walk-forward validation.</t>
        </is>
      </c>
      <c r="AG1436" s="24" t="inlineStr">
        <is>
          <t>review_required</t>
        </is>
      </c>
      <c r="AH1436" s="24" t="n"/>
      <c r="AI1436" s="31" t="n"/>
      <c r="AJ1436" s="31" t="n"/>
      <c r="AK1436" s="24" t="inlineStr">
        <is>
          <t>model_qualified</t>
        </is>
      </c>
      <c r="AL1436" s="26" t="n">
        <v>4</v>
      </c>
      <c r="AM1436" s="24" t="inlineStr">
        <is>
          <t>QUALIFIED_SHADOW_CALL</t>
        </is>
      </c>
      <c r="AN1436" s="24" t="inlineStr">
        <is>
          <t>CALL</t>
        </is>
      </c>
      <c r="AO1436" s="24" t="inlineStr">
        <is>
          <t>QUALIFIED</t>
        </is>
      </c>
      <c r="AP1436" s="24" t="inlineStr">
        <is>
          <t>Ekaterine Gorgodze</t>
        </is>
      </c>
      <c r="AQ1436" s="24" t="inlineStr">
        <is>
          <t>Ekaterine Gorgodze</t>
        </is>
      </c>
      <c r="AR1436" s="24" t="inlineStr">
        <is>
          <t>Ekaterine Gorgodze</t>
        </is>
      </c>
      <c r="AS1436" s="24" t="inlineStr">
        <is>
          <t>Lucia Cortez Llorca</t>
        </is>
      </c>
      <c r="AT1436" s="24" t="inlineStr">
        <is>
          <t>Lucia Cortez Llorca</t>
        </is>
      </c>
      <c r="AU1436" s="24" t="inlineStr">
        <is>
          <t>Lucia Cortez Llorca</t>
        </is>
      </c>
      <c r="AV1436" s="24" t="n"/>
      <c r="AW1436" s="24" t="n"/>
      <c r="AX1436" s="24" t="inlineStr">
        <is>
          <t>statistical_model</t>
        </is>
      </c>
      <c r="AY1436" s="24" t="n"/>
      <c r="AZ1436" s="24" t="inlineStr">
        <is>
          <t>shadow_qualified</t>
        </is>
      </c>
      <c r="BA1436" s="24" t="inlineStr">
        <is>
          <t>7443acc419841200d57e1edf36b77f1940cdd0c48dce3d43fcd05498a109440b</t>
        </is>
      </c>
      <c r="BB1436" s="24" t="inlineStr">
        <is>
          <t>learned_v3</t>
        </is>
      </c>
      <c r="BC1436" s="24" t="inlineStr">
        <is>
          <t>tennis-learned-v3</t>
        </is>
      </c>
      <c r="BD1436" s="24" t="inlineStr">
        <is>
          <t>7443acc419841200d57e1edf36b77f1940cdd0c48dce3d43fcd05498a109440b</t>
        </is>
      </c>
      <c r="BE1436" s="24" t="inlineStr">
        <is>
          <t>tennis-learned-v3</t>
        </is>
      </c>
      <c r="BF1436" s="24" t="inlineStr">
        <is>
          <t>1</t>
        </is>
      </c>
      <c r="BG1436" s="24" t="inlineStr">
        <is>
          <t>7443acc419841200d57e1edf36b77f1940cdd0c48dce3d43fcd05498a109440b</t>
        </is>
      </c>
      <c r="BH1436" s="24" t="inlineStr">
        <is>
          <t>2026-10-13T10:39:16.136679Z</t>
        </is>
      </c>
      <c r="BI1436" s="24" t="inlineStr">
        <is>
          <t>["same_event","same_team_same_day","same_league_same_day"]</t>
        </is>
      </c>
      <c r="BJ1436" s="25" t="n">
        <v>22.5</v>
      </c>
      <c r="BK1436" s="26" t="n">
        <v>-150</v>
      </c>
      <c r="BL1436" s="27" t="n">
        <v>1.666667</v>
      </c>
      <c r="BM1436" s="28" t="n">
        <v>0.6</v>
      </c>
      <c r="BN1436" s="28" t="n"/>
      <c r="BO1436" s="28" t="n"/>
      <c r="BP1436" s="25" t="n"/>
      <c r="BQ1436" s="27" t="n"/>
      <c r="BR1436" s="28" t="n"/>
      <c r="BS1436" s="28" t="n"/>
      <c r="BT1436" s="28" t="n"/>
      <c r="BU1436" s="25" t="n"/>
      <c r="BV1436" s="29" t="n"/>
      <c r="BW1436" s="24" t="n"/>
      <c r="BX1436" s="30" t="n"/>
      <c r="BY1436" s="27" t="n"/>
      <c r="BZ1436" s="24" t="n"/>
      <c r="CA1436" s="31" t="n"/>
      <c r="CB1436" s="24" t="n"/>
      <c r="CC1436" s="24" t="n"/>
      <c r="CD1436" s="24" t="n"/>
      <c r="CE1436" s="24" t="n"/>
      <c r="CF1436" s="24" t="n"/>
      <c r="CG1436" s="24" t="n"/>
      <c r="CH1436" s="24" t="n"/>
      <c r="CI1436" s="24" t="n"/>
      <c r="CJ1436" s="24" t="n"/>
      <c r="CK1436" s="24" t="n"/>
      <c r="CL1436" s="24" t="n"/>
      <c r="CM1436" s="24" t="n"/>
      <c r="CN1436" s="24" t="n"/>
      <c r="CO1436" s="24" t="n"/>
      <c r="CP1436" s="24" t="n"/>
      <c r="CQ1436" s="24" t="n"/>
      <c r="CR1436" s="24" t="n"/>
      <c r="CS1436" s="24" t="inlineStr">
        <is>
          <t>True</t>
        </is>
      </c>
      <c r="CT1436" s="24" t="n"/>
      <c r="CU1436" s="24" t="n"/>
      <c r="CV1436" s="24" t="n"/>
      <c r="CW1436" s="24" t="n"/>
      <c r="CX1436" s="24" t="n"/>
      <c r="CY1436" s="24" t="n"/>
      <c r="CZ1436" s="24" t="n"/>
      <c r="DA1436" s="24" t="n"/>
      <c r="DB1436" s="24" t="n"/>
      <c r="DC1436" s="24" t="n"/>
      <c r="DD1436" s="24" t="inlineStr">
        <is>
          <t>c3796e5a2f0402f32265ac555dc3260b953984852f3226cf61407db34825da84</t>
        </is>
      </c>
      <c r="DE1436" s="24" t="inlineStr">
        <is>
          <t>E:\model-prediction\data\odds\tennis\2026-10-13\polymarket_snapshots.jsonl</t>
        </is>
      </c>
      <c r="DF1436" s="24" t="inlineStr">
        <is>
          <t>1367434:2026-10-13T10:39:16.136679Z</t>
        </is>
      </c>
      <c r="DG1436" s="24" t="n"/>
      <c r="DH1436" s="24" t="n"/>
      <c r="DI1436" s="24" t="n"/>
      <c r="DJ1436" s="24" t="n"/>
      <c r="DK1436" s="24" t="n"/>
      <c r="DL1436" s="24" t="n"/>
      <c r="DM1436" s="24" t="n"/>
      <c r="DN1436" s="24" t="n"/>
      <c r="DO1436" s="24" t="n"/>
      <c r="DP1436" s="24" t="n"/>
      <c r="DQ1436" s="24" t="n"/>
    </row>
    <row r="1437" ht="36" customHeight="1">
      <c r="A1437" s="24" t="inlineStr">
        <is>
          <t>3bef745323274289</t>
        </is>
      </c>
      <c r="B1437" s="24" t="inlineStr">
        <is>
          <t>2026-10-13T11:17:05.945016Z</t>
        </is>
      </c>
      <c r="C1437" s="24" t="inlineStr">
        <is>
          <t>2026-10-13T12:00Z</t>
        </is>
      </c>
      <c r="D1437" s="24" t="inlineStr">
        <is>
          <t>1020-2026:185487</t>
        </is>
      </c>
      <c r="E1437" s="24" t="inlineStr">
        <is>
          <t>TENNIS</t>
        </is>
      </c>
      <c r="F1437" s="24" t="inlineStr">
        <is>
          <t>Ekaterine Gorgodze</t>
        </is>
      </c>
      <c r="G1437" s="24" t="inlineStr">
        <is>
          <t>Lucia Cortez Llorca</t>
        </is>
      </c>
      <c r="H1437" s="24" t="inlineStr">
        <is>
          <t>moneyline</t>
        </is>
      </c>
      <c r="I1437" s="24" t="inlineStr">
        <is>
          <t>away</t>
        </is>
      </c>
      <c r="J1437" s="25" t="n"/>
      <c r="K1437" s="24" t="inlineStr">
        <is>
          <t>polymarket_us</t>
        </is>
      </c>
      <c r="L1437" s="26" t="n">
        <v>-213</v>
      </c>
      <c r="M1437" s="27" t="n">
        <v>1.469484</v>
      </c>
      <c r="N1437" s="28" t="n">
        <v>0.680511</v>
      </c>
      <c r="O1437" s="28" t="n">
        <v>0.7133</v>
      </c>
      <c r="P1437" s="28" t="n">
        <v>0.05</v>
      </c>
      <c r="Q1437" s="28" t="n">
        <v>0.032789</v>
      </c>
      <c r="R1437" s="26" t="n">
        <v>36</v>
      </c>
      <c r="S1437" s="29" t="n">
        <v>1</v>
      </c>
      <c r="T1437" s="24" t="inlineStr">
        <is>
          <t>tennis-learned-v3</t>
        </is>
      </c>
      <c r="U1437" s="24" t="inlineStr">
        <is>
          <t>settled</t>
        </is>
      </c>
      <c r="V1437" s="24" t="inlineStr">
        <is>
          <t>loss</t>
        </is>
      </c>
      <c r="W1437" s="26" t="n">
        <v>0</v>
      </c>
      <c r="X1437" s="26" t="n">
        <v>1</v>
      </c>
      <c r="Y1437" s="25" t="n"/>
      <c r="Z1437" s="26" t="n">
        <v>-213</v>
      </c>
      <c r="AA1437" s="28" t="n">
        <v>0.68</v>
      </c>
      <c r="AB1437" s="28" t="n">
        <v>-0.000511</v>
      </c>
      <c r="AC1437" s="30" t="n">
        <v>-1</v>
      </c>
      <c r="AD1437" s="24" t="inlineStr">
        <is>
          <t>2026-10-13T16:12:28.321828Z</t>
        </is>
      </c>
      <c r="AE1437" s="31" t="inlineStr">
        <is>
          <t>Tennis v3 Learned Fundamental on Grass (Bo3): Ekaterine Gorgodze p=0.713 vs Lucia Cortez Llorca. Executable ask 0.6800 (aec-wta-lucllo-ekagor-2026-10-12).</t>
        </is>
      </c>
      <c r="AF1437" s="31" t="inlineStr">
        <is>
          <t>Surface-blended Elo model; singles only, WTA+ATP market coverage, not yet locked-holdout qualified -- promoted by explicit operator directive, not genuine walk-forward validation.</t>
        </is>
      </c>
      <c r="AG1437" s="24" t="inlineStr">
        <is>
          <t>review_required</t>
        </is>
      </c>
      <c r="AH1437" s="24" t="n"/>
      <c r="AI1437" s="31" t="n"/>
      <c r="AJ1437" s="31" t="n"/>
      <c r="AK1437" s="24" t="inlineStr">
        <is>
          <t>paper_call</t>
        </is>
      </c>
      <c r="AL1437" s="26" t="n">
        <v>4</v>
      </c>
      <c r="AM1437" s="24" t="inlineStr">
        <is>
          <t>RESEARCH_OBSERVATION</t>
        </is>
      </c>
      <c r="AN1437" s="24" t="inlineStr">
        <is>
          <t>CALL</t>
        </is>
      </c>
      <c r="AO1437" s="24" t="inlineStr">
        <is>
          <t>PAPER_CALL_LOW_EDGE</t>
        </is>
      </c>
      <c r="AP1437" s="24" t="inlineStr">
        <is>
          <t>Ekaterine Gorgodze</t>
        </is>
      </c>
      <c r="AQ1437" s="24" t="inlineStr">
        <is>
          <t>Ekaterine Gorgodze</t>
        </is>
      </c>
      <c r="AR1437" s="24" t="inlineStr">
        <is>
          <t>Ekaterine Gorgodze</t>
        </is>
      </c>
      <c r="AS1437" s="24" t="inlineStr">
        <is>
          <t>Lucia Cortez Llorca</t>
        </is>
      </c>
      <c r="AT1437" s="24" t="inlineStr">
        <is>
          <t>Lucia Cortez Llorca</t>
        </is>
      </c>
      <c r="AU1437" s="24" t="inlineStr">
        <is>
          <t>Lucia Cortez Llorca</t>
        </is>
      </c>
      <c r="AV1437" s="24" t="n"/>
      <c r="AW1437" s="24" t="n"/>
      <c r="AX1437" s="24" t="inlineStr">
        <is>
          <t>statistical_model</t>
        </is>
      </c>
      <c r="AY1437" s="24" t="n"/>
      <c r="AZ1437" s="24" t="inlineStr">
        <is>
          <t>shadow_qualified</t>
        </is>
      </c>
      <c r="BA1437" s="24" t="inlineStr">
        <is>
          <t>7443acc419841200d57e1edf36b77f1940cdd0c48dce3d43fcd05498a109440b</t>
        </is>
      </c>
      <c r="BB1437" s="24" t="inlineStr">
        <is>
          <t>learned_v3</t>
        </is>
      </c>
      <c r="BC1437" s="24" t="inlineStr">
        <is>
          <t>tennis-learned-v3</t>
        </is>
      </c>
      <c r="BD1437" s="24" t="inlineStr">
        <is>
          <t>7443acc419841200d57e1edf36b77f1940cdd0c48dce3d43fcd05498a109440b</t>
        </is>
      </c>
      <c r="BE1437" s="24" t="inlineStr">
        <is>
          <t>tennis-learned-v3</t>
        </is>
      </c>
      <c r="BF1437" s="24" t="inlineStr">
        <is>
          <t>1</t>
        </is>
      </c>
      <c r="BG1437" s="24" t="inlineStr">
        <is>
          <t>7443acc419841200d57e1edf36b77f1940cdd0c48dce3d43fcd05498a109440b</t>
        </is>
      </c>
      <c r="BH1437" s="24" t="inlineStr">
        <is>
          <t>2026-10-13T10:39:26.186425Z</t>
        </is>
      </c>
      <c r="BI1437" s="24" t="inlineStr">
        <is>
          <t>["same_event","same_team_same_day","same_league_same_day"]</t>
        </is>
      </c>
      <c r="BJ1437" s="25" t="n"/>
      <c r="BK1437" s="26" t="n">
        <v>-213</v>
      </c>
      <c r="BL1437" s="27" t="n">
        <v>1.469484</v>
      </c>
      <c r="BM1437" s="28" t="n">
        <v>0.680511</v>
      </c>
      <c r="BN1437" s="28" t="n"/>
      <c r="BO1437" s="28" t="n"/>
      <c r="BP1437" s="25" t="n"/>
      <c r="BQ1437" s="27" t="n">
        <v>1.469484</v>
      </c>
      <c r="BR1437" s="28" t="n">
        <v>0.68</v>
      </c>
      <c r="BS1437" s="28" t="n"/>
      <c r="BT1437" s="28" t="n"/>
      <c r="BU1437" s="25" t="n"/>
      <c r="BV1437" s="29" t="n"/>
      <c r="BW1437" s="24" t="n"/>
      <c r="BX1437" s="30" t="n"/>
      <c r="BY1437" s="27" t="n"/>
      <c r="BZ1437" s="24" t="n"/>
      <c r="CA1437" s="31" t="n"/>
      <c r="CB1437" s="24" t="n"/>
      <c r="CC1437" s="24" t="n"/>
      <c r="CD1437" s="24" t="n"/>
      <c r="CE1437" s="24" t="n"/>
      <c r="CF1437" s="24" t="n"/>
      <c r="CG1437" s="24" t="n"/>
      <c r="CH1437" s="24" t="n"/>
      <c r="CI1437" s="24" t="n"/>
      <c r="CJ1437" s="24" t="n"/>
      <c r="CK1437" s="24" t="n"/>
      <c r="CL1437" s="24" t="n"/>
      <c r="CM1437" s="24" t="n"/>
      <c r="CN1437" s="24" t="n"/>
      <c r="CO1437" s="24" t="n"/>
      <c r="CP1437" s="24" t="n"/>
      <c r="CQ1437" s="24" t="n"/>
      <c r="CR1437" s="24" t="n"/>
      <c r="CS1437" s="24" t="inlineStr">
        <is>
          <t>True</t>
        </is>
      </c>
      <c r="CT1437" s="24" t="n"/>
      <c r="CU1437" s="24" t="n"/>
      <c r="CV1437" s="24" t="n"/>
      <c r="CW1437" s="24" t="n"/>
      <c r="CX1437" s="24" t="n"/>
      <c r="CY1437" s="24" t="n"/>
      <c r="CZ1437" s="24" t="n"/>
      <c r="DA1437" s="24" t="n"/>
      <c r="DB1437" s="24" t="n"/>
      <c r="DC1437" s="24" t="n"/>
      <c r="DD1437" s="24" t="inlineStr">
        <is>
          <t>d12716939f67a7550830321505b19a7cf4382d3f05a8620fd95aa3203a39169a</t>
        </is>
      </c>
      <c r="DE1437" s="24" t="inlineStr">
        <is>
          <t>E:\model-prediction\data\odds\tennis\2026-10-13\polymarket_snapshots.jsonl</t>
        </is>
      </c>
      <c r="DF1437" s="24" t="inlineStr">
        <is>
          <t>1366671:2026-10-13T10:39:26.186425Z</t>
        </is>
      </c>
      <c r="DG1437" s="24" t="n"/>
      <c r="DH1437" s="24" t="n"/>
      <c r="DI1437" s="24" t="n"/>
      <c r="DJ1437" s="24" t="n"/>
      <c r="DK1437" s="24" t="n"/>
      <c r="DL1437" s="24" t="n"/>
      <c r="DM1437" s="24" t="n"/>
      <c r="DN1437" s="24" t="n"/>
      <c r="DO1437" s="24" t="n"/>
      <c r="DP1437" s="24" t="n"/>
      <c r="DQ1437" s="24" t="inlineStr">
        <is>
          <t>{"artifact_hash": "7443acc419841200d57e1edf36b77f1940cdd0c48dce3d43fcd05498a109440b", "away_team": "Ekaterine Gorgodze", "event_id": "1020-2026:185487", "event_start_utc": "2026-10-13T12:00Z", "features": {"elo_p1_surface": 1502.0, "elo_p2_surface": 1500.0, "expected_games_p1": 13.09, "expected_games_p2": 7.03, "expected_total_games": 20.12, "history_matches": 16744, "min_player_matches": 14, "surface": "Grass"}, "historical_source_observation_times_verified": false, "home_team": "Lucia Cortez Llorca", "inference_inputs": {"best_of": 3, "code_sha256": {"features/elo_ratings.py": "d6513e79d65448c06cc0f9b9eed0eaa091567835128e1f6647a310da8d78a872", "models/tennis.py": "7443acc419841200d57e1edf36b77f1940cdd0c48dce3d43fcd05498a109440b"}, "counts": [75, 14], "market_probability": null, "model_version": "tennis-learned-v3", "overall_ratings": [1517.0588958727308, 1453.6594007759422], "p_serve_a": 0.6559585632346496, "p_serve_b": 0.5240414367653503, "players": ["Ekaterine Gorgodze", "Lucia Cortez Llorca"], "rest_days": [17.0, 28.0], "sport": "TENNIS", "surface": "Grass", "surface_counts": [5, 0], "surface_ratings": [1502.0340255913236, 1453.6594007759422], "tour": "WTA"}, "market_type": "moneyline", "model_version": "tennis-learned-v3", "observed_at_utc": "2026-10-13T11:17:02.991709+00:00", "probabilities": {"away": 0.7133, "home": 0.2867}, "replay_scope": "Exact full-precision serving state and rounding; upstream historical observation times are not certified.", "schema": "coded-moneyline-replay-v1", "snapshot_hash": "7b8202246b6553791f3d7681702c69ee5c1c5595889b55f2bf379f0eeaf0308c", "sport": "TENNIS"}</t>
        </is>
      </c>
    </row>
    <row r="1438" ht="36" customHeight="1">
      <c r="A1438" s="24" t="inlineStr">
        <is>
          <t>9b6ea528d9784470</t>
        </is>
      </c>
      <c r="B1438" s="24" t="inlineStr">
        <is>
          <t>2026-10-13T11:17:05.945016Z</t>
        </is>
      </c>
      <c r="C1438" s="24" t="inlineStr">
        <is>
          <t>2026-10-13T13:00Z</t>
        </is>
      </c>
      <c r="D1438" s="24" t="inlineStr">
        <is>
          <t>1020-2026:185494</t>
        </is>
      </c>
      <c r="E1438" s="24" t="inlineStr">
        <is>
          <t>TENNIS</t>
        </is>
      </c>
      <c r="F1438" s="24" t="inlineStr">
        <is>
          <t>Noma Noha Akugue</t>
        </is>
      </c>
      <c r="G1438" s="24" t="inlineStr">
        <is>
          <t>Rebeka Masarova</t>
        </is>
      </c>
      <c r="H1438" s="24" t="inlineStr">
        <is>
          <t>moneyline</t>
        </is>
      </c>
      <c r="I1438" s="24" t="inlineStr">
        <is>
          <t>home</t>
        </is>
      </c>
      <c r="J1438" s="25" t="n"/>
      <c r="K1438" s="24" t="inlineStr">
        <is>
          <t>polymarket_us</t>
        </is>
      </c>
      <c r="L1438" s="26" t="n">
        <v>-127</v>
      </c>
      <c r="M1438" s="27" t="n">
        <v>1.787402</v>
      </c>
      <c r="N1438" s="28" t="n">
        <v>0.5594710000000001</v>
      </c>
      <c r="O1438" s="28" t="n">
        <v>0.5832000000000001</v>
      </c>
      <c r="P1438" s="28" t="n">
        <v>0.05</v>
      </c>
      <c r="Q1438" s="28" t="n">
        <v>0.023729</v>
      </c>
      <c r="R1438" s="26" t="n">
        <v>32</v>
      </c>
      <c r="S1438" s="29" t="n">
        <v>1</v>
      </c>
      <c r="T1438" s="24" t="inlineStr">
        <is>
          <t>tennis-learned-v3</t>
        </is>
      </c>
      <c r="U1438" s="24" t="inlineStr">
        <is>
          <t>settled</t>
        </is>
      </c>
      <c r="V1438" s="24" t="inlineStr">
        <is>
          <t>win</t>
        </is>
      </c>
      <c r="W1438" s="26" t="n">
        <v>0</v>
      </c>
      <c r="X1438" s="26" t="n">
        <v>1</v>
      </c>
      <c r="Y1438" s="25" t="n"/>
      <c r="Z1438" s="26" t="n">
        <v>-127</v>
      </c>
      <c r="AA1438" s="28" t="n">
        <v>0.5600000000000001</v>
      </c>
      <c r="AB1438" s="28" t="n">
        <v>0.000529</v>
      </c>
      <c r="AC1438" s="30" t="n">
        <v>0.7874</v>
      </c>
      <c r="AD1438" s="24" t="inlineStr">
        <is>
          <t>2026-10-13T16:12:36.459859Z</t>
        </is>
      </c>
      <c r="AE1438" s="31" t="inlineStr">
        <is>
          <t>Tennis v3 Learned Fundamental on Grass (Bo3): Noma Noha Akugue p=0.417 vs Rebeka Masarova. Executable ask 0.5600 (aec-wta-rebmas-nomaku-2026-10-12).</t>
        </is>
      </c>
      <c r="AF1438" s="31" t="inlineStr">
        <is>
          <t>Surface-blended Elo model; singles only, WTA+ATP market coverage, not yet locked-holdout qualified -- promoted by explicit operator directive, not genuine walk-forward validation.</t>
        </is>
      </c>
      <c r="AG1438" s="24" t="inlineStr">
        <is>
          <t>not_applicable</t>
        </is>
      </c>
      <c r="AH1438" s="24" t="n"/>
      <c r="AI1438" s="31" t="n"/>
      <c r="AJ1438" s="31" t="n"/>
      <c r="AK1438" s="24" t="inlineStr">
        <is>
          <t>paper_call</t>
        </is>
      </c>
      <c r="AL1438" s="26" t="n">
        <v>4</v>
      </c>
      <c r="AM1438" s="24" t="inlineStr">
        <is>
          <t>RESEARCH_OBSERVATION</t>
        </is>
      </c>
      <c r="AN1438" s="24" t="inlineStr">
        <is>
          <t>CALL</t>
        </is>
      </c>
      <c r="AO1438" s="24" t="inlineStr">
        <is>
          <t>PAPER_CALL_LOW_EDGE</t>
        </is>
      </c>
      <c r="AP1438" s="24" t="inlineStr">
        <is>
          <t>Noma Noha Akugue</t>
        </is>
      </c>
      <c r="AQ1438" s="24" t="inlineStr">
        <is>
          <t>Noma Noha Akugue</t>
        </is>
      </c>
      <c r="AR1438" s="24" t="inlineStr">
        <is>
          <t>Noma Noha Akugue</t>
        </is>
      </c>
      <c r="AS1438" s="24" t="inlineStr">
        <is>
          <t>Rebeka Masarova</t>
        </is>
      </c>
      <c r="AT1438" s="24" t="inlineStr">
        <is>
          <t>Rebeka Masarova</t>
        </is>
      </c>
      <c r="AU1438" s="24" t="inlineStr">
        <is>
          <t>Rebeka Masarova</t>
        </is>
      </c>
      <c r="AV1438" s="24" t="n"/>
      <c r="AW1438" s="24" t="n"/>
      <c r="AX1438" s="24" t="inlineStr">
        <is>
          <t>statistical_model</t>
        </is>
      </c>
      <c r="AY1438" s="24" t="n"/>
      <c r="AZ1438" s="24" t="inlineStr">
        <is>
          <t>shadow_qualified</t>
        </is>
      </c>
      <c r="BA1438" s="24" t="inlineStr">
        <is>
          <t>7443acc419841200d57e1edf36b77f1940cdd0c48dce3d43fcd05498a109440b</t>
        </is>
      </c>
      <c r="BB1438" s="24" t="inlineStr">
        <is>
          <t>learned_v3</t>
        </is>
      </c>
      <c r="BC1438" s="24" t="inlineStr">
        <is>
          <t>tennis-learned-v3</t>
        </is>
      </c>
      <c r="BD1438" s="24" t="inlineStr">
        <is>
          <t>7443acc419841200d57e1edf36b77f1940cdd0c48dce3d43fcd05498a109440b</t>
        </is>
      </c>
      <c r="BE1438" s="24" t="inlineStr">
        <is>
          <t>tennis-learned-v3</t>
        </is>
      </c>
      <c r="BF1438" s="24" t="inlineStr">
        <is>
          <t>1</t>
        </is>
      </c>
      <c r="BG1438" s="24" t="inlineStr">
        <is>
          <t>7443acc419841200d57e1edf36b77f1940cdd0c48dce3d43fcd05498a109440b</t>
        </is>
      </c>
      <c r="BH1438" s="24" t="inlineStr">
        <is>
          <t>2026-10-13T10:40:06.221858Z</t>
        </is>
      </c>
      <c r="BI1438" s="24" t="inlineStr">
        <is>
          <t>["same_event","same_team_same_day","same_league_same_day"]</t>
        </is>
      </c>
      <c r="BJ1438" s="25" t="n"/>
      <c r="BK1438" s="26" t="n">
        <v>-127</v>
      </c>
      <c r="BL1438" s="27" t="n">
        <v>1.787402</v>
      </c>
      <c r="BM1438" s="28" t="n">
        <v>0.5594710000000001</v>
      </c>
      <c r="BN1438" s="28" t="n"/>
      <c r="BO1438" s="28" t="n"/>
      <c r="BP1438" s="25" t="n"/>
      <c r="BQ1438" s="27" t="n">
        <v>1.787402</v>
      </c>
      <c r="BR1438" s="28" t="n">
        <v>0.5600000000000001</v>
      </c>
      <c r="BS1438" s="28" t="n"/>
      <c r="BT1438" s="28" t="n"/>
      <c r="BU1438" s="25" t="n"/>
      <c r="BV1438" s="29" t="n"/>
      <c r="BW1438" s="24" t="n"/>
      <c r="BX1438" s="30" t="n"/>
      <c r="BY1438" s="27" t="n"/>
      <c r="BZ1438" s="24" t="n"/>
      <c r="CA1438" s="31" t="n"/>
      <c r="CB1438" s="24" t="n"/>
      <c r="CC1438" s="24" t="n"/>
      <c r="CD1438" s="24" t="n"/>
      <c r="CE1438" s="24" t="n"/>
      <c r="CF1438" s="24" t="n"/>
      <c r="CG1438" s="24" t="n"/>
      <c r="CH1438" s="24" t="n"/>
      <c r="CI1438" s="24" t="n"/>
      <c r="CJ1438" s="24" t="n"/>
      <c r="CK1438" s="24" t="n"/>
      <c r="CL1438" s="24" t="n"/>
      <c r="CM1438" s="24" t="n"/>
      <c r="CN1438" s="24" t="n"/>
      <c r="CO1438" s="24" t="n"/>
      <c r="CP1438" s="24" t="n"/>
      <c r="CQ1438" s="24" t="n"/>
      <c r="CR1438" s="24" t="n"/>
      <c r="CS1438" s="24" t="inlineStr">
        <is>
          <t>True</t>
        </is>
      </c>
      <c r="CT1438" s="24" t="n"/>
      <c r="CU1438" s="24" t="n"/>
      <c r="CV1438" s="24" t="n"/>
      <c r="CW1438" s="24" t="n"/>
      <c r="CX1438" s="24" t="n"/>
      <c r="CY1438" s="24" t="n"/>
      <c r="CZ1438" s="24" t="n"/>
      <c r="DA1438" s="24" t="n"/>
      <c r="DB1438" s="24" t="n"/>
      <c r="DC1438" s="24" t="n"/>
      <c r="DD1438" s="24" t="inlineStr">
        <is>
          <t>f59bd361b03d260546817f645d9e8f26fafc59c528fde28e1760b7e473b247a6</t>
        </is>
      </c>
      <c r="DE1438" s="24" t="inlineStr">
        <is>
          <t>E:\model-prediction\data\odds\tennis\2026-10-13\polymarket_snapshots.jsonl</t>
        </is>
      </c>
      <c r="DF1438" s="24" t="inlineStr">
        <is>
          <t>1366665:2026-10-13T10:40:06.221858Z</t>
        </is>
      </c>
      <c r="DG1438" s="24" t="n"/>
      <c r="DH1438" s="24" t="n"/>
      <c r="DI1438" s="24" t="n"/>
      <c r="DJ1438" s="24" t="n"/>
      <c r="DK1438" s="24" t="n"/>
      <c r="DL1438" s="24" t="n"/>
      <c r="DM1438" s="24" t="n"/>
      <c r="DN1438" s="24" t="n"/>
      <c r="DO1438" s="24" t="n"/>
      <c r="DP1438" s="24" t="n"/>
      <c r="DQ1438" s="24" t="inlineStr">
        <is>
          <t>{"artifact_hash": "7443acc419841200d57e1edf36b77f1940cdd0c48dce3d43fcd05498a109440b", "away_team": "Noma Noha Akugue", "event_id": "1020-2026:185494", "event_start_utc": "2026-10-13T13:00Z", "features": {"elo_p1_surface": 1457.1, "elo_p2_surface": 1558.4, "expected_games_p1": 10.9, "expected_games_p2": 13.16, "expected_total_games": 24.06, "history_matches": 16744, "min_player_matches": 84, "surface": "Grass"}, "historical_source_observation_times_verified": false, "home_team": "Rebeka Masarova", "inference_inputs": {"best_of": 3, "code_sha256": {"features/elo_ratings.py": "d6513e79d65448c06cc0f9b9eed0eaa091567835128e1f6647a310da8d78a872", "models/tennis.py": "7443acc419841200d57e1edf36b77f1940cdd0c48dce3d43fcd05498a109440b"}, "counts": [84, 146], "market_probability": null, "model_version": "tennis-learned-v3", "overall_ratings": [1536.914405337769, 1567.2588442457316], "p_serve_a": 0.5656762450140574, "p_serve_b": 0.6143237549859425, "players": ["Noma Noha Akugue", "Rebeka Masarova"], "rest_days": [6.0, 18.0], "sport": "TENNIS", "surface": "Grass", "surface_counts": [8, 24], "surface_ratings": [1457.1085136286474, 1558.4480466000618], "tour": "WTA"}, "market_type": "moneyline", "model_version": "tennis-learned-v3", "observed_at_utc": "2026-10-13T11:17:02.991709+00:00", "probabilities": {"away": 0.4168, "home": 0.5832}, "replay_scope": "Exact full-precision serving state and rounding; upstream historical observation times are not certified.", "schema": "coded-moneyline-replay-v1", "snapshot_hash": "7a7a840e3c77a79c5d036069b93907542da94dd2368a36b5cabf7e15130b5250", "sport": "TENNIS"}</t>
        </is>
      </c>
    </row>
    <row r="1439" ht="36" customHeight="1">
      <c r="A1439" s="24" t="inlineStr">
        <is>
          <t>8a166b1a095144f0</t>
        </is>
      </c>
      <c r="B1439" s="24" t="inlineStr">
        <is>
          <t>2026-10-13T11:17:05.945016Z</t>
        </is>
      </c>
      <c r="C1439" s="24" t="inlineStr">
        <is>
          <t>2026-10-13T13:00Z</t>
        </is>
      </c>
      <c r="D1439" s="24" t="inlineStr">
        <is>
          <t>1020-2026:185494</t>
        </is>
      </c>
      <c r="E1439" s="24" t="inlineStr">
        <is>
          <t>TENNIS</t>
        </is>
      </c>
      <c r="F1439" s="24" t="inlineStr">
        <is>
          <t>Noma Noha Akugue</t>
        </is>
      </c>
      <c r="G1439" s="24" t="inlineStr">
        <is>
          <t>Rebeka Masarova</t>
        </is>
      </c>
      <c r="H1439" s="24" t="inlineStr">
        <is>
          <t>total</t>
        </is>
      </c>
      <c r="I1439" s="24" t="inlineStr">
        <is>
          <t>over</t>
        </is>
      </c>
      <c r="J1439" s="25" t="n">
        <v>22.5</v>
      </c>
      <c r="K1439" s="24" t="inlineStr">
        <is>
          <t>polymarket_us</t>
        </is>
      </c>
      <c r="L1439" s="26" t="n">
        <v>117</v>
      </c>
      <c r="M1439" s="27" t="n">
        <v>2.17</v>
      </c>
      <c r="N1439" s="28" t="n">
        <v>0.460829</v>
      </c>
      <c r="O1439" s="28" t="n">
        <v>0.523</v>
      </c>
      <c r="P1439" s="28" t="n">
        <v>0.05</v>
      </c>
      <c r="Q1439" s="28" t="n">
        <v>0.062171</v>
      </c>
      <c r="R1439" s="26" t="n">
        <v>51</v>
      </c>
      <c r="S1439" s="29" t="n">
        <v>1</v>
      </c>
      <c r="T1439" s="24" t="inlineStr">
        <is>
          <t>tennis-learned-v3</t>
        </is>
      </c>
      <c r="U1439" s="24" t="inlineStr">
        <is>
          <t>settled</t>
        </is>
      </c>
      <c r="V1439" s="24" t="inlineStr">
        <is>
          <t>loss</t>
        </is>
      </c>
      <c r="W1439" s="26" t="n">
        <v>7</v>
      </c>
      <c r="X1439" s="26" t="n">
        <v>12</v>
      </c>
      <c r="Y1439" s="25" t="n"/>
      <c r="Z1439" s="26" t="n"/>
      <c r="AA1439" s="28" t="n"/>
      <c r="AB1439" s="28" t="n"/>
      <c r="AC1439" s="30" t="n">
        <v>-1</v>
      </c>
      <c r="AD1439" s="24" t="inlineStr">
        <is>
          <t>2026-10-13T16:12:48.104737Z</t>
        </is>
      </c>
      <c r="AE1439" s="31" t="inlineStr">
        <is>
          <t>Tennis Markov total games line 22.5: over p=0.523. Executable ask 0.4600 (tsc-wta-rebmas-nomaku-2026-10-12-tg-22pt5).</t>
        </is>
      </c>
      <c r="AF1439" s="31" t="inlineStr">
        <is>
          <t>Surface-blended Elo model; singles only, WTA+ATP market coverage, not yet locked-holdout qualified -- promoted by explicit operator directive, not genuine walk-forward validation.</t>
        </is>
      </c>
      <c r="AG1439" s="24" t="inlineStr">
        <is>
          <t>review_required</t>
        </is>
      </c>
      <c r="AH1439" s="24" t="n"/>
      <c r="AI1439" s="31" t="n"/>
      <c r="AJ1439" s="31" t="n"/>
      <c r="AK1439" s="24" t="inlineStr">
        <is>
          <t>paper_call</t>
        </is>
      </c>
      <c r="AL1439" s="26" t="n">
        <v>4</v>
      </c>
      <c r="AM1439" s="24" t="inlineStr">
        <is>
          <t>RESEARCH_OBSERVATION</t>
        </is>
      </c>
      <c r="AN1439" s="24" t="inlineStr">
        <is>
          <t>CALL</t>
        </is>
      </c>
      <c r="AO1439" s="24" t="inlineStr">
        <is>
          <t>PAPER_CALL_LOW_EDGE</t>
        </is>
      </c>
      <c r="AP1439" s="24" t="inlineStr">
        <is>
          <t>Noma Noha Akugue</t>
        </is>
      </c>
      <c r="AQ1439" s="24" t="inlineStr">
        <is>
          <t>Noma Noha Akugue</t>
        </is>
      </c>
      <c r="AR1439" s="24" t="inlineStr">
        <is>
          <t>Noma Noha Akugue</t>
        </is>
      </c>
      <c r="AS1439" s="24" t="inlineStr">
        <is>
          <t>Rebeka Masarova</t>
        </is>
      </c>
      <c r="AT1439" s="24" t="inlineStr">
        <is>
          <t>Rebeka Masarova</t>
        </is>
      </c>
      <c r="AU1439" s="24" t="inlineStr">
        <is>
          <t>Rebeka Masarova</t>
        </is>
      </c>
      <c r="AV1439" s="24" t="n"/>
      <c r="AW1439" s="24" t="n"/>
      <c r="AX1439" s="24" t="inlineStr">
        <is>
          <t>statistical_model</t>
        </is>
      </c>
      <c r="AY1439" s="24" t="n"/>
      <c r="AZ1439" s="24" t="inlineStr">
        <is>
          <t>shadow_qualified</t>
        </is>
      </c>
      <c r="BA1439" s="24" t="inlineStr">
        <is>
          <t>7443acc419841200d57e1edf36b77f1940cdd0c48dce3d43fcd05498a109440b</t>
        </is>
      </c>
      <c r="BB1439" s="24" t="inlineStr">
        <is>
          <t>learned_v3</t>
        </is>
      </c>
      <c r="BC1439" s="24" t="inlineStr">
        <is>
          <t>tennis-learned-v3</t>
        </is>
      </c>
      <c r="BD1439" s="24" t="inlineStr">
        <is>
          <t>7443acc419841200d57e1edf36b77f1940cdd0c48dce3d43fcd05498a109440b</t>
        </is>
      </c>
      <c r="BE1439" s="24" t="inlineStr">
        <is>
          <t>tennis-learned-v3</t>
        </is>
      </c>
      <c r="BF1439" s="24" t="inlineStr">
        <is>
          <t>1</t>
        </is>
      </c>
      <c r="BG1439" s="24" t="inlineStr">
        <is>
          <t>7443acc419841200d57e1edf36b77f1940cdd0c48dce3d43fcd05498a109440b</t>
        </is>
      </c>
      <c r="BH1439" s="24" t="inlineStr">
        <is>
          <t>2026-10-13T10:40:26.567977Z</t>
        </is>
      </c>
      <c r="BI1439" s="24" t="inlineStr">
        <is>
          <t>["same_event","same_team_same_day","same_league_same_day"]</t>
        </is>
      </c>
      <c r="BJ1439" s="25" t="n">
        <v>22.5</v>
      </c>
      <c r="BK1439" s="26" t="n">
        <v>117</v>
      </c>
      <c r="BL1439" s="27" t="n">
        <v>2.17</v>
      </c>
      <c r="BM1439" s="28" t="n">
        <v>0.460829</v>
      </c>
      <c r="BN1439" s="28" t="n"/>
      <c r="BO1439" s="28" t="n"/>
      <c r="BP1439" s="25" t="n"/>
      <c r="BQ1439" s="27" t="n"/>
      <c r="BR1439" s="28" t="n"/>
      <c r="BS1439" s="28" t="n"/>
      <c r="BT1439" s="28" t="n"/>
      <c r="BU1439" s="25" t="n"/>
      <c r="BV1439" s="29" t="n"/>
      <c r="BW1439" s="24" t="n"/>
      <c r="BX1439" s="30" t="n"/>
      <c r="BY1439" s="27" t="n"/>
      <c r="BZ1439" s="24" t="n"/>
      <c r="CA1439" s="31" t="n"/>
      <c r="CB1439" s="24" t="n"/>
      <c r="CC1439" s="24" t="n"/>
      <c r="CD1439" s="24" t="n"/>
      <c r="CE1439" s="24" t="n"/>
      <c r="CF1439" s="24" t="n"/>
      <c r="CG1439" s="24" t="n"/>
      <c r="CH1439" s="24" t="n"/>
      <c r="CI1439" s="24" t="n"/>
      <c r="CJ1439" s="24" t="n"/>
      <c r="CK1439" s="24" t="n"/>
      <c r="CL1439" s="24" t="n"/>
      <c r="CM1439" s="24" t="n"/>
      <c r="CN1439" s="24" t="n"/>
      <c r="CO1439" s="24" t="n"/>
      <c r="CP1439" s="24" t="n"/>
      <c r="CQ1439" s="24" t="n"/>
      <c r="CR1439" s="24" t="n"/>
      <c r="CS1439" s="24" t="inlineStr">
        <is>
          <t>True</t>
        </is>
      </c>
      <c r="CT1439" s="24" t="n"/>
      <c r="CU1439" s="24" t="n"/>
      <c r="CV1439" s="24" t="n"/>
      <c r="CW1439" s="24" t="n"/>
      <c r="CX1439" s="24" t="n"/>
      <c r="CY1439" s="24" t="n"/>
      <c r="CZ1439" s="24" t="n"/>
      <c r="DA1439" s="24" t="n"/>
      <c r="DB1439" s="24" t="n"/>
      <c r="DC1439" s="24" t="n"/>
      <c r="DD1439" s="24" t="inlineStr">
        <is>
          <t>cf6b54cba052c9c1353d0791c9585cdcae8565b46d6e6d34694ff8badd2fcd6b</t>
        </is>
      </c>
      <c r="DE1439" s="24" t="inlineStr">
        <is>
          <t>E:\model-prediction\data\odds\tennis\2026-10-13\polymarket_snapshots.jsonl</t>
        </is>
      </c>
      <c r="DF1439" s="24" t="inlineStr">
        <is>
          <t>1367638:2026-10-13T10:40:26.567977Z</t>
        </is>
      </c>
      <c r="DG1439" s="24" t="n"/>
      <c r="DH1439" s="24" t="n"/>
      <c r="DI1439" s="24" t="n"/>
      <c r="DJ1439" s="24" t="n"/>
      <c r="DK1439" s="24" t="n"/>
      <c r="DL1439" s="24" t="n"/>
      <c r="DM1439" s="24" t="n"/>
      <c r="DN1439" s="24" t="n"/>
      <c r="DO1439" s="24" t="n"/>
      <c r="DP1439" s="24" t="n"/>
      <c r="DQ1439" s="24" t="n"/>
    </row>
    <row r="1440" ht="36" customHeight="1">
      <c r="A1440" s="24" t="inlineStr">
        <is>
          <t>c88493878e044b79</t>
        </is>
      </c>
      <c r="B1440" s="24" t="inlineStr">
        <is>
          <t>2026-10-13T11:17:05.945016Z</t>
        </is>
      </c>
      <c r="C1440" s="24" t="inlineStr">
        <is>
          <t>2026-10-13T13:00Z</t>
        </is>
      </c>
      <c r="D1440" s="24" t="inlineStr">
        <is>
          <t>1020-2026:185494</t>
        </is>
      </c>
      <c r="E1440" s="24" t="inlineStr">
        <is>
          <t>TENNIS</t>
        </is>
      </c>
      <c r="F1440" s="24" t="inlineStr">
        <is>
          <t>Noma Noha Akugue</t>
        </is>
      </c>
      <c r="G1440" s="24" t="inlineStr">
        <is>
          <t>Rebeka Masarova</t>
        </is>
      </c>
      <c r="H1440" s="24" t="inlineStr">
        <is>
          <t>spread</t>
        </is>
      </c>
      <c r="I1440" s="24" t="inlineStr">
        <is>
          <t>away</t>
        </is>
      </c>
      <c r="J1440" s="25" t="n">
        <v>-7.5</v>
      </c>
      <c r="K1440" s="24" t="inlineStr">
        <is>
          <t>polymarket_us</t>
        </is>
      </c>
      <c r="L1440" s="26" t="n">
        <v>-150</v>
      </c>
      <c r="M1440" s="27" t="n">
        <v>1.666667</v>
      </c>
      <c r="N1440" s="28" t="n">
        <v>0.6</v>
      </c>
      <c r="O1440" s="28" t="n">
        <v>0.9358</v>
      </c>
      <c r="P1440" s="28" t="n">
        <v>0.05</v>
      </c>
      <c r="Q1440" s="28" t="n">
        <v>0.3358</v>
      </c>
      <c r="R1440" s="26" t="n">
        <v>100</v>
      </c>
      <c r="S1440" s="29" t="n">
        <v>2</v>
      </c>
      <c r="T1440" s="24" t="inlineStr">
        <is>
          <t>tennis-learned-v3</t>
        </is>
      </c>
      <c r="U1440" s="24" t="inlineStr">
        <is>
          <t>settled</t>
        </is>
      </c>
      <c r="V1440" s="24" t="inlineStr">
        <is>
          <t>loss</t>
        </is>
      </c>
      <c r="W1440" s="26" t="n">
        <v>7</v>
      </c>
      <c r="X1440" s="26" t="n">
        <v>12</v>
      </c>
      <c r="Y1440" s="25" t="n"/>
      <c r="Z1440" s="26" t="n"/>
      <c r="AA1440" s="28" t="n"/>
      <c r="AB1440" s="28" t="n"/>
      <c r="AC1440" s="30" t="n">
        <v>-2</v>
      </c>
      <c r="AD1440" s="24" t="inlineStr">
        <is>
          <t>2026-10-13T16:12:53.586803Z</t>
        </is>
      </c>
      <c r="AE1440" s="31" t="inlineStr">
        <is>
          <t>Tennis Markov game spread -7.5 games: away cover p=0.936. Executable ask 0.6000 (asc-wta-rebmas-nomaku-2026-10-12-gs-neg-7pt5).</t>
        </is>
      </c>
      <c r="AF1440" s="31" t="inlineStr">
        <is>
          <t>Surface-blended Elo model; singles only, WTA+ATP market coverage, not yet locked-holdout qualified -- promoted by explicit operator directive, not genuine walk-forward validation.</t>
        </is>
      </c>
      <c r="AG1440" s="24" t="inlineStr">
        <is>
          <t>review_required</t>
        </is>
      </c>
      <c r="AH1440" s="24" t="n"/>
      <c r="AI1440" s="31" t="n"/>
      <c r="AJ1440" s="31" t="n"/>
      <c r="AK1440" s="24" t="inlineStr">
        <is>
          <t>model_qualified</t>
        </is>
      </c>
      <c r="AL1440" s="26" t="n">
        <v>4</v>
      </c>
      <c r="AM1440" s="24" t="inlineStr">
        <is>
          <t>QUALIFIED_SHADOW_CALL</t>
        </is>
      </c>
      <c r="AN1440" s="24" t="inlineStr">
        <is>
          <t>CALL</t>
        </is>
      </c>
      <c r="AO1440" s="24" t="inlineStr">
        <is>
          <t>QUALIFIED</t>
        </is>
      </c>
      <c r="AP1440" s="24" t="inlineStr">
        <is>
          <t>Noma Noha Akugue</t>
        </is>
      </c>
      <c r="AQ1440" s="24" t="inlineStr">
        <is>
          <t>Noma Noha Akugue</t>
        </is>
      </c>
      <c r="AR1440" s="24" t="inlineStr">
        <is>
          <t>Noma Noha Akugue</t>
        </is>
      </c>
      <c r="AS1440" s="24" t="inlineStr">
        <is>
          <t>Rebeka Masarova</t>
        </is>
      </c>
      <c r="AT1440" s="24" t="inlineStr">
        <is>
          <t>Rebeka Masarova</t>
        </is>
      </c>
      <c r="AU1440" s="24" t="inlineStr">
        <is>
          <t>Rebeka Masarova</t>
        </is>
      </c>
      <c r="AV1440" s="24" t="n"/>
      <c r="AW1440" s="24" t="n"/>
      <c r="AX1440" s="24" t="inlineStr">
        <is>
          <t>statistical_model</t>
        </is>
      </c>
      <c r="AY1440" s="24" t="n"/>
      <c r="AZ1440" s="24" t="inlineStr">
        <is>
          <t>shadow_qualified</t>
        </is>
      </c>
      <c r="BA1440" s="24" t="inlineStr">
        <is>
          <t>7443acc419841200d57e1edf36b77f1940cdd0c48dce3d43fcd05498a109440b</t>
        </is>
      </c>
      <c r="BB1440" s="24" t="inlineStr">
        <is>
          <t>learned_v3</t>
        </is>
      </c>
      <c r="BC1440" s="24" t="inlineStr">
        <is>
          <t>tennis-learned-v3</t>
        </is>
      </c>
      <c r="BD1440" s="24" t="inlineStr">
        <is>
          <t>7443acc419841200d57e1edf36b77f1940cdd0c48dce3d43fcd05498a109440b</t>
        </is>
      </c>
      <c r="BE1440" s="24" t="inlineStr">
        <is>
          <t>tennis-learned-v3</t>
        </is>
      </c>
      <c r="BF1440" s="24" t="inlineStr">
        <is>
          <t>1</t>
        </is>
      </c>
      <c r="BG1440" s="24" t="inlineStr">
        <is>
          <t>7443acc419841200d57e1edf36b77f1940cdd0c48dce3d43fcd05498a109440b</t>
        </is>
      </c>
      <c r="BH1440" s="24" t="inlineStr">
        <is>
          <t>2026-10-13T10:40:16.415542Z</t>
        </is>
      </c>
      <c r="BI1440" s="24" t="inlineStr">
        <is>
          <t>["same_event","same_team_same_day","same_league_same_day"]</t>
        </is>
      </c>
      <c r="BJ1440" s="25" t="n">
        <v>-7.5</v>
      </c>
      <c r="BK1440" s="26" t="n">
        <v>-150</v>
      </c>
      <c r="BL1440" s="27" t="n">
        <v>1.666667</v>
      </c>
      <c r="BM1440" s="28" t="n">
        <v>0.6</v>
      </c>
      <c r="BN1440" s="28" t="n"/>
      <c r="BO1440" s="28" t="n"/>
      <c r="BP1440" s="25" t="n"/>
      <c r="BQ1440" s="27" t="n"/>
      <c r="BR1440" s="28" t="n"/>
      <c r="BS1440" s="28" t="n"/>
      <c r="BT1440" s="28" t="n"/>
      <c r="BU1440" s="25" t="n"/>
      <c r="BV1440" s="29" t="n"/>
      <c r="BW1440" s="24" t="n"/>
      <c r="BX1440" s="30" t="n"/>
      <c r="BY1440" s="27" t="n"/>
      <c r="BZ1440" s="24" t="n"/>
      <c r="CA1440" s="31" t="n"/>
      <c r="CB1440" s="24" t="n"/>
      <c r="CC1440" s="24" t="n"/>
      <c r="CD1440" s="24" t="n"/>
      <c r="CE1440" s="24" t="n"/>
      <c r="CF1440" s="24" t="n"/>
      <c r="CG1440" s="24" t="n"/>
      <c r="CH1440" s="24" t="n"/>
      <c r="CI1440" s="24" t="n"/>
      <c r="CJ1440" s="24" t="n"/>
      <c r="CK1440" s="24" t="n"/>
      <c r="CL1440" s="24" t="n"/>
      <c r="CM1440" s="24" t="n"/>
      <c r="CN1440" s="24" t="n"/>
      <c r="CO1440" s="24" t="n"/>
      <c r="CP1440" s="24" t="n"/>
      <c r="CQ1440" s="24" t="n"/>
      <c r="CR1440" s="24" t="n"/>
      <c r="CS1440" s="24" t="inlineStr">
        <is>
          <t>True</t>
        </is>
      </c>
      <c r="CT1440" s="24" t="n"/>
      <c r="CU1440" s="24" t="n"/>
      <c r="CV1440" s="24" t="n"/>
      <c r="CW1440" s="24" t="n"/>
      <c r="CX1440" s="24" t="n"/>
      <c r="CY1440" s="24" t="n"/>
      <c r="CZ1440" s="24" t="n"/>
      <c r="DA1440" s="24" t="n"/>
      <c r="DB1440" s="24" t="n"/>
      <c r="DC1440" s="24" t="n"/>
      <c r="DD1440" s="24" t="inlineStr">
        <is>
          <t>dcc741144f5dcd1c0e2f37ebf32a4a865ee8a0aee7b457a9d7b810c77786a360</t>
        </is>
      </c>
      <c r="DE1440" s="24" t="inlineStr">
        <is>
          <t>E:\model-prediction\data\odds\tennis\2026-10-13\polymarket_snapshots.jsonl</t>
        </is>
      </c>
      <c r="DF1440" s="24" t="inlineStr">
        <is>
          <t>1367650:2026-10-13T10:40:16.415542Z</t>
        </is>
      </c>
      <c r="DG1440" s="24" t="n"/>
      <c r="DH1440" s="24" t="n"/>
      <c r="DI1440" s="24" t="n"/>
      <c r="DJ1440" s="24" t="n"/>
      <c r="DK1440" s="24" t="n"/>
      <c r="DL1440" s="24" t="n"/>
      <c r="DM1440" s="24" t="n"/>
      <c r="DN1440" s="24" t="n"/>
      <c r="DO1440" s="24" t="n"/>
      <c r="DP1440" s="24" t="n"/>
      <c r="DQ1440" s="24" t="n"/>
    </row>
    <row r="1441" ht="36" customHeight="1">
      <c r="A1441" s="24" t="inlineStr">
        <is>
          <t>256867fd478e45a1</t>
        </is>
      </c>
      <c r="B1441" s="24" t="inlineStr">
        <is>
          <t>2026-10-13T11:17:05.945016Z</t>
        </is>
      </c>
      <c r="C1441" s="24" t="inlineStr">
        <is>
          <t>2026-10-13T12:10Z</t>
        </is>
      </c>
      <c r="D1441" s="24" t="inlineStr">
        <is>
          <t>1025-2026:185438</t>
        </is>
      </c>
      <c r="E1441" s="24" t="inlineStr">
        <is>
          <t>TENNIS</t>
        </is>
      </c>
      <c r="F1441" s="24" t="inlineStr">
        <is>
          <t>Oksana Selekhmeteva</t>
        </is>
      </c>
      <c r="G1441" s="24" t="inlineStr">
        <is>
          <t>Lea Boskovic</t>
        </is>
      </c>
      <c r="H1441" s="24" t="inlineStr">
        <is>
          <t>spread</t>
        </is>
      </c>
      <c r="I1441" s="24" t="inlineStr">
        <is>
          <t>away</t>
        </is>
      </c>
      <c r="J1441" s="25" t="n">
        <v>-7.5</v>
      </c>
      <c r="K1441" s="24" t="inlineStr">
        <is>
          <t>polymarket_us</t>
        </is>
      </c>
      <c r="L1441" s="26" t="n">
        <v>-138</v>
      </c>
      <c r="M1441" s="27" t="n">
        <v>1.724638</v>
      </c>
      <c r="N1441" s="28" t="n">
        <v>0.579832</v>
      </c>
      <c r="O1441" s="28" t="n">
        <v>0.999</v>
      </c>
      <c r="P1441" s="28" t="n">
        <v>0.05</v>
      </c>
      <c r="Q1441" s="28" t="n">
        <v>0.419168</v>
      </c>
      <c r="R1441" s="26" t="n">
        <v>100</v>
      </c>
      <c r="S1441" s="29" t="n">
        <v>2</v>
      </c>
      <c r="T1441" s="24" t="inlineStr">
        <is>
          <t>tennis-learned-v3</t>
        </is>
      </c>
      <c r="U1441" s="24" t="inlineStr">
        <is>
          <t>settled</t>
        </is>
      </c>
      <c r="V1441" s="24" t="inlineStr">
        <is>
          <t>loss</t>
        </is>
      </c>
      <c r="W1441" s="26" t="n">
        <v>8</v>
      </c>
      <c r="X1441" s="26" t="n">
        <v>13</v>
      </c>
      <c r="Y1441" s="25" t="n"/>
      <c r="Z1441" s="26" t="n"/>
      <c r="AA1441" s="28" t="n"/>
      <c r="AB1441" s="28" t="n"/>
      <c r="AC1441" s="30" t="n">
        <v>-2</v>
      </c>
      <c r="AD1441" s="24" t="inlineStr">
        <is>
          <t>2026-10-13T16:12:58.931769Z</t>
        </is>
      </c>
      <c r="AE1441" s="31" t="inlineStr">
        <is>
          <t>Tennis Markov game spread -7.5 games: away cover p=0.999. Executable ask 0.5800 (asc-wta-leabos-okssel-2026-10-13-gs-neg-7pt5).</t>
        </is>
      </c>
      <c r="AF1441" s="31" t="inlineStr">
        <is>
          <t>Surface-blended Elo model; singles only, WTA+ATP market coverage, not yet locked-holdout qualified -- promoted by explicit operator directive, not genuine walk-forward validation.</t>
        </is>
      </c>
      <c r="AG1441" s="24" t="inlineStr">
        <is>
          <t>review_required</t>
        </is>
      </c>
      <c r="AH1441" s="24" t="n"/>
      <c r="AI1441" s="31" t="n"/>
      <c r="AJ1441" s="31" t="n"/>
      <c r="AK1441" s="24" t="inlineStr">
        <is>
          <t>model_qualified</t>
        </is>
      </c>
      <c r="AL1441" s="26" t="n">
        <v>4</v>
      </c>
      <c r="AM1441" s="24" t="inlineStr">
        <is>
          <t>QUALIFIED_SHADOW_CALL</t>
        </is>
      </c>
      <c r="AN1441" s="24" t="inlineStr">
        <is>
          <t>CALL</t>
        </is>
      </c>
      <c r="AO1441" s="24" t="inlineStr">
        <is>
          <t>QUALIFIED</t>
        </is>
      </c>
      <c r="AP1441" s="24" t="inlineStr">
        <is>
          <t>Oksana Selekhmeteva</t>
        </is>
      </c>
      <c r="AQ1441" s="24" t="inlineStr">
        <is>
          <t>Oksana Selekhmeteva</t>
        </is>
      </c>
      <c r="AR1441" s="24" t="inlineStr">
        <is>
          <t>Oksana Selekhmeteva</t>
        </is>
      </c>
      <c r="AS1441" s="24" t="inlineStr">
        <is>
          <t>Lea Boskovic</t>
        </is>
      </c>
      <c r="AT1441" s="24" t="inlineStr">
        <is>
          <t>Lea Boskovic</t>
        </is>
      </c>
      <c r="AU1441" s="24" t="inlineStr">
        <is>
          <t>Lea Boskovic</t>
        </is>
      </c>
      <c r="AV1441" s="24" t="n"/>
      <c r="AW1441" s="24" t="n"/>
      <c r="AX1441" s="24" t="inlineStr">
        <is>
          <t>statistical_model</t>
        </is>
      </c>
      <c r="AY1441" s="24" t="n"/>
      <c r="AZ1441" s="24" t="inlineStr">
        <is>
          <t>shadow_qualified</t>
        </is>
      </c>
      <c r="BA1441" s="24" t="inlineStr">
        <is>
          <t>7443acc419841200d57e1edf36b77f1940cdd0c48dce3d43fcd05498a109440b</t>
        </is>
      </c>
      <c r="BB1441" s="24" t="inlineStr">
        <is>
          <t>learned_v3</t>
        </is>
      </c>
      <c r="BC1441" s="24" t="inlineStr">
        <is>
          <t>tennis-learned-v3</t>
        </is>
      </c>
      <c r="BD1441" s="24" t="inlineStr">
        <is>
          <t>7443acc419841200d57e1edf36b77f1940cdd0c48dce3d43fcd05498a109440b</t>
        </is>
      </c>
      <c r="BE1441" s="24" t="inlineStr">
        <is>
          <t>tennis-learned-v3</t>
        </is>
      </c>
      <c r="BF1441" s="24" t="inlineStr">
        <is>
          <t>1</t>
        </is>
      </c>
      <c r="BG1441" s="24" t="inlineStr">
        <is>
          <t>7443acc419841200d57e1edf36b77f1940cdd0c48dce3d43fcd05498a109440b</t>
        </is>
      </c>
      <c r="BH1441" s="24" t="inlineStr">
        <is>
          <t>2026-10-13T10:39:36.250634Z</t>
        </is>
      </c>
      <c r="BI1441" s="24" t="inlineStr">
        <is>
          <t>["same_event","same_team_same_day","same_league_same_day"]</t>
        </is>
      </c>
      <c r="BJ1441" s="25" t="n">
        <v>-7.5</v>
      </c>
      <c r="BK1441" s="26" t="n">
        <v>-138</v>
      </c>
      <c r="BL1441" s="27" t="n">
        <v>1.724638</v>
      </c>
      <c r="BM1441" s="28" t="n">
        <v>0.579832</v>
      </c>
      <c r="BN1441" s="28" t="n"/>
      <c r="BO1441" s="28" t="n"/>
      <c r="BP1441" s="25" t="n"/>
      <c r="BQ1441" s="27" t="n"/>
      <c r="BR1441" s="28" t="n"/>
      <c r="BS1441" s="28" t="n"/>
      <c r="BT1441" s="28" t="n"/>
      <c r="BU1441" s="25" t="n"/>
      <c r="BV1441" s="29" t="n"/>
      <c r="BW1441" s="24" t="n"/>
      <c r="BX1441" s="30" t="n"/>
      <c r="BY1441" s="27" t="n"/>
      <c r="BZ1441" s="24" t="n"/>
      <c r="CA1441" s="31" t="n"/>
      <c r="CB1441" s="24" t="n"/>
      <c r="CC1441" s="24" t="n"/>
      <c r="CD1441" s="24" t="n"/>
      <c r="CE1441" s="24" t="n"/>
      <c r="CF1441" s="24" t="n"/>
      <c r="CG1441" s="24" t="n"/>
      <c r="CH1441" s="24" t="n"/>
      <c r="CI1441" s="24" t="n"/>
      <c r="CJ1441" s="24" t="n"/>
      <c r="CK1441" s="24" t="n"/>
      <c r="CL1441" s="24" t="n"/>
      <c r="CM1441" s="24" t="n"/>
      <c r="CN1441" s="24" t="n"/>
      <c r="CO1441" s="24" t="n"/>
      <c r="CP1441" s="24" t="n"/>
      <c r="CQ1441" s="24" t="n"/>
      <c r="CR1441" s="24" t="n"/>
      <c r="CS1441" s="24" t="inlineStr">
        <is>
          <t>True</t>
        </is>
      </c>
      <c r="CT1441" s="24" t="n"/>
      <c r="CU1441" s="24" t="n"/>
      <c r="CV1441" s="24" t="n"/>
      <c r="CW1441" s="24" t="n"/>
      <c r="CX1441" s="24" t="n"/>
      <c r="CY1441" s="24" t="n"/>
      <c r="CZ1441" s="24" t="n"/>
      <c r="DA1441" s="24" t="n"/>
      <c r="DB1441" s="24" t="n"/>
      <c r="DC1441" s="24" t="n"/>
      <c r="DD1441" s="24" t="inlineStr">
        <is>
          <t>c5804bba3ce76dc1e697befb18e4a8e2913f34bd04caac8234d95ec9da34ae82</t>
        </is>
      </c>
      <c r="DE1441" s="24" t="inlineStr">
        <is>
          <t>E:\model-prediction\data\odds\tennis\2026-10-13\polymarket_snapshots.jsonl</t>
        </is>
      </c>
      <c r="DF1441" s="24" t="inlineStr">
        <is>
          <t>1392542:2026-10-13T10:39:36.250634Z</t>
        </is>
      </c>
      <c r="DG1441" s="24" t="n"/>
      <c r="DH1441" s="24" t="n"/>
      <c r="DI1441" s="24" t="n"/>
      <c r="DJ1441" s="24" t="n"/>
      <c r="DK1441" s="24" t="n"/>
      <c r="DL1441" s="24" t="n"/>
      <c r="DM1441" s="24" t="n"/>
      <c r="DN1441" s="24" t="n"/>
      <c r="DO1441" s="24" t="n"/>
      <c r="DP1441" s="24" t="n"/>
      <c r="DQ1441" s="24" t="n"/>
    </row>
    <row r="1442" ht="36" customHeight="1">
      <c r="A1442" s="24" t="inlineStr">
        <is>
          <t>93ba576e9c574edf</t>
        </is>
      </c>
      <c r="B1442" s="24" t="inlineStr">
        <is>
          <t>2026-10-13T11:17:05.945016Z</t>
        </is>
      </c>
      <c r="C1442" s="24" t="inlineStr">
        <is>
          <t>2026-10-13T12:10Z</t>
        </is>
      </c>
      <c r="D1442" s="24" t="inlineStr">
        <is>
          <t>1025-2026:185438</t>
        </is>
      </c>
      <c r="E1442" s="24" t="inlineStr">
        <is>
          <t>TENNIS</t>
        </is>
      </c>
      <c r="F1442" s="24" t="inlineStr">
        <is>
          <t>Oksana Selekhmeteva</t>
        </is>
      </c>
      <c r="G1442" s="24" t="inlineStr">
        <is>
          <t>Lea Boskovic</t>
        </is>
      </c>
      <c r="H1442" s="24" t="inlineStr">
        <is>
          <t>total</t>
        </is>
      </c>
      <c r="I1442" s="24" t="inlineStr">
        <is>
          <t>under</t>
        </is>
      </c>
      <c r="J1442" s="25" t="n">
        <v>27.5</v>
      </c>
      <c r="K1442" s="24" t="inlineStr">
        <is>
          <t>polymarket_us</t>
        </is>
      </c>
      <c r="L1442" s="26" t="n">
        <v>-9900</v>
      </c>
      <c r="M1442" s="27" t="n">
        <v>1.010101</v>
      </c>
      <c r="N1442" s="28" t="n">
        <v>0.99</v>
      </c>
      <c r="O1442" s="28" t="n">
        <v>0.8256</v>
      </c>
      <c r="P1442" s="28" t="n">
        <v>0.05</v>
      </c>
      <c r="Q1442" s="28" t="n">
        <v>-0.1644</v>
      </c>
      <c r="R1442" s="26" t="n">
        <v>0</v>
      </c>
      <c r="S1442" s="29" t="n">
        <v>1</v>
      </c>
      <c r="T1442" s="24" t="inlineStr">
        <is>
          <t>tennis-learned-v3</t>
        </is>
      </c>
      <c r="U1442" s="24" t="inlineStr">
        <is>
          <t>settled</t>
        </is>
      </c>
      <c r="V1442" s="24" t="inlineStr">
        <is>
          <t>win</t>
        </is>
      </c>
      <c r="W1442" s="26" t="n">
        <v>8</v>
      </c>
      <c r="X1442" s="26" t="n">
        <v>13</v>
      </c>
      <c r="Y1442" s="25" t="n"/>
      <c r="Z1442" s="26" t="n"/>
      <c r="AA1442" s="28" t="n"/>
      <c r="AB1442" s="28" t="n"/>
      <c r="AC1442" s="30" t="n">
        <v>0.0101</v>
      </c>
      <c r="AD1442" s="24" t="inlineStr">
        <is>
          <t>2026-10-13T16:13:04.160993Z</t>
        </is>
      </c>
      <c r="AE1442" s="31" t="inlineStr">
        <is>
          <t>Tennis Markov total games line 27.5: under p=0.826. Executable ask 0.9900 (tsc-wta-leabos-okssel-2026-10-13-tg-27pt5).</t>
        </is>
      </c>
      <c r="AF1442" s="31" t="inlineStr">
        <is>
          <t>Surface-blended Elo model; singles only, WTA+ATP market coverage, not yet locked-holdout qualified -- promoted by explicit operator directive, not genuine walk-forward validation.</t>
        </is>
      </c>
      <c r="AG1442" s="24" t="inlineStr">
        <is>
          <t>not_applicable</t>
        </is>
      </c>
      <c r="AH1442" s="24" t="n"/>
      <c r="AI1442" s="31" t="n"/>
      <c r="AJ1442" s="31" t="n"/>
      <c r="AK1442" s="24" t="inlineStr">
        <is>
          <t>paper_call</t>
        </is>
      </c>
      <c r="AL1442" s="26" t="n">
        <v>4</v>
      </c>
      <c r="AM1442" s="24" t="inlineStr">
        <is>
          <t>RESEARCH_OBSERVATION</t>
        </is>
      </c>
      <c r="AN1442" s="24" t="inlineStr">
        <is>
          <t>CALL</t>
        </is>
      </c>
      <c r="AO1442" s="24" t="inlineStr">
        <is>
          <t>PAPER_CALL_LOW_EDGE</t>
        </is>
      </c>
      <c r="AP1442" s="24" t="inlineStr">
        <is>
          <t>Oksana Selekhmeteva</t>
        </is>
      </c>
      <c r="AQ1442" s="24" t="inlineStr">
        <is>
          <t>Oksana Selekhmeteva</t>
        </is>
      </c>
      <c r="AR1442" s="24" t="inlineStr">
        <is>
          <t>Oksana Selekhmeteva</t>
        </is>
      </c>
      <c r="AS1442" s="24" t="inlineStr">
        <is>
          <t>Lea Boskovic</t>
        </is>
      </c>
      <c r="AT1442" s="24" t="inlineStr">
        <is>
          <t>Lea Boskovic</t>
        </is>
      </c>
      <c r="AU1442" s="24" t="inlineStr">
        <is>
          <t>Lea Boskovic</t>
        </is>
      </c>
      <c r="AV1442" s="24" t="n"/>
      <c r="AW1442" s="24" t="n"/>
      <c r="AX1442" s="24" t="inlineStr">
        <is>
          <t>statistical_model</t>
        </is>
      </c>
      <c r="AY1442" s="24" t="n"/>
      <c r="AZ1442" s="24" t="inlineStr">
        <is>
          <t>shadow_qualified</t>
        </is>
      </c>
      <c r="BA1442" s="24" t="inlineStr">
        <is>
          <t>7443acc419841200d57e1edf36b77f1940cdd0c48dce3d43fcd05498a109440b</t>
        </is>
      </c>
      <c r="BB1442" s="24" t="inlineStr">
        <is>
          <t>learned_v3</t>
        </is>
      </c>
      <c r="BC1442" s="24" t="inlineStr">
        <is>
          <t>tennis-learned-v3</t>
        </is>
      </c>
      <c r="BD1442" s="24" t="inlineStr">
        <is>
          <t>7443acc419841200d57e1edf36b77f1940cdd0c48dce3d43fcd05498a109440b</t>
        </is>
      </c>
      <c r="BE1442" s="24" t="inlineStr">
        <is>
          <t>tennis-learned-v3</t>
        </is>
      </c>
      <c r="BF1442" s="24" t="inlineStr">
        <is>
          <t>1</t>
        </is>
      </c>
      <c r="BG1442" s="24" t="inlineStr">
        <is>
          <t>7443acc419841200d57e1edf36b77f1940cdd0c48dce3d43fcd05498a109440b</t>
        </is>
      </c>
      <c r="BH1442" s="24" t="inlineStr">
        <is>
          <t>2026-10-13T10:39:46.327291Z</t>
        </is>
      </c>
      <c r="BI1442" s="24" t="inlineStr">
        <is>
          <t>["same_event","same_team_same_day","same_league_same_day"]</t>
        </is>
      </c>
      <c r="BJ1442" s="25" t="n">
        <v>27.5</v>
      </c>
      <c r="BK1442" s="26" t="n">
        <v>-9900</v>
      </c>
      <c r="BL1442" s="27" t="n">
        <v>1.010101</v>
      </c>
      <c r="BM1442" s="28" t="n">
        <v>0.99</v>
      </c>
      <c r="BN1442" s="28" t="n"/>
      <c r="BO1442" s="28" t="n"/>
      <c r="BP1442" s="25" t="n"/>
      <c r="BQ1442" s="27" t="n"/>
      <c r="BR1442" s="28" t="n"/>
      <c r="BS1442" s="28" t="n"/>
      <c r="BT1442" s="28" t="n"/>
      <c r="BU1442" s="25" t="n"/>
      <c r="BV1442" s="29" t="n"/>
      <c r="BW1442" s="24" t="n"/>
      <c r="BX1442" s="30" t="n"/>
      <c r="BY1442" s="27" t="n"/>
      <c r="BZ1442" s="24" t="n"/>
      <c r="CA1442" s="31" t="n"/>
      <c r="CB1442" s="24" t="n"/>
      <c r="CC1442" s="24" t="n"/>
      <c r="CD1442" s="24" t="n"/>
      <c r="CE1442" s="24" t="n"/>
      <c r="CF1442" s="24" t="n"/>
      <c r="CG1442" s="24" t="n"/>
      <c r="CH1442" s="24" t="n"/>
      <c r="CI1442" s="24" t="n"/>
      <c r="CJ1442" s="24" t="n"/>
      <c r="CK1442" s="24" t="n"/>
      <c r="CL1442" s="24" t="n"/>
      <c r="CM1442" s="24" t="n"/>
      <c r="CN1442" s="24" t="n"/>
      <c r="CO1442" s="24" t="n"/>
      <c r="CP1442" s="24" t="n"/>
      <c r="CQ1442" s="24" t="n"/>
      <c r="CR1442" s="24" t="n"/>
      <c r="CS1442" s="24" t="inlineStr">
        <is>
          <t>False</t>
        </is>
      </c>
      <c r="CT1442" s="24" t="n"/>
      <c r="CU1442" s="24" t="n"/>
      <c r="CV1442" s="24" t="n"/>
      <c r="CW1442" s="24" t="n"/>
      <c r="CX1442" s="24" t="n"/>
      <c r="CY1442" s="24" t="n"/>
      <c r="CZ1442" s="24" t="n"/>
      <c r="DA1442" s="24" t="n"/>
      <c r="DB1442" s="24" t="n"/>
      <c r="DC1442" s="24" t="n"/>
      <c r="DD1442" s="24" t="inlineStr">
        <is>
          <t>45dfc589ea93952d96cd93b3821a7e638d46663c476bb3a37e5fdcf8c707dec8</t>
        </is>
      </c>
      <c r="DE1442" s="24" t="inlineStr">
        <is>
          <t>E:\model-prediction\data\odds\tennis\2026-10-13\polymarket_snapshots.jsonl</t>
        </is>
      </c>
      <c r="DF1442" s="24" t="inlineStr">
        <is>
          <t>1392531:2026-10-13T10:39:46.327291Z</t>
        </is>
      </c>
      <c r="DG1442" s="24" t="n"/>
      <c r="DH1442" s="24" t="n"/>
      <c r="DI1442" s="24" t="n"/>
      <c r="DJ1442" s="24" t="n"/>
      <c r="DK1442" s="24" t="n"/>
      <c r="DL1442" s="24" t="n"/>
      <c r="DM1442" s="24" t="n"/>
      <c r="DN1442" s="24" t="n"/>
      <c r="DO1442" s="24" t="n"/>
      <c r="DP1442" s="24" t="n"/>
      <c r="DQ1442" s="24" t="n"/>
    </row>
    <row r="1443" ht="36" customHeight="1">
      <c r="A1443" s="24" t="inlineStr">
        <is>
          <t>d947d02b04ce487f</t>
        </is>
      </c>
      <c r="B1443" s="24" t="inlineStr">
        <is>
          <t>2026-10-13T11:17:05.945016Z</t>
        </is>
      </c>
      <c r="C1443" s="24" t="inlineStr">
        <is>
          <t>2026-10-13T12:10Z</t>
        </is>
      </c>
      <c r="D1443" s="24" t="inlineStr">
        <is>
          <t>1025-2026:185438</t>
        </is>
      </c>
      <c r="E1443" s="24" t="inlineStr">
        <is>
          <t>TENNIS</t>
        </is>
      </c>
      <c r="F1443" s="24" t="inlineStr">
        <is>
          <t>Oksana Selekhmeteva</t>
        </is>
      </c>
      <c r="G1443" s="24" t="inlineStr">
        <is>
          <t>Lea Boskovic</t>
        </is>
      </c>
      <c r="H1443" s="24" t="inlineStr">
        <is>
          <t>moneyline</t>
        </is>
      </c>
      <c r="I1443" s="24" t="inlineStr">
        <is>
          <t>away</t>
        </is>
      </c>
      <c r="J1443" s="25" t="n"/>
      <c r="K1443" s="24" t="inlineStr">
        <is>
          <t>polymarket_us</t>
        </is>
      </c>
      <c r="L1443" s="26" t="n">
        <v>-270</v>
      </c>
      <c r="M1443" s="27" t="n">
        <v>1.37037</v>
      </c>
      <c r="N1443" s="28" t="n">
        <v>0.72973</v>
      </c>
      <c r="O1443" s="28" t="n">
        <v>0.6834</v>
      </c>
      <c r="P1443" s="28" t="n">
        <v>0.05</v>
      </c>
      <c r="Q1443" s="28" t="n">
        <v>-0.04633</v>
      </c>
      <c r="R1443" s="26" t="n">
        <v>0</v>
      </c>
      <c r="S1443" s="29" t="n">
        <v>1</v>
      </c>
      <c r="T1443" s="24" t="inlineStr">
        <is>
          <t>tennis-learned-v3</t>
        </is>
      </c>
      <c r="U1443" s="24" t="inlineStr">
        <is>
          <t>settled</t>
        </is>
      </c>
      <c r="V1443" s="24" t="inlineStr">
        <is>
          <t>loss</t>
        </is>
      </c>
      <c r="W1443" s="26" t="n">
        <v>0</v>
      </c>
      <c r="X1443" s="26" t="n">
        <v>1</v>
      </c>
      <c r="Y1443" s="25" t="n"/>
      <c r="Z1443" s="26" t="n">
        <v>-270</v>
      </c>
      <c r="AA1443" s="28" t="n">
        <v>0.73</v>
      </c>
      <c r="AB1443" s="28" t="n">
        <v>0.00027</v>
      </c>
      <c r="AC1443" s="30" t="n">
        <v>-1</v>
      </c>
      <c r="AD1443" s="24" t="inlineStr">
        <is>
          <t>2026-10-13T16:13:09.637605Z</t>
        </is>
      </c>
      <c r="AE1443" s="31" t="inlineStr">
        <is>
          <t>Tennis v3 Learned Fundamental on Hard (Bo3): Oksana Selekhmeteva p=0.683 vs Lea Boskovic. Executable ask 0.7300 (aec-wta-leabos-okssel-2026-10-13).</t>
        </is>
      </c>
      <c r="AF1443" s="31" t="inlineStr">
        <is>
          <t>Surface-blended Elo model; singles only, WTA+ATP market coverage, not yet locked-holdout qualified -- promoted by explicit operator directive, not genuine walk-forward validation.</t>
        </is>
      </c>
      <c r="AG1443" s="24" t="inlineStr">
        <is>
          <t>review_required</t>
        </is>
      </c>
      <c r="AH1443" s="24" t="n"/>
      <c r="AI1443" s="31" t="n"/>
      <c r="AJ1443" s="31" t="n"/>
      <c r="AK1443" s="24" t="inlineStr">
        <is>
          <t>paper_call</t>
        </is>
      </c>
      <c r="AL1443" s="26" t="n">
        <v>4</v>
      </c>
      <c r="AM1443" s="24" t="inlineStr">
        <is>
          <t>RESEARCH_OBSERVATION</t>
        </is>
      </c>
      <c r="AN1443" s="24" t="inlineStr">
        <is>
          <t>CALL</t>
        </is>
      </c>
      <c r="AO1443" s="24" t="inlineStr">
        <is>
          <t>PAPER_CALL_LOW_EDGE</t>
        </is>
      </c>
      <c r="AP1443" s="24" t="inlineStr">
        <is>
          <t>Oksana Selekhmeteva</t>
        </is>
      </c>
      <c r="AQ1443" s="24" t="inlineStr">
        <is>
          <t>Oksana Selekhmeteva</t>
        </is>
      </c>
      <c r="AR1443" s="24" t="inlineStr">
        <is>
          <t>Oksana Selekhmeteva</t>
        </is>
      </c>
      <c r="AS1443" s="24" t="inlineStr">
        <is>
          <t>Lea Boskovic</t>
        </is>
      </c>
      <c r="AT1443" s="24" t="inlineStr">
        <is>
          <t>Lea Boskovic</t>
        </is>
      </c>
      <c r="AU1443" s="24" t="inlineStr">
        <is>
          <t>Lea Boskovic</t>
        </is>
      </c>
      <c r="AV1443" s="24" t="n"/>
      <c r="AW1443" s="24" t="n"/>
      <c r="AX1443" s="24" t="inlineStr">
        <is>
          <t>statistical_model</t>
        </is>
      </c>
      <c r="AY1443" s="24" t="n"/>
      <c r="AZ1443" s="24" t="inlineStr">
        <is>
          <t>shadow_qualified</t>
        </is>
      </c>
      <c r="BA1443" s="24" t="inlineStr">
        <is>
          <t>7443acc419841200d57e1edf36b77f1940cdd0c48dce3d43fcd05498a109440b</t>
        </is>
      </c>
      <c r="BB1443" s="24" t="inlineStr">
        <is>
          <t>learned_v3</t>
        </is>
      </c>
      <c r="BC1443" s="24" t="inlineStr">
        <is>
          <t>tennis-learned-v3</t>
        </is>
      </c>
      <c r="BD1443" s="24" t="inlineStr">
        <is>
          <t>7443acc419841200d57e1edf36b77f1940cdd0c48dce3d43fcd05498a109440b</t>
        </is>
      </c>
      <c r="BE1443" s="24" t="inlineStr">
        <is>
          <t>tennis-learned-v3</t>
        </is>
      </c>
      <c r="BF1443" s="24" t="inlineStr">
        <is>
          <t>1</t>
        </is>
      </c>
      <c r="BG1443" s="24" t="inlineStr">
        <is>
          <t>7443acc419841200d57e1edf36b77f1940cdd0c48dce3d43fcd05498a109440b</t>
        </is>
      </c>
      <c r="BH1443" s="24" t="inlineStr">
        <is>
          <t>2026-10-13T10:39:16.121483Z</t>
        </is>
      </c>
      <c r="BI1443" s="24" t="inlineStr">
        <is>
          <t>["same_event","same_team_same_day","same_league_same_day"]</t>
        </is>
      </c>
      <c r="BJ1443" s="25" t="n"/>
      <c r="BK1443" s="26" t="n">
        <v>-270</v>
      </c>
      <c r="BL1443" s="27" t="n">
        <v>1.37037</v>
      </c>
      <c r="BM1443" s="28" t="n">
        <v>0.72973</v>
      </c>
      <c r="BN1443" s="28" t="n"/>
      <c r="BO1443" s="28" t="n"/>
      <c r="BP1443" s="25" t="n"/>
      <c r="BQ1443" s="27" t="n">
        <v>1.37037</v>
      </c>
      <c r="BR1443" s="28" t="n">
        <v>0.73</v>
      </c>
      <c r="BS1443" s="28" t="n"/>
      <c r="BT1443" s="28" t="n"/>
      <c r="BU1443" s="25" t="n"/>
      <c r="BV1443" s="29" t="n"/>
      <c r="BW1443" s="24" t="n"/>
      <c r="BX1443" s="30" t="n"/>
      <c r="BY1443" s="27" t="n"/>
      <c r="BZ1443" s="24" t="n"/>
      <c r="CA1443" s="31" t="n"/>
      <c r="CB1443" s="24" t="n"/>
      <c r="CC1443" s="24" t="n"/>
      <c r="CD1443" s="24" t="n"/>
      <c r="CE1443" s="24" t="n"/>
      <c r="CF1443" s="24" t="n"/>
      <c r="CG1443" s="24" t="n"/>
      <c r="CH1443" s="24" t="n"/>
      <c r="CI1443" s="24" t="n"/>
      <c r="CJ1443" s="24" t="n"/>
      <c r="CK1443" s="24" t="n"/>
      <c r="CL1443" s="24" t="n"/>
      <c r="CM1443" s="24" t="n"/>
      <c r="CN1443" s="24" t="n"/>
      <c r="CO1443" s="24" t="n"/>
      <c r="CP1443" s="24" t="n"/>
      <c r="CQ1443" s="24" t="n"/>
      <c r="CR1443" s="24" t="n"/>
      <c r="CS1443" s="24" t="inlineStr">
        <is>
          <t>False</t>
        </is>
      </c>
      <c r="CT1443" s="24" t="n"/>
      <c r="CU1443" s="24" t="n"/>
      <c r="CV1443" s="24" t="n"/>
      <c r="CW1443" s="24" t="n"/>
      <c r="CX1443" s="24" t="n"/>
      <c r="CY1443" s="24" t="n"/>
      <c r="CZ1443" s="24" t="n"/>
      <c r="DA1443" s="24" t="n"/>
      <c r="DB1443" s="24" t="n"/>
      <c r="DC1443" s="24" t="n"/>
      <c r="DD1443" s="24" t="inlineStr">
        <is>
          <t>8fd1bb4c917eef114c9a6dcf6c586c36c592ee1d1609e4e0a3af991be8529d9a</t>
        </is>
      </c>
      <c r="DE1443" s="24" t="inlineStr">
        <is>
          <t>E:\model-prediction\data\odds\tennis\2026-10-13\polymarket_snapshots.jsonl</t>
        </is>
      </c>
      <c r="DF1443" s="24" t="inlineStr">
        <is>
          <t>1392074:2026-10-13T10:39:16.121483Z</t>
        </is>
      </c>
      <c r="DG1443" s="24" t="n"/>
      <c r="DH1443" s="24" t="n"/>
      <c r="DI1443" s="24" t="n"/>
      <c r="DJ1443" s="24" t="n"/>
      <c r="DK1443" s="24" t="n"/>
      <c r="DL1443" s="24" t="n"/>
      <c r="DM1443" s="24" t="n"/>
      <c r="DN1443" s="24" t="n"/>
      <c r="DO1443" s="24" t="n"/>
      <c r="DP1443" s="24" t="n"/>
      <c r="DQ1443" s="24" t="inlineStr">
        <is>
          <t>{"artifact_hash": "7443acc419841200d57e1edf36b77f1940cdd0c48dce3d43fcd05498a109440b", "away_team": "Oksana Selekhmeteva", "event_id": "1025-2026:185438", "event_start_utc": "2026-10-13T12:10Z", "features": {"elo_p1_surface": 1581.8, "elo_p2_surface": 1496.3, "expected_games_p1": 13.27, "expected_games_p2": 7.83, "expected_total_games": 21.1, "history_matches": 16744, "min_player_matches": 48, "surface": "Hard"}, "historical_source_observation_times_verified": false, "home_team": "Lea Boskovic", "inference_inputs": {"best_of": 3, "code_sha256": {"features/elo_ratings.py": "d6513e79d65448c06cc0f9b9eed0eaa091567835128e1f6647a310da8d78a872", "models/tennis.py": "7443acc419841200d57e1edf36b77f1940cdd0c48dce3d43fcd05498a109440b"}, "counts": [129, 48], "market_probability": null, "model_version": "tennis-learned-v3", "overall_ratings": [1574.7928046437187, 1489.960077619413], "p_serve_a": 0.6457048717715412, "p_serve_b": 0.5342951282284587, "players": ["Oksana Selekhmeteva", "Lea Boskovic"], "rest_days": [6.0, 1.0], "sport": "TENNIS", "surface": "Hard", "surface_counts": [101, 39], "surface_ratings": [1581.7580889428166, 1496.2585889587804], "tour": "WTA"}, "market_type": "moneyline", "model_version": "tennis-learned-v3", "observed_at_utc": "2026-10-13T11:17:02.991709+00:00", "probabilities": {"away": 0.6834, "home": 0.3166}, "replay_scope": "Exact full-precision serving state and rounding; upstream historical observation times are not certified.", "schema": "coded-moneyline-replay-v1", "snapshot_hash": "07196bc258814a0f99c7646fcb3691987c877d4355037b354f8783f13e5666e4", "sport": "TENNIS"}</t>
        </is>
      </c>
    </row>
    <row r="1444" ht="36" customHeight="1">
      <c r="A1444" s="24" t="inlineStr">
        <is>
          <t>3e133b9f54424ca9</t>
        </is>
      </c>
      <c r="B1444" s="24" t="inlineStr">
        <is>
          <t>2026-10-13T11:17:05.945016Z</t>
        </is>
      </c>
      <c r="C1444" s="24" t="inlineStr">
        <is>
          <t>2026-10-13T13:30Z</t>
        </is>
      </c>
      <c r="D1444" s="24" t="inlineStr">
        <is>
          <t>1025-2026:185453</t>
        </is>
      </c>
      <c r="E1444" s="24" t="inlineStr">
        <is>
          <t>TENNIS</t>
        </is>
      </c>
      <c r="F1444" s="24" t="inlineStr">
        <is>
          <t>Erika Andreeva</t>
        </is>
      </c>
      <c r="G1444" s="24" t="inlineStr">
        <is>
          <t>Anouk Koevermans</t>
        </is>
      </c>
      <c r="H1444" s="24" t="inlineStr">
        <is>
          <t>moneyline</t>
        </is>
      </c>
      <c r="I1444" s="24" t="inlineStr">
        <is>
          <t>away</t>
        </is>
      </c>
      <c r="J1444" s="25" t="n"/>
      <c r="K1444" s="24" t="inlineStr">
        <is>
          <t>polymarket_us</t>
        </is>
      </c>
      <c r="L1444" s="26" t="n">
        <v>-144</v>
      </c>
      <c r="M1444" s="27" t="n">
        <v>1.694444</v>
      </c>
      <c r="N1444" s="28" t="n">
        <v>0.590164</v>
      </c>
      <c r="O1444" s="28" t="n">
        <v>0.5424</v>
      </c>
      <c r="P1444" s="28" t="n">
        <v>0.05</v>
      </c>
      <c r="Q1444" s="28" t="n">
        <v>-0.047764</v>
      </c>
      <c r="R1444" s="26" t="n">
        <v>0</v>
      </c>
      <c r="S1444" s="29" t="n">
        <v>1</v>
      </c>
      <c r="T1444" s="24" t="inlineStr">
        <is>
          <t>tennis-learned-v3</t>
        </is>
      </c>
      <c r="U1444" s="24" t="inlineStr">
        <is>
          <t>settled</t>
        </is>
      </c>
      <c r="V1444" s="24" t="inlineStr">
        <is>
          <t>loss</t>
        </is>
      </c>
      <c r="W1444" s="26" t="n">
        <v>0</v>
      </c>
      <c r="X1444" s="26" t="n">
        <v>1</v>
      </c>
      <c r="Y1444" s="25" t="n"/>
      <c r="Z1444" s="26" t="n">
        <v>-144</v>
      </c>
      <c r="AA1444" s="28" t="n">
        <v>0.59</v>
      </c>
      <c r="AB1444" s="28" t="n">
        <v>-0.000164</v>
      </c>
      <c r="AC1444" s="30" t="n">
        <v>-1</v>
      </c>
      <c r="AD1444" s="24" t="inlineStr">
        <is>
          <t>2026-10-13T16:13:15.956866Z</t>
        </is>
      </c>
      <c r="AE1444" s="31" t="inlineStr">
        <is>
          <t>Tennis v3 Learned Fundamental on Hard (Bo3): Erika Andreeva p=0.542 vs Anouk Koevermans. Executable ask 0.5900 (aec-wta-anokoe-eriand-2026-10-13).</t>
        </is>
      </c>
      <c r="AF1444" s="31" t="inlineStr">
        <is>
          <t>Surface-blended Elo model; singles only, WTA+ATP market coverage, not yet locked-holdout qualified -- promoted by explicit operator directive, not genuine walk-forward validation.</t>
        </is>
      </c>
      <c r="AG1444" s="24" t="inlineStr">
        <is>
          <t>review_required</t>
        </is>
      </c>
      <c r="AH1444" s="24" t="n"/>
      <c r="AI1444" s="31" t="n"/>
      <c r="AJ1444" s="31" t="n"/>
      <c r="AK1444" s="24" t="inlineStr">
        <is>
          <t>paper_call</t>
        </is>
      </c>
      <c r="AL1444" s="26" t="n">
        <v>4</v>
      </c>
      <c r="AM1444" s="24" t="inlineStr">
        <is>
          <t>RESEARCH_OBSERVATION</t>
        </is>
      </c>
      <c r="AN1444" s="24" t="inlineStr">
        <is>
          <t>CALL</t>
        </is>
      </c>
      <c r="AO1444" s="24" t="inlineStr">
        <is>
          <t>PAPER_CALL_LOW_EDGE</t>
        </is>
      </c>
      <c r="AP1444" s="24" t="inlineStr">
        <is>
          <t>Erika Andreeva</t>
        </is>
      </c>
      <c r="AQ1444" s="24" t="inlineStr">
        <is>
          <t>Erika Andreeva</t>
        </is>
      </c>
      <c r="AR1444" s="24" t="inlineStr">
        <is>
          <t>Erika Andreeva</t>
        </is>
      </c>
      <c r="AS1444" s="24" t="inlineStr">
        <is>
          <t>Anouk Koevermans</t>
        </is>
      </c>
      <c r="AT1444" s="24" t="inlineStr">
        <is>
          <t>Anouk Koevermans</t>
        </is>
      </c>
      <c r="AU1444" s="24" t="inlineStr">
        <is>
          <t>Anouk Koevermans</t>
        </is>
      </c>
      <c r="AV1444" s="24" t="n"/>
      <c r="AW1444" s="24" t="n"/>
      <c r="AX1444" s="24" t="inlineStr">
        <is>
          <t>statistical_model</t>
        </is>
      </c>
      <c r="AY1444" s="24" t="n"/>
      <c r="AZ1444" s="24" t="inlineStr">
        <is>
          <t>shadow_qualified</t>
        </is>
      </c>
      <c r="BA1444" s="24" t="inlineStr">
        <is>
          <t>7443acc419841200d57e1edf36b77f1940cdd0c48dce3d43fcd05498a109440b</t>
        </is>
      </c>
      <c r="BB1444" s="24" t="inlineStr">
        <is>
          <t>learned_v3</t>
        </is>
      </c>
      <c r="BC1444" s="24" t="inlineStr">
        <is>
          <t>tennis-learned-v3</t>
        </is>
      </c>
      <c r="BD1444" s="24" t="inlineStr">
        <is>
          <t>7443acc419841200d57e1edf36b77f1940cdd0c48dce3d43fcd05498a109440b</t>
        </is>
      </c>
      <c r="BE1444" s="24" t="inlineStr">
        <is>
          <t>tennis-learned-v3</t>
        </is>
      </c>
      <c r="BF1444" s="24" t="inlineStr">
        <is>
          <t>1</t>
        </is>
      </c>
      <c r="BG1444" s="24" t="inlineStr">
        <is>
          <t>7443acc419841200d57e1edf36b77f1940cdd0c48dce3d43fcd05498a109440b</t>
        </is>
      </c>
      <c r="BH1444" s="24" t="inlineStr">
        <is>
          <t>2026-10-13T05:06:56.684476Z</t>
        </is>
      </c>
      <c r="BI1444" s="24" t="inlineStr">
        <is>
          <t>["same_event","same_team_same_day","same_league_same_day"]</t>
        </is>
      </c>
      <c r="BJ1444" s="25" t="n"/>
      <c r="BK1444" s="26" t="n">
        <v>-144</v>
      </c>
      <c r="BL1444" s="27" t="n">
        <v>1.694444</v>
      </c>
      <c r="BM1444" s="28" t="n">
        <v>0.590164</v>
      </c>
      <c r="BN1444" s="28" t="n"/>
      <c r="BO1444" s="28" t="n"/>
      <c r="BP1444" s="25" t="n"/>
      <c r="BQ1444" s="27" t="n">
        <v>1.694444</v>
      </c>
      <c r="BR1444" s="28" t="n">
        <v>0.59</v>
      </c>
      <c r="BS1444" s="28" t="n"/>
      <c r="BT1444" s="28" t="n"/>
      <c r="BU1444" s="25" t="n"/>
      <c r="BV1444" s="29" t="n"/>
      <c r="BW1444" s="24" t="n"/>
      <c r="BX1444" s="30" t="n"/>
      <c r="BY1444" s="27" t="n"/>
      <c r="BZ1444" s="24" t="n"/>
      <c r="CA1444" s="31" t="n"/>
      <c r="CB1444" s="24" t="n"/>
      <c r="CC1444" s="24" t="n"/>
      <c r="CD1444" s="24" t="n"/>
      <c r="CE1444" s="24" t="n"/>
      <c r="CF1444" s="24" t="n"/>
      <c r="CG1444" s="24" t="n"/>
      <c r="CH1444" s="24" t="n"/>
      <c r="CI1444" s="24" t="n"/>
      <c r="CJ1444" s="24" t="n"/>
      <c r="CK1444" s="24" t="n"/>
      <c r="CL1444" s="24" t="n"/>
      <c r="CM1444" s="24" t="n"/>
      <c r="CN1444" s="24" t="n"/>
      <c r="CO1444" s="24" t="n"/>
      <c r="CP1444" s="24" t="n"/>
      <c r="CQ1444" s="24" t="n"/>
      <c r="CR1444" s="24" t="n"/>
      <c r="CS1444" s="24" t="inlineStr">
        <is>
          <t>False</t>
        </is>
      </c>
      <c r="CT1444" s="24" t="n"/>
      <c r="CU1444" s="24" t="n"/>
      <c r="CV1444" s="24" t="n"/>
      <c r="CW1444" s="24" t="n"/>
      <c r="CX1444" s="24" t="n"/>
      <c r="CY1444" s="24" t="n"/>
      <c r="CZ1444" s="24" t="n"/>
      <c r="DA1444" s="24" t="n"/>
      <c r="DB1444" s="24" t="n"/>
      <c r="DC1444" s="24" t="n"/>
      <c r="DD1444" s="24" t="inlineStr">
        <is>
          <t>1cfc3babd12dba8e2fa16e466d3d407dd78dd2395916c6d49dfafcd7c9e85bdf</t>
        </is>
      </c>
      <c r="DE1444" s="24" t="inlineStr">
        <is>
          <t>E:\model-prediction\data\odds\tennis\2026-10-13\polymarket_snapshots.jsonl</t>
        </is>
      </c>
      <c r="DF1444" s="24" t="inlineStr">
        <is>
          <t>1392078:2026-10-13T05:06:56.684476Z</t>
        </is>
      </c>
      <c r="DG1444" s="24" t="n"/>
      <c r="DH1444" s="24" t="n"/>
      <c r="DI1444" s="24" t="n"/>
      <c r="DJ1444" s="24" t="n"/>
      <c r="DK1444" s="24" t="n"/>
      <c r="DL1444" s="24" t="n"/>
      <c r="DM1444" s="24" t="n"/>
      <c r="DN1444" s="24" t="n"/>
      <c r="DO1444" s="24" t="n"/>
      <c r="DP1444" s="24" t="n"/>
      <c r="DQ1444" s="24" t="inlineStr">
        <is>
          <t>{"artifact_hash": "7443acc419841200d57e1edf36b77f1940cdd0c48dce3d43fcd05498a109440b", "away_team": "Erika Andreeva", "event_id": "1025-2026:185453", "event_start_utc": "2026-10-13T13:30Z", "features": {"elo_p1_surface": 1520.5, "elo_p2_surface": 1519.7, "expected_games_p1": 13.09, "expected_games_p2": 11.42, "expected_total_games": 24.51, "history_matches": 16744, "min_player_matches": 64, "surface": "Hard"}, "historical_source_observation_times_verified": false, "home_team": "Anouk Koevermans", "inference_inputs": {"best_of": 3, "code_sha256": {"features/elo_ratings.py": "d6513e79d65448c06cc0f9b9eed0eaa091567835128e1f6647a310da8d78a872", "models/tennis.py": "7443acc419841200d57e1edf36b77f1940cdd0c48dce3d43fcd05498a109440b"}, "counts": [112, 64], "market_probability": null, "model_version": "tennis-learned-v3", "overall_ratings": [1513.6781735732177, 1514.1687866161703], "p_serve_a": 0.6023181108683631, "p_serve_b": 0.5776818891316369, "players": ["Erika Andreeva", "Anouk Koevermans"], "rest_days": [1.0, 1.0], "sport": "TENNIS", "surface": "Hard", "surface_counts": [97, 57], "surface_ratings": [1520.5109059082667, 1519.6860211635876], "tour": "WTA"}, "market_type": "moneyline", "model_version": "tennis-learned-v3", "observed_at_utc": "2026-10-13T11:17:02.991709+00:00", "probabilities": {"away": 0.5424, "home": 0.4576}, "replay_scope": "Exact full-precision serving state and rounding; upstream historical observation times are not certified.", "schema": "coded-moneyline-replay-v1", "snapshot_hash": "720ea69434004bc24319f3f5c763bd138785321eed172c1f6cff908bc085208c", "sport": "TENNIS"}</t>
        </is>
      </c>
    </row>
    <row r="1445" ht="36" customHeight="1">
      <c r="A1445" s="24" t="inlineStr">
        <is>
          <t>13ba60b6b96c43ab</t>
        </is>
      </c>
      <c r="B1445" s="24" t="inlineStr">
        <is>
          <t>2026-10-13T11:17:05.945016Z</t>
        </is>
      </c>
      <c r="C1445" s="24" t="inlineStr">
        <is>
          <t>2026-10-13T13:30Z</t>
        </is>
      </c>
      <c r="D1445" s="24" t="inlineStr">
        <is>
          <t>1025-2026:185453</t>
        </is>
      </c>
      <c r="E1445" s="24" t="inlineStr">
        <is>
          <t>TENNIS</t>
        </is>
      </c>
      <c r="F1445" s="24" t="inlineStr">
        <is>
          <t>Erika Andreeva</t>
        </is>
      </c>
      <c r="G1445" s="24" t="inlineStr">
        <is>
          <t>Anouk Koevermans</t>
        </is>
      </c>
      <c r="H1445" s="24" t="inlineStr">
        <is>
          <t>spread</t>
        </is>
      </c>
      <c r="I1445" s="24" t="inlineStr">
        <is>
          <t>away</t>
        </is>
      </c>
      <c r="J1445" s="25" t="n">
        <v>-7.5</v>
      </c>
      <c r="K1445" s="24" t="inlineStr">
        <is>
          <t>polymarket_us</t>
        </is>
      </c>
      <c r="L1445" s="26" t="n">
        <v>-122</v>
      </c>
      <c r="M1445" s="27" t="n">
        <v>1.819672</v>
      </c>
      <c r="N1445" s="28" t="n">
        <v>0.54955</v>
      </c>
      <c r="O1445" s="28" t="n">
        <v>0.9871</v>
      </c>
      <c r="P1445" s="28" t="n">
        <v>0.05</v>
      </c>
      <c r="Q1445" s="28" t="n">
        <v>0.43755</v>
      </c>
      <c r="R1445" s="26" t="n">
        <v>100</v>
      </c>
      <c r="S1445" s="29" t="n">
        <v>2</v>
      </c>
      <c r="T1445" s="24" t="inlineStr">
        <is>
          <t>tennis-learned-v3</t>
        </is>
      </c>
      <c r="U1445" s="24" t="inlineStr">
        <is>
          <t>settled</t>
        </is>
      </c>
      <c r="V1445" s="24" t="inlineStr">
        <is>
          <t>loss</t>
        </is>
      </c>
      <c r="W1445" s="26" t="n">
        <v>12</v>
      </c>
      <c r="X1445" s="26" t="n">
        <v>17</v>
      </c>
      <c r="Y1445" s="25" t="n"/>
      <c r="Z1445" s="26" t="n"/>
      <c r="AA1445" s="28" t="n"/>
      <c r="AB1445" s="28" t="n"/>
      <c r="AC1445" s="30" t="n">
        <v>-2</v>
      </c>
      <c r="AD1445" s="24" t="inlineStr">
        <is>
          <t>2026-10-13T16:13:22.782785Z</t>
        </is>
      </c>
      <c r="AE1445" s="31" t="inlineStr">
        <is>
          <t>Tennis Markov game spread -7.5 games: away cover p=0.987. Executable ask 0.5500 (asc-wta-anokoe-eriand-2026-10-13-gs-neg-7pt5).</t>
        </is>
      </c>
      <c r="AF1445" s="31" t="inlineStr">
        <is>
          <t>Surface-blended Elo model; singles only, WTA+ATP market coverage, not yet locked-holdout qualified -- promoted by explicit operator directive, not genuine walk-forward validation.</t>
        </is>
      </c>
      <c r="AG1445" s="24" t="inlineStr">
        <is>
          <t>review_required</t>
        </is>
      </c>
      <c r="AH1445" s="24" t="n"/>
      <c r="AI1445" s="31" t="n"/>
      <c r="AJ1445" s="31" t="n"/>
      <c r="AK1445" s="24" t="inlineStr">
        <is>
          <t>model_qualified</t>
        </is>
      </c>
      <c r="AL1445" s="26" t="n">
        <v>4</v>
      </c>
      <c r="AM1445" s="24" t="inlineStr">
        <is>
          <t>QUALIFIED_SHADOW_CALL</t>
        </is>
      </c>
      <c r="AN1445" s="24" t="inlineStr">
        <is>
          <t>CALL</t>
        </is>
      </c>
      <c r="AO1445" s="24" t="inlineStr">
        <is>
          <t>QUALIFIED</t>
        </is>
      </c>
      <c r="AP1445" s="24" t="inlineStr">
        <is>
          <t>Erika Andreeva</t>
        </is>
      </c>
      <c r="AQ1445" s="24" t="inlineStr">
        <is>
          <t>Erika Andreeva</t>
        </is>
      </c>
      <c r="AR1445" s="24" t="inlineStr">
        <is>
          <t>Erika Andreeva</t>
        </is>
      </c>
      <c r="AS1445" s="24" t="inlineStr">
        <is>
          <t>Anouk Koevermans</t>
        </is>
      </c>
      <c r="AT1445" s="24" t="inlineStr">
        <is>
          <t>Anouk Koevermans</t>
        </is>
      </c>
      <c r="AU1445" s="24" t="inlineStr">
        <is>
          <t>Anouk Koevermans</t>
        </is>
      </c>
      <c r="AV1445" s="24" t="n"/>
      <c r="AW1445" s="24" t="n"/>
      <c r="AX1445" s="24" t="inlineStr">
        <is>
          <t>statistical_model</t>
        </is>
      </c>
      <c r="AY1445" s="24" t="n"/>
      <c r="AZ1445" s="24" t="inlineStr">
        <is>
          <t>shadow_qualified</t>
        </is>
      </c>
      <c r="BA1445" s="24" t="inlineStr">
        <is>
          <t>7443acc419841200d57e1edf36b77f1940cdd0c48dce3d43fcd05498a109440b</t>
        </is>
      </c>
      <c r="BB1445" s="24" t="inlineStr">
        <is>
          <t>learned_v3</t>
        </is>
      </c>
      <c r="BC1445" s="24" t="inlineStr">
        <is>
          <t>tennis-learned-v3</t>
        </is>
      </c>
      <c r="BD1445" s="24" t="inlineStr">
        <is>
          <t>7443acc419841200d57e1edf36b77f1940cdd0c48dce3d43fcd05498a109440b</t>
        </is>
      </c>
      <c r="BE1445" s="24" t="inlineStr">
        <is>
          <t>tennis-learned-v3</t>
        </is>
      </c>
      <c r="BF1445" s="24" t="inlineStr">
        <is>
          <t>1</t>
        </is>
      </c>
      <c r="BG1445" s="24" t="inlineStr">
        <is>
          <t>7443acc419841200d57e1edf36b77f1940cdd0c48dce3d43fcd05498a109440b</t>
        </is>
      </c>
      <c r="BH1445" s="24" t="inlineStr">
        <is>
          <t>2026-10-13T10:40:56.792235Z</t>
        </is>
      </c>
      <c r="BI1445" s="24" t="inlineStr">
        <is>
          <t>["same_event","same_team_same_day","same_league_same_day"]</t>
        </is>
      </c>
      <c r="BJ1445" s="25" t="n">
        <v>-7.5</v>
      </c>
      <c r="BK1445" s="26" t="n">
        <v>-122</v>
      </c>
      <c r="BL1445" s="27" t="n">
        <v>1.819672</v>
      </c>
      <c r="BM1445" s="28" t="n">
        <v>0.54955</v>
      </c>
      <c r="BN1445" s="28" t="n"/>
      <c r="BO1445" s="28" t="n"/>
      <c r="BP1445" s="25" t="n"/>
      <c r="BQ1445" s="27" t="n"/>
      <c r="BR1445" s="28" t="n"/>
      <c r="BS1445" s="28" t="n"/>
      <c r="BT1445" s="28" t="n"/>
      <c r="BU1445" s="25" t="n"/>
      <c r="BV1445" s="29" t="n"/>
      <c r="BW1445" s="24" t="n"/>
      <c r="BX1445" s="30" t="n"/>
      <c r="BY1445" s="27" t="n"/>
      <c r="BZ1445" s="24" t="n"/>
      <c r="CA1445" s="31" t="n"/>
      <c r="CB1445" s="24" t="n"/>
      <c r="CC1445" s="24" t="n"/>
      <c r="CD1445" s="24" t="n"/>
      <c r="CE1445" s="24" t="n"/>
      <c r="CF1445" s="24" t="n"/>
      <c r="CG1445" s="24" t="n"/>
      <c r="CH1445" s="24" t="n"/>
      <c r="CI1445" s="24" t="n"/>
      <c r="CJ1445" s="24" t="n"/>
      <c r="CK1445" s="24" t="n"/>
      <c r="CL1445" s="24" t="n"/>
      <c r="CM1445" s="24" t="n"/>
      <c r="CN1445" s="24" t="n"/>
      <c r="CO1445" s="24" t="n"/>
      <c r="CP1445" s="24" t="n"/>
      <c r="CQ1445" s="24" t="n"/>
      <c r="CR1445" s="24" t="n"/>
      <c r="CS1445" s="24" t="inlineStr">
        <is>
          <t>True</t>
        </is>
      </c>
      <c r="CT1445" s="24" t="n"/>
      <c r="CU1445" s="24" t="n"/>
      <c r="CV1445" s="24" t="n"/>
      <c r="CW1445" s="24" t="n"/>
      <c r="CX1445" s="24" t="n"/>
      <c r="CY1445" s="24" t="n"/>
      <c r="CZ1445" s="24" t="n"/>
      <c r="DA1445" s="24" t="n"/>
      <c r="DB1445" s="24" t="n"/>
      <c r="DC1445" s="24" t="n"/>
      <c r="DD1445" s="24" t="inlineStr">
        <is>
          <t>19240e6f77e16880dc9cb4fcce22502a357101a8e30c59133c779137c36b8448</t>
        </is>
      </c>
      <c r="DE1445" s="24" t="inlineStr">
        <is>
          <t>E:\model-prediction\data\odds\tennis\2026-10-13\polymarket_snapshots.jsonl</t>
        </is>
      </c>
      <c r="DF1445" s="24" t="inlineStr">
        <is>
          <t>1392541:2026-10-13T10:40:56.792235Z</t>
        </is>
      </c>
      <c r="DG1445" s="24" t="n"/>
      <c r="DH1445" s="24" t="n"/>
      <c r="DI1445" s="24" t="n"/>
      <c r="DJ1445" s="24" t="n"/>
      <c r="DK1445" s="24" t="n"/>
      <c r="DL1445" s="24" t="n"/>
      <c r="DM1445" s="24" t="n"/>
      <c r="DN1445" s="24" t="n"/>
      <c r="DO1445" s="24" t="n"/>
      <c r="DP1445" s="24" t="n"/>
      <c r="DQ1445" s="24" t="n"/>
    </row>
    <row r="1446" ht="36" customHeight="1">
      <c r="A1446" s="24" t="inlineStr">
        <is>
          <t>65ef6aabd89e4661</t>
        </is>
      </c>
      <c r="B1446" s="24" t="inlineStr">
        <is>
          <t>2026-10-13T11:17:05.945016Z</t>
        </is>
      </c>
      <c r="C1446" s="24" t="inlineStr">
        <is>
          <t>2026-10-13T13:30Z</t>
        </is>
      </c>
      <c r="D1446" s="24" t="inlineStr">
        <is>
          <t>1025-2026:185453</t>
        </is>
      </c>
      <c r="E1446" s="24" t="inlineStr">
        <is>
          <t>TENNIS</t>
        </is>
      </c>
      <c r="F1446" s="24" t="inlineStr">
        <is>
          <t>Erika Andreeva</t>
        </is>
      </c>
      <c r="G1446" s="24" t="inlineStr">
        <is>
          <t>Anouk Koevermans</t>
        </is>
      </c>
      <c r="H1446" s="24" t="inlineStr">
        <is>
          <t>total</t>
        </is>
      </c>
      <c r="I1446" s="24" t="inlineStr">
        <is>
          <t>over</t>
        </is>
      </c>
      <c r="J1446" s="25" t="n">
        <v>22.5</v>
      </c>
      <c r="K1446" s="24" t="inlineStr">
        <is>
          <t>polymarket_us</t>
        </is>
      </c>
      <c r="L1446" s="26" t="n">
        <v>138</v>
      </c>
      <c r="M1446" s="27" t="n">
        <v>2.38</v>
      </c>
      <c r="N1446" s="28" t="n">
        <v>0.420168</v>
      </c>
      <c r="O1446" s="28" t="n">
        <v>0.5579</v>
      </c>
      <c r="P1446" s="28" t="n">
        <v>0.05</v>
      </c>
      <c r="Q1446" s="28" t="n">
        <v>0.137732</v>
      </c>
      <c r="R1446" s="26" t="n">
        <v>89</v>
      </c>
      <c r="S1446" s="29" t="n">
        <v>1.5</v>
      </c>
      <c r="T1446" s="24" t="inlineStr">
        <is>
          <t>tennis-learned-v3</t>
        </is>
      </c>
      <c r="U1446" s="24" t="inlineStr">
        <is>
          <t>settled</t>
        </is>
      </c>
      <c r="V1446" s="24" t="inlineStr">
        <is>
          <t>win</t>
        </is>
      </c>
      <c r="W1446" s="26" t="n">
        <v>12</v>
      </c>
      <c r="X1446" s="26" t="n">
        <v>17</v>
      </c>
      <c r="Y1446" s="25" t="n"/>
      <c r="Z1446" s="26" t="n"/>
      <c r="AA1446" s="28" t="n"/>
      <c r="AB1446" s="28" t="n"/>
      <c r="AC1446" s="30" t="n">
        <v>2.07</v>
      </c>
      <c r="AD1446" s="24" t="inlineStr">
        <is>
          <t>2026-10-13T16:13:36.322405Z</t>
        </is>
      </c>
      <c r="AE1446" s="31" t="inlineStr">
        <is>
          <t>Tennis Markov total games line 22.5: over p=0.558. Executable ask 0.4200 (tsc-wta-anokoe-eriand-2026-10-13-tg-22pt5).</t>
        </is>
      </c>
      <c r="AF1446" s="31" t="inlineStr">
        <is>
          <t>Surface-blended Elo model; singles only, WTA+ATP market coverage, not yet locked-holdout qualified -- promoted by explicit operator directive, not genuine walk-forward validation.</t>
        </is>
      </c>
      <c r="AG1446" s="24" t="inlineStr">
        <is>
          <t>not_applicable</t>
        </is>
      </c>
      <c r="AH1446" s="24" t="n"/>
      <c r="AI1446" s="31" t="n"/>
      <c r="AJ1446" s="31" t="n"/>
      <c r="AK1446" s="24" t="inlineStr">
        <is>
          <t>model_qualified</t>
        </is>
      </c>
      <c r="AL1446" s="26" t="n">
        <v>4</v>
      </c>
      <c r="AM1446" s="24" t="inlineStr">
        <is>
          <t>QUALIFIED_SHADOW_CALL</t>
        </is>
      </c>
      <c r="AN1446" s="24" t="inlineStr">
        <is>
          <t>CALL</t>
        </is>
      </c>
      <c r="AO1446" s="24" t="inlineStr">
        <is>
          <t>QUALIFIED</t>
        </is>
      </c>
      <c r="AP1446" s="24" t="inlineStr">
        <is>
          <t>Erika Andreeva</t>
        </is>
      </c>
      <c r="AQ1446" s="24" t="inlineStr">
        <is>
          <t>Erika Andreeva</t>
        </is>
      </c>
      <c r="AR1446" s="24" t="inlineStr">
        <is>
          <t>Erika Andreeva</t>
        </is>
      </c>
      <c r="AS1446" s="24" t="inlineStr">
        <is>
          <t>Anouk Koevermans</t>
        </is>
      </c>
      <c r="AT1446" s="24" t="inlineStr">
        <is>
          <t>Anouk Koevermans</t>
        </is>
      </c>
      <c r="AU1446" s="24" t="inlineStr">
        <is>
          <t>Anouk Koevermans</t>
        </is>
      </c>
      <c r="AV1446" s="24" t="n"/>
      <c r="AW1446" s="24" t="n"/>
      <c r="AX1446" s="24" t="inlineStr">
        <is>
          <t>statistical_model</t>
        </is>
      </c>
      <c r="AY1446" s="24" t="n"/>
      <c r="AZ1446" s="24" t="inlineStr">
        <is>
          <t>shadow_qualified</t>
        </is>
      </c>
      <c r="BA1446" s="24" t="inlineStr">
        <is>
          <t>7443acc419841200d57e1edf36b77f1940cdd0c48dce3d43fcd05498a109440b</t>
        </is>
      </c>
      <c r="BB1446" s="24" t="inlineStr">
        <is>
          <t>learned_v3</t>
        </is>
      </c>
      <c r="BC1446" s="24" t="inlineStr">
        <is>
          <t>tennis-learned-v3</t>
        </is>
      </c>
      <c r="BD1446" s="24" t="inlineStr">
        <is>
          <t>7443acc419841200d57e1edf36b77f1940cdd0c48dce3d43fcd05498a109440b</t>
        </is>
      </c>
      <c r="BE1446" s="24" t="inlineStr">
        <is>
          <t>tennis-learned-v3</t>
        </is>
      </c>
      <c r="BF1446" s="24" t="inlineStr">
        <is>
          <t>1</t>
        </is>
      </c>
      <c r="BG1446" s="24" t="inlineStr">
        <is>
          <t>7443acc419841200d57e1edf36b77f1940cdd0c48dce3d43fcd05498a109440b</t>
        </is>
      </c>
      <c r="BH1446" s="24" t="inlineStr">
        <is>
          <t>2026-10-13T10:40:56.797236Z</t>
        </is>
      </c>
      <c r="BI1446" s="24" t="inlineStr">
        <is>
          <t>["same_event","same_team_same_day","same_league_same_day"]</t>
        </is>
      </c>
      <c r="BJ1446" s="25" t="n">
        <v>22.5</v>
      </c>
      <c r="BK1446" s="26" t="n">
        <v>138</v>
      </c>
      <c r="BL1446" s="27" t="n">
        <v>2.38</v>
      </c>
      <c r="BM1446" s="28" t="n">
        <v>0.420168</v>
      </c>
      <c r="BN1446" s="28" t="n"/>
      <c r="BO1446" s="28" t="n"/>
      <c r="BP1446" s="25" t="n"/>
      <c r="BQ1446" s="27" t="n"/>
      <c r="BR1446" s="28" t="n"/>
      <c r="BS1446" s="28" t="n"/>
      <c r="BT1446" s="28" t="n"/>
      <c r="BU1446" s="25" t="n"/>
      <c r="BV1446" s="29" t="n"/>
      <c r="BW1446" s="24" t="n"/>
      <c r="BX1446" s="30" t="n"/>
      <c r="BY1446" s="27" t="n"/>
      <c r="BZ1446" s="24" t="n"/>
      <c r="CA1446" s="31" t="n"/>
      <c r="CB1446" s="24" t="n"/>
      <c r="CC1446" s="24" t="n"/>
      <c r="CD1446" s="24" t="n"/>
      <c r="CE1446" s="24" t="n"/>
      <c r="CF1446" s="24" t="n"/>
      <c r="CG1446" s="24" t="n"/>
      <c r="CH1446" s="24" t="n"/>
      <c r="CI1446" s="24" t="n"/>
      <c r="CJ1446" s="24" t="n"/>
      <c r="CK1446" s="24" t="n"/>
      <c r="CL1446" s="24" t="n"/>
      <c r="CM1446" s="24" t="n"/>
      <c r="CN1446" s="24" t="n"/>
      <c r="CO1446" s="24" t="n"/>
      <c r="CP1446" s="24" t="n"/>
      <c r="CQ1446" s="24" t="n"/>
      <c r="CR1446" s="24" t="n"/>
      <c r="CS1446" s="24" t="inlineStr">
        <is>
          <t>True</t>
        </is>
      </c>
      <c r="CT1446" s="24" t="n"/>
      <c r="CU1446" s="24" t="n"/>
      <c r="CV1446" s="24" t="n"/>
      <c r="CW1446" s="24" t="n"/>
      <c r="CX1446" s="24" t="n"/>
      <c r="CY1446" s="24" t="n"/>
      <c r="CZ1446" s="24" t="n"/>
      <c r="DA1446" s="24" t="n"/>
      <c r="DB1446" s="24" t="n"/>
      <c r="DC1446" s="24" t="n"/>
      <c r="DD1446" s="24" t="inlineStr">
        <is>
          <t>e76acd416f9b2c1334dc685d8fd02a2e4b64fdefe82b69fe6bd32e8c13465cee</t>
        </is>
      </c>
      <c r="DE1446" s="24" t="inlineStr">
        <is>
          <t>E:\model-prediction\data\odds\tennis\2026-10-13\polymarket_snapshots.jsonl</t>
        </is>
      </c>
      <c r="DF1446" s="24" t="inlineStr">
        <is>
          <t>1392530:2026-10-13T10:40:56.797236Z</t>
        </is>
      </c>
      <c r="DG1446" s="24" t="n"/>
      <c r="DH1446" s="24" t="n"/>
      <c r="DI1446" s="24" t="n"/>
      <c r="DJ1446" s="24" t="n"/>
      <c r="DK1446" s="24" t="n"/>
      <c r="DL1446" s="24" t="n"/>
      <c r="DM1446" s="24" t="n"/>
      <c r="DN1446" s="24" t="n"/>
      <c r="DO1446" s="24" t="n"/>
      <c r="DP1446" s="24" t="n"/>
      <c r="DQ1446" s="24" t="n"/>
    </row>
    <row r="1447" ht="36" customHeight="1">
      <c r="A1447" s="24" t="inlineStr">
        <is>
          <t>4c13ed2023194e5d</t>
        </is>
      </c>
      <c r="B1447" s="24" t="inlineStr">
        <is>
          <t>2026-10-13T11:17:05.945016Z</t>
        </is>
      </c>
      <c r="C1447" s="24" t="inlineStr">
        <is>
          <t>2026-10-13T14:00Z</t>
        </is>
      </c>
      <c r="D1447" s="24" t="inlineStr">
        <is>
          <t>1025-2026:185452</t>
        </is>
      </c>
      <c r="E1447" s="24" t="inlineStr">
        <is>
          <t>TENNIS</t>
        </is>
      </c>
      <c r="F1447" s="24" t="inlineStr">
        <is>
          <t>Lucrezia Stefanini</t>
        </is>
      </c>
      <c r="G1447" s="24" t="inlineStr">
        <is>
          <t>Laura Mair</t>
        </is>
      </c>
      <c r="H1447" s="24" t="inlineStr">
        <is>
          <t>total</t>
        </is>
      </c>
      <c r="I1447" s="24" t="inlineStr">
        <is>
          <t>under</t>
        </is>
      </c>
      <c r="J1447" s="25" t="n">
        <v>17.5</v>
      </c>
      <c r="K1447" s="24" t="inlineStr">
        <is>
          <t>polymarket_us</t>
        </is>
      </c>
      <c r="L1447" s="26" t="n">
        <v>-150</v>
      </c>
      <c r="M1447" s="27" t="n">
        <v>1.666667</v>
      </c>
      <c r="N1447" s="28" t="n">
        <v>0.6</v>
      </c>
      <c r="O1447" s="28" t="n">
        <v>0.8829</v>
      </c>
      <c r="P1447" s="28" t="n">
        <v>0.05</v>
      </c>
      <c r="Q1447" s="28" t="n">
        <v>0.2829</v>
      </c>
      <c r="R1447" s="26" t="n">
        <v>100</v>
      </c>
      <c r="S1447" s="29" t="n">
        <v>2</v>
      </c>
      <c r="T1447" s="24" t="inlineStr">
        <is>
          <t>tennis-learned-v3</t>
        </is>
      </c>
      <c r="U1447" s="24" t="inlineStr">
        <is>
          <t>settled</t>
        </is>
      </c>
      <c r="V1447" s="24" t="inlineStr">
        <is>
          <t>loss</t>
        </is>
      </c>
      <c r="W1447" s="26" t="n">
        <v>16</v>
      </c>
      <c r="X1447" s="26" t="n">
        <v>13</v>
      </c>
      <c r="Y1447" s="25" t="n"/>
      <c r="Z1447" s="26" t="n"/>
      <c r="AA1447" s="28" t="n"/>
      <c r="AB1447" s="28" t="n"/>
      <c r="AC1447" s="30" t="n">
        <v>-2</v>
      </c>
      <c r="AD1447" s="24" t="inlineStr">
        <is>
          <t>2026-10-13T22:02:23.804770Z</t>
        </is>
      </c>
      <c r="AE1447" s="31" t="inlineStr">
        <is>
          <t>Tennis Markov total games line 17.5: under p=0.883. Executable ask 0.6000 (tsc-wta-laumai-lucste-2026-10-12-tg-17pt5).</t>
        </is>
      </c>
      <c r="AF1447" s="31" t="inlineStr">
        <is>
          <t>Surface-blended Elo model; singles only, WTA+ATP market coverage, not yet locked-holdout qualified -- promoted by explicit operator directive, not genuine walk-forward validation.</t>
        </is>
      </c>
      <c r="AG1447" s="24" t="inlineStr">
        <is>
          <t>review_required</t>
        </is>
      </c>
      <c r="AH1447" s="24" t="n"/>
      <c r="AI1447" s="31" t="n"/>
      <c r="AJ1447" s="31" t="n"/>
      <c r="AK1447" s="24" t="inlineStr">
        <is>
          <t>paper_call</t>
        </is>
      </c>
      <c r="AL1447" s="26" t="n">
        <v>4</v>
      </c>
      <c r="AM1447" s="24" t="inlineStr">
        <is>
          <t>RESEARCH_OBSERVATION</t>
        </is>
      </c>
      <c r="AN1447" s="24" t="inlineStr">
        <is>
          <t>CALL</t>
        </is>
      </c>
      <c r="AO1447" s="24" t="inlineStr">
        <is>
          <t>PAPER_CALL_MODEL_UNVALIDATED</t>
        </is>
      </c>
      <c r="AP1447" s="24" t="inlineStr">
        <is>
          <t>Lucrezia Stefanini</t>
        </is>
      </c>
      <c r="AQ1447" s="24" t="inlineStr">
        <is>
          <t>Lucrezia Stefanini</t>
        </is>
      </c>
      <c r="AR1447" s="24" t="inlineStr">
        <is>
          <t>Lucrezia Stefanini</t>
        </is>
      </c>
      <c r="AS1447" s="24" t="inlineStr">
        <is>
          <t>Laura Mair</t>
        </is>
      </c>
      <c r="AT1447" s="24" t="inlineStr">
        <is>
          <t>Laura Mair</t>
        </is>
      </c>
      <c r="AU1447" s="24" t="inlineStr">
        <is>
          <t>Laura Mair</t>
        </is>
      </c>
      <c r="AV1447" s="24" t="n"/>
      <c r="AW1447" s="24" t="n"/>
      <c r="AX1447" s="24" t="inlineStr">
        <is>
          <t>statistical_model</t>
        </is>
      </c>
      <c r="AY1447" s="24" t="n"/>
      <c r="AZ1447" s="24" t="inlineStr">
        <is>
          <t>shadow_qualified</t>
        </is>
      </c>
      <c r="BA1447" s="24" t="inlineStr">
        <is>
          <t>7443acc419841200d57e1edf36b77f1940cdd0c48dce3d43fcd05498a109440b</t>
        </is>
      </c>
      <c r="BB1447" s="24" t="inlineStr">
        <is>
          <t>learned_v3</t>
        </is>
      </c>
      <c r="BC1447" s="24" t="inlineStr">
        <is>
          <t>tennis-learned-v3</t>
        </is>
      </c>
      <c r="BD1447" s="24" t="inlineStr">
        <is>
          <t>7443acc419841200d57e1edf36b77f1940cdd0c48dce3d43fcd05498a109440b</t>
        </is>
      </c>
      <c r="BE1447" s="24" t="inlineStr">
        <is>
          <t>tennis-learned-v3</t>
        </is>
      </c>
      <c r="BF1447" s="24" t="inlineStr">
        <is>
          <t>1</t>
        </is>
      </c>
      <c r="BG1447" s="24" t="inlineStr">
        <is>
          <t>7443acc419841200d57e1edf36b77f1940cdd0c48dce3d43fcd05498a109440b</t>
        </is>
      </c>
      <c r="BH1447" s="24" t="inlineStr">
        <is>
          <t>2026-10-13T10:40:56.798246Z</t>
        </is>
      </c>
      <c r="BI1447" s="24" t="inlineStr">
        <is>
          <t>["same_event","same_team_same_day","same_league_same_day"]</t>
        </is>
      </c>
      <c r="BJ1447" s="25" t="n">
        <v>17.5</v>
      </c>
      <c r="BK1447" s="26" t="n">
        <v>-150</v>
      </c>
      <c r="BL1447" s="27" t="n">
        <v>1.666667</v>
      </c>
      <c r="BM1447" s="28" t="n">
        <v>0.6</v>
      </c>
      <c r="BN1447" s="28" t="n"/>
      <c r="BO1447" s="28" t="n"/>
      <c r="BP1447" s="25" t="n"/>
      <c r="BQ1447" s="27" t="n"/>
      <c r="BR1447" s="28" t="n"/>
      <c r="BS1447" s="28" t="n"/>
      <c r="BT1447" s="28" t="n"/>
      <c r="BU1447" s="25" t="n"/>
      <c r="BV1447" s="29" t="n"/>
      <c r="BW1447" s="24" t="n"/>
      <c r="BX1447" s="30" t="n"/>
      <c r="BY1447" s="27" t="n"/>
      <c r="BZ1447" s="24" t="n"/>
      <c r="CA1447" s="31" t="n"/>
      <c r="CB1447" s="24" t="n"/>
      <c r="CC1447" s="24" t="n"/>
      <c r="CD1447" s="24" t="n"/>
      <c r="CE1447" s="24" t="n"/>
      <c r="CF1447" s="24" t="n"/>
      <c r="CG1447" s="24" t="n"/>
      <c r="CH1447" s="24" t="n"/>
      <c r="CI1447" s="24" t="n"/>
      <c r="CJ1447" s="24" t="n"/>
      <c r="CK1447" s="24" t="n"/>
      <c r="CL1447" s="24" t="n"/>
      <c r="CM1447" s="24" t="n"/>
      <c r="CN1447" s="24" t="n"/>
      <c r="CO1447" s="24" t="n"/>
      <c r="CP1447" s="24" t="n"/>
      <c r="CQ1447" s="24" t="n"/>
      <c r="CR1447" s="24" t="n"/>
      <c r="CS1447" s="24" t="inlineStr">
        <is>
          <t>True</t>
        </is>
      </c>
      <c r="CT1447" s="24" t="n"/>
      <c r="CU1447" s="24" t="n"/>
      <c r="CV1447" s="24" t="n"/>
      <c r="CW1447" s="24" t="n"/>
      <c r="CX1447" s="24" t="n"/>
      <c r="CY1447" s="24" t="n"/>
      <c r="CZ1447" s="24" t="n"/>
      <c r="DA1447" s="24" t="n"/>
      <c r="DB1447" s="24" t="n"/>
      <c r="DC1447" s="24" t="n"/>
      <c r="DD1447" s="24" t="inlineStr">
        <is>
          <t>673c92611a4ce86b92ce3ae16dbe9c6c5e68a2af78d0157436625d981709911d</t>
        </is>
      </c>
      <c r="DE1447" s="24" t="inlineStr">
        <is>
          <t>E:\model-prediction\data\odds\tennis\2026-10-13\polymarket_snapshots.jsonl</t>
        </is>
      </c>
      <c r="DF1447" s="24" t="inlineStr">
        <is>
          <t>1353630:2026-10-13T10:40:56.798246Z</t>
        </is>
      </c>
      <c r="DG1447" s="24" t="n"/>
      <c r="DH1447" s="24" t="n"/>
      <c r="DI1447" s="24" t="n"/>
      <c r="DJ1447" s="24" t="n"/>
      <c r="DK1447" s="24" t="n"/>
      <c r="DL1447" s="24" t="n"/>
      <c r="DM1447" s="24" t="n"/>
      <c r="DN1447" s="24" t="n"/>
      <c r="DO1447" s="24" t="n"/>
      <c r="DP1447" s="24" t="n"/>
      <c r="DQ1447" s="24" t="n"/>
    </row>
    <row r="1448" ht="36" customHeight="1">
      <c r="A1448" s="24" t="inlineStr">
        <is>
          <t>b2051d3baa754c83</t>
        </is>
      </c>
      <c r="B1448" s="24" t="inlineStr">
        <is>
          <t>2026-10-13T11:17:05.945016Z</t>
        </is>
      </c>
      <c r="C1448" s="24" t="inlineStr">
        <is>
          <t>2026-10-13T14:00Z</t>
        </is>
      </c>
      <c r="D1448" s="24" t="inlineStr">
        <is>
          <t>1025-2026:185452</t>
        </is>
      </c>
      <c r="E1448" s="24" t="inlineStr">
        <is>
          <t>TENNIS</t>
        </is>
      </c>
      <c r="F1448" s="24" t="inlineStr">
        <is>
          <t>Lucrezia Stefanini</t>
        </is>
      </c>
      <c r="G1448" s="24" t="inlineStr">
        <is>
          <t>Laura Mair</t>
        </is>
      </c>
      <c r="H1448" s="24" t="inlineStr">
        <is>
          <t>moneyline</t>
        </is>
      </c>
      <c r="I1448" s="24" t="inlineStr">
        <is>
          <t>away</t>
        </is>
      </c>
      <c r="J1448" s="25" t="n"/>
      <c r="K1448" s="24" t="inlineStr">
        <is>
          <t>polymarket_us</t>
        </is>
      </c>
      <c r="L1448" s="26" t="n">
        <v>-1150</v>
      </c>
      <c r="M1448" s="27" t="n">
        <v>1.086957</v>
      </c>
      <c r="N1448" s="28" t="n">
        <v>0.92</v>
      </c>
      <c r="O1448" s="28" t="n">
        <v>0.8852</v>
      </c>
      <c r="P1448" s="28" t="n">
        <v>0.05</v>
      </c>
      <c r="Q1448" s="28" t="n">
        <v>-0.0348</v>
      </c>
      <c r="R1448" s="26" t="n">
        <v>3</v>
      </c>
      <c r="S1448" s="29" t="n">
        <v>1</v>
      </c>
      <c r="T1448" s="24" t="inlineStr">
        <is>
          <t>tennis-learned-v3</t>
        </is>
      </c>
      <c r="U1448" s="24" t="inlineStr">
        <is>
          <t>settled</t>
        </is>
      </c>
      <c r="V1448" s="24" t="inlineStr">
        <is>
          <t>win</t>
        </is>
      </c>
      <c r="W1448" s="26" t="n">
        <v>1</v>
      </c>
      <c r="X1448" s="26" t="n">
        <v>0</v>
      </c>
      <c r="Y1448" s="25" t="n"/>
      <c r="Z1448" s="26" t="n">
        <v>-1150</v>
      </c>
      <c r="AA1448" s="28" t="n">
        <v>0.92</v>
      </c>
      <c r="AB1448" s="28" t="n">
        <v>0</v>
      </c>
      <c r="AC1448" s="30" t="n">
        <v>0.08699999999999999</v>
      </c>
      <c r="AD1448" s="24" t="inlineStr">
        <is>
          <t>2026-10-13T22:02:29.757071Z</t>
        </is>
      </c>
      <c r="AE1448" s="31" t="inlineStr">
        <is>
          <t>Tennis v3 Learned Fundamental on Hard (Bo3): Lucrezia Stefanini p=0.885 vs Laura Mair. Executable ask 0.9200 (aec-wta-laumai-lucste-2026-10-12).</t>
        </is>
      </c>
      <c r="AF1448" s="31" t="inlineStr">
        <is>
          <t>Surface-blended Elo model; singles only, WTA+ATP market coverage, not yet locked-holdout qualified -- promoted by explicit operator directive, not genuine walk-forward validation.</t>
        </is>
      </c>
      <c r="AG1448" s="24" t="inlineStr">
        <is>
          <t>not_applicable</t>
        </is>
      </c>
      <c r="AH1448" s="24" t="n"/>
      <c r="AI1448" s="31" t="n"/>
      <c r="AJ1448" s="31" t="n"/>
      <c r="AK1448" s="24" t="inlineStr">
        <is>
          <t>paper_call</t>
        </is>
      </c>
      <c r="AL1448" s="26" t="n">
        <v>4</v>
      </c>
      <c r="AM1448" s="24" t="inlineStr">
        <is>
          <t>RESEARCH_OBSERVATION</t>
        </is>
      </c>
      <c r="AN1448" s="24" t="inlineStr">
        <is>
          <t>CALL</t>
        </is>
      </c>
      <c r="AO1448" s="24" t="inlineStr">
        <is>
          <t>PAPER_CALL_MODEL_UNVALIDATED</t>
        </is>
      </c>
      <c r="AP1448" s="24" t="inlineStr">
        <is>
          <t>Lucrezia Stefanini</t>
        </is>
      </c>
      <c r="AQ1448" s="24" t="inlineStr">
        <is>
          <t>Lucrezia Stefanini</t>
        </is>
      </c>
      <c r="AR1448" s="24" t="inlineStr">
        <is>
          <t>Lucrezia Stefanini</t>
        </is>
      </c>
      <c r="AS1448" s="24" t="inlineStr">
        <is>
          <t>Laura Mair</t>
        </is>
      </c>
      <c r="AT1448" s="24" t="inlineStr">
        <is>
          <t>Laura Mair</t>
        </is>
      </c>
      <c r="AU1448" s="24" t="inlineStr">
        <is>
          <t>Laura Mair</t>
        </is>
      </c>
      <c r="AV1448" s="24" t="n"/>
      <c r="AW1448" s="24" t="n"/>
      <c r="AX1448" s="24" t="inlineStr">
        <is>
          <t>statistical_model</t>
        </is>
      </c>
      <c r="AY1448" s="24" t="n"/>
      <c r="AZ1448" s="24" t="inlineStr">
        <is>
          <t>shadow_qualified</t>
        </is>
      </c>
      <c r="BA1448" s="24" t="inlineStr">
        <is>
          <t>7443acc419841200d57e1edf36b77f1940cdd0c48dce3d43fcd05498a109440b</t>
        </is>
      </c>
      <c r="BB1448" s="24" t="inlineStr">
        <is>
          <t>learned_v3</t>
        </is>
      </c>
      <c r="BC1448" s="24" t="inlineStr">
        <is>
          <t>tennis-learned-v3</t>
        </is>
      </c>
      <c r="BD1448" s="24" t="inlineStr">
        <is>
          <t>7443acc419841200d57e1edf36b77f1940cdd0c48dce3d43fcd05498a109440b</t>
        </is>
      </c>
      <c r="BE1448" s="24" t="inlineStr">
        <is>
          <t>tennis-learned-v3</t>
        </is>
      </c>
      <c r="BF1448" s="24" t="inlineStr">
        <is>
          <t>1</t>
        </is>
      </c>
      <c r="BG1448" s="24" t="inlineStr">
        <is>
          <t>7443acc419841200d57e1edf36b77f1940cdd0c48dce3d43fcd05498a109440b</t>
        </is>
      </c>
      <c r="BH1448" s="24" t="inlineStr">
        <is>
          <t>2026-10-13T10:41:06.857845Z</t>
        </is>
      </c>
      <c r="BI1448" s="24" t="inlineStr">
        <is>
          <t>["same_event","same_team_same_day","same_league_same_day"]</t>
        </is>
      </c>
      <c r="BJ1448" s="25" t="n"/>
      <c r="BK1448" s="26" t="n">
        <v>-1150</v>
      </c>
      <c r="BL1448" s="27" t="n">
        <v>1.086957</v>
      </c>
      <c r="BM1448" s="28" t="n">
        <v>0.92</v>
      </c>
      <c r="BN1448" s="28" t="n"/>
      <c r="BO1448" s="28" t="n"/>
      <c r="BP1448" s="25" t="n"/>
      <c r="BQ1448" s="27" t="n">
        <v>1.086957</v>
      </c>
      <c r="BR1448" s="28" t="n">
        <v>0.92</v>
      </c>
      <c r="BS1448" s="28" t="n"/>
      <c r="BT1448" s="28" t="n"/>
      <c r="BU1448" s="25" t="n"/>
      <c r="BV1448" s="29" t="n"/>
      <c r="BW1448" s="24" t="n"/>
      <c r="BX1448" s="30" t="n"/>
      <c r="BY1448" s="27" t="n"/>
      <c r="BZ1448" s="24" t="n"/>
      <c r="CA1448" s="31" t="n"/>
      <c r="CB1448" s="24" t="n"/>
      <c r="CC1448" s="24" t="n"/>
      <c r="CD1448" s="24" t="n"/>
      <c r="CE1448" s="24" t="n"/>
      <c r="CF1448" s="24" t="n"/>
      <c r="CG1448" s="24" t="n"/>
      <c r="CH1448" s="24" t="n"/>
      <c r="CI1448" s="24" t="n"/>
      <c r="CJ1448" s="24" t="n"/>
      <c r="CK1448" s="24" t="n"/>
      <c r="CL1448" s="24" t="n"/>
      <c r="CM1448" s="24" t="n"/>
      <c r="CN1448" s="24" t="n"/>
      <c r="CO1448" s="24" t="n"/>
      <c r="CP1448" s="24" t="n"/>
      <c r="CQ1448" s="24" t="n"/>
      <c r="CR1448" s="24" t="n"/>
      <c r="CS1448" s="24" t="inlineStr">
        <is>
          <t>False</t>
        </is>
      </c>
      <c r="CT1448" s="24" t="n"/>
      <c r="CU1448" s="24" t="n"/>
      <c r="CV1448" s="24" t="n"/>
      <c r="CW1448" s="24" t="n"/>
      <c r="CX1448" s="24" t="n"/>
      <c r="CY1448" s="24" t="n"/>
      <c r="CZ1448" s="24" t="n"/>
      <c r="DA1448" s="24" t="n"/>
      <c r="DB1448" s="24" t="n"/>
      <c r="DC1448" s="24" t="n"/>
      <c r="DD1448" s="24" t="inlineStr">
        <is>
          <t>2851b0b378cc06f98c4c48de96db0a0b595ba7743770ad69c5ea89b49dcf6c56</t>
        </is>
      </c>
      <c r="DE1448" s="24" t="inlineStr">
        <is>
          <t>E:\model-prediction\data\odds\tennis\2026-10-13\polymarket_snapshots.jsonl</t>
        </is>
      </c>
      <c r="DF1448" s="24" t="inlineStr">
        <is>
          <t>1342065:2026-10-13T10:41:06.857845Z</t>
        </is>
      </c>
      <c r="DG1448" s="24" t="n"/>
      <c r="DH1448" s="24" t="n"/>
      <c r="DI1448" s="24" t="n"/>
      <c r="DJ1448" s="24" t="n"/>
      <c r="DK1448" s="24" t="n"/>
      <c r="DL1448" s="24" t="n"/>
      <c r="DM1448" s="24" t="n"/>
      <c r="DN1448" s="24" t="n"/>
      <c r="DO1448" s="24" t="n"/>
      <c r="DP1448" s="24" t="n"/>
      <c r="DQ1448" s="24" t="inlineStr">
        <is>
          <t>{"artifact_hash": "7443acc419841200d57e1edf36b77f1940cdd0c48dce3d43fcd05498a109440b", "away_team": "Lucrezia Stefanini", "event_id": "1025-2026:185452", "event_start_utc": "2026-10-13T14:00Z", "features": {"elo_p1_surface": 1591.5, "elo_p2_surface": 1498.6, "expected_games_p1": 12.11, "expected_games_p2": 3.16, "expected_total_games": 15.27, "history_matches": 16744, "min_player_matches": 2, "surface": "Hard"}, "historical_source_observation_times_verified": false, "home_team": "Laura Mair", "inference_inputs": {"best_of": 3, "code_sha256": {"features/elo_ratings.py": "d6513e79d65448c06cc0f9b9eed0eaa091567835128e1f6647a310da8d78a872", "models/tennis.py": "7443acc419841200d57e1edf36b77f1940cdd0c48dce3d43fcd05498a109440b"}, "counts": [127, 2], "market_probability": null, "model_version": "tennis-learned-v3", "overall_ratings": [1635.8479517900528, 1498.6621834693788], "p_serve_a": 0.7378380460108852, "p_serve_b": 0.45, "players": ["Lucrezia Stefanini", "Laura Mair"], "rest_days": [3.0, 60.0], "sport": "TENNIS", "surface": "Hard", "surface_counts": [100, 2], "surface_ratings": [1591.504491438792, 1498.584165979059], "tour": "WTA"}, "market_type": "moneyline", "model_version": "tennis-learned-v3", "observed_at_utc": "2026-10-13T11:17:02.991709+00:00", "probabilities": {"away": 0.8852, "home": 0.1148}, "replay_scope": "Exact full-precision serving state and rounding; upstream historical observation times are not certified.", "schema": "coded-moneyline-replay-v1", "snapshot_hash": "9cdbb71d42c330dd9d4b2f237464617c02da6b939372c2f447daf3b0e0f05076", "sport": "TENNIS"}</t>
        </is>
      </c>
    </row>
    <row r="1449" ht="36" customHeight="1">
      <c r="A1449" s="24" t="inlineStr">
        <is>
          <t>571e025d317e4658</t>
        </is>
      </c>
      <c r="B1449" s="24" t="inlineStr">
        <is>
          <t>2026-10-13T11:17:05.945016Z</t>
        </is>
      </c>
      <c r="C1449" s="24" t="inlineStr">
        <is>
          <t>2026-10-13T15:00Z</t>
        </is>
      </c>
      <c r="D1449" s="24" t="inlineStr">
        <is>
          <t>1025-2026:185459</t>
        </is>
      </c>
      <c r="E1449" s="24" t="inlineStr">
        <is>
          <t>TENNIS</t>
        </is>
      </c>
      <c r="F1449" s="24" t="inlineStr">
        <is>
          <t>Teodora Kostovic</t>
        </is>
      </c>
      <c r="G1449" s="24" t="inlineStr">
        <is>
          <t>Lola Radivojevic</t>
        </is>
      </c>
      <c r="H1449" s="24" t="inlineStr">
        <is>
          <t>moneyline</t>
        </is>
      </c>
      <c r="I1449" s="24" t="inlineStr">
        <is>
          <t>away</t>
        </is>
      </c>
      <c r="J1449" s="25" t="n"/>
      <c r="K1449" s="24" t="inlineStr">
        <is>
          <t>polymarket_us</t>
        </is>
      </c>
      <c r="L1449" s="26" t="n">
        <v>-285</v>
      </c>
      <c r="M1449" s="27" t="n">
        <v>1.350877</v>
      </c>
      <c r="N1449" s="28" t="n">
        <v>0.74026</v>
      </c>
      <c r="O1449" s="28" t="n">
        <v>0.7050999999999999</v>
      </c>
      <c r="P1449" s="28" t="n">
        <v>0.05</v>
      </c>
      <c r="Q1449" s="28" t="n">
        <v>-0.03516</v>
      </c>
      <c r="R1449" s="26" t="n">
        <v>2</v>
      </c>
      <c r="S1449" s="29" t="n">
        <v>1</v>
      </c>
      <c r="T1449" s="24" t="inlineStr">
        <is>
          <t>tennis-learned-v3</t>
        </is>
      </c>
      <c r="U1449" s="24" t="inlineStr">
        <is>
          <t>settled</t>
        </is>
      </c>
      <c r="V1449" s="24" t="inlineStr">
        <is>
          <t>win</t>
        </is>
      </c>
      <c r="W1449" s="26" t="n">
        <v>1</v>
      </c>
      <c r="X1449" s="26" t="n">
        <v>0</v>
      </c>
      <c r="Y1449" s="25" t="n"/>
      <c r="Z1449" s="26" t="n">
        <v>-285</v>
      </c>
      <c r="AA1449" s="28" t="n">
        <v>0.74</v>
      </c>
      <c r="AB1449" s="28" t="n">
        <v>-0.00026</v>
      </c>
      <c r="AC1449" s="30" t="n">
        <v>0.3509</v>
      </c>
      <c r="AD1449" s="24" t="inlineStr">
        <is>
          <t>2026-10-13T22:02:36.772127Z</t>
        </is>
      </c>
      <c r="AE1449" s="31" t="inlineStr">
        <is>
          <t>Tennis v3 Learned Fundamental on Hard (Bo3): Teodora Kostovic p=0.705 vs Lola Radivojevic. Executable ask 0.7400 (aec-wta-lolrad-teokos-2026-10-12).</t>
        </is>
      </c>
      <c r="AF1449" s="31" t="inlineStr">
        <is>
          <t>Surface-blended Elo model; singles only, WTA+ATP market coverage, not yet locked-holdout qualified -- promoted by explicit operator directive, not genuine walk-forward validation.</t>
        </is>
      </c>
      <c r="AG1449" s="24" t="inlineStr">
        <is>
          <t>not_applicable</t>
        </is>
      </c>
      <c r="AH1449" s="24" t="n"/>
      <c r="AI1449" s="31" t="n"/>
      <c r="AJ1449" s="31" t="n"/>
      <c r="AK1449" s="24" t="inlineStr">
        <is>
          <t>paper_call</t>
        </is>
      </c>
      <c r="AL1449" s="26" t="n">
        <v>4</v>
      </c>
      <c r="AM1449" s="24" t="inlineStr">
        <is>
          <t>RESEARCH_OBSERVATION</t>
        </is>
      </c>
      <c r="AN1449" s="24" t="inlineStr">
        <is>
          <t>CALL</t>
        </is>
      </c>
      <c r="AO1449" s="24" t="inlineStr">
        <is>
          <t>PAPER_CALL_LOW_EDGE</t>
        </is>
      </c>
      <c r="AP1449" s="24" t="inlineStr">
        <is>
          <t>Teodora Kostovic</t>
        </is>
      </c>
      <c r="AQ1449" s="24" t="inlineStr">
        <is>
          <t>Teodora Kostovic</t>
        </is>
      </c>
      <c r="AR1449" s="24" t="inlineStr">
        <is>
          <t>Teodora Kostovic</t>
        </is>
      </c>
      <c r="AS1449" s="24" t="inlineStr">
        <is>
          <t>Lola Radivojevic</t>
        </is>
      </c>
      <c r="AT1449" s="24" t="inlineStr">
        <is>
          <t>Lola Radivojevic</t>
        </is>
      </c>
      <c r="AU1449" s="24" t="inlineStr">
        <is>
          <t>Lola Radivojevic</t>
        </is>
      </c>
      <c r="AV1449" s="24" t="n"/>
      <c r="AW1449" s="24" t="n"/>
      <c r="AX1449" s="24" t="inlineStr">
        <is>
          <t>statistical_model</t>
        </is>
      </c>
      <c r="AY1449" s="24" t="n"/>
      <c r="AZ1449" s="24" t="inlineStr">
        <is>
          <t>shadow_qualified</t>
        </is>
      </c>
      <c r="BA1449" s="24" t="inlineStr">
        <is>
          <t>7443acc419841200d57e1edf36b77f1940cdd0c48dce3d43fcd05498a109440b</t>
        </is>
      </c>
      <c r="BB1449" s="24" t="inlineStr">
        <is>
          <t>learned_v3</t>
        </is>
      </c>
      <c r="BC1449" s="24" t="inlineStr">
        <is>
          <t>tennis-learned-v3</t>
        </is>
      </c>
      <c r="BD1449" s="24" t="inlineStr">
        <is>
          <t>7443acc419841200d57e1edf36b77f1940cdd0c48dce3d43fcd05498a109440b</t>
        </is>
      </c>
      <c r="BE1449" s="24" t="inlineStr">
        <is>
          <t>tennis-learned-v3</t>
        </is>
      </c>
      <c r="BF1449" s="24" t="inlineStr">
        <is>
          <t>1</t>
        </is>
      </c>
      <c r="BG1449" s="24" t="inlineStr">
        <is>
          <t>7443acc419841200d57e1edf36b77f1940cdd0c48dce3d43fcd05498a109440b</t>
        </is>
      </c>
      <c r="BH1449" s="24" t="inlineStr">
        <is>
          <t>2026-10-13T10:41:27.007864Z</t>
        </is>
      </c>
      <c r="BI1449" s="24" t="inlineStr">
        <is>
          <t>["same_event","same_team_same_day","same_league_same_day"]</t>
        </is>
      </c>
      <c r="BJ1449" s="25" t="n"/>
      <c r="BK1449" s="26" t="n">
        <v>-285</v>
      </c>
      <c r="BL1449" s="27" t="n">
        <v>1.350877</v>
      </c>
      <c r="BM1449" s="28" t="n">
        <v>0.74026</v>
      </c>
      <c r="BN1449" s="28" t="n"/>
      <c r="BO1449" s="28" t="n"/>
      <c r="BP1449" s="25" t="n"/>
      <c r="BQ1449" s="27" t="n">
        <v>1.350877</v>
      </c>
      <c r="BR1449" s="28" t="n">
        <v>0.74</v>
      </c>
      <c r="BS1449" s="28" t="n"/>
      <c r="BT1449" s="28" t="n"/>
      <c r="BU1449" s="25" t="n"/>
      <c r="BV1449" s="29" t="n"/>
      <c r="BW1449" s="24" t="n"/>
      <c r="BX1449" s="30" t="n"/>
      <c r="BY1449" s="27" t="n"/>
      <c r="BZ1449" s="24" t="n"/>
      <c r="CA1449" s="31" t="n"/>
      <c r="CB1449" s="24" t="n"/>
      <c r="CC1449" s="24" t="n"/>
      <c r="CD1449" s="24" t="n"/>
      <c r="CE1449" s="24" t="n"/>
      <c r="CF1449" s="24" t="n"/>
      <c r="CG1449" s="24" t="n"/>
      <c r="CH1449" s="24" t="n"/>
      <c r="CI1449" s="24" t="n"/>
      <c r="CJ1449" s="24" t="n"/>
      <c r="CK1449" s="24" t="n"/>
      <c r="CL1449" s="24" t="n"/>
      <c r="CM1449" s="24" t="n"/>
      <c r="CN1449" s="24" t="n"/>
      <c r="CO1449" s="24" t="n"/>
      <c r="CP1449" s="24" t="n"/>
      <c r="CQ1449" s="24" t="n"/>
      <c r="CR1449" s="24" t="n"/>
      <c r="CS1449" s="24" t="inlineStr">
        <is>
          <t>False</t>
        </is>
      </c>
      <c r="CT1449" s="24" t="n"/>
      <c r="CU1449" s="24" t="n"/>
      <c r="CV1449" s="24" t="n"/>
      <c r="CW1449" s="24" t="n"/>
      <c r="CX1449" s="24" t="n"/>
      <c r="CY1449" s="24" t="n"/>
      <c r="CZ1449" s="24" t="n"/>
      <c r="DA1449" s="24" t="n"/>
      <c r="DB1449" s="24" t="n"/>
      <c r="DC1449" s="24" t="n"/>
      <c r="DD1449" s="24" t="inlineStr">
        <is>
          <t>a94edc7cbb0c926cf0cc1e84b8629db51129bf37bf5c75df5cd46407d9378560</t>
        </is>
      </c>
      <c r="DE1449" s="24" t="inlineStr">
        <is>
          <t>E:\model-prediction\data\odds\tennis\2026-10-13\polymarket_snapshots.jsonl</t>
        </is>
      </c>
      <c r="DF1449" s="24" t="inlineStr">
        <is>
          <t>1342060:2026-10-13T10:41:27.007864Z</t>
        </is>
      </c>
      <c r="DG1449" s="24" t="n"/>
      <c r="DH1449" s="24" t="n"/>
      <c r="DI1449" s="24" t="n"/>
      <c r="DJ1449" s="24" t="n"/>
      <c r="DK1449" s="24" t="n"/>
      <c r="DL1449" s="24" t="n"/>
      <c r="DM1449" s="24" t="n"/>
      <c r="DN1449" s="24" t="n"/>
      <c r="DO1449" s="24" t="n"/>
      <c r="DP1449" s="24" t="n"/>
      <c r="DQ1449" s="24" t="inlineStr">
        <is>
          <t>{"artifact_hash": "7443acc419841200d57e1edf36b77f1940cdd0c48dce3d43fcd05498a109440b", "away_team": "Teodora Kostovic", "event_id": "1025-2026:185459", "event_start_utc": "2026-10-13T15:00Z", "features": {"elo_p1_surface": 1552.8, "elo_p2_surface": 1426.4, "expected_games_p1": 13.14, "expected_games_p2": 7.25, "expected_total_games": 20.39, "history_matches": 16744, "min_player_matches": 62, "surface": "Hard"}, "historical_source_observation_times_verified": false, "home_team": "Lola Radivojevic", "inference_inputs": {"best_of": 3, "code_sha256": {"features/elo_ratings.py": "d6513e79d65448c06cc0f9b9eed0eaa091567835128e1f6647a310da8d78a872", "models/tennis.py": "7443acc419841200d57e1edf36b77f1940cdd0c48dce3d43fcd05498a109440b"}, "counts": [62, 71], "market_probability": null, "model_version": "tennis-learned-v3", "overall_ratings": [1615.4654487814148, 1436.3186560513075], "p_serve_a": 0.6530974371675736, "p_serve_b": 0.5269025628324263, "players": ["Teodora Kostovic", "Lola Radivojevic"], "rest_days": [10.0, 7.0], "sport": "TENNIS", "surface": "Hard", "surface_counts": [42, 52], "surface_ratings": [1552.7651063638618, 1426.435290460264], "tour": "WTA"}, "market_type": "moneyline", "model_version": "tennis-learned-v3", "observed_at_utc": "2026-10-13T11:17:02.991709+00:00", "probabilities": {"away": 0.7051, "home": 0.2949}, "replay_scope": "Exact full-precision serving state and rounding; upstream historical observation times are not certified.", "schema": "coded-moneyline-replay-v1", "snapshot_hash": "32bd3acda3b2f0161bd5039737b3baef5c0ff152d7f45e3098915a61118270de", "sport": "TENNIS"}</t>
        </is>
      </c>
    </row>
    <row r="1450" ht="36" customHeight="1">
      <c r="A1450" s="24" t="inlineStr">
        <is>
          <t>fffd9b587d344d9f</t>
        </is>
      </c>
      <c r="B1450" s="24" t="inlineStr">
        <is>
          <t>2026-10-13T11:17:05.945016Z</t>
        </is>
      </c>
      <c r="C1450" s="24" t="inlineStr">
        <is>
          <t>2026-10-13T15:00Z</t>
        </is>
      </c>
      <c r="D1450" s="24" t="inlineStr">
        <is>
          <t>1025-2026:185459</t>
        </is>
      </c>
      <c r="E1450" s="24" t="inlineStr">
        <is>
          <t>TENNIS</t>
        </is>
      </c>
      <c r="F1450" s="24" t="inlineStr">
        <is>
          <t>Teodora Kostovic</t>
        </is>
      </c>
      <c r="G1450" s="24" t="inlineStr">
        <is>
          <t>Lola Radivojevic</t>
        </is>
      </c>
      <c r="H1450" s="24" t="inlineStr">
        <is>
          <t>spread</t>
        </is>
      </c>
      <c r="I1450" s="24" t="inlineStr">
        <is>
          <t>away</t>
        </is>
      </c>
      <c r="J1450" s="25" t="n">
        <v>-7.5</v>
      </c>
      <c r="K1450" s="24" t="inlineStr">
        <is>
          <t>polymarket_us</t>
        </is>
      </c>
      <c r="L1450" s="26" t="n">
        <v>-138</v>
      </c>
      <c r="M1450" s="27" t="n">
        <v>1.724638</v>
      </c>
      <c r="N1450" s="28" t="n">
        <v>0.579832</v>
      </c>
      <c r="O1450" s="28" t="n">
        <v>0.9994</v>
      </c>
      <c r="P1450" s="28" t="n">
        <v>0.05</v>
      </c>
      <c r="Q1450" s="28" t="n">
        <v>0.419568</v>
      </c>
      <c r="R1450" s="26" t="n">
        <v>100</v>
      </c>
      <c r="S1450" s="29" t="n">
        <v>2</v>
      </c>
      <c r="T1450" s="24" t="inlineStr">
        <is>
          <t>tennis-learned-v3</t>
        </is>
      </c>
      <c r="U1450" s="24" t="inlineStr">
        <is>
          <t>settled</t>
        </is>
      </c>
      <c r="V1450" s="24" t="inlineStr">
        <is>
          <t>loss</t>
        </is>
      </c>
      <c r="W1450" s="26" t="n">
        <v>14</v>
      </c>
      <c r="X1450" s="26" t="n">
        <v>11</v>
      </c>
      <c r="Y1450" s="25" t="n"/>
      <c r="Z1450" s="26" t="n"/>
      <c r="AA1450" s="28" t="n"/>
      <c r="AB1450" s="28" t="n"/>
      <c r="AC1450" s="30" t="n">
        <v>-2</v>
      </c>
      <c r="AD1450" s="24" t="inlineStr">
        <is>
          <t>2026-10-13T22:02:54.334659Z</t>
        </is>
      </c>
      <c r="AE1450" s="31" t="inlineStr">
        <is>
          <t>Tennis Markov game spread -7.5 games: away cover p=0.999. Executable ask 0.5800 (asc-wta-lolrad-teokos-2026-10-12-gs-neg-7pt5).</t>
        </is>
      </c>
      <c r="AF1450" s="31" t="inlineStr">
        <is>
          <t>Surface-blended Elo model; singles only, WTA+ATP market coverage, not yet locked-holdout qualified -- promoted by explicit operator directive, not genuine walk-forward validation.</t>
        </is>
      </c>
      <c r="AG1450" s="24" t="inlineStr">
        <is>
          <t>review_required</t>
        </is>
      </c>
      <c r="AH1450" s="24" t="n"/>
      <c r="AI1450" s="31" t="n"/>
      <c r="AJ1450" s="31" t="n"/>
      <c r="AK1450" s="24" t="inlineStr">
        <is>
          <t>model_qualified</t>
        </is>
      </c>
      <c r="AL1450" s="26" t="n">
        <v>4</v>
      </c>
      <c r="AM1450" s="24" t="inlineStr">
        <is>
          <t>QUALIFIED_SHADOW_CALL</t>
        </is>
      </c>
      <c r="AN1450" s="24" t="inlineStr">
        <is>
          <t>CALL</t>
        </is>
      </c>
      <c r="AO1450" s="24" t="inlineStr">
        <is>
          <t>QUALIFIED</t>
        </is>
      </c>
      <c r="AP1450" s="24" t="inlineStr">
        <is>
          <t>Teodora Kostovic</t>
        </is>
      </c>
      <c r="AQ1450" s="24" t="inlineStr">
        <is>
          <t>Teodora Kostovic</t>
        </is>
      </c>
      <c r="AR1450" s="24" t="inlineStr">
        <is>
          <t>Teodora Kostovic</t>
        </is>
      </c>
      <c r="AS1450" s="24" t="inlineStr">
        <is>
          <t>Lola Radivojevic</t>
        </is>
      </c>
      <c r="AT1450" s="24" t="inlineStr">
        <is>
          <t>Lola Radivojevic</t>
        </is>
      </c>
      <c r="AU1450" s="24" t="inlineStr">
        <is>
          <t>Lola Radivojevic</t>
        </is>
      </c>
      <c r="AV1450" s="24" t="n"/>
      <c r="AW1450" s="24" t="n"/>
      <c r="AX1450" s="24" t="inlineStr">
        <is>
          <t>statistical_model</t>
        </is>
      </c>
      <c r="AY1450" s="24" t="n"/>
      <c r="AZ1450" s="24" t="inlineStr">
        <is>
          <t>shadow_qualified</t>
        </is>
      </c>
      <c r="BA1450" s="24" t="inlineStr">
        <is>
          <t>7443acc419841200d57e1edf36b77f1940cdd0c48dce3d43fcd05498a109440b</t>
        </is>
      </c>
      <c r="BB1450" s="24" t="inlineStr">
        <is>
          <t>learned_v3</t>
        </is>
      </c>
      <c r="BC1450" s="24" t="inlineStr">
        <is>
          <t>tennis-learned-v3</t>
        </is>
      </c>
      <c r="BD1450" s="24" t="inlineStr">
        <is>
          <t>7443acc419841200d57e1edf36b77f1940cdd0c48dce3d43fcd05498a109440b</t>
        </is>
      </c>
      <c r="BE1450" s="24" t="inlineStr">
        <is>
          <t>tennis-learned-v3</t>
        </is>
      </c>
      <c r="BF1450" s="24" t="inlineStr">
        <is>
          <t>1</t>
        </is>
      </c>
      <c r="BG1450" s="24" t="inlineStr">
        <is>
          <t>7443acc419841200d57e1edf36b77f1940cdd0c48dce3d43fcd05498a109440b</t>
        </is>
      </c>
      <c r="BH1450" s="24" t="inlineStr">
        <is>
          <t>2026-10-13T10:41:37.092954Z</t>
        </is>
      </c>
      <c r="BI1450" s="24" t="inlineStr">
        <is>
          <t>["same_event","same_team_same_day","same_league_same_day"]</t>
        </is>
      </c>
      <c r="BJ1450" s="25" t="n">
        <v>-7.5</v>
      </c>
      <c r="BK1450" s="26" t="n">
        <v>-138</v>
      </c>
      <c r="BL1450" s="27" t="n">
        <v>1.724638</v>
      </c>
      <c r="BM1450" s="28" t="n">
        <v>0.579832</v>
      </c>
      <c r="BN1450" s="28" t="n"/>
      <c r="BO1450" s="28" t="n"/>
      <c r="BP1450" s="25" t="n"/>
      <c r="BQ1450" s="27" t="n"/>
      <c r="BR1450" s="28" t="n"/>
      <c r="BS1450" s="28" t="n"/>
      <c r="BT1450" s="28" t="n"/>
      <c r="BU1450" s="25" t="n"/>
      <c r="BV1450" s="29" t="n"/>
      <c r="BW1450" s="24" t="n"/>
      <c r="BX1450" s="30" t="n"/>
      <c r="BY1450" s="27" t="n"/>
      <c r="BZ1450" s="24" t="n"/>
      <c r="CA1450" s="31" t="n"/>
      <c r="CB1450" s="24" t="n"/>
      <c r="CC1450" s="24" t="n"/>
      <c r="CD1450" s="24" t="n"/>
      <c r="CE1450" s="24" t="n"/>
      <c r="CF1450" s="24" t="n"/>
      <c r="CG1450" s="24" t="n"/>
      <c r="CH1450" s="24" t="n"/>
      <c r="CI1450" s="24" t="n"/>
      <c r="CJ1450" s="24" t="n"/>
      <c r="CK1450" s="24" t="n"/>
      <c r="CL1450" s="24" t="n"/>
      <c r="CM1450" s="24" t="n"/>
      <c r="CN1450" s="24" t="n"/>
      <c r="CO1450" s="24" t="n"/>
      <c r="CP1450" s="24" t="n"/>
      <c r="CQ1450" s="24" t="n"/>
      <c r="CR1450" s="24" t="n"/>
      <c r="CS1450" s="24" t="inlineStr">
        <is>
          <t>True</t>
        </is>
      </c>
      <c r="CT1450" s="24" t="n"/>
      <c r="CU1450" s="24" t="n"/>
      <c r="CV1450" s="24" t="n"/>
      <c r="CW1450" s="24" t="n"/>
      <c r="CX1450" s="24" t="n"/>
      <c r="CY1450" s="24" t="n"/>
      <c r="CZ1450" s="24" t="n"/>
      <c r="DA1450" s="24" t="n"/>
      <c r="DB1450" s="24" t="n"/>
      <c r="DC1450" s="24" t="n"/>
      <c r="DD1450" s="24" t="inlineStr">
        <is>
          <t>6a9d2b553b8fc3d9466fac4875f5ca922642f3e2a263ba332dc3fb6d62cbaeaf</t>
        </is>
      </c>
      <c r="DE1450" s="24" t="inlineStr">
        <is>
          <t>E:\model-prediction\data\odds\tennis\2026-10-13\polymarket_snapshots.jsonl</t>
        </is>
      </c>
      <c r="DF1450" s="24" t="inlineStr">
        <is>
          <t>1353734:2026-10-13T10:41:37.092954Z</t>
        </is>
      </c>
      <c r="DG1450" s="24" t="n"/>
      <c r="DH1450" s="24" t="n"/>
      <c r="DI1450" s="24" t="n"/>
      <c r="DJ1450" s="24" t="n"/>
      <c r="DK1450" s="24" t="n"/>
      <c r="DL1450" s="24" t="n"/>
      <c r="DM1450" s="24" t="n"/>
      <c r="DN1450" s="24" t="n"/>
      <c r="DO1450" s="24" t="n"/>
      <c r="DP1450" s="24" t="n"/>
      <c r="DQ1450" s="24" t="n"/>
    </row>
    <row r="1451" ht="36" customHeight="1">
      <c r="A1451" s="24" t="inlineStr">
        <is>
          <t>1472e9c4b6014113</t>
        </is>
      </c>
      <c r="B1451" s="24" t="inlineStr">
        <is>
          <t>2026-10-13T11:17:05.945016Z</t>
        </is>
      </c>
      <c r="C1451" s="24" t="inlineStr">
        <is>
          <t>2026-10-13T16:00Z</t>
        </is>
      </c>
      <c r="D1451" s="24" t="inlineStr">
        <is>
          <t>1025-2026:185447</t>
        </is>
      </c>
      <c r="E1451" s="24" t="inlineStr">
        <is>
          <t>TENNIS</t>
        </is>
      </c>
      <c r="F1451" s="24" t="inlineStr">
        <is>
          <t>Elisa Visentin</t>
        </is>
      </c>
      <c r="G1451" s="24" t="inlineStr">
        <is>
          <t>Dominika Salkova</t>
        </is>
      </c>
      <c r="H1451" s="24" t="inlineStr">
        <is>
          <t>moneyline</t>
        </is>
      </c>
      <c r="I1451" s="24" t="inlineStr">
        <is>
          <t>home</t>
        </is>
      </c>
      <c r="J1451" s="25" t="n"/>
      <c r="K1451" s="24" t="inlineStr">
        <is>
          <t>polymarket_us</t>
        </is>
      </c>
      <c r="L1451" s="26" t="n">
        <v>-4900</v>
      </c>
      <c r="M1451" s="27" t="n">
        <v>1.020408</v>
      </c>
      <c r="N1451" s="28" t="n">
        <v>0.98</v>
      </c>
      <c r="O1451" s="28" t="n">
        <v>0.8292</v>
      </c>
      <c r="P1451" s="28" t="n">
        <v>0.05</v>
      </c>
      <c r="Q1451" s="28" t="n">
        <v>-0.1508</v>
      </c>
      <c r="R1451" s="26" t="n">
        <v>0</v>
      </c>
      <c r="S1451" s="29" t="n">
        <v>1</v>
      </c>
      <c r="T1451" s="24" t="inlineStr">
        <is>
          <t>tennis-learned-v3</t>
        </is>
      </c>
      <c r="U1451" s="24" t="inlineStr">
        <is>
          <t>settled</t>
        </is>
      </c>
      <c r="V1451" s="24" t="inlineStr">
        <is>
          <t>win</t>
        </is>
      </c>
      <c r="W1451" s="26" t="n">
        <v>0</v>
      </c>
      <c r="X1451" s="26" t="n">
        <v>1</v>
      </c>
      <c r="Y1451" s="25" t="n"/>
      <c r="Z1451" s="26" t="n">
        <v>-4900</v>
      </c>
      <c r="AA1451" s="28" t="n">
        <v>0.98</v>
      </c>
      <c r="AB1451" s="28" t="n">
        <v>0</v>
      </c>
      <c r="AC1451" s="30" t="n">
        <v>0.0204</v>
      </c>
      <c r="AD1451" s="24" t="inlineStr">
        <is>
          <t>2026-10-13T22:03:00.650125Z</t>
        </is>
      </c>
      <c r="AE1451" s="31" t="inlineStr">
        <is>
          <t>Tennis v3 Learned Fundamental on Hard (Bo3): Elisa Visentin p=0.171 vs Dominika Salkova. Executable ask 0.9800 (aec-wta-domsal-elivis-2026-10-12).</t>
        </is>
      </c>
      <c r="AF1451" s="31" t="inlineStr">
        <is>
          <t>Surface-blended Elo model; singles only, WTA+ATP market coverage, not yet locked-holdout qualified -- promoted by explicit operator directive, not genuine walk-forward validation.</t>
        </is>
      </c>
      <c r="AG1451" s="24" t="inlineStr">
        <is>
          <t>not_applicable</t>
        </is>
      </c>
      <c r="AH1451" s="24" t="n"/>
      <c r="AI1451" s="31" t="n"/>
      <c r="AJ1451" s="31" t="n"/>
      <c r="AK1451" s="24" t="inlineStr">
        <is>
          <t>paper_call</t>
        </is>
      </c>
      <c r="AL1451" s="26" t="n">
        <v>4</v>
      </c>
      <c r="AM1451" s="24" t="inlineStr">
        <is>
          <t>RESEARCH_OBSERVATION</t>
        </is>
      </c>
      <c r="AN1451" s="24" t="inlineStr">
        <is>
          <t>CALL</t>
        </is>
      </c>
      <c r="AO1451" s="24" t="inlineStr">
        <is>
          <t>PAPER_CALL_MODEL_UNVALIDATED</t>
        </is>
      </c>
      <c r="AP1451" s="24" t="inlineStr">
        <is>
          <t>Elisa Visentin</t>
        </is>
      </c>
      <c r="AQ1451" s="24" t="inlineStr">
        <is>
          <t>Elisa Visentin</t>
        </is>
      </c>
      <c r="AR1451" s="24" t="inlineStr">
        <is>
          <t>Elisa Visentin</t>
        </is>
      </c>
      <c r="AS1451" s="24" t="inlineStr">
        <is>
          <t>Dominika Salkova</t>
        </is>
      </c>
      <c r="AT1451" s="24" t="inlineStr">
        <is>
          <t>Dominika Salkova</t>
        </is>
      </c>
      <c r="AU1451" s="24" t="inlineStr">
        <is>
          <t>Dominika Salkova</t>
        </is>
      </c>
      <c r="AV1451" s="24" t="n"/>
      <c r="AW1451" s="24" t="n"/>
      <c r="AX1451" s="24" t="inlineStr">
        <is>
          <t>statistical_model</t>
        </is>
      </c>
      <c r="AY1451" s="24" t="n"/>
      <c r="AZ1451" s="24" t="inlineStr">
        <is>
          <t>shadow_qualified</t>
        </is>
      </c>
      <c r="BA1451" s="24" t="inlineStr">
        <is>
          <t>7443acc419841200d57e1edf36b77f1940cdd0c48dce3d43fcd05498a109440b</t>
        </is>
      </c>
      <c r="BB1451" s="24" t="inlineStr">
        <is>
          <t>learned_v3</t>
        </is>
      </c>
      <c r="BC1451" s="24" t="inlineStr">
        <is>
          <t>tennis-learned-v3</t>
        </is>
      </c>
      <c r="BD1451" s="24" t="inlineStr">
        <is>
          <t>7443acc419841200d57e1edf36b77f1940cdd0c48dce3d43fcd05498a109440b</t>
        </is>
      </c>
      <c r="BE1451" s="24" t="inlineStr">
        <is>
          <t>tennis-learned-v3</t>
        </is>
      </c>
      <c r="BF1451" s="24" t="inlineStr">
        <is>
          <t>1</t>
        </is>
      </c>
      <c r="BG1451" s="24" t="inlineStr">
        <is>
          <t>7443acc419841200d57e1edf36b77f1940cdd0c48dce3d43fcd05498a109440b</t>
        </is>
      </c>
      <c r="BH1451" s="24" t="inlineStr">
        <is>
          <t>2026-10-13T10:41:37.099307Z</t>
        </is>
      </c>
      <c r="BI1451" s="24" t="inlineStr">
        <is>
          <t>["same_event","same_team_same_day","same_league_same_day"]</t>
        </is>
      </c>
      <c r="BJ1451" s="25" t="n"/>
      <c r="BK1451" s="26" t="n">
        <v>-4900</v>
      </c>
      <c r="BL1451" s="27" t="n">
        <v>1.020408</v>
      </c>
      <c r="BM1451" s="28" t="n">
        <v>0.98</v>
      </c>
      <c r="BN1451" s="28" t="n"/>
      <c r="BO1451" s="28" t="n"/>
      <c r="BP1451" s="25" t="n"/>
      <c r="BQ1451" s="27" t="n">
        <v>1.020408</v>
      </c>
      <c r="BR1451" s="28" t="n">
        <v>0.98</v>
      </c>
      <c r="BS1451" s="28" t="n"/>
      <c r="BT1451" s="28" t="n"/>
      <c r="BU1451" s="25" t="n"/>
      <c r="BV1451" s="29" t="n"/>
      <c r="BW1451" s="24" t="n"/>
      <c r="BX1451" s="30" t="n"/>
      <c r="BY1451" s="27" t="n"/>
      <c r="BZ1451" s="24" t="n"/>
      <c r="CA1451" s="31" t="n"/>
      <c r="CB1451" s="24" t="n"/>
      <c r="CC1451" s="24" t="n"/>
      <c r="CD1451" s="24" t="n"/>
      <c r="CE1451" s="24" t="n"/>
      <c r="CF1451" s="24" t="n"/>
      <c r="CG1451" s="24" t="n"/>
      <c r="CH1451" s="24" t="n"/>
      <c r="CI1451" s="24" t="n"/>
      <c r="CJ1451" s="24" t="n"/>
      <c r="CK1451" s="24" t="n"/>
      <c r="CL1451" s="24" t="n"/>
      <c r="CM1451" s="24" t="n"/>
      <c r="CN1451" s="24" t="n"/>
      <c r="CO1451" s="24" t="n"/>
      <c r="CP1451" s="24" t="n"/>
      <c r="CQ1451" s="24" t="n"/>
      <c r="CR1451" s="24" t="n"/>
      <c r="CS1451" s="24" t="inlineStr">
        <is>
          <t>False</t>
        </is>
      </c>
      <c r="CT1451" s="24" t="n"/>
      <c r="CU1451" s="24" t="n"/>
      <c r="CV1451" s="24" t="n"/>
      <c r="CW1451" s="24" t="n"/>
      <c r="CX1451" s="24" t="n"/>
      <c r="CY1451" s="24" t="n"/>
      <c r="CZ1451" s="24" t="n"/>
      <c r="DA1451" s="24" t="n"/>
      <c r="DB1451" s="24" t="n"/>
      <c r="DC1451" s="24" t="n"/>
      <c r="DD1451" s="24" t="inlineStr">
        <is>
          <t>5481ea81626c1645a3f8cfc4c3c137fabfad18d98fac9a47f2e8594c8c61fab2</t>
        </is>
      </c>
      <c r="DE1451" s="24" t="inlineStr">
        <is>
          <t>E:\model-prediction\data\odds\tennis\2026-10-13\polymarket_snapshots.jsonl</t>
        </is>
      </c>
      <c r="DF1451" s="24" t="inlineStr">
        <is>
          <t>1347141:2026-10-13T10:41:37.099307Z</t>
        </is>
      </c>
      <c r="DG1451" s="24" t="n"/>
      <c r="DH1451" s="24" t="n"/>
      <c r="DI1451" s="24" t="n"/>
      <c r="DJ1451" s="24" t="n"/>
      <c r="DK1451" s="24" t="n"/>
      <c r="DL1451" s="24" t="n"/>
      <c r="DM1451" s="24" t="n"/>
      <c r="DN1451" s="24" t="n"/>
      <c r="DO1451" s="24" t="n"/>
      <c r="DP1451" s="24" t="n"/>
      <c r="DQ1451" s="24" t="inlineStr">
        <is>
          <t>{"artifact_hash": "7443acc419841200d57e1edf36b77f1940cdd0c48dce3d43fcd05498a109440b", "away_team": "Elisa Visentin", "event_id": "1025-2026:185447", "event_start_utc": "2026-10-13T16:00Z", "features": {"elo_p1_surface": 1489.2, "elo_p2_surface": 1508.9, "expected_games_p1": 4.63, "expected_games_p2": 12.29, "expected_total_games": 16.92, "history_matches": 16744, "min_player_matches": 1, "surface": "Hard"}, "historical_source_observation_times_verified": false, "home_team": "Dominika Salkova", "inference_inputs": {"best_of": 3, "code_sha256": {"features/elo_ratings.py": "d6513e79d65448c06cc0f9b9eed0eaa091567835128e1f6647a310da8d78a872", "models/tennis.py": "7443acc419841200d57e1edf36b77f1940cdd0c48dce3d43fcd05498a109440b"}, "counts": [1, 103], "market_probability": null, "model_version": "tennis-learned-v3", "overall_ratings": [1476.92483033136, 1510.017709612878], "p_serve_a": 0.4756432070645284, "p_serve_b": 0.7043567929354715, "players": ["Elisa Visentin", "Dominika Salkova"], "rest_days": [60.0, 8.0], "sport": "TENNIS", "surface": "Hard", "surface_counts": [1, 89], "surface_ratings": [1489.163984860684, 1508.9278906610853], "tour": "WTA"}, "market_type": "moneyline", "model_version": "tennis-learned-v3", "observed_at_utc": "2026-10-13T11:17:02.991709+00:00", "probabilities": {"away": 0.1708, "home": 0.8292}, "replay_scope": "Exact full-precision serving state and rounding; upstream historical observation times are not certified.", "schema": "coded-moneyline-replay-v1", "snapshot_hash": "144bd9e93126a60d336d6104a3ba63b6089913516edf8b981d158c97d6d87dc6", "sport": "TENNIS"}</t>
        </is>
      </c>
    </row>
    <row r="1452" ht="36" customHeight="1">
      <c r="A1452" s="24" t="inlineStr">
        <is>
          <t>a388544f18ff4ab5</t>
        </is>
      </c>
      <c r="B1452" s="24" t="inlineStr">
        <is>
          <t>2026-10-13T11:17:05.945016Z</t>
        </is>
      </c>
      <c r="C1452" s="24" t="inlineStr">
        <is>
          <t>2026-10-13T16:00Z</t>
        </is>
      </c>
      <c r="D1452" s="24" t="inlineStr">
        <is>
          <t>1025-2026:185447</t>
        </is>
      </c>
      <c r="E1452" s="24" t="inlineStr">
        <is>
          <t>TENNIS</t>
        </is>
      </c>
      <c r="F1452" s="24" t="inlineStr">
        <is>
          <t>Elisa Visentin</t>
        </is>
      </c>
      <c r="G1452" s="24" t="inlineStr">
        <is>
          <t>Dominika Salkova</t>
        </is>
      </c>
      <c r="H1452" s="24" t="inlineStr">
        <is>
          <t>total</t>
        </is>
      </c>
      <c r="I1452" s="24" t="inlineStr">
        <is>
          <t>under</t>
        </is>
      </c>
      <c r="J1452" s="25" t="n">
        <v>22.5</v>
      </c>
      <c r="K1452" s="24" t="inlineStr">
        <is>
          <t>polymarket_us</t>
        </is>
      </c>
      <c r="L1452" s="26" t="n">
        <v>-9900</v>
      </c>
      <c r="M1452" s="27" t="n">
        <v>1.010101</v>
      </c>
      <c r="N1452" s="28" t="n">
        <v>0.99</v>
      </c>
      <c r="O1452" s="28" t="n">
        <v>0.9464</v>
      </c>
      <c r="P1452" s="28" t="n">
        <v>0.05</v>
      </c>
      <c r="Q1452" s="28" t="n">
        <v>-0.0436</v>
      </c>
      <c r="R1452" s="26" t="n">
        <v>0</v>
      </c>
      <c r="S1452" s="29" t="n">
        <v>1</v>
      </c>
      <c r="T1452" s="24" t="inlineStr">
        <is>
          <t>tennis-learned-v3</t>
        </is>
      </c>
      <c r="U1452" s="24" t="inlineStr">
        <is>
          <t>settled</t>
        </is>
      </c>
      <c r="V1452" s="24" t="inlineStr">
        <is>
          <t>win</t>
        </is>
      </c>
      <c r="W1452" s="26" t="n">
        <v>1</v>
      </c>
      <c r="X1452" s="26" t="n">
        <v>12</v>
      </c>
      <c r="Y1452" s="25" t="n"/>
      <c r="Z1452" s="26" t="n"/>
      <c r="AA1452" s="28" t="n"/>
      <c r="AB1452" s="28" t="n"/>
      <c r="AC1452" s="30" t="n">
        <v>0.0101</v>
      </c>
      <c r="AD1452" s="24" t="inlineStr">
        <is>
          <t>2026-10-13T22:03:12.875340Z</t>
        </is>
      </c>
      <c r="AE1452" s="31" t="inlineStr">
        <is>
          <t>Tennis Markov total games line 22.5: under p=0.946. Executable ask 0.9900 (tsc-wta-domsal-elivis-2026-10-12-tg-22pt5).</t>
        </is>
      </c>
      <c r="AF1452" s="31" t="inlineStr">
        <is>
          <t>Surface-blended Elo model; singles only, WTA+ATP market coverage, not yet locked-holdout qualified -- promoted by explicit operator directive, not genuine walk-forward validation.</t>
        </is>
      </c>
      <c r="AG1452" s="24" t="inlineStr">
        <is>
          <t>not_applicable</t>
        </is>
      </c>
      <c r="AH1452" s="24" t="n"/>
      <c r="AI1452" s="31" t="n"/>
      <c r="AJ1452" s="31" t="n"/>
      <c r="AK1452" s="24" t="inlineStr">
        <is>
          <t>paper_call</t>
        </is>
      </c>
      <c r="AL1452" s="26" t="n">
        <v>4</v>
      </c>
      <c r="AM1452" s="24" t="inlineStr">
        <is>
          <t>RESEARCH_OBSERVATION</t>
        </is>
      </c>
      <c r="AN1452" s="24" t="inlineStr">
        <is>
          <t>CALL</t>
        </is>
      </c>
      <c r="AO1452" s="24" t="inlineStr">
        <is>
          <t>PAPER_CALL_MODEL_UNVALIDATED</t>
        </is>
      </c>
      <c r="AP1452" s="24" t="inlineStr">
        <is>
          <t>Elisa Visentin</t>
        </is>
      </c>
      <c r="AQ1452" s="24" t="inlineStr">
        <is>
          <t>Elisa Visentin</t>
        </is>
      </c>
      <c r="AR1452" s="24" t="inlineStr">
        <is>
          <t>Elisa Visentin</t>
        </is>
      </c>
      <c r="AS1452" s="24" t="inlineStr">
        <is>
          <t>Dominika Salkova</t>
        </is>
      </c>
      <c r="AT1452" s="24" t="inlineStr">
        <is>
          <t>Dominika Salkova</t>
        </is>
      </c>
      <c r="AU1452" s="24" t="inlineStr">
        <is>
          <t>Dominika Salkova</t>
        </is>
      </c>
      <c r="AV1452" s="24" t="n"/>
      <c r="AW1452" s="24" t="n"/>
      <c r="AX1452" s="24" t="inlineStr">
        <is>
          <t>statistical_model</t>
        </is>
      </c>
      <c r="AY1452" s="24" t="n"/>
      <c r="AZ1452" s="24" t="inlineStr">
        <is>
          <t>shadow_qualified</t>
        </is>
      </c>
      <c r="BA1452" s="24" t="inlineStr">
        <is>
          <t>7443acc419841200d57e1edf36b77f1940cdd0c48dce3d43fcd05498a109440b</t>
        </is>
      </c>
      <c r="BB1452" s="24" t="inlineStr">
        <is>
          <t>learned_v3</t>
        </is>
      </c>
      <c r="BC1452" s="24" t="inlineStr">
        <is>
          <t>tennis-learned-v3</t>
        </is>
      </c>
      <c r="BD1452" s="24" t="inlineStr">
        <is>
          <t>7443acc419841200d57e1edf36b77f1940cdd0c48dce3d43fcd05498a109440b</t>
        </is>
      </c>
      <c r="BE1452" s="24" t="inlineStr">
        <is>
          <t>tennis-learned-v3</t>
        </is>
      </c>
      <c r="BF1452" s="24" t="inlineStr">
        <is>
          <t>1</t>
        </is>
      </c>
      <c r="BG1452" s="24" t="inlineStr">
        <is>
          <t>7443acc419841200d57e1edf36b77f1940cdd0c48dce3d43fcd05498a109440b</t>
        </is>
      </c>
      <c r="BH1452" s="24" t="inlineStr">
        <is>
          <t>2026-10-13T10:41:47.173550Z</t>
        </is>
      </c>
      <c r="BI1452" s="24" t="inlineStr">
        <is>
          <t>["same_event","same_team_same_day","same_league_same_day"]</t>
        </is>
      </c>
      <c r="BJ1452" s="25" t="n">
        <v>22.5</v>
      </c>
      <c r="BK1452" s="26" t="n">
        <v>-9900</v>
      </c>
      <c r="BL1452" s="27" t="n">
        <v>1.010101</v>
      </c>
      <c r="BM1452" s="28" t="n">
        <v>0.99</v>
      </c>
      <c r="BN1452" s="28" t="n"/>
      <c r="BO1452" s="28" t="n"/>
      <c r="BP1452" s="25" t="n"/>
      <c r="BQ1452" s="27" t="n"/>
      <c r="BR1452" s="28" t="n"/>
      <c r="BS1452" s="28" t="n"/>
      <c r="BT1452" s="28" t="n"/>
      <c r="BU1452" s="25" t="n"/>
      <c r="BV1452" s="29" t="n"/>
      <c r="BW1452" s="24" t="n"/>
      <c r="BX1452" s="30" t="n"/>
      <c r="BY1452" s="27" t="n"/>
      <c r="BZ1452" s="24" t="n"/>
      <c r="CA1452" s="31" t="n"/>
      <c r="CB1452" s="24" t="n"/>
      <c r="CC1452" s="24" t="n"/>
      <c r="CD1452" s="24" t="n"/>
      <c r="CE1452" s="24" t="n"/>
      <c r="CF1452" s="24" t="n"/>
      <c r="CG1452" s="24" t="n"/>
      <c r="CH1452" s="24" t="n"/>
      <c r="CI1452" s="24" t="n"/>
      <c r="CJ1452" s="24" t="n"/>
      <c r="CK1452" s="24" t="n"/>
      <c r="CL1452" s="24" t="n"/>
      <c r="CM1452" s="24" t="n"/>
      <c r="CN1452" s="24" t="n"/>
      <c r="CO1452" s="24" t="n"/>
      <c r="CP1452" s="24" t="n"/>
      <c r="CQ1452" s="24" t="n"/>
      <c r="CR1452" s="24" t="n"/>
      <c r="CS1452" s="24" t="inlineStr">
        <is>
          <t>False</t>
        </is>
      </c>
      <c r="CT1452" s="24" t="n"/>
      <c r="CU1452" s="24" t="n"/>
      <c r="CV1452" s="24" t="n"/>
      <c r="CW1452" s="24" t="n"/>
      <c r="CX1452" s="24" t="n"/>
      <c r="CY1452" s="24" t="n"/>
      <c r="CZ1452" s="24" t="n"/>
      <c r="DA1452" s="24" t="n"/>
      <c r="DB1452" s="24" t="n"/>
      <c r="DC1452" s="24" t="n"/>
      <c r="DD1452" s="24" t="inlineStr">
        <is>
          <t>fd73a718000527c19ddbe4fa4b2a77908172e84e4dde8ed0e3eabdb2adfb28c5</t>
        </is>
      </c>
      <c r="DE1452" s="24" t="inlineStr">
        <is>
          <t>E:\model-prediction\data\odds\tennis\2026-10-13\polymarket_snapshots.jsonl</t>
        </is>
      </c>
      <c r="DF1452" s="24" t="inlineStr">
        <is>
          <t>1353493:2026-10-13T10:41:47.173550Z</t>
        </is>
      </c>
      <c r="DG1452" s="24" t="n"/>
      <c r="DH1452" s="24" t="n"/>
      <c r="DI1452" s="24" t="n"/>
      <c r="DJ1452" s="24" t="n"/>
      <c r="DK1452" s="24" t="n"/>
      <c r="DL1452" s="24" t="n"/>
      <c r="DM1452" s="24" t="n"/>
      <c r="DN1452" s="24" t="n"/>
      <c r="DO1452" s="24" t="n"/>
      <c r="DP1452" s="24" t="n"/>
      <c r="DQ1452" s="24" t="n"/>
    </row>
    <row r="1453" ht="36" customHeight="1">
      <c r="A1453" s="24" t="inlineStr">
        <is>
          <t>25d8cbbfae044cf8</t>
        </is>
      </c>
      <c r="B1453" s="24" t="inlineStr">
        <is>
          <t>2026-10-13T11:17:05.945016Z</t>
        </is>
      </c>
      <c r="C1453" s="24" t="inlineStr">
        <is>
          <t>2026-10-13T11:30Z</t>
        </is>
      </c>
      <c r="D1453" s="24" t="inlineStr">
        <is>
          <t>1079-2026:185404</t>
        </is>
      </c>
      <c r="E1453" s="24" t="inlineStr">
        <is>
          <t>TENNIS</t>
        </is>
      </c>
      <c r="F1453" s="24" t="inlineStr">
        <is>
          <t>Fiona Ferro</t>
        </is>
      </c>
      <c r="G1453" s="24" t="inlineStr">
        <is>
          <t>Aurora Zantedeschi</t>
        </is>
      </c>
      <c r="H1453" s="24" t="inlineStr">
        <is>
          <t>spread</t>
        </is>
      </c>
      <c r="I1453" s="24" t="inlineStr">
        <is>
          <t>away</t>
        </is>
      </c>
      <c r="J1453" s="25" t="n">
        <v>-7.5</v>
      </c>
      <c r="K1453" s="24" t="inlineStr">
        <is>
          <t>polymarket_us</t>
        </is>
      </c>
      <c r="L1453" s="26" t="n">
        <v>150</v>
      </c>
      <c r="M1453" s="27" t="n">
        <v>2.5</v>
      </c>
      <c r="N1453" s="28" t="n">
        <v>0.4</v>
      </c>
      <c r="O1453" s="28" t="n">
        <v>0.9999</v>
      </c>
      <c r="P1453" s="28" t="n">
        <v>0.05</v>
      </c>
      <c r="Q1453" s="28" t="n">
        <v>0.5999</v>
      </c>
      <c r="R1453" s="26" t="n">
        <v>100</v>
      </c>
      <c r="S1453" s="29" t="n">
        <v>2</v>
      </c>
      <c r="T1453" s="24" t="inlineStr">
        <is>
          <t>tennis-learned-v3</t>
        </is>
      </c>
      <c r="U1453" s="24" t="inlineStr">
        <is>
          <t>settled</t>
        </is>
      </c>
      <c r="V1453" s="24" t="inlineStr">
        <is>
          <t>loss</t>
        </is>
      </c>
      <c r="W1453" s="26" t="n">
        <v>12</v>
      </c>
      <c r="X1453" s="26" t="n">
        <v>7</v>
      </c>
      <c r="Y1453" s="25" t="n"/>
      <c r="Z1453" s="26" t="n"/>
      <c r="AA1453" s="28" t="n"/>
      <c r="AB1453" s="28" t="n"/>
      <c r="AC1453" s="30" t="n">
        <v>-2</v>
      </c>
      <c r="AD1453" s="24" t="inlineStr">
        <is>
          <t>2026-10-13T16:13:41.767178Z</t>
        </is>
      </c>
      <c r="AE1453" s="31" t="inlineStr">
        <is>
          <t>Tennis Markov game spread -7.5 games: away cover p=1.000. Executable ask 0.4000 (asc-wta-aurzan-fiofer-2026-10-12-gs-neg-7pt5).</t>
        </is>
      </c>
      <c r="AF1453" s="31" t="inlineStr">
        <is>
          <t>Surface-blended Elo model; singles only, WTA+ATP market coverage, not yet locked-holdout qualified -- promoted by explicit operator directive, not genuine walk-forward validation.</t>
        </is>
      </c>
      <c r="AG1453" s="24" t="inlineStr">
        <is>
          <t>review_required</t>
        </is>
      </c>
      <c r="AH1453" s="24" t="n"/>
      <c r="AI1453" s="31" t="n"/>
      <c r="AJ1453" s="31" t="n"/>
      <c r="AK1453" s="24" t="inlineStr">
        <is>
          <t>model_qualified</t>
        </is>
      </c>
      <c r="AL1453" s="26" t="n">
        <v>4</v>
      </c>
      <c r="AM1453" s="24" t="inlineStr">
        <is>
          <t>QUALIFIED_SHADOW_CALL</t>
        </is>
      </c>
      <c r="AN1453" s="24" t="inlineStr">
        <is>
          <t>CALL</t>
        </is>
      </c>
      <c r="AO1453" s="24" t="inlineStr">
        <is>
          <t>QUALIFIED</t>
        </is>
      </c>
      <c r="AP1453" s="24" t="inlineStr">
        <is>
          <t>Fiona Ferro</t>
        </is>
      </c>
      <c r="AQ1453" s="24" t="inlineStr">
        <is>
          <t>Fiona Ferro</t>
        </is>
      </c>
      <c r="AR1453" s="24" t="inlineStr">
        <is>
          <t>Fiona Ferro</t>
        </is>
      </c>
      <c r="AS1453" s="24" t="inlineStr">
        <is>
          <t>Aurora Zantedeschi</t>
        </is>
      </c>
      <c r="AT1453" s="24" t="inlineStr">
        <is>
          <t>Aurora Zantedeschi</t>
        </is>
      </c>
      <c r="AU1453" s="24" t="inlineStr">
        <is>
          <t>Aurora Zantedeschi</t>
        </is>
      </c>
      <c r="AV1453" s="24" t="n"/>
      <c r="AW1453" s="24" t="n"/>
      <c r="AX1453" s="24" t="inlineStr">
        <is>
          <t>statistical_model</t>
        </is>
      </c>
      <c r="AY1453" s="24" t="n"/>
      <c r="AZ1453" s="24" t="inlineStr">
        <is>
          <t>shadow_qualified</t>
        </is>
      </c>
      <c r="BA1453" s="24" t="inlineStr">
        <is>
          <t>7443acc419841200d57e1edf36b77f1940cdd0c48dce3d43fcd05498a109440b</t>
        </is>
      </c>
      <c r="BB1453" s="24" t="inlineStr">
        <is>
          <t>learned_v3</t>
        </is>
      </c>
      <c r="BC1453" s="24" t="inlineStr">
        <is>
          <t>tennis-learned-v3</t>
        </is>
      </c>
      <c r="BD1453" s="24" t="inlineStr">
        <is>
          <t>7443acc419841200d57e1edf36b77f1940cdd0c48dce3d43fcd05498a109440b</t>
        </is>
      </c>
      <c r="BE1453" s="24" t="inlineStr">
        <is>
          <t>tennis-learned-v3</t>
        </is>
      </c>
      <c r="BF1453" s="24" t="inlineStr">
        <is>
          <t>1</t>
        </is>
      </c>
      <c r="BG1453" s="24" t="inlineStr">
        <is>
          <t>7443acc419841200d57e1edf36b77f1940cdd0c48dce3d43fcd05498a109440b</t>
        </is>
      </c>
      <c r="BH1453" s="24" t="inlineStr">
        <is>
          <t>2026-10-13T10:38:45.930304Z</t>
        </is>
      </c>
      <c r="BI1453" s="24" t="inlineStr">
        <is>
          <t>["same_event","same_team_same_day","same_league_same_day"]</t>
        </is>
      </c>
      <c r="BJ1453" s="25" t="n">
        <v>-7.5</v>
      </c>
      <c r="BK1453" s="26" t="n">
        <v>150</v>
      </c>
      <c r="BL1453" s="27" t="n">
        <v>2.5</v>
      </c>
      <c r="BM1453" s="28" t="n">
        <v>0.4</v>
      </c>
      <c r="BN1453" s="28" t="n"/>
      <c r="BO1453" s="28" t="n"/>
      <c r="BP1453" s="25" t="n"/>
      <c r="BQ1453" s="27" t="n"/>
      <c r="BR1453" s="28" t="n"/>
      <c r="BS1453" s="28" t="n"/>
      <c r="BT1453" s="28" t="n"/>
      <c r="BU1453" s="25" t="n"/>
      <c r="BV1453" s="29" t="n"/>
      <c r="BW1453" s="24" t="n"/>
      <c r="BX1453" s="30" t="n"/>
      <c r="BY1453" s="27" t="n"/>
      <c r="BZ1453" s="24" t="n"/>
      <c r="CA1453" s="31" t="n"/>
      <c r="CB1453" s="24" t="n"/>
      <c r="CC1453" s="24" t="n"/>
      <c r="CD1453" s="24" t="n"/>
      <c r="CE1453" s="24" t="n"/>
      <c r="CF1453" s="24" t="n"/>
      <c r="CG1453" s="24" t="n"/>
      <c r="CH1453" s="24" t="n"/>
      <c r="CI1453" s="24" t="n"/>
      <c r="CJ1453" s="24" t="n"/>
      <c r="CK1453" s="24" t="n"/>
      <c r="CL1453" s="24" t="n"/>
      <c r="CM1453" s="24" t="n"/>
      <c r="CN1453" s="24" t="n"/>
      <c r="CO1453" s="24" t="n"/>
      <c r="CP1453" s="24" t="n"/>
      <c r="CQ1453" s="24" t="n"/>
      <c r="CR1453" s="24" t="n"/>
      <c r="CS1453" s="24" t="inlineStr">
        <is>
          <t>True</t>
        </is>
      </c>
      <c r="CT1453" s="24" t="n"/>
      <c r="CU1453" s="24" t="n"/>
      <c r="CV1453" s="24" t="n"/>
      <c r="CW1453" s="24" t="n"/>
      <c r="CX1453" s="24" t="n"/>
      <c r="CY1453" s="24" t="n"/>
      <c r="CZ1453" s="24" t="n"/>
      <c r="DA1453" s="24" t="n"/>
      <c r="DB1453" s="24" t="n"/>
      <c r="DC1453" s="24" t="n"/>
      <c r="DD1453" s="24" t="inlineStr">
        <is>
          <t>9168b9bcdf16fba9b2e42b78ccc373c596130175529c87dc2e74030cf053a53b</t>
        </is>
      </c>
      <c r="DE1453" s="24" t="inlineStr">
        <is>
          <t>E:\model-prediction\data\odds\tennis\2026-10-13\polymarket_snapshots.jsonl</t>
        </is>
      </c>
      <c r="DF1453" s="24" t="inlineStr">
        <is>
          <t>1369125:2026-10-13T10:38:45.930304Z</t>
        </is>
      </c>
      <c r="DG1453" s="24" t="n"/>
      <c r="DH1453" s="24" t="n"/>
      <c r="DI1453" s="24" t="n"/>
      <c r="DJ1453" s="24" t="n"/>
      <c r="DK1453" s="24" t="n"/>
      <c r="DL1453" s="24" t="n"/>
      <c r="DM1453" s="24" t="n"/>
      <c r="DN1453" s="24" t="n"/>
      <c r="DO1453" s="24" t="n"/>
      <c r="DP1453" s="24" t="n"/>
      <c r="DQ1453" s="24" t="n"/>
    </row>
    <row r="1454" ht="36" customHeight="1">
      <c r="A1454" s="24" t="inlineStr">
        <is>
          <t>79d81322497e4d34</t>
        </is>
      </c>
      <c r="B1454" s="24" t="inlineStr">
        <is>
          <t>2026-10-13T11:17:05.945016Z</t>
        </is>
      </c>
      <c r="C1454" s="24" t="inlineStr">
        <is>
          <t>2026-10-13T11:30Z</t>
        </is>
      </c>
      <c r="D1454" s="24" t="inlineStr">
        <is>
          <t>1079-2026:185400</t>
        </is>
      </c>
      <c r="E1454" s="24" t="inlineStr">
        <is>
          <t>TENNIS</t>
        </is>
      </c>
      <c r="F1454" s="24" t="inlineStr">
        <is>
          <t>Francisca Jorge</t>
        </is>
      </c>
      <c r="G1454" s="24" t="inlineStr">
        <is>
          <t>Zhibek Kulambayeva</t>
        </is>
      </c>
      <c r="H1454" s="24" t="inlineStr">
        <is>
          <t>total</t>
        </is>
      </c>
      <c r="I1454" s="24" t="inlineStr">
        <is>
          <t>over</t>
        </is>
      </c>
      <c r="J1454" s="25" t="n">
        <v>22.5</v>
      </c>
      <c r="K1454" s="24" t="inlineStr">
        <is>
          <t>polymarket_us</t>
        </is>
      </c>
      <c r="L1454" s="26" t="n">
        <v>127</v>
      </c>
      <c r="M1454" s="27" t="n">
        <v>2.27</v>
      </c>
      <c r="N1454" s="28" t="n">
        <v>0.440529</v>
      </c>
      <c r="O1454" s="28" t="n">
        <v>0.5767</v>
      </c>
      <c r="P1454" s="28" t="n">
        <v>0.05</v>
      </c>
      <c r="Q1454" s="28" t="n">
        <v>0.136171</v>
      </c>
      <c r="R1454" s="26" t="n">
        <v>88</v>
      </c>
      <c r="S1454" s="29" t="n">
        <v>1.5</v>
      </c>
      <c r="T1454" s="24" t="inlineStr">
        <is>
          <t>tennis-learned-v3</t>
        </is>
      </c>
      <c r="U1454" s="24" t="inlineStr">
        <is>
          <t>settled</t>
        </is>
      </c>
      <c r="V1454" s="24" t="inlineStr">
        <is>
          <t>win</t>
        </is>
      </c>
      <c r="W1454" s="26" t="n">
        <v>16</v>
      </c>
      <c r="X1454" s="26" t="n">
        <v>11</v>
      </c>
      <c r="Y1454" s="25" t="n"/>
      <c r="Z1454" s="26" t="n"/>
      <c r="AA1454" s="28" t="n"/>
      <c r="AB1454" s="28" t="n"/>
      <c r="AC1454" s="30" t="n">
        <v>1.905</v>
      </c>
      <c r="AD1454" s="24" t="inlineStr">
        <is>
          <t>2026-10-13T16:13:47.205014Z</t>
        </is>
      </c>
      <c r="AE1454" s="31" t="inlineStr">
        <is>
          <t>Tennis Markov total games line 22.5: over p=0.577. Executable ask 0.4400 (tsc-wta-zhikul-frajor-2026-10-12-tg-22pt5).</t>
        </is>
      </c>
      <c r="AF1454" s="31" t="inlineStr">
        <is>
          <t>Surface-blended Elo model; singles only, WTA+ATP market coverage, not yet locked-holdout qualified -- promoted by explicit operator directive, not genuine walk-forward validation.</t>
        </is>
      </c>
      <c r="AG1454" s="24" t="inlineStr">
        <is>
          <t>not_applicable</t>
        </is>
      </c>
      <c r="AH1454" s="24" t="n"/>
      <c r="AI1454" s="31" t="n"/>
      <c r="AJ1454" s="31" t="n"/>
      <c r="AK1454" s="24" t="inlineStr">
        <is>
          <t>model_qualified</t>
        </is>
      </c>
      <c r="AL1454" s="26" t="n">
        <v>4</v>
      </c>
      <c r="AM1454" s="24" t="inlineStr">
        <is>
          <t>QUALIFIED_SHADOW_CALL</t>
        </is>
      </c>
      <c r="AN1454" s="24" t="inlineStr">
        <is>
          <t>CALL</t>
        </is>
      </c>
      <c r="AO1454" s="24" t="inlineStr">
        <is>
          <t>QUALIFIED</t>
        </is>
      </c>
      <c r="AP1454" s="24" t="inlineStr">
        <is>
          <t>Francisca Jorge</t>
        </is>
      </c>
      <c r="AQ1454" s="24" t="inlineStr">
        <is>
          <t>Francisca Jorge</t>
        </is>
      </c>
      <c r="AR1454" s="24" t="inlineStr">
        <is>
          <t>Francisca Jorge</t>
        </is>
      </c>
      <c r="AS1454" s="24" t="inlineStr">
        <is>
          <t>Zhibek Kulambayeva</t>
        </is>
      </c>
      <c r="AT1454" s="24" t="inlineStr">
        <is>
          <t>Zhibek Kulambayeva</t>
        </is>
      </c>
      <c r="AU1454" s="24" t="inlineStr">
        <is>
          <t>Zhibek Kulambayeva</t>
        </is>
      </c>
      <c r="AV1454" s="24" t="n"/>
      <c r="AW1454" s="24" t="n"/>
      <c r="AX1454" s="24" t="inlineStr">
        <is>
          <t>statistical_model</t>
        </is>
      </c>
      <c r="AY1454" s="24" t="n"/>
      <c r="AZ1454" s="24" t="inlineStr">
        <is>
          <t>shadow_qualified</t>
        </is>
      </c>
      <c r="BA1454" s="24" t="inlineStr">
        <is>
          <t>7443acc419841200d57e1edf36b77f1940cdd0c48dce3d43fcd05498a109440b</t>
        </is>
      </c>
      <c r="BB1454" s="24" t="inlineStr">
        <is>
          <t>learned_v3</t>
        </is>
      </c>
      <c r="BC1454" s="24" t="inlineStr">
        <is>
          <t>tennis-learned-v3</t>
        </is>
      </c>
      <c r="BD1454" s="24" t="inlineStr">
        <is>
          <t>7443acc419841200d57e1edf36b77f1940cdd0c48dce3d43fcd05498a109440b</t>
        </is>
      </c>
      <c r="BE1454" s="24" t="inlineStr">
        <is>
          <t>tennis-learned-v3</t>
        </is>
      </c>
      <c r="BF1454" s="24" t="inlineStr">
        <is>
          <t>1</t>
        </is>
      </c>
      <c r="BG1454" s="24" t="inlineStr">
        <is>
          <t>7443acc419841200d57e1edf36b77f1940cdd0c48dce3d43fcd05498a109440b</t>
        </is>
      </c>
      <c r="BH1454" s="24" t="inlineStr">
        <is>
          <t>2026-10-13T10:38:06.184134Z</t>
        </is>
      </c>
      <c r="BI1454" s="24" t="inlineStr">
        <is>
          <t>["same_event","same_team_same_day","same_league_same_day"]</t>
        </is>
      </c>
      <c r="BJ1454" s="25" t="n">
        <v>22.5</v>
      </c>
      <c r="BK1454" s="26" t="n">
        <v>127</v>
      </c>
      <c r="BL1454" s="27" t="n">
        <v>2.27</v>
      </c>
      <c r="BM1454" s="28" t="n">
        <v>0.440529</v>
      </c>
      <c r="BN1454" s="28" t="n"/>
      <c r="BO1454" s="28" t="n"/>
      <c r="BP1454" s="25" t="n"/>
      <c r="BQ1454" s="27" t="n"/>
      <c r="BR1454" s="28" t="n"/>
      <c r="BS1454" s="28" t="n"/>
      <c r="BT1454" s="28" t="n"/>
      <c r="BU1454" s="25" t="n"/>
      <c r="BV1454" s="29" t="n"/>
      <c r="BW1454" s="24" t="n"/>
      <c r="BX1454" s="30" t="n"/>
      <c r="BY1454" s="27" t="n"/>
      <c r="BZ1454" s="24" t="n"/>
      <c r="CA1454" s="31" t="n"/>
      <c r="CB1454" s="24" t="n"/>
      <c r="CC1454" s="24" t="n"/>
      <c r="CD1454" s="24" t="n"/>
      <c r="CE1454" s="24" t="n"/>
      <c r="CF1454" s="24" t="n"/>
      <c r="CG1454" s="24" t="n"/>
      <c r="CH1454" s="24" t="n"/>
      <c r="CI1454" s="24" t="n"/>
      <c r="CJ1454" s="24" t="n"/>
      <c r="CK1454" s="24" t="n"/>
      <c r="CL1454" s="24" t="n"/>
      <c r="CM1454" s="24" t="n"/>
      <c r="CN1454" s="24" t="n"/>
      <c r="CO1454" s="24" t="n"/>
      <c r="CP1454" s="24" t="n"/>
      <c r="CQ1454" s="24" t="n"/>
      <c r="CR1454" s="24" t="n"/>
      <c r="CS1454" s="24" t="inlineStr">
        <is>
          <t>True</t>
        </is>
      </c>
      <c r="CT1454" s="24" t="n"/>
      <c r="CU1454" s="24" t="n"/>
      <c r="CV1454" s="24" t="n"/>
      <c r="CW1454" s="24" t="n"/>
      <c r="CX1454" s="24" t="n"/>
      <c r="CY1454" s="24" t="n"/>
      <c r="CZ1454" s="24" t="n"/>
      <c r="DA1454" s="24" t="n"/>
      <c r="DB1454" s="24" t="n"/>
      <c r="DC1454" s="24" t="n"/>
      <c r="DD1454" s="24" t="inlineStr">
        <is>
          <t>3591b68ce2574126d3ad1af7e8e0dfea85cb9b0859c92bc0f655497910d40192</t>
        </is>
      </c>
      <c r="DE1454" s="24" t="inlineStr">
        <is>
          <t>E:\model-prediction\data\odds\tennis\2026-10-13\polymarket_snapshots.jsonl</t>
        </is>
      </c>
      <c r="DF1454" s="24" t="inlineStr">
        <is>
          <t>1369077:2026-10-13T10:38:06.184134Z</t>
        </is>
      </c>
      <c r="DG1454" s="24" t="n"/>
      <c r="DH1454" s="24" t="n"/>
      <c r="DI1454" s="24" t="n"/>
      <c r="DJ1454" s="24" t="n"/>
      <c r="DK1454" s="24" t="n"/>
      <c r="DL1454" s="24" t="n"/>
      <c r="DM1454" s="24" t="n"/>
      <c r="DN1454" s="24" t="n"/>
      <c r="DO1454" s="24" t="n"/>
      <c r="DP1454" s="24" t="n"/>
      <c r="DQ1454" s="24" t="n"/>
    </row>
    <row r="1455" ht="36" customHeight="1">
      <c r="A1455" s="24" t="inlineStr">
        <is>
          <t>ececcb4a610342d8</t>
        </is>
      </c>
      <c r="B1455" s="24" t="inlineStr">
        <is>
          <t>2026-10-13T11:17:05.945016Z</t>
        </is>
      </c>
      <c r="C1455" s="24" t="inlineStr">
        <is>
          <t>2026-10-13T11:30Z</t>
        </is>
      </c>
      <c r="D1455" s="24" t="inlineStr">
        <is>
          <t>1079-2026:185400</t>
        </is>
      </c>
      <c r="E1455" s="24" t="inlineStr">
        <is>
          <t>TENNIS</t>
        </is>
      </c>
      <c r="F1455" s="24" t="inlineStr">
        <is>
          <t>Francisca Jorge</t>
        </is>
      </c>
      <c r="G1455" s="24" t="inlineStr">
        <is>
          <t>Zhibek Kulambayeva</t>
        </is>
      </c>
      <c r="H1455" s="24" t="inlineStr">
        <is>
          <t>moneyline</t>
        </is>
      </c>
      <c r="I1455" s="24" t="inlineStr">
        <is>
          <t>home</t>
        </is>
      </c>
      <c r="J1455" s="25" t="n"/>
      <c r="K1455" s="24" t="inlineStr">
        <is>
          <t>polymarket_us</t>
        </is>
      </c>
      <c r="L1455" s="26" t="n">
        <v>170</v>
      </c>
      <c r="M1455" s="27" t="n">
        <v>2.7</v>
      </c>
      <c r="N1455" s="28" t="n">
        <v>0.37037</v>
      </c>
      <c r="O1455" s="28" t="n">
        <v>0.5138</v>
      </c>
      <c r="P1455" s="28" t="n">
        <v>0.05</v>
      </c>
      <c r="Q1455" s="28" t="n">
        <v>0.14343</v>
      </c>
      <c r="R1455" s="26" t="n">
        <v>92</v>
      </c>
      <c r="S1455" s="29" t="n">
        <v>1.5</v>
      </c>
      <c r="T1455" s="24" t="inlineStr">
        <is>
          <t>tennis-learned-v3</t>
        </is>
      </c>
      <c r="U1455" s="24" t="inlineStr">
        <is>
          <t>settled</t>
        </is>
      </c>
      <c r="V1455" s="24" t="inlineStr">
        <is>
          <t>loss</t>
        </is>
      </c>
      <c r="W1455" s="26" t="n">
        <v>1</v>
      </c>
      <c r="X1455" s="26" t="n">
        <v>0</v>
      </c>
      <c r="Y1455" s="25" t="n"/>
      <c r="Z1455" s="26" t="n">
        <v>170</v>
      </c>
      <c r="AA1455" s="28" t="n">
        <v>0.37</v>
      </c>
      <c r="AB1455" s="28" t="n">
        <v>-0.00037</v>
      </c>
      <c r="AC1455" s="30" t="n">
        <v>-1.5</v>
      </c>
      <c r="AD1455" s="24" t="inlineStr">
        <is>
          <t>2026-10-13T16:13:52.616549Z</t>
        </is>
      </c>
      <c r="AE1455" s="31" t="inlineStr">
        <is>
          <t>Tennis v3 Learned Fundamental on Hard (Bo3): Francisca Jorge p=0.486 vs Zhibek Kulambayeva. Executable ask 0.3700 (aec-wta-zhikul-frajor-2026-10-12).</t>
        </is>
      </c>
      <c r="AF1455" s="31" t="inlineStr">
        <is>
          <t>Surface-blended Elo model; singles only, WTA+ATP market coverage, not yet locked-holdout qualified -- promoted by explicit operator directive, not genuine walk-forward validation.</t>
        </is>
      </c>
      <c r="AG1455" s="24" t="inlineStr">
        <is>
          <t>review_required</t>
        </is>
      </c>
      <c r="AH1455" s="24" t="n"/>
      <c r="AI1455" s="31" t="n"/>
      <c r="AJ1455" s="31" t="n"/>
      <c r="AK1455" s="24" t="inlineStr">
        <is>
          <t>paper_call</t>
        </is>
      </c>
      <c r="AL1455" s="26" t="n">
        <v>4</v>
      </c>
      <c r="AM1455" s="24" t="inlineStr">
        <is>
          <t>RESEARCH_OBSERVATION</t>
        </is>
      </c>
      <c r="AN1455" s="24" t="inlineStr">
        <is>
          <t>CALL</t>
        </is>
      </c>
      <c r="AO1455" s="24" t="inlineStr">
        <is>
          <t>PAPER_CALL_LOW_EDGE</t>
        </is>
      </c>
      <c r="AP1455" s="24" t="inlineStr">
        <is>
          <t>Francisca Jorge</t>
        </is>
      </c>
      <c r="AQ1455" s="24" t="inlineStr">
        <is>
          <t>Francisca Jorge</t>
        </is>
      </c>
      <c r="AR1455" s="24" t="inlineStr">
        <is>
          <t>Francisca Jorge</t>
        </is>
      </c>
      <c r="AS1455" s="24" t="inlineStr">
        <is>
          <t>Zhibek Kulambayeva</t>
        </is>
      </c>
      <c r="AT1455" s="24" t="inlineStr">
        <is>
          <t>Zhibek Kulambayeva</t>
        </is>
      </c>
      <c r="AU1455" s="24" t="inlineStr">
        <is>
          <t>Zhibek Kulambayeva</t>
        </is>
      </c>
      <c r="AV1455" s="24" t="n"/>
      <c r="AW1455" s="24" t="n"/>
      <c r="AX1455" s="24" t="inlineStr">
        <is>
          <t>statistical_model</t>
        </is>
      </c>
      <c r="AY1455" s="24" t="n"/>
      <c r="AZ1455" s="24" t="inlineStr">
        <is>
          <t>shadow_qualified</t>
        </is>
      </c>
      <c r="BA1455" s="24" t="inlineStr">
        <is>
          <t>7443acc419841200d57e1edf36b77f1940cdd0c48dce3d43fcd05498a109440b</t>
        </is>
      </c>
      <c r="BB1455" s="24" t="inlineStr">
        <is>
          <t>learned_v3</t>
        </is>
      </c>
      <c r="BC1455" s="24" t="inlineStr">
        <is>
          <t>tennis-learned-v3</t>
        </is>
      </c>
      <c r="BD1455" s="24" t="inlineStr">
        <is>
          <t>7443acc419841200d57e1edf36b77f1940cdd0c48dce3d43fcd05498a109440b</t>
        </is>
      </c>
      <c r="BE1455" s="24" t="inlineStr">
        <is>
          <t>tennis-learned-v3</t>
        </is>
      </c>
      <c r="BF1455" s="24" t="inlineStr">
        <is>
          <t>1</t>
        </is>
      </c>
      <c r="BG1455" s="24" t="inlineStr">
        <is>
          <t>7443acc419841200d57e1edf36b77f1940cdd0c48dce3d43fcd05498a109440b</t>
        </is>
      </c>
      <c r="BH1455" s="24" t="inlineStr">
        <is>
          <t>2026-10-13T10:38:06.349976Z</t>
        </is>
      </c>
      <c r="BI1455" s="24" t="inlineStr">
        <is>
          <t>["same_event","same_team_same_day","same_league_same_day"]</t>
        </is>
      </c>
      <c r="BJ1455" s="25" t="n"/>
      <c r="BK1455" s="26" t="n">
        <v>170</v>
      </c>
      <c r="BL1455" s="27" t="n">
        <v>2.7</v>
      </c>
      <c r="BM1455" s="28" t="n">
        <v>0.37037</v>
      </c>
      <c r="BN1455" s="28" t="n"/>
      <c r="BO1455" s="28" t="n"/>
      <c r="BP1455" s="25" t="n"/>
      <c r="BQ1455" s="27" t="n">
        <v>2.7</v>
      </c>
      <c r="BR1455" s="28" t="n">
        <v>0.37</v>
      </c>
      <c r="BS1455" s="28" t="n"/>
      <c r="BT1455" s="28" t="n"/>
      <c r="BU1455" s="25" t="n"/>
      <c r="BV1455" s="29" t="n"/>
      <c r="BW1455" s="24" t="n"/>
      <c r="BX1455" s="30" t="n"/>
      <c r="BY1455" s="27" t="n"/>
      <c r="BZ1455" s="24" t="n"/>
      <c r="CA1455" s="31" t="n"/>
      <c r="CB1455" s="24" t="n"/>
      <c r="CC1455" s="24" t="n"/>
      <c r="CD1455" s="24" t="n"/>
      <c r="CE1455" s="24" t="n"/>
      <c r="CF1455" s="24" t="n"/>
      <c r="CG1455" s="24" t="n"/>
      <c r="CH1455" s="24" t="n"/>
      <c r="CI1455" s="24" t="n"/>
      <c r="CJ1455" s="24" t="n"/>
      <c r="CK1455" s="24" t="n"/>
      <c r="CL1455" s="24" t="n"/>
      <c r="CM1455" s="24" t="n"/>
      <c r="CN1455" s="24" t="n"/>
      <c r="CO1455" s="24" t="n"/>
      <c r="CP1455" s="24" t="n"/>
      <c r="CQ1455" s="24" t="n"/>
      <c r="CR1455" s="24" t="n"/>
      <c r="CS1455" s="24" t="inlineStr">
        <is>
          <t>True</t>
        </is>
      </c>
      <c r="CT1455" s="24" t="n"/>
      <c r="CU1455" s="24" t="n"/>
      <c r="CV1455" s="24" t="n"/>
      <c r="CW1455" s="24" t="n"/>
      <c r="CX1455" s="24" t="n"/>
      <c r="CY1455" s="24" t="n"/>
      <c r="CZ1455" s="24" t="n"/>
      <c r="DA1455" s="24" t="n"/>
      <c r="DB1455" s="24" t="n"/>
      <c r="DC1455" s="24" t="n"/>
      <c r="DD1455" s="24" t="inlineStr">
        <is>
          <t>89375ec23ad26522b8a25c41bef969e299c5e33de4d360d9d9728fc1168e113f</t>
        </is>
      </c>
      <c r="DE1455" s="24" t="inlineStr">
        <is>
          <t>E:\model-prediction\data\odds\tennis\2026-10-13\polymarket_snapshots.jsonl</t>
        </is>
      </c>
      <c r="DF1455" s="24" t="inlineStr">
        <is>
          <t>1368286:2026-10-13T10:38:06.349976Z</t>
        </is>
      </c>
      <c r="DG1455" s="24" t="n"/>
      <c r="DH1455" s="24" t="n"/>
      <c r="DI1455" s="24" t="n"/>
      <c r="DJ1455" s="24" t="n"/>
      <c r="DK1455" s="24" t="n"/>
      <c r="DL1455" s="24" t="n"/>
      <c r="DM1455" s="24" t="n"/>
      <c r="DN1455" s="24" t="n"/>
      <c r="DO1455" s="24" t="n"/>
      <c r="DP1455" s="24" t="n"/>
      <c r="DQ1455" s="24" t="inlineStr">
        <is>
          <t>{"artifact_hash": "7443acc419841200d57e1edf36b77f1940cdd0c48dce3d43fcd05498a109440b", "away_team": "Francisca Jorge", "event_id": "1079-2026:185400", "event_start_utc": "2026-10-13T11:30Z", "features": {"elo_p1_surface": 1461.0, "elo_p2_surface": 1492.1, "expected_games_p1": 12.33, "expected_games_p2": 12.44, "expected_total_games": 24.78, "history_matches": 16744, "min_player_matches": 27, "surface": "Hard"}, "historical_source_observation_times_verified": false, "home_team": "Zhibek Kulambayeva", "inference_inputs": {"best_of": 3, "code_sha256": {"features/elo_ratings.py": "d6513e79d65448c06cc0f9b9eed0eaa091567835128e1f6647a310da8d78a872", "models/tennis.py": "7443acc419841200d57e1edf36b77f1940cdd0c48dce3d43fcd05498a109440b"}, "counts": [37, 27], "market_probability": null, "model_version": "tennis-learned-v3", "overall_ratings": [1455.0673517016787, 1486.8774875371828], "p_serve_a": 0.5860054324161821, "p_serve_b": 0.5939945675838179, "players": ["Francisca Jorge", "Zhibek Kulambayeva"], "rest_days": [20.0, 29.0], "sport": "TENNIS", "surface": "Hard", "surface_counts": [31, 23], "surface_ratings": [1460.958902716498, 1492.132354326763], "tour": "WTA"}, "market_type": "moneyline", "model_version": "tennis-learned-v3", "observed_at_utc": "2026-10-13T11:17:02.991709+00:00", "probabilities": {"away": 0.4862, "home": 0.5138}, "replay_scope": "Exact full-precision serving state and rounding; upstream historical observation times are not certified.", "schema": "coded-moneyline-replay-v1", "snapshot_hash": "c4eb105446a6eab137f183fbdc1b0e6c20ad551757ec0bc84fefcbdef5c21a47", "sport": "TENNIS"}</t>
        </is>
      </c>
    </row>
    <row r="1456" ht="36" customHeight="1">
      <c r="A1456" s="24" t="inlineStr">
        <is>
          <t>1a550cc42cf0436d</t>
        </is>
      </c>
      <c r="B1456" s="24" t="inlineStr">
        <is>
          <t>2026-10-13T11:17:05.945016Z</t>
        </is>
      </c>
      <c r="C1456" s="24" t="inlineStr">
        <is>
          <t>2026-10-13T11:30Z</t>
        </is>
      </c>
      <c r="D1456" s="24" t="inlineStr">
        <is>
          <t>1079-2026:185400</t>
        </is>
      </c>
      <c r="E1456" s="24" t="inlineStr">
        <is>
          <t>TENNIS</t>
        </is>
      </c>
      <c r="F1456" s="24" t="inlineStr">
        <is>
          <t>Francisca Jorge</t>
        </is>
      </c>
      <c r="G1456" s="24" t="inlineStr">
        <is>
          <t>Zhibek Kulambayeva</t>
        </is>
      </c>
      <c r="H1456" s="24" t="inlineStr">
        <is>
          <t>spread</t>
        </is>
      </c>
      <c r="I1456" s="24" t="inlineStr">
        <is>
          <t>away</t>
        </is>
      </c>
      <c r="J1456" s="25" t="n">
        <v>-7.5</v>
      </c>
      <c r="K1456" s="24" t="inlineStr">
        <is>
          <t>polymarket_us</t>
        </is>
      </c>
      <c r="L1456" s="26" t="n">
        <v>-117</v>
      </c>
      <c r="M1456" s="27" t="n">
        <v>1.854701</v>
      </c>
      <c r="N1456" s="28" t="n">
        <v>0.539171</v>
      </c>
      <c r="O1456" s="28" t="n">
        <v>0.972</v>
      </c>
      <c r="P1456" s="28" t="n">
        <v>0.05</v>
      </c>
      <c r="Q1456" s="28" t="n">
        <v>0.432829</v>
      </c>
      <c r="R1456" s="26" t="n">
        <v>100</v>
      </c>
      <c r="S1456" s="29" t="n">
        <v>2</v>
      </c>
      <c r="T1456" s="24" t="inlineStr">
        <is>
          <t>tennis-learned-v3</t>
        </is>
      </c>
      <c r="U1456" s="24" t="inlineStr">
        <is>
          <t>settled</t>
        </is>
      </c>
      <c r="V1456" s="24" t="inlineStr">
        <is>
          <t>loss</t>
        </is>
      </c>
      <c r="W1456" s="26" t="n">
        <v>16</v>
      </c>
      <c r="X1456" s="26" t="n">
        <v>11</v>
      </c>
      <c r="Y1456" s="25" t="n"/>
      <c r="Z1456" s="26" t="n"/>
      <c r="AA1456" s="28" t="n"/>
      <c r="AB1456" s="28" t="n"/>
      <c r="AC1456" s="30" t="n">
        <v>-2</v>
      </c>
      <c r="AD1456" s="24" t="inlineStr">
        <is>
          <t>2026-10-13T16:13:59.360588Z</t>
        </is>
      </c>
      <c r="AE1456" s="31" t="inlineStr">
        <is>
          <t>Tennis Markov game spread -7.5 games: away cover p=0.972. Executable ask 0.5400 (asc-wta-zhikul-frajor-2026-10-12-gs-neg-7pt5).</t>
        </is>
      </c>
      <c r="AF1456" s="31" t="inlineStr">
        <is>
          <t>Surface-blended Elo model; singles only, WTA+ATP market coverage, not yet locked-holdout qualified -- promoted by explicit operator directive, not genuine walk-forward validation.</t>
        </is>
      </c>
      <c r="AG1456" s="24" t="inlineStr">
        <is>
          <t>review_required</t>
        </is>
      </c>
      <c r="AH1456" s="24" t="n"/>
      <c r="AI1456" s="31" t="n"/>
      <c r="AJ1456" s="31" t="n"/>
      <c r="AK1456" s="24" t="inlineStr">
        <is>
          <t>model_qualified</t>
        </is>
      </c>
      <c r="AL1456" s="26" t="n">
        <v>4</v>
      </c>
      <c r="AM1456" s="24" t="inlineStr">
        <is>
          <t>QUALIFIED_SHADOW_CALL</t>
        </is>
      </c>
      <c r="AN1456" s="24" t="inlineStr">
        <is>
          <t>CALL</t>
        </is>
      </c>
      <c r="AO1456" s="24" t="inlineStr">
        <is>
          <t>QUALIFIED</t>
        </is>
      </c>
      <c r="AP1456" s="24" t="inlineStr">
        <is>
          <t>Francisca Jorge</t>
        </is>
      </c>
      <c r="AQ1456" s="24" t="inlineStr">
        <is>
          <t>Francisca Jorge</t>
        </is>
      </c>
      <c r="AR1456" s="24" t="inlineStr">
        <is>
          <t>Francisca Jorge</t>
        </is>
      </c>
      <c r="AS1456" s="24" t="inlineStr">
        <is>
          <t>Zhibek Kulambayeva</t>
        </is>
      </c>
      <c r="AT1456" s="24" t="inlineStr">
        <is>
          <t>Zhibek Kulambayeva</t>
        </is>
      </c>
      <c r="AU1456" s="24" t="inlineStr">
        <is>
          <t>Zhibek Kulambayeva</t>
        </is>
      </c>
      <c r="AV1456" s="24" t="n"/>
      <c r="AW1456" s="24" t="n"/>
      <c r="AX1456" s="24" t="inlineStr">
        <is>
          <t>statistical_model</t>
        </is>
      </c>
      <c r="AY1456" s="24" t="n"/>
      <c r="AZ1456" s="24" t="inlineStr">
        <is>
          <t>shadow_qualified</t>
        </is>
      </c>
      <c r="BA1456" s="24" t="inlineStr">
        <is>
          <t>7443acc419841200d57e1edf36b77f1940cdd0c48dce3d43fcd05498a109440b</t>
        </is>
      </c>
      <c r="BB1456" s="24" t="inlineStr">
        <is>
          <t>learned_v3</t>
        </is>
      </c>
      <c r="BC1456" s="24" t="inlineStr">
        <is>
          <t>tennis-learned-v3</t>
        </is>
      </c>
      <c r="BD1456" s="24" t="inlineStr">
        <is>
          <t>7443acc419841200d57e1edf36b77f1940cdd0c48dce3d43fcd05498a109440b</t>
        </is>
      </c>
      <c r="BE1456" s="24" t="inlineStr">
        <is>
          <t>tennis-learned-v3</t>
        </is>
      </c>
      <c r="BF1456" s="24" t="inlineStr">
        <is>
          <t>1</t>
        </is>
      </c>
      <c r="BG1456" s="24" t="inlineStr">
        <is>
          <t>7443acc419841200d57e1edf36b77f1940cdd0c48dce3d43fcd05498a109440b</t>
        </is>
      </c>
      <c r="BH1456" s="24" t="inlineStr">
        <is>
          <t>2026-10-13T10:38:25.793505Z</t>
        </is>
      </c>
      <c r="BI1456" s="24" t="inlineStr">
        <is>
          <t>["same_event","same_team_same_day","same_league_same_day"]</t>
        </is>
      </c>
      <c r="BJ1456" s="25" t="n">
        <v>-7.5</v>
      </c>
      <c r="BK1456" s="26" t="n">
        <v>-117</v>
      </c>
      <c r="BL1456" s="27" t="n">
        <v>1.854701</v>
      </c>
      <c r="BM1456" s="28" t="n">
        <v>0.539171</v>
      </c>
      <c r="BN1456" s="28" t="n"/>
      <c r="BO1456" s="28" t="n"/>
      <c r="BP1456" s="25" t="n"/>
      <c r="BQ1456" s="27" t="n"/>
      <c r="BR1456" s="28" t="n"/>
      <c r="BS1456" s="28" t="n"/>
      <c r="BT1456" s="28" t="n"/>
      <c r="BU1456" s="25" t="n"/>
      <c r="BV1456" s="29" t="n"/>
      <c r="BW1456" s="24" t="n"/>
      <c r="BX1456" s="30" t="n"/>
      <c r="BY1456" s="27" t="n"/>
      <c r="BZ1456" s="24" t="n"/>
      <c r="CA1456" s="31" t="n"/>
      <c r="CB1456" s="24" t="n"/>
      <c r="CC1456" s="24" t="n"/>
      <c r="CD1456" s="24" t="n"/>
      <c r="CE1456" s="24" t="n"/>
      <c r="CF1456" s="24" t="n"/>
      <c r="CG1456" s="24" t="n"/>
      <c r="CH1456" s="24" t="n"/>
      <c r="CI1456" s="24" t="n"/>
      <c r="CJ1456" s="24" t="n"/>
      <c r="CK1456" s="24" t="n"/>
      <c r="CL1456" s="24" t="n"/>
      <c r="CM1456" s="24" t="n"/>
      <c r="CN1456" s="24" t="n"/>
      <c r="CO1456" s="24" t="n"/>
      <c r="CP1456" s="24" t="n"/>
      <c r="CQ1456" s="24" t="n"/>
      <c r="CR1456" s="24" t="n"/>
      <c r="CS1456" s="24" t="inlineStr">
        <is>
          <t>True</t>
        </is>
      </c>
      <c r="CT1456" s="24" t="n"/>
      <c r="CU1456" s="24" t="n"/>
      <c r="CV1456" s="24" t="n"/>
      <c r="CW1456" s="24" t="n"/>
      <c r="CX1456" s="24" t="n"/>
      <c r="CY1456" s="24" t="n"/>
      <c r="CZ1456" s="24" t="n"/>
      <c r="DA1456" s="24" t="n"/>
      <c r="DB1456" s="24" t="n"/>
      <c r="DC1456" s="24" t="n"/>
      <c r="DD1456" s="24" t="inlineStr">
        <is>
          <t>6e4793a720471a0ddfcb0732d232f1106e37418f0e70e9137537e6279ffc03c5</t>
        </is>
      </c>
      <c r="DE1456" s="24" t="inlineStr">
        <is>
          <t>E:\model-prediction\data\odds\tennis\2026-10-13\polymarket_snapshots.jsonl</t>
        </is>
      </c>
      <c r="DF1456" s="24" t="inlineStr">
        <is>
          <t>1369092:2026-10-13T10:38:25.793505Z</t>
        </is>
      </c>
      <c r="DG1456" s="24" t="n"/>
      <c r="DH1456" s="24" t="n"/>
      <c r="DI1456" s="24" t="n"/>
      <c r="DJ1456" s="24" t="n"/>
      <c r="DK1456" s="24" t="n"/>
      <c r="DL1456" s="24" t="n"/>
      <c r="DM1456" s="24" t="n"/>
      <c r="DN1456" s="24" t="n"/>
      <c r="DO1456" s="24" t="n"/>
      <c r="DP1456" s="24" t="n"/>
      <c r="DQ1456" s="24" t="n"/>
    </row>
    <row r="1457" ht="36" customHeight="1">
      <c r="A1457" s="24" t="inlineStr">
        <is>
          <t>8a577ffc3aa243df</t>
        </is>
      </c>
      <c r="B1457" s="24" t="inlineStr">
        <is>
          <t>2026-10-13T11:17:05.945016Z</t>
        </is>
      </c>
      <c r="C1457" s="24" t="inlineStr">
        <is>
          <t>2026-10-13T11:30Z</t>
        </is>
      </c>
      <c r="D1457" s="24" t="inlineStr">
        <is>
          <t>1079-2026:185396</t>
        </is>
      </c>
      <c r="E1457" s="24" t="inlineStr">
        <is>
          <t>TENNIS</t>
        </is>
      </c>
      <c r="F1457" s="24" t="inlineStr">
        <is>
          <t>Raluka Serban</t>
        </is>
      </c>
      <c r="G1457" s="24" t="inlineStr">
        <is>
          <t>Analu Freitas</t>
        </is>
      </c>
      <c r="H1457" s="24" t="inlineStr">
        <is>
          <t>spread</t>
        </is>
      </c>
      <c r="I1457" s="24" t="inlineStr">
        <is>
          <t>home</t>
        </is>
      </c>
      <c r="J1457" s="25" t="n">
        <v>7.5</v>
      </c>
      <c r="K1457" s="24" t="inlineStr">
        <is>
          <t>polymarket_us</t>
        </is>
      </c>
      <c r="L1457" s="26" t="n">
        <v>-9900</v>
      </c>
      <c r="M1457" s="27" t="n">
        <v>1.010101</v>
      </c>
      <c r="N1457" s="28" t="n">
        <v>0.99</v>
      </c>
      <c r="O1457" s="28" t="n">
        <v>0.7112000000000001</v>
      </c>
      <c r="P1457" s="28" t="n">
        <v>0.05</v>
      </c>
      <c r="Q1457" s="28" t="n">
        <v>-0.2788</v>
      </c>
      <c r="R1457" s="26" t="n">
        <v>0</v>
      </c>
      <c r="S1457" s="29" t="n">
        <v>1</v>
      </c>
      <c r="T1457" s="24" t="inlineStr">
        <is>
          <t>tennis-learned-v3</t>
        </is>
      </c>
      <c r="U1457" s="24" t="inlineStr">
        <is>
          <t>settled</t>
        </is>
      </c>
      <c r="V1457" s="24" t="inlineStr">
        <is>
          <t>loss</t>
        </is>
      </c>
      <c r="W1457" s="26" t="n">
        <v>12</v>
      </c>
      <c r="X1457" s="26" t="n">
        <v>2</v>
      </c>
      <c r="Y1457" s="25" t="n"/>
      <c r="Z1457" s="26" t="n"/>
      <c r="AA1457" s="28" t="n"/>
      <c r="AB1457" s="28" t="n"/>
      <c r="AC1457" s="30" t="n">
        <v>-1</v>
      </c>
      <c r="AD1457" s="24" t="inlineStr">
        <is>
          <t>2026-10-13T16:14:12.884591Z</t>
        </is>
      </c>
      <c r="AE1457" s="31" t="inlineStr">
        <is>
          <t>Tennis Markov game spread +7.5 games: home cover p=0.711. Executable ask 0.9900 (asc-wta-anafre-ralser-2026-10-13-gs-pos-7pt5).</t>
        </is>
      </c>
      <c r="AF1457" s="31" t="inlineStr">
        <is>
          <t>Surface-blended Elo model; singles only, WTA+ATP market coverage, not yet locked-holdout qualified -- promoted by explicit operator directive, not genuine walk-forward validation.</t>
        </is>
      </c>
      <c r="AG1457" s="24" t="inlineStr">
        <is>
          <t>review_required</t>
        </is>
      </c>
      <c r="AH1457" s="24" t="n"/>
      <c r="AI1457" s="31" t="n"/>
      <c r="AJ1457" s="31" t="n"/>
      <c r="AK1457" s="24" t="inlineStr">
        <is>
          <t>paper_call</t>
        </is>
      </c>
      <c r="AL1457" s="26" t="n">
        <v>4</v>
      </c>
      <c r="AM1457" s="24" t="inlineStr">
        <is>
          <t>RESEARCH_OBSERVATION</t>
        </is>
      </c>
      <c r="AN1457" s="24" t="inlineStr">
        <is>
          <t>CALL</t>
        </is>
      </c>
      <c r="AO1457" s="24" t="inlineStr">
        <is>
          <t>PAPER_CALL_MODEL_UNVALIDATED</t>
        </is>
      </c>
      <c r="AP1457" s="24" t="inlineStr">
        <is>
          <t>Raluka Serban</t>
        </is>
      </c>
      <c r="AQ1457" s="24" t="inlineStr">
        <is>
          <t>Raluka Serban</t>
        </is>
      </c>
      <c r="AR1457" s="24" t="inlineStr">
        <is>
          <t>Raluka Serban</t>
        </is>
      </c>
      <c r="AS1457" s="24" t="inlineStr">
        <is>
          <t>Analu Freitas</t>
        </is>
      </c>
      <c r="AT1457" s="24" t="inlineStr">
        <is>
          <t>Analu Freitas</t>
        </is>
      </c>
      <c r="AU1457" s="24" t="inlineStr">
        <is>
          <t>Analu Freitas</t>
        </is>
      </c>
      <c r="AV1457" s="24" t="n"/>
      <c r="AW1457" s="24" t="n"/>
      <c r="AX1457" s="24" t="inlineStr">
        <is>
          <t>statistical_model</t>
        </is>
      </c>
      <c r="AY1457" s="24" t="n"/>
      <c r="AZ1457" s="24" t="inlineStr">
        <is>
          <t>shadow_qualified</t>
        </is>
      </c>
      <c r="BA1457" s="24" t="inlineStr">
        <is>
          <t>7443acc419841200d57e1edf36b77f1940cdd0c48dce3d43fcd05498a109440b</t>
        </is>
      </c>
      <c r="BB1457" s="24" t="inlineStr">
        <is>
          <t>learned_v3</t>
        </is>
      </c>
      <c r="BC1457" s="24" t="inlineStr">
        <is>
          <t>tennis-learned-v3</t>
        </is>
      </c>
      <c r="BD1457" s="24" t="inlineStr">
        <is>
          <t>7443acc419841200d57e1edf36b77f1940cdd0c48dce3d43fcd05498a109440b</t>
        </is>
      </c>
      <c r="BE1457" s="24" t="inlineStr">
        <is>
          <t>tennis-learned-v3</t>
        </is>
      </c>
      <c r="BF1457" s="24" t="inlineStr">
        <is>
          <t>1</t>
        </is>
      </c>
      <c r="BG1457" s="24" t="inlineStr">
        <is>
          <t>7443acc419841200d57e1edf36b77f1940cdd0c48dce3d43fcd05498a109440b</t>
        </is>
      </c>
      <c r="BH1457" s="24" t="inlineStr">
        <is>
          <t>2026-10-13T05:05:25.944070Z</t>
        </is>
      </c>
      <c r="BI1457" s="24" t="inlineStr">
        <is>
          <t>["same_event","same_team_same_day","same_league_same_day"]</t>
        </is>
      </c>
      <c r="BJ1457" s="25" t="n">
        <v>7.5</v>
      </c>
      <c r="BK1457" s="26" t="n">
        <v>-9900</v>
      </c>
      <c r="BL1457" s="27" t="n">
        <v>1.010101</v>
      </c>
      <c r="BM1457" s="28" t="n">
        <v>0.99</v>
      </c>
      <c r="BN1457" s="28" t="n"/>
      <c r="BO1457" s="28" t="n"/>
      <c r="BP1457" s="25" t="n"/>
      <c r="BQ1457" s="27" t="n"/>
      <c r="BR1457" s="28" t="n"/>
      <c r="BS1457" s="28" t="n"/>
      <c r="BT1457" s="28" t="n"/>
      <c r="BU1457" s="25" t="n"/>
      <c r="BV1457" s="29" t="n"/>
      <c r="BW1457" s="24" t="n"/>
      <c r="BX1457" s="30" t="n"/>
      <c r="BY1457" s="27" t="n"/>
      <c r="BZ1457" s="24" t="n"/>
      <c r="CA1457" s="31" t="n"/>
      <c r="CB1457" s="24" t="n"/>
      <c r="CC1457" s="24" t="n"/>
      <c r="CD1457" s="24" t="n"/>
      <c r="CE1457" s="24" t="n"/>
      <c r="CF1457" s="24" t="n"/>
      <c r="CG1457" s="24" t="n"/>
      <c r="CH1457" s="24" t="n"/>
      <c r="CI1457" s="24" t="n"/>
      <c r="CJ1457" s="24" t="n"/>
      <c r="CK1457" s="24" t="n"/>
      <c r="CL1457" s="24" t="n"/>
      <c r="CM1457" s="24" t="n"/>
      <c r="CN1457" s="24" t="n"/>
      <c r="CO1457" s="24" t="n"/>
      <c r="CP1457" s="24" t="n"/>
      <c r="CQ1457" s="24" t="n"/>
      <c r="CR1457" s="24" t="n"/>
      <c r="CS1457" s="24" t="inlineStr">
        <is>
          <t>False</t>
        </is>
      </c>
      <c r="CT1457" s="24" t="n"/>
      <c r="CU1457" s="24" t="n"/>
      <c r="CV1457" s="24" t="n"/>
      <c r="CW1457" s="24" t="n"/>
      <c r="CX1457" s="24" t="n"/>
      <c r="CY1457" s="24" t="n"/>
      <c r="CZ1457" s="24" t="n"/>
      <c r="DA1457" s="24" t="n"/>
      <c r="DB1457" s="24" t="n"/>
      <c r="DC1457" s="24" t="n"/>
      <c r="DD1457" s="24" t="inlineStr">
        <is>
          <t>e070a855c639758bf7e7d9fec01023a9178e52ea8b4e1773dfc0b6d2aa0aa7b4</t>
        </is>
      </c>
      <c r="DE1457" s="24" t="inlineStr">
        <is>
          <t>E:\model-prediction\data\odds\tennis\2026-10-13\polymarket_snapshots.jsonl</t>
        </is>
      </c>
      <c r="DF1457" s="24" t="inlineStr">
        <is>
          <t>1403590:2026-10-13T05:05:25.944070Z</t>
        </is>
      </c>
      <c r="DG1457" s="24" t="n"/>
      <c r="DH1457" s="24" t="n"/>
      <c r="DI1457" s="24" t="n"/>
      <c r="DJ1457" s="24" t="n"/>
      <c r="DK1457" s="24" t="n"/>
      <c r="DL1457" s="24" t="n"/>
      <c r="DM1457" s="24" t="n"/>
      <c r="DN1457" s="24" t="n"/>
      <c r="DO1457" s="24" t="n"/>
      <c r="DP1457" s="24" t="n"/>
      <c r="DQ1457" s="24" t="n"/>
    </row>
    <row r="1458" ht="36" customHeight="1">
      <c r="A1458" s="24" t="inlineStr">
        <is>
          <t>e64718c0968d4433</t>
        </is>
      </c>
      <c r="B1458" s="24" t="inlineStr">
        <is>
          <t>2026-10-13T11:17:05.945016Z</t>
        </is>
      </c>
      <c r="C1458" s="24" t="inlineStr">
        <is>
          <t>2026-10-13T11:30Z</t>
        </is>
      </c>
      <c r="D1458" s="24" t="inlineStr">
        <is>
          <t>1079-2026:185396</t>
        </is>
      </c>
      <c r="E1458" s="24" t="inlineStr">
        <is>
          <t>TENNIS</t>
        </is>
      </c>
      <c r="F1458" s="24" t="inlineStr">
        <is>
          <t>Raluka Serban</t>
        </is>
      </c>
      <c r="G1458" s="24" t="inlineStr">
        <is>
          <t>Analu Freitas</t>
        </is>
      </c>
      <c r="H1458" s="24" t="inlineStr">
        <is>
          <t>moneyline</t>
        </is>
      </c>
      <c r="I1458" s="24" t="inlineStr">
        <is>
          <t>away</t>
        </is>
      </c>
      <c r="J1458" s="25" t="n"/>
      <c r="K1458" s="24" t="inlineStr">
        <is>
          <t>polymarket_us</t>
        </is>
      </c>
      <c r="L1458" s="26" t="n">
        <v>-4900</v>
      </c>
      <c r="M1458" s="27" t="n">
        <v>1.020408</v>
      </c>
      <c r="N1458" s="28" t="n">
        <v>0.98</v>
      </c>
      <c r="O1458" s="28" t="n">
        <v>0.7048</v>
      </c>
      <c r="P1458" s="28" t="n">
        <v>0.05</v>
      </c>
      <c r="Q1458" s="28" t="n">
        <v>-0.2752</v>
      </c>
      <c r="R1458" s="26" t="n">
        <v>0</v>
      </c>
      <c r="S1458" s="29" t="n">
        <v>1</v>
      </c>
      <c r="T1458" s="24" t="inlineStr">
        <is>
          <t>tennis-learned-v3</t>
        </is>
      </c>
      <c r="U1458" s="24" t="inlineStr">
        <is>
          <t>settled</t>
        </is>
      </c>
      <c r="V1458" s="24" t="inlineStr">
        <is>
          <t>win</t>
        </is>
      </c>
      <c r="W1458" s="26" t="n">
        <v>1</v>
      </c>
      <c r="X1458" s="26" t="n">
        <v>0</v>
      </c>
      <c r="Y1458" s="25" t="n"/>
      <c r="Z1458" s="26" t="n"/>
      <c r="AA1458" s="28" t="n"/>
      <c r="AB1458" s="28" t="n"/>
      <c r="AC1458" s="30" t="n">
        <v>0.0204</v>
      </c>
      <c r="AD1458" s="24" t="inlineStr">
        <is>
          <t>2026-10-13T16:14:18.372230Z</t>
        </is>
      </c>
      <c r="AE1458" s="31" t="inlineStr">
        <is>
          <t>Tennis v3 Learned Fundamental on Hard (Bo3): Raluka Serban p=0.705 vs Analu Freitas. Executable ask 0.9800 (aec-wta-anafre-ralser-2026-10-13).</t>
        </is>
      </c>
      <c r="AF1458" s="31" t="inlineStr">
        <is>
          <t>Surface-blended Elo model; singles only, WTA+ATP market coverage, not yet locked-holdout qualified -- promoted by explicit operator directive, not genuine walk-forward validation.</t>
        </is>
      </c>
      <c r="AG1458" s="24" t="inlineStr">
        <is>
          <t>not_applicable</t>
        </is>
      </c>
      <c r="AH1458" s="24" t="n"/>
      <c r="AI1458" s="31" t="n"/>
      <c r="AJ1458" s="31" t="n"/>
      <c r="AK1458" s="24" t="inlineStr">
        <is>
          <t>paper_call</t>
        </is>
      </c>
      <c r="AL1458" s="26" t="n">
        <v>4</v>
      </c>
      <c r="AM1458" s="24" t="inlineStr">
        <is>
          <t>RESEARCH_OBSERVATION</t>
        </is>
      </c>
      <c r="AN1458" s="24" t="inlineStr">
        <is>
          <t>CALL</t>
        </is>
      </c>
      <c r="AO1458" s="24" t="inlineStr">
        <is>
          <t>PAPER_CALL_MODEL_UNVALIDATED</t>
        </is>
      </c>
      <c r="AP1458" s="24" t="inlineStr">
        <is>
          <t>Raluka Serban</t>
        </is>
      </c>
      <c r="AQ1458" s="24" t="inlineStr">
        <is>
          <t>Raluka Serban</t>
        </is>
      </c>
      <c r="AR1458" s="24" t="inlineStr">
        <is>
          <t>Raluka Serban</t>
        </is>
      </c>
      <c r="AS1458" s="24" t="inlineStr">
        <is>
          <t>Analu Freitas</t>
        </is>
      </c>
      <c r="AT1458" s="24" t="inlineStr">
        <is>
          <t>Analu Freitas</t>
        </is>
      </c>
      <c r="AU1458" s="24" t="inlineStr">
        <is>
          <t>Analu Freitas</t>
        </is>
      </c>
      <c r="AV1458" s="24" t="n"/>
      <c r="AW1458" s="24" t="n"/>
      <c r="AX1458" s="24" t="inlineStr">
        <is>
          <t>statistical_model</t>
        </is>
      </c>
      <c r="AY1458" s="24" t="n"/>
      <c r="AZ1458" s="24" t="inlineStr">
        <is>
          <t>shadow_qualified</t>
        </is>
      </c>
      <c r="BA1458" s="24" t="inlineStr">
        <is>
          <t>7443acc419841200d57e1edf36b77f1940cdd0c48dce3d43fcd05498a109440b</t>
        </is>
      </c>
      <c r="BB1458" s="24" t="inlineStr">
        <is>
          <t>learned_v3</t>
        </is>
      </c>
      <c r="BC1458" s="24" t="inlineStr">
        <is>
          <t>tennis-learned-v3</t>
        </is>
      </c>
      <c r="BD1458" s="24" t="inlineStr">
        <is>
          <t>7443acc419841200d57e1edf36b77f1940cdd0c48dce3d43fcd05498a109440b</t>
        </is>
      </c>
      <c r="BE1458" s="24" t="inlineStr">
        <is>
          <t>tennis-learned-v3</t>
        </is>
      </c>
      <c r="BF1458" s="24" t="inlineStr">
        <is>
          <t>1</t>
        </is>
      </c>
      <c r="BG1458" s="24" t="inlineStr">
        <is>
          <t>7443acc419841200d57e1edf36b77f1940cdd0c48dce3d43fcd05498a109440b</t>
        </is>
      </c>
      <c r="BH1458" s="24" t="inlineStr">
        <is>
          <t>2026-10-13T10:39:06.006274Z</t>
        </is>
      </c>
      <c r="BI1458" s="24" t="inlineStr">
        <is>
          <t>["same_event","same_team_same_day","same_league_same_day"]</t>
        </is>
      </c>
      <c r="BJ1458" s="25" t="n"/>
      <c r="BK1458" s="26" t="n">
        <v>-4900</v>
      </c>
      <c r="BL1458" s="27" t="n">
        <v>1.020408</v>
      </c>
      <c r="BM1458" s="28" t="n">
        <v>0.98</v>
      </c>
      <c r="BN1458" s="28" t="n"/>
      <c r="BO1458" s="28" t="n"/>
      <c r="BP1458" s="25" t="n"/>
      <c r="BQ1458" s="27" t="n"/>
      <c r="BR1458" s="28" t="n"/>
      <c r="BS1458" s="28" t="n"/>
      <c r="BT1458" s="28" t="n"/>
      <c r="BU1458" s="25" t="n"/>
      <c r="BV1458" s="29" t="n"/>
      <c r="BW1458" s="24" t="n"/>
      <c r="BX1458" s="30" t="n"/>
      <c r="BY1458" s="27" t="n"/>
      <c r="BZ1458" s="24" t="n"/>
      <c r="CA1458" s="31" t="n"/>
      <c r="CB1458" s="24" t="n"/>
      <c r="CC1458" s="24" t="n"/>
      <c r="CD1458" s="24" t="n"/>
      <c r="CE1458" s="24" t="n"/>
      <c r="CF1458" s="24" t="n"/>
      <c r="CG1458" s="24" t="n"/>
      <c r="CH1458" s="24" t="n"/>
      <c r="CI1458" s="24" t="n"/>
      <c r="CJ1458" s="24" t="n"/>
      <c r="CK1458" s="24" t="n"/>
      <c r="CL1458" s="24" t="n"/>
      <c r="CM1458" s="24" t="n"/>
      <c r="CN1458" s="24" t="n"/>
      <c r="CO1458" s="24" t="n"/>
      <c r="CP1458" s="24" t="n"/>
      <c r="CQ1458" s="24" t="n"/>
      <c r="CR1458" s="24" t="n"/>
      <c r="CS1458" s="24" t="inlineStr">
        <is>
          <t>False</t>
        </is>
      </c>
      <c r="CT1458" s="24" t="n"/>
      <c r="CU1458" s="24" t="n"/>
      <c r="CV1458" s="24" t="n"/>
      <c r="CW1458" s="24" t="n"/>
      <c r="CX1458" s="24" t="n"/>
      <c r="CY1458" s="24" t="n"/>
      <c r="CZ1458" s="24" t="n"/>
      <c r="DA1458" s="24" t="n"/>
      <c r="DB1458" s="24" t="n"/>
      <c r="DC1458" s="24" t="n"/>
      <c r="DD1458" s="24" t="inlineStr">
        <is>
          <t>fe876c757ae38dba80f9aa4d048bfe5ff172d7af8a9428619f6ec2f0270e83a1</t>
        </is>
      </c>
      <c r="DE1458" s="24" t="inlineStr">
        <is>
          <t>E:\model-prediction\data\odds\tennis\2026-10-13\polymarket_snapshots.jsonl</t>
        </is>
      </c>
      <c r="DF1458" s="24" t="inlineStr">
        <is>
          <t>1403569:2026-10-13T10:39:06.006274Z</t>
        </is>
      </c>
      <c r="DG1458" s="24" t="n"/>
      <c r="DH1458" s="24" t="n"/>
      <c r="DI1458" s="24" t="n"/>
      <c r="DJ1458" s="24" t="n"/>
      <c r="DK1458" s="24" t="n"/>
      <c r="DL1458" s="24" t="n"/>
      <c r="DM1458" s="24" t="n"/>
      <c r="DN1458" s="24" t="n"/>
      <c r="DO1458" s="24" t="n"/>
      <c r="DP1458" s="24" t="n"/>
      <c r="DQ1458" s="24" t="inlineStr">
        <is>
          <t>{"artifact_hash": "7443acc419841200d57e1edf36b77f1940cdd0c48dce3d43fcd05498a109440b", "away_team": "Raluka Serban", "event_id": "1079-2026:185396", "event_start_utc": "2026-10-13T11:30Z", "features": {"elo_p1_surface": 1431.5, "elo_p2_surface": 1447.2, "expected_games_p1": 13.14, "expected_games_p2": 7.25, "expected_total_games": 20.4, "history_matches": 16744, "min_player_matches": 5, "surface": "Hard"}, "historical_source_observation_times_verified": false, "home_team": "Analu Freitas", "inference_inputs": {"best_of": 3, "code_sha256": {"features/elo_ratings.py": "d6513e79d65448c06cc0f9b9eed0eaa091567835128e1f6647a310da8d78a872", "models/tennis.py": "7443acc419841200d57e1edf36b77f1940cdd0c48dce3d43fcd05498a109440b"}, "counts": [41, 5], "market_probability": null, "model_version": "tennis-learned-v3", "overall_ratings": [1402.8824788346155, 1393.4142784090502], "p_serve_a": 0.6530030936401298, "p_serve_b": 0.5269969063598702, "players": ["Raluka Serban", "Analu Freitas"], "rest_days": [0.0, 60.0], "sport": "TENNIS", "surface": "Hard", "surface_counts": [31, 5], "surface_ratings": [1431.4939727134745, 1447.1714524615365], "tour": "WTA"}, "market_type": "moneyline", "model_version": "tennis-learned-v3", "observed_at_utc": "2026-10-13T11:17:02.991709+00:00", "probabilities": {"away": 0.7048, "home": 0.2952}, "replay_scope": "Exact full-precision serving state and rounding; upstream historical observation times are not certified.", "schema": "coded-moneyline-replay-v1", "snapshot_hash": "0284befef81bdadf3ad66f3fcbbdc5a4fbbd9089867d16adddcbb0928be6f8a0", "sport": "TENNIS"}</t>
        </is>
      </c>
    </row>
    <row r="1459" ht="36" customHeight="1">
      <c r="A1459" s="24" t="inlineStr">
        <is>
          <t>f17fc153bedc4b77</t>
        </is>
      </c>
      <c r="B1459" s="24" t="inlineStr">
        <is>
          <t>2026-10-13T11:17:05.945016Z</t>
        </is>
      </c>
      <c r="C1459" s="24" t="inlineStr">
        <is>
          <t>2026-10-13T11:30Z</t>
        </is>
      </c>
      <c r="D1459" s="24" t="inlineStr">
        <is>
          <t>1079-2026:185393</t>
        </is>
      </c>
      <c r="E1459" s="24" t="inlineStr">
        <is>
          <t>TENNIS</t>
        </is>
      </c>
      <c r="F1459" s="24" t="inlineStr">
        <is>
          <t>Giorgia Pedone</t>
        </is>
      </c>
      <c r="G1459" s="24" t="inlineStr">
        <is>
          <t>Martha Matoula</t>
        </is>
      </c>
      <c r="H1459" s="24" t="inlineStr">
        <is>
          <t>moneyline</t>
        </is>
      </c>
      <c r="I1459" s="24" t="inlineStr">
        <is>
          <t>home</t>
        </is>
      </c>
      <c r="J1459" s="25" t="n"/>
      <c r="K1459" s="24" t="inlineStr">
        <is>
          <t>polymarket_us</t>
        </is>
      </c>
      <c r="L1459" s="26" t="n">
        <v>-108</v>
      </c>
      <c r="M1459" s="27" t="n">
        <v>1.925926</v>
      </c>
      <c r="N1459" s="28" t="n">
        <v>0.519231</v>
      </c>
      <c r="O1459" s="28" t="n">
        <v>0.508</v>
      </c>
      <c r="P1459" s="28" t="n">
        <v>0.05</v>
      </c>
      <c r="Q1459" s="28" t="n">
        <v>-0.011231</v>
      </c>
      <c r="R1459" s="26" t="n">
        <v>14</v>
      </c>
      <c r="S1459" s="29" t="n">
        <v>1</v>
      </c>
      <c r="T1459" s="24" t="inlineStr">
        <is>
          <t>tennis-learned-v3</t>
        </is>
      </c>
      <c r="U1459" s="24" t="inlineStr">
        <is>
          <t>settled</t>
        </is>
      </c>
      <c r="V1459" s="24" t="inlineStr">
        <is>
          <t>win</t>
        </is>
      </c>
      <c r="W1459" s="26" t="n">
        <v>0</v>
      </c>
      <c r="X1459" s="26" t="n">
        <v>1</v>
      </c>
      <c r="Y1459" s="25" t="n"/>
      <c r="Z1459" s="26" t="n">
        <v>-108</v>
      </c>
      <c r="AA1459" s="28" t="n">
        <v>0.52</v>
      </c>
      <c r="AB1459" s="28" t="n">
        <v>0.000769</v>
      </c>
      <c r="AC1459" s="30" t="n">
        <v>0.9258999999999999</v>
      </c>
      <c r="AD1459" s="24" t="inlineStr">
        <is>
          <t>2026-10-13T16:14:25.224741Z</t>
        </is>
      </c>
      <c r="AE1459" s="31" t="inlineStr">
        <is>
          <t>Tennis v3 Learned Fundamental on Hard (Bo3): Giorgia Pedone p=0.492 vs Martha Matoula. Executable ask 0.5200 (aec-wta-marmat-gioped-2026-10-12).</t>
        </is>
      </c>
      <c r="AF1459" s="31" t="inlineStr">
        <is>
          <t>Surface-blended Elo model; singles only, WTA+ATP market coverage, not yet locked-holdout qualified -- promoted by explicit operator directive, not genuine walk-forward validation.</t>
        </is>
      </c>
      <c r="AG1459" s="24" t="inlineStr">
        <is>
          <t>not_applicable</t>
        </is>
      </c>
      <c r="AH1459" s="24" t="n"/>
      <c r="AI1459" s="31" t="n"/>
      <c r="AJ1459" s="31" t="n"/>
      <c r="AK1459" s="24" t="inlineStr">
        <is>
          <t>paper_call</t>
        </is>
      </c>
      <c r="AL1459" s="26" t="n">
        <v>4</v>
      </c>
      <c r="AM1459" s="24" t="inlineStr">
        <is>
          <t>RESEARCH_OBSERVATION</t>
        </is>
      </c>
      <c r="AN1459" s="24" t="inlineStr">
        <is>
          <t>CALL</t>
        </is>
      </c>
      <c r="AO1459" s="24" t="inlineStr">
        <is>
          <t>PAPER_CALL_MODEL_UNVALIDATED</t>
        </is>
      </c>
      <c r="AP1459" s="24" t="inlineStr">
        <is>
          <t>Giorgia Pedone</t>
        </is>
      </c>
      <c r="AQ1459" s="24" t="inlineStr">
        <is>
          <t>Giorgia Pedone</t>
        </is>
      </c>
      <c r="AR1459" s="24" t="inlineStr">
        <is>
          <t>Giorgia Pedone</t>
        </is>
      </c>
      <c r="AS1459" s="24" t="inlineStr">
        <is>
          <t>Martha Matoula</t>
        </is>
      </c>
      <c r="AT1459" s="24" t="inlineStr">
        <is>
          <t>Martha Matoula</t>
        </is>
      </c>
      <c r="AU1459" s="24" t="inlineStr">
        <is>
          <t>Martha Matoula</t>
        </is>
      </c>
      <c r="AV1459" s="24" t="n"/>
      <c r="AW1459" s="24" t="n"/>
      <c r="AX1459" s="24" t="inlineStr">
        <is>
          <t>statistical_model</t>
        </is>
      </c>
      <c r="AY1459" s="24" t="n"/>
      <c r="AZ1459" s="24" t="inlineStr">
        <is>
          <t>shadow_qualified</t>
        </is>
      </c>
      <c r="BA1459" s="24" t="inlineStr">
        <is>
          <t>7443acc419841200d57e1edf36b77f1940cdd0c48dce3d43fcd05498a109440b</t>
        </is>
      </c>
      <c r="BB1459" s="24" t="inlineStr">
        <is>
          <t>learned_v3</t>
        </is>
      </c>
      <c r="BC1459" s="24" t="inlineStr">
        <is>
          <t>tennis-learned-v3</t>
        </is>
      </c>
      <c r="BD1459" s="24" t="inlineStr">
        <is>
          <t>7443acc419841200d57e1edf36b77f1940cdd0c48dce3d43fcd05498a109440b</t>
        </is>
      </c>
      <c r="BE1459" s="24" t="inlineStr">
        <is>
          <t>tennis-learned-v3</t>
        </is>
      </c>
      <c r="BF1459" s="24" t="inlineStr">
        <is>
          <t>1</t>
        </is>
      </c>
      <c r="BG1459" s="24" t="inlineStr">
        <is>
          <t>7443acc419841200d57e1edf36b77f1940cdd0c48dce3d43fcd05498a109440b</t>
        </is>
      </c>
      <c r="BH1459" s="24" t="inlineStr">
        <is>
          <t>2026-10-13T10:38:35.845083Z</t>
        </is>
      </c>
      <c r="BI1459" s="24" t="inlineStr">
        <is>
          <t>["same_event","same_team_same_day","same_league_same_day"]</t>
        </is>
      </c>
      <c r="BJ1459" s="25" t="n"/>
      <c r="BK1459" s="26" t="n">
        <v>-108</v>
      </c>
      <c r="BL1459" s="27" t="n">
        <v>1.925926</v>
      </c>
      <c r="BM1459" s="28" t="n">
        <v>0.519231</v>
      </c>
      <c r="BN1459" s="28" t="n"/>
      <c r="BO1459" s="28" t="n"/>
      <c r="BP1459" s="25" t="n"/>
      <c r="BQ1459" s="27" t="n">
        <v>1.925926</v>
      </c>
      <c r="BR1459" s="28" t="n">
        <v>0.52</v>
      </c>
      <c r="BS1459" s="28" t="n"/>
      <c r="BT1459" s="28" t="n"/>
      <c r="BU1459" s="25" t="n"/>
      <c r="BV1459" s="29" t="n"/>
      <c r="BW1459" s="24" t="n"/>
      <c r="BX1459" s="30" t="n"/>
      <c r="BY1459" s="27" t="n"/>
      <c r="BZ1459" s="24" t="n"/>
      <c r="CA1459" s="31" t="n"/>
      <c r="CB1459" s="24" t="n"/>
      <c r="CC1459" s="24" t="n"/>
      <c r="CD1459" s="24" t="n"/>
      <c r="CE1459" s="24" t="n"/>
      <c r="CF1459" s="24" t="n"/>
      <c r="CG1459" s="24" t="n"/>
      <c r="CH1459" s="24" t="n"/>
      <c r="CI1459" s="24" t="n"/>
      <c r="CJ1459" s="24" t="n"/>
      <c r="CK1459" s="24" t="n"/>
      <c r="CL1459" s="24" t="n"/>
      <c r="CM1459" s="24" t="n"/>
      <c r="CN1459" s="24" t="n"/>
      <c r="CO1459" s="24" t="n"/>
      <c r="CP1459" s="24" t="n"/>
      <c r="CQ1459" s="24" t="n"/>
      <c r="CR1459" s="24" t="n"/>
      <c r="CS1459" s="24" t="inlineStr">
        <is>
          <t>False</t>
        </is>
      </c>
      <c r="CT1459" s="24" t="n"/>
      <c r="CU1459" s="24" t="n"/>
      <c r="CV1459" s="24" t="n"/>
      <c r="CW1459" s="24" t="n"/>
      <c r="CX1459" s="24" t="n"/>
      <c r="CY1459" s="24" t="n"/>
      <c r="CZ1459" s="24" t="n"/>
      <c r="DA1459" s="24" t="n"/>
      <c r="DB1459" s="24" t="n"/>
      <c r="DC1459" s="24" t="n"/>
      <c r="DD1459" s="24" t="inlineStr">
        <is>
          <t>e923d52529ce1b5fd3d3613a0e94bca8537baeedb162df389211bcefd1df715f</t>
        </is>
      </c>
      <c r="DE1459" s="24" t="inlineStr">
        <is>
          <t>E:\model-prediction\data\odds\tennis\2026-10-13\polymarket_snapshots.jsonl</t>
        </is>
      </c>
      <c r="DF1459" s="24" t="inlineStr">
        <is>
          <t>1368295:2026-10-13T10:38:35.845083Z</t>
        </is>
      </c>
      <c r="DG1459" s="24" t="n"/>
      <c r="DH1459" s="24" t="n"/>
      <c r="DI1459" s="24" t="n"/>
      <c r="DJ1459" s="24" t="n"/>
      <c r="DK1459" s="24" t="n"/>
      <c r="DL1459" s="24" t="n"/>
      <c r="DM1459" s="24" t="n"/>
      <c r="DN1459" s="24" t="n"/>
      <c r="DO1459" s="24" t="n"/>
      <c r="DP1459" s="24" t="n"/>
      <c r="DQ1459" s="24" t="inlineStr">
        <is>
          <t>{"artifact_hash": "7443acc419841200d57e1edf36b77f1940cdd0c48dce3d43fcd05498a109440b", "away_team": "Giorgia Pedone", "event_id": "1079-2026:185393", "event_start_utc": "2026-10-13T11:30Z", "features": {"elo_p1_surface": 1388.5, "elo_p2_surface": 1473.8, "expected_games_p1": 12.43, "expected_games_p2": 12.36, "expected_total_games": 24.79, "history_matches": 16744, "min_player_matches": 5, "surface": "Hard"}, "historical_source_observation_times_verified": false, "home_team": "Martha Matoula", "inference_inputs": {"best_of": 3, "code_sha256": {"features/elo_ratings.py": "d6513e79d65448c06cc0f9b9eed0eaa091567835128e1f6647a310da8d78a872", "models/tennis.py": "7443acc419841200d57e1edf36b77f1940cdd0c48dce3d43fcd05498a109440b"}, "counts": [28, 5], "market_probability": null, "model_version": "tennis-learned-v3", "overall_ratings": [1329.0621063954416, 1452.0849306203825], "p_serve_a": 0.5876751338566882, "p_serve_b": 0.5923248661433117, "players": ["Giorgia Pedone", "Martha Matoula"], "rest_days": [28.0, 60.0], "sport": "TENNIS", "surface": "Hard", "surface_counts": [22, 5], "surface_ratings": [1388.4870091394369, 1473.7502824691562], "tour": "WTA"}, "market_type": "moneyline", "model_version": "tennis-learned-v3", "observed_at_utc": "2026-10-13T11:17:02.991709+00:00", "probabilities": {"away": 0.492, "home": 0.508}, "replay_scope": "Exact full-precision serving state and rounding; upstream historical observation times are not certified.", "schema": "coded-moneyline-replay-v1", "snapshot_hash": "db3439827cabecb11d1ea753af92ec6915b2d882bc696dacd85c517650390fd6", "sport": "TENNIS"}</t>
        </is>
      </c>
    </row>
    <row r="1460" ht="36" customHeight="1">
      <c r="A1460" s="24" t="inlineStr">
        <is>
          <t>68bdce97eb0c4e46</t>
        </is>
      </c>
      <c r="B1460" s="24" t="inlineStr">
        <is>
          <t>2026-10-13T11:17:05.945016Z</t>
        </is>
      </c>
      <c r="C1460" s="24" t="inlineStr">
        <is>
          <t>2026-10-13T11:30Z</t>
        </is>
      </c>
      <c r="D1460" s="24" t="inlineStr">
        <is>
          <t>1079-2026:185393</t>
        </is>
      </c>
      <c r="E1460" s="24" t="inlineStr">
        <is>
          <t>TENNIS</t>
        </is>
      </c>
      <c r="F1460" s="24" t="inlineStr">
        <is>
          <t>Giorgia Pedone</t>
        </is>
      </c>
      <c r="G1460" s="24" t="inlineStr">
        <is>
          <t>Martha Matoula</t>
        </is>
      </c>
      <c r="H1460" s="24" t="inlineStr">
        <is>
          <t>total</t>
        </is>
      </c>
      <c r="I1460" s="24" t="inlineStr">
        <is>
          <t>over</t>
        </is>
      </c>
      <c r="J1460" s="25" t="n">
        <v>22.5</v>
      </c>
      <c r="K1460" s="24" t="inlineStr">
        <is>
          <t>polymarket_us</t>
        </is>
      </c>
      <c r="L1460" s="26" t="n">
        <v>138</v>
      </c>
      <c r="M1460" s="27" t="n">
        <v>2.38</v>
      </c>
      <c r="N1460" s="28" t="n">
        <v>0.420168</v>
      </c>
      <c r="O1460" s="28" t="n">
        <v>0.5774</v>
      </c>
      <c r="P1460" s="28" t="n">
        <v>0.05</v>
      </c>
      <c r="Q1460" s="28" t="n">
        <v>0.157232</v>
      </c>
      <c r="R1460" s="26" t="n">
        <v>99</v>
      </c>
      <c r="S1460" s="29" t="n">
        <v>1.75</v>
      </c>
      <c r="T1460" s="24" t="inlineStr">
        <is>
          <t>tennis-learned-v3</t>
        </is>
      </c>
      <c r="U1460" s="24" t="inlineStr">
        <is>
          <t>settled</t>
        </is>
      </c>
      <c r="V1460" s="24" t="inlineStr">
        <is>
          <t>loss</t>
        </is>
      </c>
      <c r="W1460" s="26" t="n">
        <v>7</v>
      </c>
      <c r="X1460" s="26" t="n">
        <v>12</v>
      </c>
      <c r="Y1460" s="25" t="n"/>
      <c r="Z1460" s="26" t="n"/>
      <c r="AA1460" s="28" t="n"/>
      <c r="AB1460" s="28" t="n"/>
      <c r="AC1460" s="30" t="n">
        <v>-1.75</v>
      </c>
      <c r="AD1460" s="24" t="inlineStr">
        <is>
          <t>2026-10-13T16:14:32.486488Z</t>
        </is>
      </c>
      <c r="AE1460" s="31" t="inlineStr">
        <is>
          <t>Tennis Markov total games line 22.5: over p=0.577. Executable ask 0.4200 (tsc-wta-marmat-gioped-2026-10-12-tg-22pt5).</t>
        </is>
      </c>
      <c r="AF1460" s="31" t="inlineStr">
        <is>
          <t>Surface-blended Elo model; singles only, WTA+ATP market coverage, not yet locked-holdout qualified -- promoted by explicit operator directive, not genuine walk-forward validation.</t>
        </is>
      </c>
      <c r="AG1460" s="24" t="inlineStr">
        <is>
          <t>review_required</t>
        </is>
      </c>
      <c r="AH1460" s="24" t="n"/>
      <c r="AI1460" s="31" t="n"/>
      <c r="AJ1460" s="31" t="n"/>
      <c r="AK1460" s="24" t="inlineStr">
        <is>
          <t>paper_call</t>
        </is>
      </c>
      <c r="AL1460" s="26" t="n">
        <v>4</v>
      </c>
      <c r="AM1460" s="24" t="inlineStr">
        <is>
          <t>RESEARCH_OBSERVATION</t>
        </is>
      </c>
      <c r="AN1460" s="24" t="inlineStr">
        <is>
          <t>CALL</t>
        </is>
      </c>
      <c r="AO1460" s="24" t="inlineStr">
        <is>
          <t>PAPER_CALL_MODEL_UNVALIDATED</t>
        </is>
      </c>
      <c r="AP1460" s="24" t="inlineStr">
        <is>
          <t>Giorgia Pedone</t>
        </is>
      </c>
      <c r="AQ1460" s="24" t="inlineStr">
        <is>
          <t>Giorgia Pedone</t>
        </is>
      </c>
      <c r="AR1460" s="24" t="inlineStr">
        <is>
          <t>Giorgia Pedone</t>
        </is>
      </c>
      <c r="AS1460" s="24" t="inlineStr">
        <is>
          <t>Martha Matoula</t>
        </is>
      </c>
      <c r="AT1460" s="24" t="inlineStr">
        <is>
          <t>Martha Matoula</t>
        </is>
      </c>
      <c r="AU1460" s="24" t="inlineStr">
        <is>
          <t>Martha Matoula</t>
        </is>
      </c>
      <c r="AV1460" s="24" t="n"/>
      <c r="AW1460" s="24" t="n"/>
      <c r="AX1460" s="24" t="inlineStr">
        <is>
          <t>statistical_model</t>
        </is>
      </c>
      <c r="AY1460" s="24" t="n"/>
      <c r="AZ1460" s="24" t="inlineStr">
        <is>
          <t>shadow_qualified</t>
        </is>
      </c>
      <c r="BA1460" s="24" t="inlineStr">
        <is>
          <t>7443acc419841200d57e1edf36b77f1940cdd0c48dce3d43fcd05498a109440b</t>
        </is>
      </c>
      <c r="BB1460" s="24" t="inlineStr">
        <is>
          <t>learned_v3</t>
        </is>
      </c>
      <c r="BC1460" s="24" t="inlineStr">
        <is>
          <t>tennis-learned-v3</t>
        </is>
      </c>
      <c r="BD1460" s="24" t="inlineStr">
        <is>
          <t>7443acc419841200d57e1edf36b77f1940cdd0c48dce3d43fcd05498a109440b</t>
        </is>
      </c>
      <c r="BE1460" s="24" t="inlineStr">
        <is>
          <t>tennis-learned-v3</t>
        </is>
      </c>
      <c r="BF1460" s="24" t="inlineStr">
        <is>
          <t>1</t>
        </is>
      </c>
      <c r="BG1460" s="24" t="inlineStr">
        <is>
          <t>7443acc419841200d57e1edf36b77f1940cdd0c48dce3d43fcd05498a109440b</t>
        </is>
      </c>
      <c r="BH1460" s="24" t="inlineStr">
        <is>
          <t>2026-10-13T05:05:15.843976Z</t>
        </is>
      </c>
      <c r="BI1460" s="24" t="inlineStr">
        <is>
          <t>["same_event","same_team_same_day","same_league_same_day"]</t>
        </is>
      </c>
      <c r="BJ1460" s="25" t="n">
        <v>22.5</v>
      </c>
      <c r="BK1460" s="26" t="n">
        <v>138</v>
      </c>
      <c r="BL1460" s="27" t="n">
        <v>2.38</v>
      </c>
      <c r="BM1460" s="28" t="n">
        <v>0.420168</v>
      </c>
      <c r="BN1460" s="28" t="n"/>
      <c r="BO1460" s="28" t="n"/>
      <c r="BP1460" s="25" t="n"/>
      <c r="BQ1460" s="27" t="n"/>
      <c r="BR1460" s="28" t="n"/>
      <c r="BS1460" s="28" t="n"/>
      <c r="BT1460" s="28" t="n"/>
      <c r="BU1460" s="25" t="n"/>
      <c r="BV1460" s="29" t="n"/>
      <c r="BW1460" s="24" t="n"/>
      <c r="BX1460" s="30" t="n"/>
      <c r="BY1460" s="27" t="n"/>
      <c r="BZ1460" s="24" t="n"/>
      <c r="CA1460" s="31" t="n"/>
      <c r="CB1460" s="24" t="n"/>
      <c r="CC1460" s="24" t="n"/>
      <c r="CD1460" s="24" t="n"/>
      <c r="CE1460" s="24" t="n"/>
      <c r="CF1460" s="24" t="n"/>
      <c r="CG1460" s="24" t="n"/>
      <c r="CH1460" s="24" t="n"/>
      <c r="CI1460" s="24" t="n"/>
      <c r="CJ1460" s="24" t="n"/>
      <c r="CK1460" s="24" t="n"/>
      <c r="CL1460" s="24" t="n"/>
      <c r="CM1460" s="24" t="n"/>
      <c r="CN1460" s="24" t="n"/>
      <c r="CO1460" s="24" t="n"/>
      <c r="CP1460" s="24" t="n"/>
      <c r="CQ1460" s="24" t="n"/>
      <c r="CR1460" s="24" t="n"/>
      <c r="CS1460" s="24" t="inlineStr">
        <is>
          <t>True</t>
        </is>
      </c>
      <c r="CT1460" s="24" t="n"/>
      <c r="CU1460" s="24" t="n"/>
      <c r="CV1460" s="24" t="n"/>
      <c r="CW1460" s="24" t="n"/>
      <c r="CX1460" s="24" t="n"/>
      <c r="CY1460" s="24" t="n"/>
      <c r="CZ1460" s="24" t="n"/>
      <c r="DA1460" s="24" t="n"/>
      <c r="DB1460" s="24" t="n"/>
      <c r="DC1460" s="24" t="n"/>
      <c r="DD1460" s="24" t="inlineStr">
        <is>
          <t>0ec8d50272e5ec0bfb33b6a53e9afeebda823ef37843b9a124af56788aaf2dad</t>
        </is>
      </c>
      <c r="DE1460" s="24" t="inlineStr">
        <is>
          <t>E:\model-prediction\data\odds\tennis\2026-10-13\polymarket_snapshots.jsonl</t>
        </is>
      </c>
      <c r="DF1460" s="24" t="inlineStr">
        <is>
          <t>1369031:2026-10-13T05:05:15.843976Z</t>
        </is>
      </c>
      <c r="DG1460" s="24" t="n"/>
      <c r="DH1460" s="24" t="n"/>
      <c r="DI1460" s="24" t="n"/>
      <c r="DJ1460" s="24" t="n"/>
      <c r="DK1460" s="24" t="n"/>
      <c r="DL1460" s="24" t="n"/>
      <c r="DM1460" s="24" t="n"/>
      <c r="DN1460" s="24" t="n"/>
      <c r="DO1460" s="24" t="n"/>
      <c r="DP1460" s="24" t="n"/>
      <c r="DQ1460" s="24" t="n"/>
    </row>
    <row r="1461" ht="36" customHeight="1">
      <c r="A1461" s="24" t="inlineStr">
        <is>
          <t>5edd976f7f9c40d2</t>
        </is>
      </c>
      <c r="B1461" s="24" t="inlineStr">
        <is>
          <t>2026-10-13T11:17:05.945016Z</t>
        </is>
      </c>
      <c r="C1461" s="24" t="inlineStr">
        <is>
          <t>2026-10-13T11:30Z</t>
        </is>
      </c>
      <c r="D1461" s="24" t="inlineStr">
        <is>
          <t>1079-2026:185393</t>
        </is>
      </c>
      <c r="E1461" s="24" t="inlineStr">
        <is>
          <t>TENNIS</t>
        </is>
      </c>
      <c r="F1461" s="24" t="inlineStr">
        <is>
          <t>Giorgia Pedone</t>
        </is>
      </c>
      <c r="G1461" s="24" t="inlineStr">
        <is>
          <t>Martha Matoula</t>
        </is>
      </c>
      <c r="H1461" s="24" t="inlineStr">
        <is>
          <t>spread</t>
        </is>
      </c>
      <c r="I1461" s="24" t="inlineStr">
        <is>
          <t>away</t>
        </is>
      </c>
      <c r="J1461" s="25" t="n">
        <v>-7.5</v>
      </c>
      <c r="K1461" s="24" t="inlineStr">
        <is>
          <t>polymarket_us</t>
        </is>
      </c>
      <c r="L1461" s="26" t="n">
        <v>-127</v>
      </c>
      <c r="M1461" s="27" t="n">
        <v>1.787402</v>
      </c>
      <c r="N1461" s="28" t="n">
        <v>0.5594710000000001</v>
      </c>
      <c r="O1461" s="28" t="n">
        <v>0.974</v>
      </c>
      <c r="P1461" s="28" t="n">
        <v>0.05</v>
      </c>
      <c r="Q1461" s="28" t="n">
        <v>0.414529</v>
      </c>
      <c r="R1461" s="26" t="n">
        <v>100</v>
      </c>
      <c r="S1461" s="29" t="n">
        <v>2</v>
      </c>
      <c r="T1461" s="24" t="inlineStr">
        <is>
          <t>tennis-learned-v3</t>
        </is>
      </c>
      <c r="U1461" s="24" t="inlineStr">
        <is>
          <t>settled</t>
        </is>
      </c>
      <c r="V1461" s="24" t="inlineStr">
        <is>
          <t>loss</t>
        </is>
      </c>
      <c r="W1461" s="26" t="n">
        <v>7</v>
      </c>
      <c r="X1461" s="26" t="n">
        <v>12</v>
      </c>
      <c r="Y1461" s="25" t="n"/>
      <c r="Z1461" s="26" t="n"/>
      <c r="AA1461" s="28" t="n"/>
      <c r="AB1461" s="28" t="n"/>
      <c r="AC1461" s="30" t="n">
        <v>-2</v>
      </c>
      <c r="AD1461" s="24" t="inlineStr">
        <is>
          <t>2026-10-13T16:14:45.742725Z</t>
        </is>
      </c>
      <c r="AE1461" s="31" t="inlineStr">
        <is>
          <t>Tennis Markov game spread -7.5 games: away cover p=0.974. Executable ask 0.5600 (asc-wta-marmat-gioped-2026-10-12-gs-neg-7pt5).</t>
        </is>
      </c>
      <c r="AF1461" s="31" t="inlineStr">
        <is>
          <t>Surface-blended Elo model; singles only, WTA+ATP market coverage, not yet locked-holdout qualified -- promoted by explicit operator directive, not genuine walk-forward validation.</t>
        </is>
      </c>
      <c r="AG1461" s="24" t="inlineStr">
        <is>
          <t>review_required</t>
        </is>
      </c>
      <c r="AH1461" s="24" t="n"/>
      <c r="AI1461" s="31" t="n"/>
      <c r="AJ1461" s="31" t="n"/>
      <c r="AK1461" s="24" t="inlineStr">
        <is>
          <t>paper_call</t>
        </is>
      </c>
      <c r="AL1461" s="26" t="n">
        <v>4</v>
      </c>
      <c r="AM1461" s="24" t="inlineStr">
        <is>
          <t>RESEARCH_OBSERVATION</t>
        </is>
      </c>
      <c r="AN1461" s="24" t="inlineStr">
        <is>
          <t>CALL</t>
        </is>
      </c>
      <c r="AO1461" s="24" t="inlineStr">
        <is>
          <t>PAPER_CALL_MODEL_UNVALIDATED</t>
        </is>
      </c>
      <c r="AP1461" s="24" t="inlineStr">
        <is>
          <t>Giorgia Pedone</t>
        </is>
      </c>
      <c r="AQ1461" s="24" t="inlineStr">
        <is>
          <t>Giorgia Pedone</t>
        </is>
      </c>
      <c r="AR1461" s="24" t="inlineStr">
        <is>
          <t>Giorgia Pedone</t>
        </is>
      </c>
      <c r="AS1461" s="24" t="inlineStr">
        <is>
          <t>Martha Matoula</t>
        </is>
      </c>
      <c r="AT1461" s="24" t="inlineStr">
        <is>
          <t>Martha Matoula</t>
        </is>
      </c>
      <c r="AU1461" s="24" t="inlineStr">
        <is>
          <t>Martha Matoula</t>
        </is>
      </c>
      <c r="AV1461" s="24" t="n"/>
      <c r="AW1461" s="24" t="n"/>
      <c r="AX1461" s="24" t="inlineStr">
        <is>
          <t>statistical_model</t>
        </is>
      </c>
      <c r="AY1461" s="24" t="n"/>
      <c r="AZ1461" s="24" t="inlineStr">
        <is>
          <t>shadow_qualified</t>
        </is>
      </c>
      <c r="BA1461" s="24" t="inlineStr">
        <is>
          <t>7443acc419841200d57e1edf36b77f1940cdd0c48dce3d43fcd05498a109440b</t>
        </is>
      </c>
      <c r="BB1461" s="24" t="inlineStr">
        <is>
          <t>learned_v3</t>
        </is>
      </c>
      <c r="BC1461" s="24" t="inlineStr">
        <is>
          <t>tennis-learned-v3</t>
        </is>
      </c>
      <c r="BD1461" s="24" t="inlineStr">
        <is>
          <t>7443acc419841200d57e1edf36b77f1940cdd0c48dce3d43fcd05498a109440b</t>
        </is>
      </c>
      <c r="BE1461" s="24" t="inlineStr">
        <is>
          <t>tennis-learned-v3</t>
        </is>
      </c>
      <c r="BF1461" s="24" t="inlineStr">
        <is>
          <t>1</t>
        </is>
      </c>
      <c r="BG1461" s="24" t="inlineStr">
        <is>
          <t>7443acc419841200d57e1edf36b77f1940cdd0c48dce3d43fcd05498a109440b</t>
        </is>
      </c>
      <c r="BH1461" s="24" t="inlineStr">
        <is>
          <t>2026-10-13T10:38:36.817502Z</t>
        </is>
      </c>
      <c r="BI1461" s="24" t="inlineStr">
        <is>
          <t>["same_event","same_team_same_day","same_league_same_day"]</t>
        </is>
      </c>
      <c r="BJ1461" s="25" t="n">
        <v>-7.5</v>
      </c>
      <c r="BK1461" s="26" t="n">
        <v>-127</v>
      </c>
      <c r="BL1461" s="27" t="n">
        <v>1.787402</v>
      </c>
      <c r="BM1461" s="28" t="n">
        <v>0.5594710000000001</v>
      </c>
      <c r="BN1461" s="28" t="n"/>
      <c r="BO1461" s="28" t="n"/>
      <c r="BP1461" s="25" t="n"/>
      <c r="BQ1461" s="27" t="n"/>
      <c r="BR1461" s="28" t="n"/>
      <c r="BS1461" s="28" t="n"/>
      <c r="BT1461" s="28" t="n"/>
      <c r="BU1461" s="25" t="n"/>
      <c r="BV1461" s="29" t="n"/>
      <c r="BW1461" s="24" t="n"/>
      <c r="BX1461" s="30" t="n"/>
      <c r="BY1461" s="27" t="n"/>
      <c r="BZ1461" s="24" t="n"/>
      <c r="CA1461" s="31" t="n"/>
      <c r="CB1461" s="24" t="n"/>
      <c r="CC1461" s="24" t="n"/>
      <c r="CD1461" s="24" t="n"/>
      <c r="CE1461" s="24" t="n"/>
      <c r="CF1461" s="24" t="n"/>
      <c r="CG1461" s="24" t="n"/>
      <c r="CH1461" s="24" t="n"/>
      <c r="CI1461" s="24" t="n"/>
      <c r="CJ1461" s="24" t="n"/>
      <c r="CK1461" s="24" t="n"/>
      <c r="CL1461" s="24" t="n"/>
      <c r="CM1461" s="24" t="n"/>
      <c r="CN1461" s="24" t="n"/>
      <c r="CO1461" s="24" t="n"/>
      <c r="CP1461" s="24" t="n"/>
      <c r="CQ1461" s="24" t="n"/>
      <c r="CR1461" s="24" t="n"/>
      <c r="CS1461" s="24" t="inlineStr">
        <is>
          <t>True</t>
        </is>
      </c>
      <c r="CT1461" s="24" t="n"/>
      <c r="CU1461" s="24" t="n"/>
      <c r="CV1461" s="24" t="n"/>
      <c r="CW1461" s="24" t="n"/>
      <c r="CX1461" s="24" t="n"/>
      <c r="CY1461" s="24" t="n"/>
      <c r="CZ1461" s="24" t="n"/>
      <c r="DA1461" s="24" t="n"/>
      <c r="DB1461" s="24" t="n"/>
      <c r="DC1461" s="24" t="n"/>
      <c r="DD1461" s="24" t="inlineStr">
        <is>
          <t>52975c7b955bb2810e903567197b356f88ecb8823147da26589fd1c9c897305c</t>
        </is>
      </c>
      <c r="DE1461" s="24" t="inlineStr">
        <is>
          <t>E:\model-prediction\data\odds\tennis\2026-10-13\polymarket_snapshots.jsonl</t>
        </is>
      </c>
      <c r="DF1461" s="24" t="inlineStr">
        <is>
          <t>1369043:2026-10-13T10:38:36.817502Z</t>
        </is>
      </c>
      <c r="DG1461" s="24" t="n"/>
      <c r="DH1461" s="24" t="n"/>
      <c r="DI1461" s="24" t="n"/>
      <c r="DJ1461" s="24" t="n"/>
      <c r="DK1461" s="24" t="n"/>
      <c r="DL1461" s="24" t="n"/>
      <c r="DM1461" s="24" t="n"/>
      <c r="DN1461" s="24" t="n"/>
      <c r="DO1461" s="24" t="n"/>
      <c r="DP1461" s="24" t="n"/>
      <c r="DQ1461" s="24" t="n"/>
    </row>
    <row r="1462" ht="36" customHeight="1">
      <c r="A1462" s="24" t="inlineStr">
        <is>
          <t>6ebf01f1a2024af1</t>
        </is>
      </c>
      <c r="B1462" s="24" t="inlineStr">
        <is>
          <t>2026-10-13T11:17:05.945016Z</t>
        </is>
      </c>
      <c r="C1462" s="24" t="inlineStr">
        <is>
          <t>2026-10-13T13:00Z</t>
        </is>
      </c>
      <c r="D1462" s="24" t="inlineStr">
        <is>
          <t>1079-2026:185406</t>
        </is>
      </c>
      <c r="E1462" s="24" t="inlineStr">
        <is>
          <t>TENNIS</t>
        </is>
      </c>
      <c r="F1462" s="24" t="inlineStr">
        <is>
          <t>Beatriz Castro</t>
        </is>
      </c>
      <c r="G1462" s="24" t="inlineStr">
        <is>
          <t>Dalma Galfi</t>
        </is>
      </c>
      <c r="H1462" s="24" t="inlineStr">
        <is>
          <t>moneyline</t>
        </is>
      </c>
      <c r="I1462" s="24" t="inlineStr">
        <is>
          <t>home</t>
        </is>
      </c>
      <c r="J1462" s="25" t="n"/>
      <c r="K1462" s="24" t="inlineStr">
        <is>
          <t>polymarket_us</t>
        </is>
      </c>
      <c r="L1462" s="26" t="n">
        <v>-9900</v>
      </c>
      <c r="M1462" s="27" t="n">
        <v>1.010101</v>
      </c>
      <c r="N1462" s="28" t="n">
        <v>0.99</v>
      </c>
      <c r="O1462" s="28" t="n">
        <v>0.8573</v>
      </c>
      <c r="P1462" s="28" t="n">
        <v>0.05</v>
      </c>
      <c r="Q1462" s="28" t="n">
        <v>-0.1327</v>
      </c>
      <c r="R1462" s="26" t="n">
        <v>0</v>
      </c>
      <c r="S1462" s="29" t="n">
        <v>1</v>
      </c>
      <c r="T1462" s="24" t="inlineStr">
        <is>
          <t>tennis-learned-v3</t>
        </is>
      </c>
      <c r="U1462" s="24" t="inlineStr">
        <is>
          <t>settled</t>
        </is>
      </c>
      <c r="V1462" s="24" t="inlineStr">
        <is>
          <t>win</t>
        </is>
      </c>
      <c r="W1462" s="26" t="n">
        <v>0</v>
      </c>
      <c r="X1462" s="26" t="n">
        <v>1</v>
      </c>
      <c r="Y1462" s="25" t="n"/>
      <c r="Z1462" s="26" t="n">
        <v>-9900</v>
      </c>
      <c r="AA1462" s="28" t="n">
        <v>0.99</v>
      </c>
      <c r="AB1462" s="28" t="n">
        <v>0</v>
      </c>
      <c r="AC1462" s="30" t="n">
        <v>0.0101</v>
      </c>
      <c r="AD1462" s="24" t="inlineStr">
        <is>
          <t>2026-10-13T16:14:51.195569Z</t>
        </is>
      </c>
      <c r="AE1462" s="31" t="inlineStr">
        <is>
          <t>Tennis v3 Learned Fundamental on Hard (Bo3): Beatriz Castro p=0.143 vs Dalma Galfi. Executable ask 0.9900 (aec-wta-dalgal-beacas-2026-10-12).</t>
        </is>
      </c>
      <c r="AF1462" s="31" t="inlineStr">
        <is>
          <t>Surface-blended Elo model; singles only, WTA+ATP market coverage, not yet locked-holdout qualified -- promoted by explicit operator directive, not genuine walk-forward validation.</t>
        </is>
      </c>
      <c r="AG1462" s="24" t="inlineStr">
        <is>
          <t>not_applicable</t>
        </is>
      </c>
      <c r="AH1462" s="24" t="n"/>
      <c r="AI1462" s="31" t="n"/>
      <c r="AJ1462" s="31" t="n"/>
      <c r="AK1462" s="24" t="inlineStr">
        <is>
          <t>paper_call</t>
        </is>
      </c>
      <c r="AL1462" s="26" t="n">
        <v>4</v>
      </c>
      <c r="AM1462" s="24" t="inlineStr">
        <is>
          <t>RESEARCH_OBSERVATION</t>
        </is>
      </c>
      <c r="AN1462" s="24" t="inlineStr">
        <is>
          <t>CALL</t>
        </is>
      </c>
      <c r="AO1462" s="24" t="inlineStr">
        <is>
          <t>PAPER_CALL_MODEL_UNVALIDATED</t>
        </is>
      </c>
      <c r="AP1462" s="24" t="inlineStr">
        <is>
          <t>Beatriz Castro</t>
        </is>
      </c>
      <c r="AQ1462" s="24" t="inlineStr">
        <is>
          <t>Beatriz Castro</t>
        </is>
      </c>
      <c r="AR1462" s="24" t="inlineStr">
        <is>
          <t>Beatriz Castro</t>
        </is>
      </c>
      <c r="AS1462" s="24" t="inlineStr">
        <is>
          <t>Dalma Galfi</t>
        </is>
      </c>
      <c r="AT1462" s="24" t="inlineStr">
        <is>
          <t>Dalma Galfi</t>
        </is>
      </c>
      <c r="AU1462" s="24" t="inlineStr">
        <is>
          <t>Dalma Galfi</t>
        </is>
      </c>
      <c r="AV1462" s="24" t="n"/>
      <c r="AW1462" s="24" t="n"/>
      <c r="AX1462" s="24" t="inlineStr">
        <is>
          <t>statistical_model</t>
        </is>
      </c>
      <c r="AY1462" s="24" t="n"/>
      <c r="AZ1462" s="24" t="inlineStr">
        <is>
          <t>shadow_qualified</t>
        </is>
      </c>
      <c r="BA1462" s="24" t="inlineStr">
        <is>
          <t>7443acc419841200d57e1edf36b77f1940cdd0c48dce3d43fcd05498a109440b</t>
        </is>
      </c>
      <c r="BB1462" s="24" t="inlineStr">
        <is>
          <t>learned_v3</t>
        </is>
      </c>
      <c r="BC1462" s="24" t="inlineStr">
        <is>
          <t>tennis-learned-v3</t>
        </is>
      </c>
      <c r="BD1462" s="24" t="inlineStr">
        <is>
          <t>7443acc419841200d57e1edf36b77f1940cdd0c48dce3d43fcd05498a109440b</t>
        </is>
      </c>
      <c r="BE1462" s="24" t="inlineStr">
        <is>
          <t>tennis-learned-v3</t>
        </is>
      </c>
      <c r="BF1462" s="24" t="inlineStr">
        <is>
          <t>1</t>
        </is>
      </c>
      <c r="BG1462" s="24" t="inlineStr">
        <is>
          <t>7443acc419841200d57e1edf36b77f1940cdd0c48dce3d43fcd05498a109440b</t>
        </is>
      </c>
      <c r="BH1462" s="24" t="inlineStr">
        <is>
          <t>2026-10-13T10:40:26.571487Z</t>
        </is>
      </c>
      <c r="BI1462" s="24" t="inlineStr">
        <is>
          <t>["same_event","same_team_same_day","same_league_same_day"]</t>
        </is>
      </c>
      <c r="BJ1462" s="25" t="n"/>
      <c r="BK1462" s="26" t="n">
        <v>-9900</v>
      </c>
      <c r="BL1462" s="27" t="n">
        <v>1.010101</v>
      </c>
      <c r="BM1462" s="28" t="n">
        <v>0.99</v>
      </c>
      <c r="BN1462" s="28" t="n"/>
      <c r="BO1462" s="28" t="n"/>
      <c r="BP1462" s="25" t="n"/>
      <c r="BQ1462" s="27" t="n">
        <v>1.010101</v>
      </c>
      <c r="BR1462" s="28" t="n">
        <v>0.99</v>
      </c>
      <c r="BS1462" s="28" t="n"/>
      <c r="BT1462" s="28" t="n"/>
      <c r="BU1462" s="25" t="n"/>
      <c r="BV1462" s="29" t="n"/>
      <c r="BW1462" s="24" t="n"/>
      <c r="BX1462" s="30" t="n"/>
      <c r="BY1462" s="27" t="n"/>
      <c r="BZ1462" s="24" t="n"/>
      <c r="CA1462" s="31" t="n"/>
      <c r="CB1462" s="24" t="n"/>
      <c r="CC1462" s="24" t="n"/>
      <c r="CD1462" s="24" t="n"/>
      <c r="CE1462" s="24" t="n"/>
      <c r="CF1462" s="24" t="n"/>
      <c r="CG1462" s="24" t="n"/>
      <c r="CH1462" s="24" t="n"/>
      <c r="CI1462" s="24" t="n"/>
      <c r="CJ1462" s="24" t="n"/>
      <c r="CK1462" s="24" t="n"/>
      <c r="CL1462" s="24" t="n"/>
      <c r="CM1462" s="24" t="n"/>
      <c r="CN1462" s="24" t="n"/>
      <c r="CO1462" s="24" t="n"/>
      <c r="CP1462" s="24" t="n"/>
      <c r="CQ1462" s="24" t="n"/>
      <c r="CR1462" s="24" t="n"/>
      <c r="CS1462" s="24" t="inlineStr">
        <is>
          <t>False</t>
        </is>
      </c>
      <c r="CT1462" s="24" t="n"/>
      <c r="CU1462" s="24" t="n"/>
      <c r="CV1462" s="24" t="n"/>
      <c r="CW1462" s="24" t="n"/>
      <c r="CX1462" s="24" t="n"/>
      <c r="CY1462" s="24" t="n"/>
      <c r="CZ1462" s="24" t="n"/>
      <c r="DA1462" s="24" t="n"/>
      <c r="DB1462" s="24" t="n"/>
      <c r="DC1462" s="24" t="n"/>
      <c r="DD1462" s="24" t="inlineStr">
        <is>
          <t>eeafa6bd40f4fb9d51c8c69e6e4cba2d447c36b9c8df97c57cd0431ea7ddcc73</t>
        </is>
      </c>
      <c r="DE1462" s="24" t="inlineStr">
        <is>
          <t>E:\model-prediction\data\odds\tennis\2026-10-13\polymarket_snapshots.jsonl</t>
        </is>
      </c>
      <c r="DF1462" s="24" t="inlineStr">
        <is>
          <t>1372753:2026-10-13T10:40:26.571487Z</t>
        </is>
      </c>
      <c r="DG1462" s="24" t="n"/>
      <c r="DH1462" s="24" t="n"/>
      <c r="DI1462" s="24" t="n"/>
      <c r="DJ1462" s="24" t="n"/>
      <c r="DK1462" s="24" t="n"/>
      <c r="DL1462" s="24" t="n"/>
      <c r="DM1462" s="24" t="n"/>
      <c r="DN1462" s="24" t="n"/>
      <c r="DO1462" s="24" t="n"/>
      <c r="DP1462" s="24" t="n"/>
      <c r="DQ1462" s="24" t="inlineStr">
        <is>
          <t>{"artifact_hash": "7443acc419841200d57e1edf36b77f1940cdd0c48dce3d43fcd05498a109440b", "away_team": "Beatriz Castro", "event_id": "1079-2026:185406", "event_start_utc": "2026-10-13T13:00Z", "features": {"elo_p1_surface": 1491.5, "elo_p2_surface": 1529.2, "expected_games_p1": 3.98, "expected_games_p2": 12.17, "expected_total_games": 16.15, "history_matches": 16744, "min_player_matches": 1, "surface": "Hard"}, "historical_source_observation_times_verified": false, "home_team": "Dalma Galfi", "inference_inputs": {"best_of": 3, "code_sha256": {"features/elo_ratings.py": "d6513e79d65448c06cc0f9b9eed0eaa091567835128e1f6647a310da8d78a872", "models/tennis.py": "7443acc419841200d57e1edf36b77f1940cdd0c48dce3d43fcd05498a109440b"}, "counts": [1, 142], "market_probability": null, "model_version": "tennis-learned-v3", "overall_ratings": [1485.5664588830416, 1541.4625798984673], "p_serve_a": 0.46019361820942584, "p_serve_b": 0.7198063817905741, "players": ["Beatriz Castro", "Dalma Galfi"], "rest_days": [60.0, 6.0], "sport": "TENNIS", "surface": "Hard", "surface_counts": [1, 111], "surface_ratings": [1491.532871880296, 1529.159249799463], "tour": "WTA"}, "market_type": "moneyline", "model_version": "tennis-learned-v3", "observed_at_utc": "2026-10-13T11:17:02.991709+00:00", "probabilities": {"away": 0.1427, "home": 0.8573}, "replay_scope": "Exact full-precision serving state and rounding; upstream historical observation times are not certified.", "schema": "coded-moneyline-replay-v1", "snapshot_hash": "4ad2d51bcb26c0be0b541bd4eb984b7687b21509a32adafca8b981670faef9f7", "sport": "TENNIS"}</t>
        </is>
      </c>
    </row>
    <row r="1463" ht="36" customHeight="1">
      <c r="A1463" s="24" t="inlineStr">
        <is>
          <t>c4fdd916866d46d5</t>
        </is>
      </c>
      <c r="B1463" s="24" t="inlineStr">
        <is>
          <t>2026-10-13T11:17:05.945016Z</t>
        </is>
      </c>
      <c r="C1463" s="24" t="inlineStr">
        <is>
          <t>2026-10-13T13:00Z</t>
        </is>
      </c>
      <c r="D1463" s="24" t="inlineStr">
        <is>
          <t>1079-2026:185405</t>
        </is>
      </c>
      <c r="E1463" s="24" t="inlineStr">
        <is>
          <t>TENNIS</t>
        </is>
      </c>
      <c r="F1463" s="24" t="inlineStr">
        <is>
          <t>Viktoria Morvayova</t>
        </is>
      </c>
      <c r="G1463" s="24" t="inlineStr">
        <is>
          <t>Irene Burillo</t>
        </is>
      </c>
      <c r="H1463" s="24" t="inlineStr">
        <is>
          <t>moneyline</t>
        </is>
      </c>
      <c r="I1463" s="24" t="inlineStr">
        <is>
          <t>home</t>
        </is>
      </c>
      <c r="J1463" s="25" t="n"/>
      <c r="K1463" s="24" t="inlineStr">
        <is>
          <t>polymarket_us</t>
        </is>
      </c>
      <c r="L1463" s="26" t="n">
        <v>-300</v>
      </c>
      <c r="M1463" s="27" t="n">
        <v>1.333333</v>
      </c>
      <c r="N1463" s="28" t="n">
        <v>0.75</v>
      </c>
      <c r="O1463" s="28" t="n">
        <v>0.5375</v>
      </c>
      <c r="P1463" s="28" t="n">
        <v>0.05</v>
      </c>
      <c r="Q1463" s="28" t="n">
        <v>-0.2125</v>
      </c>
      <c r="R1463" s="26" t="n">
        <v>0</v>
      </c>
      <c r="S1463" s="29" t="n">
        <v>1</v>
      </c>
      <c r="T1463" s="24" t="inlineStr">
        <is>
          <t>tennis-learned-v3</t>
        </is>
      </c>
      <c r="U1463" s="24" t="inlineStr">
        <is>
          <t>settled</t>
        </is>
      </c>
      <c r="V1463" s="24" t="inlineStr">
        <is>
          <t>win</t>
        </is>
      </c>
      <c r="W1463" s="26" t="n">
        <v>0</v>
      </c>
      <c r="X1463" s="26" t="n">
        <v>1</v>
      </c>
      <c r="Y1463" s="25" t="n"/>
      <c r="Z1463" s="26" t="n">
        <v>-300</v>
      </c>
      <c r="AA1463" s="28" t="n">
        <v>0.75</v>
      </c>
      <c r="AB1463" s="28" t="n">
        <v>0</v>
      </c>
      <c r="AC1463" s="30" t="n">
        <v>0.3333</v>
      </c>
      <c r="AD1463" s="24" t="inlineStr">
        <is>
          <t>2026-10-13T22:03:18.929885Z</t>
        </is>
      </c>
      <c r="AE1463" s="31" t="inlineStr">
        <is>
          <t>Tennis v3 Learned Fundamental on Hard (Bo3): Viktoria Morvayova p=0.463 vs Irene Burillo. Executable ask 0.7500 (aec-wta-ireesc-vikmor-2026-10-12).</t>
        </is>
      </c>
      <c r="AF1463" s="31" t="inlineStr">
        <is>
          <t>Surface-blended Elo model; singles only, WTA+ATP market coverage, not yet locked-holdout qualified -- promoted by explicit operator directive, not genuine walk-forward validation.</t>
        </is>
      </c>
      <c r="AG1463" s="24" t="inlineStr">
        <is>
          <t>not_applicable</t>
        </is>
      </c>
      <c r="AH1463" s="24" t="n"/>
      <c r="AI1463" s="31" t="n"/>
      <c r="AJ1463" s="31" t="n"/>
      <c r="AK1463" s="24" t="inlineStr">
        <is>
          <t>paper_call</t>
        </is>
      </c>
      <c r="AL1463" s="26" t="n">
        <v>4</v>
      </c>
      <c r="AM1463" s="24" t="inlineStr">
        <is>
          <t>RESEARCH_OBSERVATION</t>
        </is>
      </c>
      <c r="AN1463" s="24" t="inlineStr">
        <is>
          <t>CALL</t>
        </is>
      </c>
      <c r="AO1463" s="24" t="inlineStr">
        <is>
          <t>PAPER_CALL_LOW_EDGE</t>
        </is>
      </c>
      <c r="AP1463" s="24" t="inlineStr">
        <is>
          <t>Viktoria Morvayova</t>
        </is>
      </c>
      <c r="AQ1463" s="24" t="inlineStr">
        <is>
          <t>Viktoria Morvayova</t>
        </is>
      </c>
      <c r="AR1463" s="24" t="inlineStr">
        <is>
          <t>Viktoria Morvayova</t>
        </is>
      </c>
      <c r="AS1463" s="24" t="inlineStr">
        <is>
          <t>Irene Burillo</t>
        </is>
      </c>
      <c r="AT1463" s="24" t="inlineStr">
        <is>
          <t>Irene Burillo</t>
        </is>
      </c>
      <c r="AU1463" s="24" t="inlineStr">
        <is>
          <t>Irene Burillo</t>
        </is>
      </c>
      <c r="AV1463" s="24" t="n"/>
      <c r="AW1463" s="24" t="n"/>
      <c r="AX1463" s="24" t="inlineStr">
        <is>
          <t>statistical_model</t>
        </is>
      </c>
      <c r="AY1463" s="24" t="n"/>
      <c r="AZ1463" s="24" t="inlineStr">
        <is>
          <t>shadow_qualified</t>
        </is>
      </c>
      <c r="BA1463" s="24" t="inlineStr">
        <is>
          <t>7443acc419841200d57e1edf36b77f1940cdd0c48dce3d43fcd05498a109440b</t>
        </is>
      </c>
      <c r="BB1463" s="24" t="inlineStr">
        <is>
          <t>learned_v3</t>
        </is>
      </c>
      <c r="BC1463" s="24" t="inlineStr">
        <is>
          <t>tennis-learned-v3</t>
        </is>
      </c>
      <c r="BD1463" s="24" t="inlineStr">
        <is>
          <t>7443acc419841200d57e1edf36b77f1940cdd0c48dce3d43fcd05498a109440b</t>
        </is>
      </c>
      <c r="BE1463" s="24" t="inlineStr">
        <is>
          <t>tennis-learned-v3</t>
        </is>
      </c>
      <c r="BF1463" s="24" t="inlineStr">
        <is>
          <t>1</t>
        </is>
      </c>
      <c r="BG1463" s="24" t="inlineStr">
        <is>
          <t>7443acc419841200d57e1edf36b77f1940cdd0c48dce3d43fcd05498a109440b</t>
        </is>
      </c>
      <c r="BH1463" s="24" t="inlineStr">
        <is>
          <t>2026-10-13T10:40:26.552511Z</t>
        </is>
      </c>
      <c r="BI1463" s="24" t="inlineStr">
        <is>
          <t>["same_event","same_team_same_day","same_league_same_day"]</t>
        </is>
      </c>
      <c r="BJ1463" s="25" t="n"/>
      <c r="BK1463" s="26" t="n">
        <v>-300</v>
      </c>
      <c r="BL1463" s="27" t="n">
        <v>1.333333</v>
      </c>
      <c r="BM1463" s="28" t="n">
        <v>0.75</v>
      </c>
      <c r="BN1463" s="28" t="n"/>
      <c r="BO1463" s="28" t="n"/>
      <c r="BP1463" s="25" t="n"/>
      <c r="BQ1463" s="27" t="n">
        <v>1.333333</v>
      </c>
      <c r="BR1463" s="28" t="n">
        <v>0.75</v>
      </c>
      <c r="BS1463" s="28" t="n"/>
      <c r="BT1463" s="28" t="n"/>
      <c r="BU1463" s="25" t="n"/>
      <c r="BV1463" s="29" t="n"/>
      <c r="BW1463" s="24" t="n"/>
      <c r="BX1463" s="30" t="n"/>
      <c r="BY1463" s="27" t="n"/>
      <c r="BZ1463" s="24" t="n"/>
      <c r="CA1463" s="31" t="n"/>
      <c r="CB1463" s="24" t="n"/>
      <c r="CC1463" s="24" t="n"/>
      <c r="CD1463" s="24" t="n"/>
      <c r="CE1463" s="24" t="n"/>
      <c r="CF1463" s="24" t="n"/>
      <c r="CG1463" s="24" t="n"/>
      <c r="CH1463" s="24" t="n"/>
      <c r="CI1463" s="24" t="n"/>
      <c r="CJ1463" s="24" t="n"/>
      <c r="CK1463" s="24" t="n"/>
      <c r="CL1463" s="24" t="n"/>
      <c r="CM1463" s="24" t="n"/>
      <c r="CN1463" s="24" t="n"/>
      <c r="CO1463" s="24" t="n"/>
      <c r="CP1463" s="24" t="n"/>
      <c r="CQ1463" s="24" t="n"/>
      <c r="CR1463" s="24" t="n"/>
      <c r="CS1463" s="24" t="inlineStr">
        <is>
          <t>False</t>
        </is>
      </c>
      <c r="CT1463" s="24" t="n"/>
      <c r="CU1463" s="24" t="n"/>
      <c r="CV1463" s="24" t="n"/>
      <c r="CW1463" s="24" t="n"/>
      <c r="CX1463" s="24" t="n"/>
      <c r="CY1463" s="24" t="n"/>
      <c r="CZ1463" s="24" t="n"/>
      <c r="DA1463" s="24" t="n"/>
      <c r="DB1463" s="24" t="n"/>
      <c r="DC1463" s="24" t="n"/>
      <c r="DD1463" s="24" t="inlineStr">
        <is>
          <t>3c1f218f4405a85d35a85c3d613828d1b1a11adefcec664219476ca86a940d1e</t>
        </is>
      </c>
      <c r="DE1463" s="24" t="inlineStr">
        <is>
          <t>E:\model-prediction\data\odds\tennis\2026-10-13\polymarket_snapshots.jsonl</t>
        </is>
      </c>
      <c r="DF1463" s="24" t="inlineStr">
        <is>
          <t>1368300:2026-10-13T10:40:26.552511Z</t>
        </is>
      </c>
      <c r="DG1463" s="24" t="n"/>
      <c r="DH1463" s="24" t="n"/>
      <c r="DI1463" s="24" t="n"/>
      <c r="DJ1463" s="24" t="n"/>
      <c r="DK1463" s="24" t="n"/>
      <c r="DL1463" s="24" t="n"/>
      <c r="DM1463" s="24" t="n"/>
      <c r="DN1463" s="24" t="n"/>
      <c r="DO1463" s="24" t="n"/>
      <c r="DP1463" s="24" t="n"/>
      <c r="DQ1463" s="24" t="inlineStr">
        <is>
          <t>{"artifact_hash": "7443acc419841200d57e1edf36b77f1940cdd0c48dce3d43fcd05498a109440b", "away_team": "Viktoria Morvayova", "event_id": "1079-2026:185405", "event_start_utc": "2026-10-13T13:00Z", "features": {"elo_p1_surface": 1478.8, "elo_p2_surface": 1460.8, "expected_games_p1": 11.9, "expected_games_p2": 12.76, "expected_total_games": 24.66, "history_matches": 16744, "min_player_matches": 21, "surface": "Hard"}, "historical_source_observation_times_verified": false, "home_team": "Irene Burillo", "inference_inputs": {"best_of": 3, "code_sha256": {"features/elo_ratings.py": "d6513e79d65448c06cc0f9b9eed0eaa091567835128e1f6647a310da8d78a872", "models/tennis.py": "7443acc419841200d57e1edf36b77f1940cdd0c48dce3d43fcd05498a109440b"}, "counts": [21, 53], "market_probability": null, "model_version": "tennis-learned-v3", "overall_ratings": [1474.2178508801485, 1449.954754560253], "p_serve_a": 0.5791298741942221, "p_serve_b": 0.6008701258057778, "players": ["Viktoria Morvayova", "Irene Burillo"], "rest_days": [14.0, 15.0], "sport": "TENNIS", "surface": "Hard", "surface_counts": [21, 45], "surface_ratings": [1478.7813257138707, 1460.836397138454], "tour": "WTA"}, "market_type": "moneyline", "model_version": "tennis-learned-v3", "observed_at_utc": "2026-10-13T11:17:02.991709+00:00", "probabilities": {"away": 0.4625, "home": 0.5375}, "replay_scope": "Exact full-precision serving state and rounding; upstream historical observation times are not certified.", "schema": "coded-moneyline-replay-v1", "snapshot_hash": "c429178d5eef432ccf08d27f748174199e6414f01f4fa6d880ffa4fd9f9fd984", "sport": "TENNIS"}</t>
        </is>
      </c>
    </row>
    <row r="1464" ht="36" customHeight="1">
      <c r="A1464" s="24" t="inlineStr">
        <is>
          <t>5249332f17a9494e</t>
        </is>
      </c>
      <c r="B1464" s="24" t="inlineStr">
        <is>
          <t>2026-10-13T11:17:05.945016Z</t>
        </is>
      </c>
      <c r="C1464" s="24" t="inlineStr">
        <is>
          <t>2026-10-13T13:00Z</t>
        </is>
      </c>
      <c r="D1464" s="24" t="inlineStr">
        <is>
          <t>1079-2026:185405</t>
        </is>
      </c>
      <c r="E1464" s="24" t="inlineStr">
        <is>
          <t>TENNIS</t>
        </is>
      </c>
      <c r="F1464" s="24" t="inlineStr">
        <is>
          <t>Viktoria Morvayova</t>
        </is>
      </c>
      <c r="G1464" s="24" t="inlineStr">
        <is>
          <t>Irene Burillo</t>
        </is>
      </c>
      <c r="H1464" s="24" t="inlineStr">
        <is>
          <t>spread</t>
        </is>
      </c>
      <c r="I1464" s="24" t="inlineStr">
        <is>
          <t>away</t>
        </is>
      </c>
      <c r="J1464" s="25" t="n">
        <v>-7.5</v>
      </c>
      <c r="K1464" s="24" t="inlineStr">
        <is>
          <t>polymarket_us</t>
        </is>
      </c>
      <c r="L1464" s="26" t="n">
        <v>-144</v>
      </c>
      <c r="M1464" s="27" t="n">
        <v>1.694444</v>
      </c>
      <c r="N1464" s="28" t="n">
        <v>0.590164</v>
      </c>
      <c r="O1464" s="28" t="n">
        <v>0.9623</v>
      </c>
      <c r="P1464" s="28" t="n">
        <v>0.05</v>
      </c>
      <c r="Q1464" s="28" t="n">
        <v>0.372136</v>
      </c>
      <c r="R1464" s="26" t="n">
        <v>100</v>
      </c>
      <c r="S1464" s="29" t="n">
        <v>2</v>
      </c>
      <c r="T1464" s="24" t="inlineStr">
        <is>
          <t>tennis-learned-v3</t>
        </is>
      </c>
      <c r="U1464" s="24" t="inlineStr">
        <is>
          <t>settled</t>
        </is>
      </c>
      <c r="V1464" s="24" t="inlineStr">
        <is>
          <t>loss</t>
        </is>
      </c>
      <c r="W1464" s="26" t="n">
        <v>3</v>
      </c>
      <c r="X1464" s="26" t="n">
        <v>12</v>
      </c>
      <c r="Y1464" s="25" t="n"/>
      <c r="Z1464" s="26" t="n"/>
      <c r="AA1464" s="28" t="n"/>
      <c r="AB1464" s="28" t="n"/>
      <c r="AC1464" s="30" t="n">
        <v>-2</v>
      </c>
      <c r="AD1464" s="24" t="inlineStr">
        <is>
          <t>2026-10-13T22:03:29.454525Z</t>
        </is>
      </c>
      <c r="AE1464" s="31" t="inlineStr">
        <is>
          <t>Tennis Markov game spread -7.5 games: away cover p=0.962. Executable ask 0.5900 (asc-wta-ireesc-vikmor-2026-10-12-gs-neg-7pt5).</t>
        </is>
      </c>
      <c r="AF1464" s="31" t="inlineStr">
        <is>
          <t>Surface-blended Elo model; singles only, WTA+ATP market coverage, not yet locked-holdout qualified -- promoted by explicit operator directive, not genuine walk-forward validation.</t>
        </is>
      </c>
      <c r="AG1464" s="24" t="inlineStr">
        <is>
          <t>review_required</t>
        </is>
      </c>
      <c r="AH1464" s="24" t="n"/>
      <c r="AI1464" s="31" t="n"/>
      <c r="AJ1464" s="31" t="n"/>
      <c r="AK1464" s="24" t="inlineStr">
        <is>
          <t>model_qualified</t>
        </is>
      </c>
      <c r="AL1464" s="26" t="n">
        <v>4</v>
      </c>
      <c r="AM1464" s="24" t="inlineStr">
        <is>
          <t>QUALIFIED_SHADOW_CALL</t>
        </is>
      </c>
      <c r="AN1464" s="24" t="inlineStr">
        <is>
          <t>CALL</t>
        </is>
      </c>
      <c r="AO1464" s="24" t="inlineStr">
        <is>
          <t>QUALIFIED</t>
        </is>
      </c>
      <c r="AP1464" s="24" t="inlineStr">
        <is>
          <t>Viktoria Morvayova</t>
        </is>
      </c>
      <c r="AQ1464" s="24" t="inlineStr">
        <is>
          <t>Viktoria Morvayova</t>
        </is>
      </c>
      <c r="AR1464" s="24" t="inlineStr">
        <is>
          <t>Viktoria Morvayova</t>
        </is>
      </c>
      <c r="AS1464" s="24" t="inlineStr">
        <is>
          <t>Irene Burillo</t>
        </is>
      </c>
      <c r="AT1464" s="24" t="inlineStr">
        <is>
          <t>Irene Burillo</t>
        </is>
      </c>
      <c r="AU1464" s="24" t="inlineStr">
        <is>
          <t>Irene Burillo</t>
        </is>
      </c>
      <c r="AV1464" s="24" t="n"/>
      <c r="AW1464" s="24" t="n"/>
      <c r="AX1464" s="24" t="inlineStr">
        <is>
          <t>statistical_model</t>
        </is>
      </c>
      <c r="AY1464" s="24" t="n"/>
      <c r="AZ1464" s="24" t="inlineStr">
        <is>
          <t>shadow_qualified</t>
        </is>
      </c>
      <c r="BA1464" s="24" t="inlineStr">
        <is>
          <t>7443acc419841200d57e1edf36b77f1940cdd0c48dce3d43fcd05498a109440b</t>
        </is>
      </c>
      <c r="BB1464" s="24" t="inlineStr">
        <is>
          <t>learned_v3</t>
        </is>
      </c>
      <c r="BC1464" s="24" t="inlineStr">
        <is>
          <t>tennis-learned-v3</t>
        </is>
      </c>
      <c r="BD1464" s="24" t="inlineStr">
        <is>
          <t>7443acc419841200d57e1edf36b77f1940cdd0c48dce3d43fcd05498a109440b</t>
        </is>
      </c>
      <c r="BE1464" s="24" t="inlineStr">
        <is>
          <t>tennis-learned-v3</t>
        </is>
      </c>
      <c r="BF1464" s="24" t="inlineStr">
        <is>
          <t>1</t>
        </is>
      </c>
      <c r="BG1464" s="24" t="inlineStr">
        <is>
          <t>7443acc419841200d57e1edf36b77f1940cdd0c48dce3d43fcd05498a109440b</t>
        </is>
      </c>
      <c r="BH1464" s="24" t="inlineStr">
        <is>
          <t>2026-10-13T10:40:36.635371Z</t>
        </is>
      </c>
      <c r="BI1464" s="24" t="inlineStr">
        <is>
          <t>["same_event","same_team_same_day","same_league_same_day"]</t>
        </is>
      </c>
      <c r="BJ1464" s="25" t="n">
        <v>-7.5</v>
      </c>
      <c r="BK1464" s="26" t="n">
        <v>-144</v>
      </c>
      <c r="BL1464" s="27" t="n">
        <v>1.694444</v>
      </c>
      <c r="BM1464" s="28" t="n">
        <v>0.590164</v>
      </c>
      <c r="BN1464" s="28" t="n"/>
      <c r="BO1464" s="28" t="n"/>
      <c r="BP1464" s="25" t="n"/>
      <c r="BQ1464" s="27" t="n"/>
      <c r="BR1464" s="28" t="n"/>
      <c r="BS1464" s="28" t="n"/>
      <c r="BT1464" s="28" t="n"/>
      <c r="BU1464" s="25" t="n"/>
      <c r="BV1464" s="29" t="n"/>
      <c r="BW1464" s="24" t="n"/>
      <c r="BX1464" s="30" t="n"/>
      <c r="BY1464" s="27" t="n"/>
      <c r="BZ1464" s="24" t="n"/>
      <c r="CA1464" s="31" t="n"/>
      <c r="CB1464" s="24" t="n"/>
      <c r="CC1464" s="24" t="n"/>
      <c r="CD1464" s="24" t="n"/>
      <c r="CE1464" s="24" t="n"/>
      <c r="CF1464" s="24" t="n"/>
      <c r="CG1464" s="24" t="n"/>
      <c r="CH1464" s="24" t="n"/>
      <c r="CI1464" s="24" t="n"/>
      <c r="CJ1464" s="24" t="n"/>
      <c r="CK1464" s="24" t="n"/>
      <c r="CL1464" s="24" t="n"/>
      <c r="CM1464" s="24" t="n"/>
      <c r="CN1464" s="24" t="n"/>
      <c r="CO1464" s="24" t="n"/>
      <c r="CP1464" s="24" t="n"/>
      <c r="CQ1464" s="24" t="n"/>
      <c r="CR1464" s="24" t="n"/>
      <c r="CS1464" s="24" t="inlineStr">
        <is>
          <t>True</t>
        </is>
      </c>
      <c r="CT1464" s="24" t="n"/>
      <c r="CU1464" s="24" t="n"/>
      <c r="CV1464" s="24" t="n"/>
      <c r="CW1464" s="24" t="n"/>
      <c r="CX1464" s="24" t="n"/>
      <c r="CY1464" s="24" t="n"/>
      <c r="CZ1464" s="24" t="n"/>
      <c r="DA1464" s="24" t="n"/>
      <c r="DB1464" s="24" t="n"/>
      <c r="DC1464" s="24" t="n"/>
      <c r="DD1464" s="24" t="inlineStr">
        <is>
          <t>d72cb921929e8c24291839665d97c7a4b123ddb68f272bad8ff628869e440212</t>
        </is>
      </c>
      <c r="DE1464" s="24" t="inlineStr">
        <is>
          <t>E:\model-prediction\data\odds\tennis\2026-10-13\polymarket_snapshots.jsonl</t>
        </is>
      </c>
      <c r="DF1464" s="24" t="inlineStr">
        <is>
          <t>1368994:2026-10-13T10:40:36.635371Z</t>
        </is>
      </c>
      <c r="DG1464" s="24" t="n"/>
      <c r="DH1464" s="24" t="n"/>
      <c r="DI1464" s="24" t="n"/>
      <c r="DJ1464" s="24" t="n"/>
      <c r="DK1464" s="24" t="n"/>
      <c r="DL1464" s="24" t="n"/>
      <c r="DM1464" s="24" t="n"/>
      <c r="DN1464" s="24" t="n"/>
      <c r="DO1464" s="24" t="n"/>
      <c r="DP1464" s="24" t="n"/>
      <c r="DQ1464" s="24" t="n"/>
    </row>
    <row r="1465" ht="36" customHeight="1">
      <c r="A1465" s="24" t="inlineStr">
        <is>
          <t>8b65b5226c5042fa</t>
        </is>
      </c>
      <c r="B1465" s="24" t="inlineStr">
        <is>
          <t>2026-10-13T11:17:05.945016Z</t>
        </is>
      </c>
      <c r="C1465" s="24" t="inlineStr">
        <is>
          <t>2026-10-13T13:00Z</t>
        </is>
      </c>
      <c r="D1465" s="24" t="inlineStr">
        <is>
          <t>1079-2026:185397</t>
        </is>
      </c>
      <c r="E1465" s="24" t="inlineStr">
        <is>
          <t>TENNIS</t>
        </is>
      </c>
      <c r="F1465" s="24" t="inlineStr">
        <is>
          <t>Polona Hercog</t>
        </is>
      </c>
      <c r="G1465" s="24" t="inlineStr">
        <is>
          <t>Madalena Matias</t>
        </is>
      </c>
      <c r="H1465" s="24" t="inlineStr">
        <is>
          <t>total</t>
        </is>
      </c>
      <c r="I1465" s="24" t="inlineStr">
        <is>
          <t>under</t>
        </is>
      </c>
      <c r="J1465" s="25" t="n">
        <v>22.5</v>
      </c>
      <c r="K1465" s="24" t="inlineStr">
        <is>
          <t>polymarket_us</t>
        </is>
      </c>
      <c r="L1465" s="26" t="n">
        <v>-9900</v>
      </c>
      <c r="M1465" s="27" t="n">
        <v>1.010101</v>
      </c>
      <c r="N1465" s="28" t="n">
        <v>0.99</v>
      </c>
      <c r="O1465" s="28" t="n">
        <v>0.7717000000000001</v>
      </c>
      <c r="P1465" s="28" t="n">
        <v>0.05</v>
      </c>
      <c r="Q1465" s="28" t="n">
        <v>-0.2183</v>
      </c>
      <c r="R1465" s="26" t="n">
        <v>0</v>
      </c>
      <c r="S1465" s="29" t="n">
        <v>1</v>
      </c>
      <c r="T1465" s="24" t="inlineStr">
        <is>
          <t>tennis-learned-v3</t>
        </is>
      </c>
      <c r="U1465" s="24" t="inlineStr">
        <is>
          <t>settled</t>
        </is>
      </c>
      <c r="V1465" s="24" t="inlineStr">
        <is>
          <t>win</t>
        </is>
      </c>
      <c r="W1465" s="26" t="n">
        <v>12</v>
      </c>
      <c r="X1465" s="26" t="n">
        <v>0</v>
      </c>
      <c r="Y1465" s="25" t="n"/>
      <c r="Z1465" s="26" t="n"/>
      <c r="AA1465" s="28" t="n"/>
      <c r="AB1465" s="28" t="n"/>
      <c r="AC1465" s="30" t="n">
        <v>0.0101</v>
      </c>
      <c r="AD1465" s="24" t="inlineStr">
        <is>
          <t>2026-10-13T16:14:57.874459Z</t>
        </is>
      </c>
      <c r="AE1465" s="31" t="inlineStr">
        <is>
          <t>Tennis Markov total games line 22.5: under p=0.772. Executable ask 0.9900 (tsc-wta-madmat-polher-2026-10-12-tg-22pt5).</t>
        </is>
      </c>
      <c r="AF1465" s="31" t="inlineStr">
        <is>
          <t>Surface-blended Elo model; singles only, WTA+ATP market coverage, not yet locked-holdout qualified -- promoted by explicit operator directive, not genuine walk-forward validation.</t>
        </is>
      </c>
      <c r="AG1465" s="24" t="inlineStr">
        <is>
          <t>not_applicable</t>
        </is>
      </c>
      <c r="AH1465" s="24" t="n"/>
      <c r="AI1465" s="31" t="n"/>
      <c r="AJ1465" s="31" t="n"/>
      <c r="AK1465" s="24" t="inlineStr">
        <is>
          <t>paper_call</t>
        </is>
      </c>
      <c r="AL1465" s="26" t="n">
        <v>4</v>
      </c>
      <c r="AM1465" s="24" t="inlineStr">
        <is>
          <t>RESEARCH_OBSERVATION</t>
        </is>
      </c>
      <c r="AN1465" s="24" t="inlineStr">
        <is>
          <t>CALL</t>
        </is>
      </c>
      <c r="AO1465" s="24" t="inlineStr">
        <is>
          <t>PAPER_CALL_MODEL_UNVALIDATED</t>
        </is>
      </c>
      <c r="AP1465" s="24" t="inlineStr">
        <is>
          <t>Polona Hercog</t>
        </is>
      </c>
      <c r="AQ1465" s="24" t="inlineStr">
        <is>
          <t>Polona Hercog</t>
        </is>
      </c>
      <c r="AR1465" s="24" t="inlineStr">
        <is>
          <t>Polona Hercog</t>
        </is>
      </c>
      <c r="AS1465" s="24" t="inlineStr">
        <is>
          <t>Madalena Matias</t>
        </is>
      </c>
      <c r="AT1465" s="24" t="inlineStr">
        <is>
          <t>Madalena Matias</t>
        </is>
      </c>
      <c r="AU1465" s="24" t="inlineStr">
        <is>
          <t>Madalena Matias</t>
        </is>
      </c>
      <c r="AV1465" s="24" t="n"/>
      <c r="AW1465" s="24" t="n"/>
      <c r="AX1465" s="24" t="inlineStr">
        <is>
          <t>statistical_model</t>
        </is>
      </c>
      <c r="AY1465" s="24" t="n"/>
      <c r="AZ1465" s="24" t="inlineStr">
        <is>
          <t>shadow_qualified</t>
        </is>
      </c>
      <c r="BA1465" s="24" t="inlineStr">
        <is>
          <t>7443acc419841200d57e1edf36b77f1940cdd0c48dce3d43fcd05498a109440b</t>
        </is>
      </c>
      <c r="BB1465" s="24" t="inlineStr">
        <is>
          <t>learned_v3</t>
        </is>
      </c>
      <c r="BC1465" s="24" t="inlineStr">
        <is>
          <t>tennis-learned-v3</t>
        </is>
      </c>
      <c r="BD1465" s="24" t="inlineStr">
        <is>
          <t>7443acc419841200d57e1edf36b77f1940cdd0c48dce3d43fcd05498a109440b</t>
        </is>
      </c>
      <c r="BE1465" s="24" t="inlineStr">
        <is>
          <t>tennis-learned-v3</t>
        </is>
      </c>
      <c r="BF1465" s="24" t="inlineStr">
        <is>
          <t>1</t>
        </is>
      </c>
      <c r="BG1465" s="24" t="inlineStr">
        <is>
          <t>7443acc419841200d57e1edf36b77f1940cdd0c48dce3d43fcd05498a109440b</t>
        </is>
      </c>
      <c r="BH1465" s="24" t="inlineStr">
        <is>
          <t>2026-10-13T05:06:06.192194Z</t>
        </is>
      </c>
      <c r="BI1465" s="24" t="inlineStr">
        <is>
          <t>["same_event","same_team_same_day","same_league_same_day"]</t>
        </is>
      </c>
      <c r="BJ1465" s="25" t="n">
        <v>22.5</v>
      </c>
      <c r="BK1465" s="26" t="n">
        <v>-9900</v>
      </c>
      <c r="BL1465" s="27" t="n">
        <v>1.010101</v>
      </c>
      <c r="BM1465" s="28" t="n">
        <v>0.99</v>
      </c>
      <c r="BN1465" s="28" t="n"/>
      <c r="BO1465" s="28" t="n"/>
      <c r="BP1465" s="25" t="n"/>
      <c r="BQ1465" s="27" t="n"/>
      <c r="BR1465" s="28" t="n"/>
      <c r="BS1465" s="28" t="n"/>
      <c r="BT1465" s="28" t="n"/>
      <c r="BU1465" s="25" t="n"/>
      <c r="BV1465" s="29" t="n"/>
      <c r="BW1465" s="24" t="n"/>
      <c r="BX1465" s="30" t="n"/>
      <c r="BY1465" s="27" t="n"/>
      <c r="BZ1465" s="24" t="n"/>
      <c r="CA1465" s="31" t="n"/>
      <c r="CB1465" s="24" t="n"/>
      <c r="CC1465" s="24" t="n"/>
      <c r="CD1465" s="24" t="n"/>
      <c r="CE1465" s="24" t="n"/>
      <c r="CF1465" s="24" t="n"/>
      <c r="CG1465" s="24" t="n"/>
      <c r="CH1465" s="24" t="n"/>
      <c r="CI1465" s="24" t="n"/>
      <c r="CJ1465" s="24" t="n"/>
      <c r="CK1465" s="24" t="n"/>
      <c r="CL1465" s="24" t="n"/>
      <c r="CM1465" s="24" t="n"/>
      <c r="CN1465" s="24" t="n"/>
      <c r="CO1465" s="24" t="n"/>
      <c r="CP1465" s="24" t="n"/>
      <c r="CQ1465" s="24" t="n"/>
      <c r="CR1465" s="24" t="n"/>
      <c r="CS1465" s="24" t="inlineStr">
        <is>
          <t>False</t>
        </is>
      </c>
      <c r="CT1465" s="24" t="n"/>
      <c r="CU1465" s="24" t="n"/>
      <c r="CV1465" s="24" t="n"/>
      <c r="CW1465" s="24" t="n"/>
      <c r="CX1465" s="24" t="n"/>
      <c r="CY1465" s="24" t="n"/>
      <c r="CZ1465" s="24" t="n"/>
      <c r="DA1465" s="24" t="n"/>
      <c r="DB1465" s="24" t="n"/>
      <c r="DC1465" s="24" t="n"/>
      <c r="DD1465" s="24" t="inlineStr">
        <is>
          <t>7d8e8876eaaccbe163599c514bfac35c32f3b439e7b9f29f35c81d911a17ef9c</t>
        </is>
      </c>
      <c r="DE1465" s="24" t="inlineStr">
        <is>
          <t>E:\model-prediction\data\odds\tennis\2026-10-13\polymarket_snapshots.jsonl</t>
        </is>
      </c>
      <c r="DF1465" s="24" t="inlineStr">
        <is>
          <t>1368978:2026-10-13T05:06:06.192194Z</t>
        </is>
      </c>
      <c r="DG1465" s="24" t="n"/>
      <c r="DH1465" s="24" t="n"/>
      <c r="DI1465" s="24" t="n"/>
      <c r="DJ1465" s="24" t="n"/>
      <c r="DK1465" s="24" t="n"/>
      <c r="DL1465" s="24" t="n"/>
      <c r="DM1465" s="24" t="n"/>
      <c r="DN1465" s="24" t="n"/>
      <c r="DO1465" s="24" t="n"/>
      <c r="DP1465" s="24" t="n"/>
      <c r="DQ1465" s="24" t="n"/>
    </row>
    <row r="1466" ht="36" customHeight="1">
      <c r="A1466" s="24" t="inlineStr">
        <is>
          <t>5a0ce1ace45c4d76</t>
        </is>
      </c>
      <c r="B1466" s="24" t="inlineStr">
        <is>
          <t>2026-10-13T11:17:05.945016Z</t>
        </is>
      </c>
      <c r="C1466" s="24" t="inlineStr">
        <is>
          <t>2026-10-13T13:00Z</t>
        </is>
      </c>
      <c r="D1466" s="24" t="inlineStr">
        <is>
          <t>1079-2026:185394</t>
        </is>
      </c>
      <c r="E1466" s="24" t="inlineStr">
        <is>
          <t>TENNIS</t>
        </is>
      </c>
      <c r="F1466" s="24" t="inlineStr">
        <is>
          <t>Guiomar Maristany Zuleta De Reales</t>
        </is>
      </c>
      <c r="G1466" s="24" t="inlineStr">
        <is>
          <t>Gina Feistel</t>
        </is>
      </c>
      <c r="H1466" s="24" t="inlineStr">
        <is>
          <t>spread</t>
        </is>
      </c>
      <c r="I1466" s="24" t="inlineStr">
        <is>
          <t>away</t>
        </is>
      </c>
      <c r="J1466" s="25" t="n">
        <v>4.5</v>
      </c>
      <c r="K1466" s="24" t="inlineStr">
        <is>
          <t>polymarket_us</t>
        </is>
      </c>
      <c r="L1466" s="26" t="n">
        <v>-108</v>
      </c>
      <c r="M1466" s="27" t="n">
        <v>1.925926</v>
      </c>
      <c r="N1466" s="28" t="n">
        <v>0.519231</v>
      </c>
      <c r="O1466" s="28" t="n">
        <v>0.8583</v>
      </c>
      <c r="P1466" s="28" t="n">
        <v>0.05</v>
      </c>
      <c r="Q1466" s="28" t="n">
        <v>0.339069</v>
      </c>
      <c r="R1466" s="26" t="n">
        <v>100</v>
      </c>
      <c r="S1466" s="29" t="n">
        <v>2</v>
      </c>
      <c r="T1466" s="24" t="inlineStr">
        <is>
          <t>tennis-learned-v3</t>
        </is>
      </c>
      <c r="U1466" s="24" t="inlineStr">
        <is>
          <t>settled</t>
        </is>
      </c>
      <c r="V1466" s="24" t="inlineStr">
        <is>
          <t>win</t>
        </is>
      </c>
      <c r="W1466" s="26" t="n">
        <v>12</v>
      </c>
      <c r="X1466" s="26" t="n">
        <v>5</v>
      </c>
      <c r="Y1466" s="25" t="n"/>
      <c r="Z1466" s="26" t="n"/>
      <c r="AA1466" s="28" t="n"/>
      <c r="AB1466" s="28" t="n"/>
      <c r="AC1466" s="30" t="n">
        <v>1.8519</v>
      </c>
      <c r="AD1466" s="24" t="inlineStr">
        <is>
          <t>2026-10-13T16:15:03.304387Z</t>
        </is>
      </c>
      <c r="AE1466" s="31" t="inlineStr">
        <is>
          <t>Tennis Markov game spread +4.5 games: away cover p=0.858. Executable ask 0.5200 (asc-wta-ginfei-guimar-2026-10-13-gs-pos-4pt5).</t>
        </is>
      </c>
      <c r="AF1466" s="31" t="inlineStr">
        <is>
          <t>Surface-blended Elo model; singles only, WTA+ATP market coverage, not yet locked-holdout qualified -- promoted by explicit operator directive, not genuine walk-forward validation.</t>
        </is>
      </c>
      <c r="AG1466" s="24" t="inlineStr">
        <is>
          <t>not_applicable</t>
        </is>
      </c>
      <c r="AH1466" s="24" t="n"/>
      <c r="AI1466" s="31" t="n"/>
      <c r="AJ1466" s="31" t="n"/>
      <c r="AK1466" s="24" t="inlineStr">
        <is>
          <t>model_qualified</t>
        </is>
      </c>
      <c r="AL1466" s="26" t="n">
        <v>4</v>
      </c>
      <c r="AM1466" s="24" t="inlineStr">
        <is>
          <t>QUALIFIED_SHADOW_CALL</t>
        </is>
      </c>
      <c r="AN1466" s="24" t="inlineStr">
        <is>
          <t>CALL</t>
        </is>
      </c>
      <c r="AO1466" s="24" t="inlineStr">
        <is>
          <t>QUALIFIED</t>
        </is>
      </c>
      <c r="AP1466" s="24" t="inlineStr">
        <is>
          <t>Guiomar Maristany Zuleta De Reales</t>
        </is>
      </c>
      <c r="AQ1466" s="24" t="inlineStr">
        <is>
          <t>Guiomar Maristany Zuleta De Reales</t>
        </is>
      </c>
      <c r="AR1466" s="24" t="inlineStr">
        <is>
          <t>Guiomar Maristany Zuleta De Reales</t>
        </is>
      </c>
      <c r="AS1466" s="24" t="inlineStr">
        <is>
          <t>Gina Feistel</t>
        </is>
      </c>
      <c r="AT1466" s="24" t="inlineStr">
        <is>
          <t>Gina Feistel</t>
        </is>
      </c>
      <c r="AU1466" s="24" t="inlineStr">
        <is>
          <t>Gina Feistel</t>
        </is>
      </c>
      <c r="AV1466" s="24" t="n"/>
      <c r="AW1466" s="24" t="n"/>
      <c r="AX1466" s="24" t="inlineStr">
        <is>
          <t>statistical_model</t>
        </is>
      </c>
      <c r="AY1466" s="24" t="n"/>
      <c r="AZ1466" s="24" t="inlineStr">
        <is>
          <t>shadow_qualified</t>
        </is>
      </c>
      <c r="BA1466" s="24" t="inlineStr">
        <is>
          <t>7443acc419841200d57e1edf36b77f1940cdd0c48dce3d43fcd05498a109440b</t>
        </is>
      </c>
      <c r="BB1466" s="24" t="inlineStr">
        <is>
          <t>learned_v3</t>
        </is>
      </c>
      <c r="BC1466" s="24" t="inlineStr">
        <is>
          <t>tennis-learned-v3</t>
        </is>
      </c>
      <c r="BD1466" s="24" t="inlineStr">
        <is>
          <t>7443acc419841200d57e1edf36b77f1940cdd0c48dce3d43fcd05498a109440b</t>
        </is>
      </c>
      <c r="BE1466" s="24" t="inlineStr">
        <is>
          <t>tennis-learned-v3</t>
        </is>
      </c>
      <c r="BF1466" s="24" t="inlineStr">
        <is>
          <t>1</t>
        </is>
      </c>
      <c r="BG1466" s="24" t="inlineStr">
        <is>
          <t>7443acc419841200d57e1edf36b77f1940cdd0c48dce3d43fcd05498a109440b</t>
        </is>
      </c>
      <c r="BH1466" s="24" t="inlineStr">
        <is>
          <t>2026-10-13T10:40:26.571487Z</t>
        </is>
      </c>
      <c r="BI1466" s="24" t="inlineStr">
        <is>
          <t>["same_event","same_team_same_day","same_league_same_day"]</t>
        </is>
      </c>
      <c r="BJ1466" s="25" t="n">
        <v>4.5</v>
      </c>
      <c r="BK1466" s="26" t="n">
        <v>-108</v>
      </c>
      <c r="BL1466" s="27" t="n">
        <v>1.925926</v>
      </c>
      <c r="BM1466" s="28" t="n">
        <v>0.519231</v>
      </c>
      <c r="BN1466" s="28" t="n"/>
      <c r="BO1466" s="28" t="n"/>
      <c r="BP1466" s="25" t="n"/>
      <c r="BQ1466" s="27" t="n"/>
      <c r="BR1466" s="28" t="n"/>
      <c r="BS1466" s="28" t="n"/>
      <c r="BT1466" s="28" t="n"/>
      <c r="BU1466" s="25" t="n"/>
      <c r="BV1466" s="29" t="n"/>
      <c r="BW1466" s="24" t="n"/>
      <c r="BX1466" s="30" t="n"/>
      <c r="BY1466" s="27" t="n"/>
      <c r="BZ1466" s="24" t="n"/>
      <c r="CA1466" s="31" t="n"/>
      <c r="CB1466" s="24" t="n"/>
      <c r="CC1466" s="24" t="n"/>
      <c r="CD1466" s="24" t="n"/>
      <c r="CE1466" s="24" t="n"/>
      <c r="CF1466" s="24" t="n"/>
      <c r="CG1466" s="24" t="n"/>
      <c r="CH1466" s="24" t="n"/>
      <c r="CI1466" s="24" t="n"/>
      <c r="CJ1466" s="24" t="n"/>
      <c r="CK1466" s="24" t="n"/>
      <c r="CL1466" s="24" t="n"/>
      <c r="CM1466" s="24" t="n"/>
      <c r="CN1466" s="24" t="n"/>
      <c r="CO1466" s="24" t="n"/>
      <c r="CP1466" s="24" t="n"/>
      <c r="CQ1466" s="24" t="n"/>
      <c r="CR1466" s="24" t="n"/>
      <c r="CS1466" s="24" t="inlineStr">
        <is>
          <t>True</t>
        </is>
      </c>
      <c r="CT1466" s="24" t="n"/>
      <c r="CU1466" s="24" t="n"/>
      <c r="CV1466" s="24" t="n"/>
      <c r="CW1466" s="24" t="n"/>
      <c r="CX1466" s="24" t="n"/>
      <c r="CY1466" s="24" t="n"/>
      <c r="CZ1466" s="24" t="n"/>
      <c r="DA1466" s="24" t="n"/>
      <c r="DB1466" s="24" t="n"/>
      <c r="DC1466" s="24" t="n"/>
      <c r="DD1466" s="24" t="inlineStr">
        <is>
          <t>cc6d4c2ab57395552748c202925cb88fed4f01b988f18f172e1519efc096c15b</t>
        </is>
      </c>
      <c r="DE1466" s="24" t="inlineStr">
        <is>
          <t>E:\model-prediction\data\odds\tennis\2026-10-13\polymarket_snapshots.jsonl</t>
        </is>
      </c>
      <c r="DF1466" s="24" t="inlineStr">
        <is>
          <t>1395805:2026-10-13T10:40:26.571487Z</t>
        </is>
      </c>
      <c r="DG1466" s="24" t="n"/>
      <c r="DH1466" s="24" t="n"/>
      <c r="DI1466" s="24" t="n"/>
      <c r="DJ1466" s="24" t="n"/>
      <c r="DK1466" s="24" t="n"/>
      <c r="DL1466" s="24" t="n"/>
      <c r="DM1466" s="24" t="n"/>
      <c r="DN1466" s="24" t="n"/>
      <c r="DO1466" s="24" t="n"/>
      <c r="DP1466" s="24" t="n"/>
      <c r="DQ1466" s="24" t="n"/>
    </row>
    <row r="1467" ht="36" customHeight="1">
      <c r="A1467" s="24" t="inlineStr">
        <is>
          <t>2ddf2743969a4d67</t>
        </is>
      </c>
      <c r="B1467" s="24" t="inlineStr">
        <is>
          <t>2026-10-13T11:17:05.945016Z</t>
        </is>
      </c>
      <c r="C1467" s="24" t="inlineStr">
        <is>
          <t>2026-10-13T13:00Z</t>
        </is>
      </c>
      <c r="D1467" s="24" t="inlineStr">
        <is>
          <t>1079-2026:185394</t>
        </is>
      </c>
      <c r="E1467" s="24" t="inlineStr">
        <is>
          <t>TENNIS</t>
        </is>
      </c>
      <c r="F1467" s="24" t="inlineStr">
        <is>
          <t>Guiomar Maristany Zuleta De Reales</t>
        </is>
      </c>
      <c r="G1467" s="24" t="inlineStr">
        <is>
          <t>Gina Feistel</t>
        </is>
      </c>
      <c r="H1467" s="24" t="inlineStr">
        <is>
          <t>moneyline</t>
        </is>
      </c>
      <c r="I1467" s="24" t="inlineStr">
        <is>
          <t>away</t>
        </is>
      </c>
      <c r="J1467" s="25" t="n"/>
      <c r="K1467" s="24" t="inlineStr">
        <is>
          <t>polymarket_us</t>
        </is>
      </c>
      <c r="L1467" s="26" t="n">
        <v>-245</v>
      </c>
      <c r="M1467" s="27" t="n">
        <v>1.408163</v>
      </c>
      <c r="N1467" s="28" t="n">
        <v>0.710145</v>
      </c>
      <c r="O1467" s="28" t="n">
        <v>0.7497</v>
      </c>
      <c r="P1467" s="28" t="n">
        <v>0.05</v>
      </c>
      <c r="Q1467" s="28" t="n">
        <v>0.039555</v>
      </c>
      <c r="R1467" s="26" t="n">
        <v>40</v>
      </c>
      <c r="S1467" s="29" t="n">
        <v>1</v>
      </c>
      <c r="T1467" s="24" t="inlineStr">
        <is>
          <t>tennis-learned-v3</t>
        </is>
      </c>
      <c r="U1467" s="24" t="inlineStr">
        <is>
          <t>settled</t>
        </is>
      </c>
      <c r="V1467" s="24" t="inlineStr">
        <is>
          <t>win</t>
        </is>
      </c>
      <c r="W1467" s="26" t="n">
        <v>1</v>
      </c>
      <c r="X1467" s="26" t="n">
        <v>0</v>
      </c>
      <c r="Y1467" s="25" t="n"/>
      <c r="Z1467" s="26" t="n">
        <v>-245</v>
      </c>
      <c r="AA1467" s="28" t="n">
        <v>0.71</v>
      </c>
      <c r="AB1467" s="28" t="n">
        <v>-0.000145</v>
      </c>
      <c r="AC1467" s="30" t="n">
        <v>0.4082</v>
      </c>
      <c r="AD1467" s="24" t="inlineStr">
        <is>
          <t>2026-10-13T16:15:09.168377Z</t>
        </is>
      </c>
      <c r="AE1467" s="31" t="inlineStr">
        <is>
          <t>Tennis v3 Learned Fundamental on Hard (Bo3): Guiomar Maristany Zuleta De Reales p=0.750 vs Gina Feistel. Executable ask 0.7100 (aec-wta-ginfei-guimar-2026-10-13).</t>
        </is>
      </c>
      <c r="AF1467" s="31" t="inlineStr">
        <is>
          <t>Surface-blended Elo model; singles only, WTA+ATP market coverage, not yet locked-holdout qualified -- promoted by explicit operator directive, not genuine walk-forward validation.</t>
        </is>
      </c>
      <c r="AG1467" s="24" t="inlineStr">
        <is>
          <t>not_applicable</t>
        </is>
      </c>
      <c r="AH1467" s="24" t="n"/>
      <c r="AI1467" s="31" t="n"/>
      <c r="AJ1467" s="31" t="n"/>
      <c r="AK1467" s="24" t="inlineStr">
        <is>
          <t>paper_call</t>
        </is>
      </c>
      <c r="AL1467" s="26" t="n">
        <v>4</v>
      </c>
      <c r="AM1467" s="24" t="inlineStr">
        <is>
          <t>RESEARCH_OBSERVATION</t>
        </is>
      </c>
      <c r="AN1467" s="24" t="inlineStr">
        <is>
          <t>CALL</t>
        </is>
      </c>
      <c r="AO1467" s="24" t="inlineStr">
        <is>
          <t>PAPER_CALL_LOW_EDGE</t>
        </is>
      </c>
      <c r="AP1467" s="24" t="inlineStr">
        <is>
          <t>Guiomar Maristany Zuleta De Reales</t>
        </is>
      </c>
      <c r="AQ1467" s="24" t="inlineStr">
        <is>
          <t>Guiomar Maristany Zuleta De Reales</t>
        </is>
      </c>
      <c r="AR1467" s="24" t="inlineStr">
        <is>
          <t>Guiomar Maristany Zuleta De Reales</t>
        </is>
      </c>
      <c r="AS1467" s="24" t="inlineStr">
        <is>
          <t>Gina Feistel</t>
        </is>
      </c>
      <c r="AT1467" s="24" t="inlineStr">
        <is>
          <t>Gina Feistel</t>
        </is>
      </c>
      <c r="AU1467" s="24" t="inlineStr">
        <is>
          <t>Gina Feistel</t>
        </is>
      </c>
      <c r="AV1467" s="24" t="n"/>
      <c r="AW1467" s="24" t="n"/>
      <c r="AX1467" s="24" t="inlineStr">
        <is>
          <t>statistical_model</t>
        </is>
      </c>
      <c r="AY1467" s="24" t="n"/>
      <c r="AZ1467" s="24" t="inlineStr">
        <is>
          <t>shadow_qualified</t>
        </is>
      </c>
      <c r="BA1467" s="24" t="inlineStr">
        <is>
          <t>7443acc419841200d57e1edf36b77f1940cdd0c48dce3d43fcd05498a109440b</t>
        </is>
      </c>
      <c r="BB1467" s="24" t="inlineStr">
        <is>
          <t>learned_v3</t>
        </is>
      </c>
      <c r="BC1467" s="24" t="inlineStr">
        <is>
          <t>tennis-learned-v3</t>
        </is>
      </c>
      <c r="BD1467" s="24" t="inlineStr">
        <is>
          <t>7443acc419841200d57e1edf36b77f1940cdd0c48dce3d43fcd05498a109440b</t>
        </is>
      </c>
      <c r="BE1467" s="24" t="inlineStr">
        <is>
          <t>tennis-learned-v3</t>
        </is>
      </c>
      <c r="BF1467" s="24" t="inlineStr">
        <is>
          <t>1</t>
        </is>
      </c>
      <c r="BG1467" s="24" t="inlineStr">
        <is>
          <t>7443acc419841200d57e1edf36b77f1940cdd0c48dce3d43fcd05498a109440b</t>
        </is>
      </c>
      <c r="BH1467" s="24" t="inlineStr">
        <is>
          <t>2026-10-13T10:39:55.788719Z</t>
        </is>
      </c>
      <c r="BI1467" s="24" t="inlineStr">
        <is>
          <t>["same_event","same_team_same_day","same_league_same_day"]</t>
        </is>
      </c>
      <c r="BJ1467" s="25" t="n"/>
      <c r="BK1467" s="26" t="n">
        <v>-245</v>
      </c>
      <c r="BL1467" s="27" t="n">
        <v>1.408163</v>
      </c>
      <c r="BM1467" s="28" t="n">
        <v>0.710145</v>
      </c>
      <c r="BN1467" s="28" t="n"/>
      <c r="BO1467" s="28" t="n"/>
      <c r="BP1467" s="25" t="n"/>
      <c r="BQ1467" s="27" t="n">
        <v>1.408163</v>
      </c>
      <c r="BR1467" s="28" t="n">
        <v>0.71</v>
      </c>
      <c r="BS1467" s="28" t="n"/>
      <c r="BT1467" s="28" t="n"/>
      <c r="BU1467" s="25" t="n"/>
      <c r="BV1467" s="29" t="n"/>
      <c r="BW1467" s="24" t="n"/>
      <c r="BX1467" s="30" t="n"/>
      <c r="BY1467" s="27" t="n"/>
      <c r="BZ1467" s="24" t="n"/>
      <c r="CA1467" s="31" t="n"/>
      <c r="CB1467" s="24" t="n"/>
      <c r="CC1467" s="24" t="n"/>
      <c r="CD1467" s="24" t="n"/>
      <c r="CE1467" s="24" t="n"/>
      <c r="CF1467" s="24" t="n"/>
      <c r="CG1467" s="24" t="n"/>
      <c r="CH1467" s="24" t="n"/>
      <c r="CI1467" s="24" t="n"/>
      <c r="CJ1467" s="24" t="n"/>
      <c r="CK1467" s="24" t="n"/>
      <c r="CL1467" s="24" t="n"/>
      <c r="CM1467" s="24" t="n"/>
      <c r="CN1467" s="24" t="n"/>
      <c r="CO1467" s="24" t="n"/>
      <c r="CP1467" s="24" t="n"/>
      <c r="CQ1467" s="24" t="n"/>
      <c r="CR1467" s="24" t="n"/>
      <c r="CS1467" s="24" t="inlineStr">
        <is>
          <t>True</t>
        </is>
      </c>
      <c r="CT1467" s="24" t="n"/>
      <c r="CU1467" s="24" t="n"/>
      <c r="CV1467" s="24" t="n"/>
      <c r="CW1467" s="24" t="n"/>
      <c r="CX1467" s="24" t="n"/>
      <c r="CY1467" s="24" t="n"/>
      <c r="CZ1467" s="24" t="n"/>
      <c r="DA1467" s="24" t="n"/>
      <c r="DB1467" s="24" t="n"/>
      <c r="DC1467" s="24" t="n"/>
      <c r="DD1467" s="24" t="inlineStr">
        <is>
          <t>ef21ac949f56fcefd11831ed8b49b4d5fb311cd1cdcd2c88166b3c4de15bd390</t>
        </is>
      </c>
      <c r="DE1467" s="24" t="inlineStr">
        <is>
          <t>E:\model-prediction\data\odds\tennis\2026-10-13\polymarket_snapshots.jsonl</t>
        </is>
      </c>
      <c r="DF1467" s="24" t="inlineStr">
        <is>
          <t>1395623:2026-10-13T10:39:55.788719Z</t>
        </is>
      </c>
      <c r="DG1467" s="24" t="n"/>
      <c r="DH1467" s="24" t="n"/>
      <c r="DI1467" s="24" t="n"/>
      <c r="DJ1467" s="24" t="n"/>
      <c r="DK1467" s="24" t="n"/>
      <c r="DL1467" s="24" t="n"/>
      <c r="DM1467" s="24" t="n"/>
      <c r="DN1467" s="24" t="n"/>
      <c r="DO1467" s="24" t="n"/>
      <c r="DP1467" s="24" t="n"/>
      <c r="DQ1467" s="24" t="inlineStr">
        <is>
          <t>{"artifact_hash": "7443acc419841200d57e1edf36b77f1940cdd0c48dce3d43fcd05498a109440b", "away_team": "Guiomar Maristany Zuleta De Reales", "event_id": "1079-2026:185394", "event_start_utc": "2026-10-13T13:00Z", "features": {"elo_p1_surface": 1564.9, "elo_p2_surface": 1481.3, "expected_games_p1": 12.83, "expected_games_p2": 6.09, "expected_total_games": 18.92, "history_matches": 16744, "min_player_matches": 16, "surface": "Hard"}, "historical_source_observation_times_verified": false, "home_team": "Gina Feistel", "inference_inputs": {"best_of": 3, "code_sha256": {"features/elo_ratings.py": "d6513e79d65448c06cc0f9b9eed0eaa091567835128e1f6647a310da8d78a872", "models/tennis.py": "7443acc419841200d57e1edf36b77f1940cdd0c48dce3d43fcd05498a109440b"}, "counts": [69, 16], "market_probability": null, "model_version": "tennis-learned-v3", "overall_ratings": [1604.1534191748215, 1460.9850164185982], "p_serve_a": 0.6693986203292168, "p_serve_b": 0.5106013796707831, "players": ["Guiomar Maristany Zuleta De Reales", "Gina Feistel"], "rest_days": [16.0, 1.0], "sport": "TENNIS", "surface": "Hard", "surface_counts": [59, 16], "surface_ratings": [1564.9425747821429, 1481.2760065291397], "tour": "WTA"}, "market_type": "moneyline", "model_version": "tennis-learned-v3", "observed_at_utc": "2026-10-13T11:17:02.991709+00:00", "probabilities": {"away": 0.7497, "home": 0.2503}, "replay_scope": "Exact full-precision serving state and rounding; upstream historical observation times are not certified.", "schema": "coded-moneyline-replay-v1", "snapshot_hash": "f6bf9600628bf9e65348b34b7a7554d6b4d86c87fad4cea5ff62fe41c2220a4f", "sport": "TENNIS"}</t>
        </is>
      </c>
    </row>
    <row r="1468" ht="36" customHeight="1">
      <c r="A1468" s="24" t="inlineStr">
        <is>
          <t>c7f638311cbc4fb9</t>
        </is>
      </c>
      <c r="B1468" s="24" t="inlineStr">
        <is>
          <t>2026-10-13T11:17:05.945016Z</t>
        </is>
      </c>
      <c r="C1468" s="24" t="inlineStr">
        <is>
          <t>2026-10-13T14:30Z</t>
        </is>
      </c>
      <c r="D1468" s="24" t="inlineStr">
        <is>
          <t>1079-2026:185392</t>
        </is>
      </c>
      <c r="E1468" s="24" t="inlineStr">
        <is>
          <t>TENNIS</t>
        </is>
      </c>
      <c r="F1468" s="24" t="inlineStr">
        <is>
          <t>Milana Ivantsiv</t>
        </is>
      </c>
      <c r="G1468" s="24" t="inlineStr">
        <is>
          <t>Jessica Bouzas Maneiro</t>
        </is>
      </c>
      <c r="H1468" s="24" t="inlineStr">
        <is>
          <t>total</t>
        </is>
      </c>
      <c r="I1468" s="24" t="inlineStr">
        <is>
          <t>under</t>
        </is>
      </c>
      <c r="J1468" s="25" t="n">
        <v>22.5</v>
      </c>
      <c r="K1468" s="24" t="inlineStr">
        <is>
          <t>polymarket_us</t>
        </is>
      </c>
      <c r="L1468" s="26" t="n">
        <v>-9900</v>
      </c>
      <c r="M1468" s="27" t="n">
        <v>1.010101</v>
      </c>
      <c r="N1468" s="28" t="n">
        <v>0.99</v>
      </c>
      <c r="O1468" s="28" t="n">
        <v>0.9872</v>
      </c>
      <c r="P1468" s="28" t="n">
        <v>0.05</v>
      </c>
      <c r="Q1468" s="28" t="n">
        <v>-0.0028</v>
      </c>
      <c r="R1468" s="26" t="n">
        <v>19</v>
      </c>
      <c r="S1468" s="29" t="n">
        <v>1</v>
      </c>
      <c r="T1468" s="24" t="inlineStr">
        <is>
          <t>tennis-learned-v3</t>
        </is>
      </c>
      <c r="U1468" s="24" t="inlineStr">
        <is>
          <t>settled</t>
        </is>
      </c>
      <c r="V1468" s="24" t="inlineStr">
        <is>
          <t>win</t>
        </is>
      </c>
      <c r="W1468" s="26" t="n">
        <v>3</v>
      </c>
      <c r="X1468" s="26" t="n">
        <v>12</v>
      </c>
      <c r="Y1468" s="25" t="n"/>
      <c r="Z1468" s="26" t="n"/>
      <c r="AA1468" s="28" t="n"/>
      <c r="AB1468" s="28" t="n"/>
      <c r="AC1468" s="30" t="n">
        <v>0.0101</v>
      </c>
      <c r="AD1468" s="24" t="inlineStr">
        <is>
          <t>2026-10-13T22:03:43.301073Z</t>
        </is>
      </c>
      <c r="AE1468" s="31" t="inlineStr">
        <is>
          <t>Tennis Markov total games line 22.5: under p=0.987. Executable ask 0.9900 (tsc-wta-jesman-miliva-2026-10-12-tg-22pt5).</t>
        </is>
      </c>
      <c r="AF1468" s="31" t="inlineStr">
        <is>
          <t>Surface-blended Elo model; singles only, WTA+ATP market coverage, not yet locked-holdout qualified -- promoted by explicit operator directive, not genuine walk-forward validation.</t>
        </is>
      </c>
      <c r="AG1468" s="24" t="inlineStr">
        <is>
          <t>not_applicable</t>
        </is>
      </c>
      <c r="AH1468" s="24" t="n"/>
      <c r="AI1468" s="31" t="n"/>
      <c r="AJ1468" s="31" t="n"/>
      <c r="AK1468" s="24" t="inlineStr">
        <is>
          <t>paper_call</t>
        </is>
      </c>
      <c r="AL1468" s="26" t="n">
        <v>4</v>
      </c>
      <c r="AM1468" s="24" t="inlineStr">
        <is>
          <t>RESEARCH_OBSERVATION</t>
        </is>
      </c>
      <c r="AN1468" s="24" t="inlineStr">
        <is>
          <t>CALL</t>
        </is>
      </c>
      <c r="AO1468" s="24" t="inlineStr">
        <is>
          <t>PAPER_CALL_MODEL_UNVALIDATED</t>
        </is>
      </c>
      <c r="AP1468" s="24" t="inlineStr">
        <is>
          <t>Milana Ivantsiv</t>
        </is>
      </c>
      <c r="AQ1468" s="24" t="inlineStr">
        <is>
          <t>Milana Ivantsiv</t>
        </is>
      </c>
      <c r="AR1468" s="24" t="inlineStr">
        <is>
          <t>Milana Ivantsiv</t>
        </is>
      </c>
      <c r="AS1468" s="24" t="inlineStr">
        <is>
          <t>Jessica Bouzas Maneiro</t>
        </is>
      </c>
      <c r="AT1468" s="24" t="inlineStr">
        <is>
          <t>Jessica Bouzas Maneiro</t>
        </is>
      </c>
      <c r="AU1468" s="24" t="inlineStr">
        <is>
          <t>Jessica Bouzas Maneiro</t>
        </is>
      </c>
      <c r="AV1468" s="24" t="n"/>
      <c r="AW1468" s="24" t="n"/>
      <c r="AX1468" s="24" t="inlineStr">
        <is>
          <t>statistical_model</t>
        </is>
      </c>
      <c r="AY1468" s="24" t="n"/>
      <c r="AZ1468" s="24" t="inlineStr">
        <is>
          <t>shadow_qualified</t>
        </is>
      </c>
      <c r="BA1468" s="24" t="inlineStr">
        <is>
          <t>7443acc419841200d57e1edf36b77f1940cdd0c48dce3d43fcd05498a109440b</t>
        </is>
      </c>
      <c r="BB1468" s="24" t="inlineStr">
        <is>
          <t>learned_v3</t>
        </is>
      </c>
      <c r="BC1468" s="24" t="inlineStr">
        <is>
          <t>tennis-learned-v3</t>
        </is>
      </c>
      <c r="BD1468" s="24" t="inlineStr">
        <is>
          <t>7443acc419841200d57e1edf36b77f1940cdd0c48dce3d43fcd05498a109440b</t>
        </is>
      </c>
      <c r="BE1468" s="24" t="inlineStr">
        <is>
          <t>tennis-learned-v3</t>
        </is>
      </c>
      <c r="BF1468" s="24" t="inlineStr">
        <is>
          <t>1</t>
        </is>
      </c>
      <c r="BG1468" s="24" t="inlineStr">
        <is>
          <t>7443acc419841200d57e1edf36b77f1940cdd0c48dce3d43fcd05498a109440b</t>
        </is>
      </c>
      <c r="BH1468" s="24" t="inlineStr">
        <is>
          <t>2026-10-13T05:07:05.746806Z</t>
        </is>
      </c>
      <c r="BI1468" s="24" t="inlineStr">
        <is>
          <t>["same_event","same_team_same_day","same_league_same_day"]</t>
        </is>
      </c>
      <c r="BJ1468" s="25" t="n">
        <v>22.5</v>
      </c>
      <c r="BK1468" s="26" t="n">
        <v>-9900</v>
      </c>
      <c r="BL1468" s="27" t="n">
        <v>1.010101</v>
      </c>
      <c r="BM1468" s="28" t="n">
        <v>0.99</v>
      </c>
      <c r="BN1468" s="28" t="n"/>
      <c r="BO1468" s="28" t="n"/>
      <c r="BP1468" s="25" t="n"/>
      <c r="BQ1468" s="27" t="n"/>
      <c r="BR1468" s="28" t="n"/>
      <c r="BS1468" s="28" t="n"/>
      <c r="BT1468" s="28" t="n"/>
      <c r="BU1468" s="25" t="n"/>
      <c r="BV1468" s="29" t="n"/>
      <c r="BW1468" s="24" t="n"/>
      <c r="BX1468" s="30" t="n"/>
      <c r="BY1468" s="27" t="n"/>
      <c r="BZ1468" s="24" t="n"/>
      <c r="CA1468" s="31" t="n"/>
      <c r="CB1468" s="24" t="n"/>
      <c r="CC1468" s="24" t="n"/>
      <c r="CD1468" s="24" t="n"/>
      <c r="CE1468" s="24" t="n"/>
      <c r="CF1468" s="24" t="n"/>
      <c r="CG1468" s="24" t="n"/>
      <c r="CH1468" s="24" t="n"/>
      <c r="CI1468" s="24" t="n"/>
      <c r="CJ1468" s="24" t="n"/>
      <c r="CK1468" s="24" t="n"/>
      <c r="CL1468" s="24" t="n"/>
      <c r="CM1468" s="24" t="n"/>
      <c r="CN1468" s="24" t="n"/>
      <c r="CO1468" s="24" t="n"/>
      <c r="CP1468" s="24" t="n"/>
      <c r="CQ1468" s="24" t="n"/>
      <c r="CR1468" s="24" t="n"/>
      <c r="CS1468" s="24" t="inlineStr">
        <is>
          <t>False</t>
        </is>
      </c>
      <c r="CT1468" s="24" t="n"/>
      <c r="CU1468" s="24" t="n"/>
      <c r="CV1468" s="24" t="n"/>
      <c r="CW1468" s="24" t="n"/>
      <c r="CX1468" s="24" t="n"/>
      <c r="CY1468" s="24" t="n"/>
      <c r="CZ1468" s="24" t="n"/>
      <c r="DA1468" s="24" t="n"/>
      <c r="DB1468" s="24" t="n"/>
      <c r="DC1468" s="24" t="n"/>
      <c r="DD1468" s="24" t="inlineStr">
        <is>
          <t>22b65ea92ca789d3dc0edc88a63deeba823a6ec02ccb550094c9a0faa0f276f8</t>
        </is>
      </c>
      <c r="DE1468" s="24" t="inlineStr">
        <is>
          <t>E:\model-prediction\data\odds\tennis\2026-10-13\polymarket_snapshots.jsonl</t>
        </is>
      </c>
      <c r="DF1468" s="24" t="inlineStr">
        <is>
          <t>1373204:2026-10-13T05:07:05.746806Z</t>
        </is>
      </c>
      <c r="DG1468" s="24" t="n"/>
      <c r="DH1468" s="24" t="n"/>
      <c r="DI1468" s="24" t="n"/>
      <c r="DJ1468" s="24" t="n"/>
      <c r="DK1468" s="24" t="n"/>
      <c r="DL1468" s="24" t="n"/>
      <c r="DM1468" s="24" t="n"/>
      <c r="DN1468" s="24" t="n"/>
      <c r="DO1468" s="24" t="n"/>
      <c r="DP1468" s="24" t="n"/>
      <c r="DQ1468" s="24" t="n"/>
    </row>
    <row r="1469" ht="36" customHeight="1">
      <c r="A1469" s="24" t="inlineStr">
        <is>
          <t>a6aed67797594ba5</t>
        </is>
      </c>
      <c r="B1469" s="24" t="inlineStr">
        <is>
          <t>2026-10-13T11:17:05.945016Z</t>
        </is>
      </c>
      <c r="C1469" s="24" t="inlineStr">
        <is>
          <t>2026-10-13T11:30Z</t>
        </is>
      </c>
      <c r="D1469" s="24" t="inlineStr">
        <is>
          <t>315-2026:184952</t>
        </is>
      </c>
      <c r="E1469" s="24" t="inlineStr">
        <is>
          <t>TENNIS</t>
        </is>
      </c>
      <c r="F1469" s="24" t="inlineStr">
        <is>
          <t>Alejandro Davidovich Fokina</t>
        </is>
      </c>
      <c r="G1469" s="24" t="inlineStr">
        <is>
          <t>Hubert Hurkacz</t>
        </is>
      </c>
      <c r="H1469" s="24" t="inlineStr">
        <is>
          <t>total</t>
        </is>
      </c>
      <c r="I1469" s="24" t="inlineStr">
        <is>
          <t>over</t>
        </is>
      </c>
      <c r="J1469" s="25" t="n">
        <v>22.5</v>
      </c>
      <c r="K1469" s="24" t="inlineStr">
        <is>
          <t>polymarket_us</t>
        </is>
      </c>
      <c r="L1469" s="26" t="n">
        <v>-223</v>
      </c>
      <c r="M1469" s="27" t="n">
        <v>1.44843</v>
      </c>
      <c r="N1469" s="28" t="n">
        <v>0.690402</v>
      </c>
      <c r="O1469" s="28" t="n">
        <v>0.6028</v>
      </c>
      <c r="P1469" s="28" t="n">
        <v>0.05</v>
      </c>
      <c r="Q1469" s="28" t="n">
        <v>-0.087602</v>
      </c>
      <c r="R1469" s="26" t="n">
        <v>0</v>
      </c>
      <c r="S1469" s="29" t="n">
        <v>1</v>
      </c>
      <c r="T1469" s="24" t="inlineStr">
        <is>
          <t>tennis-learned-v3</t>
        </is>
      </c>
      <c r="U1469" s="24" t="inlineStr">
        <is>
          <t>settled</t>
        </is>
      </c>
      <c r="V1469" s="24" t="inlineStr">
        <is>
          <t>win</t>
        </is>
      </c>
      <c r="W1469" s="26" t="n">
        <v>14</v>
      </c>
      <c r="X1469" s="26" t="n">
        <v>15</v>
      </c>
      <c r="Y1469" s="25" t="n"/>
      <c r="Z1469" s="26" t="n"/>
      <c r="AA1469" s="28" t="n"/>
      <c r="AB1469" s="28" t="n"/>
      <c r="AC1469" s="30" t="n">
        <v>0.4484</v>
      </c>
      <c r="AD1469" s="24" t="inlineStr">
        <is>
          <t>2026-10-13T16:15:15.636508Z</t>
        </is>
      </c>
      <c r="AE1469" s="31" t="inlineStr">
        <is>
          <t>Tennis Markov total games line 22.5: over p=0.603. Executable ask 0.6900 (tsc-atp-hubhur-alefok-2026-10-13-tg-22pt5).</t>
        </is>
      </c>
      <c r="AF1469" s="31" t="inlineStr">
        <is>
          <t>Surface-blended Elo model; singles only, WTA+ATP market coverage, not yet locked-holdout qualified -- promoted by explicit operator directive, not genuine walk-forward validation.</t>
        </is>
      </c>
      <c r="AG1469" s="24" t="inlineStr">
        <is>
          <t>not_applicable</t>
        </is>
      </c>
      <c r="AH1469" s="24" t="n"/>
      <c r="AI1469" s="31" t="n"/>
      <c r="AJ1469" s="31" t="n"/>
      <c r="AK1469" s="24" t="inlineStr">
        <is>
          <t>paper_call</t>
        </is>
      </c>
      <c r="AL1469" s="26" t="n">
        <v>4</v>
      </c>
      <c r="AM1469" s="24" t="inlineStr">
        <is>
          <t>RESEARCH_OBSERVATION</t>
        </is>
      </c>
      <c r="AN1469" s="24" t="inlineStr">
        <is>
          <t>CALL</t>
        </is>
      </c>
      <c r="AO1469" s="24" t="inlineStr">
        <is>
          <t>PAPER_CALL_LOW_EDGE</t>
        </is>
      </c>
      <c r="AP1469" s="24" t="inlineStr">
        <is>
          <t>Alejandro Davidovich Fokina</t>
        </is>
      </c>
      <c r="AQ1469" s="24" t="inlineStr">
        <is>
          <t>Alejandro Davidovich Fokina</t>
        </is>
      </c>
      <c r="AR1469" s="24" t="inlineStr">
        <is>
          <t>Alejandro Davidovich Fokina</t>
        </is>
      </c>
      <c r="AS1469" s="24" t="inlineStr">
        <is>
          <t>Hubert Hurkacz</t>
        </is>
      </c>
      <c r="AT1469" s="24" t="inlineStr">
        <is>
          <t>Hubert Hurkacz</t>
        </is>
      </c>
      <c r="AU1469" s="24" t="inlineStr">
        <is>
          <t>Hubert Hurkacz</t>
        </is>
      </c>
      <c r="AV1469" s="24" t="n"/>
      <c r="AW1469" s="24" t="n"/>
      <c r="AX1469" s="24" t="inlineStr">
        <is>
          <t>statistical_model</t>
        </is>
      </c>
      <c r="AY1469" s="24" t="n"/>
      <c r="AZ1469" s="24" t="inlineStr">
        <is>
          <t>shadow_qualified</t>
        </is>
      </c>
      <c r="BA1469" s="24" t="inlineStr">
        <is>
          <t>7443acc419841200d57e1edf36b77f1940cdd0c48dce3d43fcd05498a109440b</t>
        </is>
      </c>
      <c r="BB1469" s="24" t="inlineStr">
        <is>
          <t>learned_v3</t>
        </is>
      </c>
      <c r="BC1469" s="24" t="inlineStr">
        <is>
          <t>tennis-learned-v3</t>
        </is>
      </c>
      <c r="BD1469" s="24" t="inlineStr">
        <is>
          <t>7443acc419841200d57e1edf36b77f1940cdd0c48dce3d43fcd05498a109440b</t>
        </is>
      </c>
      <c r="BE1469" s="24" t="inlineStr">
        <is>
          <t>tennis-learned-v3</t>
        </is>
      </c>
      <c r="BF1469" s="24" t="inlineStr">
        <is>
          <t>1</t>
        </is>
      </c>
      <c r="BG1469" s="24" t="inlineStr">
        <is>
          <t>7443acc419841200d57e1edf36b77f1940cdd0c48dce3d43fcd05498a109440b</t>
        </is>
      </c>
      <c r="BH1469" s="24" t="inlineStr">
        <is>
          <t>2026-10-13T05:19:18.737460Z</t>
        </is>
      </c>
      <c r="BI1469" s="24" t="inlineStr">
        <is>
          <t>["same_event","same_team_same_day","same_league_same_day"]</t>
        </is>
      </c>
      <c r="BJ1469" s="25" t="n">
        <v>22.5</v>
      </c>
      <c r="BK1469" s="26" t="n">
        <v>-223</v>
      </c>
      <c r="BL1469" s="27" t="n">
        <v>1.44843</v>
      </c>
      <c r="BM1469" s="28" t="n">
        <v>0.690402</v>
      </c>
      <c r="BN1469" s="28" t="n"/>
      <c r="BO1469" s="28" t="n"/>
      <c r="BP1469" s="25" t="n"/>
      <c r="BQ1469" s="27" t="n"/>
      <c r="BR1469" s="28" t="n"/>
      <c r="BS1469" s="28" t="n"/>
      <c r="BT1469" s="28" t="n"/>
      <c r="BU1469" s="25" t="n"/>
      <c r="BV1469" s="29" t="n"/>
      <c r="BW1469" s="24" t="n"/>
      <c r="BX1469" s="30" t="n"/>
      <c r="BY1469" s="27" t="n"/>
      <c r="BZ1469" s="24" t="n"/>
      <c r="CA1469" s="31" t="n"/>
      <c r="CB1469" s="24" t="n"/>
      <c r="CC1469" s="24" t="n"/>
      <c r="CD1469" s="24" t="n"/>
      <c r="CE1469" s="24" t="n"/>
      <c r="CF1469" s="24" t="n"/>
      <c r="CG1469" s="24" t="n"/>
      <c r="CH1469" s="24" t="n"/>
      <c r="CI1469" s="24" t="n"/>
      <c r="CJ1469" s="24" t="n"/>
      <c r="CK1469" s="24" t="n"/>
      <c r="CL1469" s="24" t="n"/>
      <c r="CM1469" s="24" t="n"/>
      <c r="CN1469" s="24" t="n"/>
      <c r="CO1469" s="24" t="n"/>
      <c r="CP1469" s="24" t="n"/>
      <c r="CQ1469" s="24" t="n"/>
      <c r="CR1469" s="24" t="n"/>
      <c r="CS1469" s="24" t="inlineStr">
        <is>
          <t>False</t>
        </is>
      </c>
      <c r="CT1469" s="24" t="n"/>
      <c r="CU1469" s="24" t="n"/>
      <c r="CV1469" s="24" t="n"/>
      <c r="CW1469" s="24" t="n"/>
      <c r="CX1469" s="24" t="n"/>
      <c r="CY1469" s="24" t="n"/>
      <c r="CZ1469" s="24" t="n"/>
      <c r="DA1469" s="24" t="n"/>
      <c r="DB1469" s="24" t="n"/>
      <c r="DC1469" s="24" t="n"/>
      <c r="DD1469" s="24" t="inlineStr">
        <is>
          <t>7828137f4780192da8b1324d100a1a79945da47fad5c3a97238deade54e569bb</t>
        </is>
      </c>
      <c r="DE1469" s="24" t="inlineStr">
        <is>
          <t>E:\model-prediction\data\odds\tennis\2026-10-13\polymarket_snapshots.jsonl</t>
        </is>
      </c>
      <c r="DF1469" s="24" t="inlineStr">
        <is>
          <t>1384017:2026-10-13T05:19:18.737460Z</t>
        </is>
      </c>
      <c r="DG1469" s="24" t="n"/>
      <c r="DH1469" s="24" t="n"/>
      <c r="DI1469" s="24" t="n"/>
      <c r="DJ1469" s="24" t="n"/>
      <c r="DK1469" s="24" t="n"/>
      <c r="DL1469" s="24" t="n"/>
      <c r="DM1469" s="24" t="n"/>
      <c r="DN1469" s="24" t="n"/>
      <c r="DO1469" s="24" t="n"/>
      <c r="DP1469" s="24" t="n"/>
      <c r="DQ1469" s="24" t="n"/>
    </row>
    <row r="1470" ht="36" customHeight="1">
      <c r="A1470" s="24" t="inlineStr">
        <is>
          <t>6f7e8860c18e48ad</t>
        </is>
      </c>
      <c r="B1470" s="24" t="inlineStr">
        <is>
          <t>2026-10-13T11:17:05.945016Z</t>
        </is>
      </c>
      <c r="C1470" s="24" t="inlineStr">
        <is>
          <t>2026-10-13T11:30Z</t>
        </is>
      </c>
      <c r="D1470" s="24" t="inlineStr">
        <is>
          <t>315-2026:184952</t>
        </is>
      </c>
      <c r="E1470" s="24" t="inlineStr">
        <is>
          <t>TENNIS</t>
        </is>
      </c>
      <c r="F1470" s="24" t="inlineStr">
        <is>
          <t>Alejandro Davidovich Fokina</t>
        </is>
      </c>
      <c r="G1470" s="24" t="inlineStr">
        <is>
          <t>Hubert Hurkacz</t>
        </is>
      </c>
      <c r="H1470" s="24" t="inlineStr">
        <is>
          <t>moneyline</t>
        </is>
      </c>
      <c r="I1470" s="24" t="inlineStr">
        <is>
          <t>away</t>
        </is>
      </c>
      <c r="J1470" s="25" t="n"/>
      <c r="K1470" s="24" t="inlineStr">
        <is>
          <t>polymarket_us</t>
        </is>
      </c>
      <c r="L1470" s="26" t="n">
        <v>100</v>
      </c>
      <c r="M1470" s="27" t="n">
        <v>2</v>
      </c>
      <c r="N1470" s="28" t="n">
        <v>0.5</v>
      </c>
      <c r="O1470" s="28" t="n">
        <v>0.5244</v>
      </c>
      <c r="P1470" s="28" t="n">
        <v>0.05</v>
      </c>
      <c r="Q1470" s="28" t="n">
        <v>0.0244</v>
      </c>
      <c r="R1470" s="26" t="n">
        <v>32</v>
      </c>
      <c r="S1470" s="29" t="n">
        <v>1</v>
      </c>
      <c r="T1470" s="24" t="inlineStr">
        <is>
          <t>tennis-learned-v3</t>
        </is>
      </c>
      <c r="U1470" s="24" t="inlineStr">
        <is>
          <t>settled</t>
        </is>
      </c>
      <c r="V1470" s="24" t="inlineStr">
        <is>
          <t>win</t>
        </is>
      </c>
      <c r="W1470" s="26" t="n">
        <v>1</v>
      </c>
      <c r="X1470" s="26" t="n">
        <v>0</v>
      </c>
      <c r="Y1470" s="25" t="n"/>
      <c r="Z1470" s="26" t="n">
        <v>100</v>
      </c>
      <c r="AA1470" s="28" t="n">
        <v>0.5</v>
      </c>
      <c r="AB1470" s="28" t="n">
        <v>0</v>
      </c>
      <c r="AC1470" s="30" t="n">
        <v>1</v>
      </c>
      <c r="AD1470" s="24" t="inlineStr">
        <is>
          <t>2026-10-13T16:15:21.107031Z</t>
        </is>
      </c>
      <c r="AE1470" s="31" t="inlineStr">
        <is>
          <t>Tennis v3 Learned Fundamental on Hard (Bo3): Alejandro Davidovich Fokina p=0.524 vs Hubert Hurkacz. Executable ask 0.5000 (aec-atp-hubhur-alefok-2026-10-13).</t>
        </is>
      </c>
      <c r="AF1470" s="31" t="inlineStr">
        <is>
          <t>Surface-blended Elo model; singles only, WTA+ATP market coverage, not yet locked-holdout qualified -- promoted by explicit operator directive, not genuine walk-forward validation.</t>
        </is>
      </c>
      <c r="AG1470" s="24" t="inlineStr">
        <is>
          <t>not_applicable</t>
        </is>
      </c>
      <c r="AH1470" s="24" t="n"/>
      <c r="AI1470" s="31" t="n"/>
      <c r="AJ1470" s="31" t="n"/>
      <c r="AK1470" s="24" t="inlineStr">
        <is>
          <t>paper_call</t>
        </is>
      </c>
      <c r="AL1470" s="26" t="n">
        <v>4</v>
      </c>
      <c r="AM1470" s="24" t="inlineStr">
        <is>
          <t>RESEARCH_OBSERVATION</t>
        </is>
      </c>
      <c r="AN1470" s="24" t="inlineStr">
        <is>
          <t>CALL</t>
        </is>
      </c>
      <c r="AO1470" s="24" t="inlineStr">
        <is>
          <t>PAPER_CALL_LOW_EDGE</t>
        </is>
      </c>
      <c r="AP1470" s="24" t="inlineStr">
        <is>
          <t>Alejandro Davidovich Fokina</t>
        </is>
      </c>
      <c r="AQ1470" s="24" t="inlineStr">
        <is>
          <t>Alejandro Davidovich Fokina</t>
        </is>
      </c>
      <c r="AR1470" s="24" t="inlineStr">
        <is>
          <t>Alejandro Davidovich Fokina</t>
        </is>
      </c>
      <c r="AS1470" s="24" t="inlineStr">
        <is>
          <t>Hubert Hurkacz</t>
        </is>
      </c>
      <c r="AT1470" s="24" t="inlineStr">
        <is>
          <t>Hubert Hurkacz</t>
        </is>
      </c>
      <c r="AU1470" s="24" t="inlineStr">
        <is>
          <t>Hubert Hurkacz</t>
        </is>
      </c>
      <c r="AV1470" s="24" t="n"/>
      <c r="AW1470" s="24" t="n"/>
      <c r="AX1470" s="24" t="inlineStr">
        <is>
          <t>statistical_model</t>
        </is>
      </c>
      <c r="AY1470" s="24" t="n"/>
      <c r="AZ1470" s="24" t="inlineStr">
        <is>
          <t>shadow_qualified</t>
        </is>
      </c>
      <c r="BA1470" s="24" t="inlineStr">
        <is>
          <t>7443acc419841200d57e1edf36b77f1940cdd0c48dce3d43fcd05498a109440b</t>
        </is>
      </c>
      <c r="BB1470" s="24" t="inlineStr">
        <is>
          <t>learned_v3</t>
        </is>
      </c>
      <c r="BC1470" s="24" t="inlineStr">
        <is>
          <t>tennis-learned-v3</t>
        </is>
      </c>
      <c r="BD1470" s="24" t="inlineStr">
        <is>
          <t>7443acc419841200d57e1edf36b77f1940cdd0c48dce3d43fcd05498a109440b</t>
        </is>
      </c>
      <c r="BE1470" s="24" t="inlineStr">
        <is>
          <t>tennis-learned-v3</t>
        </is>
      </c>
      <c r="BF1470" s="24" t="inlineStr">
        <is>
          <t>1</t>
        </is>
      </c>
      <c r="BG1470" s="24" t="inlineStr">
        <is>
          <t>7443acc419841200d57e1edf36b77f1940cdd0c48dce3d43fcd05498a109440b</t>
        </is>
      </c>
      <c r="BH1470" s="24" t="inlineStr">
        <is>
          <t>2026-10-13T10:50:57.082594Z</t>
        </is>
      </c>
      <c r="BI1470" s="24" t="inlineStr">
        <is>
          <t>["same_event","same_team_same_day","same_league_same_day"]</t>
        </is>
      </c>
      <c r="BJ1470" s="25" t="n"/>
      <c r="BK1470" s="26" t="n">
        <v>100</v>
      </c>
      <c r="BL1470" s="27" t="n">
        <v>2</v>
      </c>
      <c r="BM1470" s="28" t="n">
        <v>0.5</v>
      </c>
      <c r="BN1470" s="28" t="n"/>
      <c r="BO1470" s="28" t="n"/>
      <c r="BP1470" s="25" t="n"/>
      <c r="BQ1470" s="27" t="n">
        <v>2</v>
      </c>
      <c r="BR1470" s="28" t="n">
        <v>0.5</v>
      </c>
      <c r="BS1470" s="28" t="n"/>
      <c r="BT1470" s="28" t="n"/>
      <c r="BU1470" s="25" t="n"/>
      <c r="BV1470" s="29" t="n"/>
      <c r="BW1470" s="24" t="n"/>
      <c r="BX1470" s="30" t="n"/>
      <c r="BY1470" s="27" t="n"/>
      <c r="BZ1470" s="24" t="n"/>
      <c r="CA1470" s="31" t="n"/>
      <c r="CB1470" s="24" t="n"/>
      <c r="CC1470" s="24" t="n"/>
      <c r="CD1470" s="24" t="n"/>
      <c r="CE1470" s="24" t="n"/>
      <c r="CF1470" s="24" t="n"/>
      <c r="CG1470" s="24" t="n"/>
      <c r="CH1470" s="24" t="n"/>
      <c r="CI1470" s="24" t="n"/>
      <c r="CJ1470" s="24" t="n"/>
      <c r="CK1470" s="24" t="n"/>
      <c r="CL1470" s="24" t="n"/>
      <c r="CM1470" s="24" t="n"/>
      <c r="CN1470" s="24" t="n"/>
      <c r="CO1470" s="24" t="n"/>
      <c r="CP1470" s="24" t="n"/>
      <c r="CQ1470" s="24" t="n"/>
      <c r="CR1470" s="24" t="n"/>
      <c r="CS1470" s="24" t="inlineStr">
        <is>
          <t>True</t>
        </is>
      </c>
      <c r="CT1470" s="24" t="n"/>
      <c r="CU1470" s="24" t="n"/>
      <c r="CV1470" s="24" t="n"/>
      <c r="CW1470" s="24" t="n"/>
      <c r="CX1470" s="24" t="n"/>
      <c r="CY1470" s="24" t="n"/>
      <c r="CZ1470" s="24" t="n"/>
      <c r="DA1470" s="24" t="n"/>
      <c r="DB1470" s="24" t="n"/>
      <c r="DC1470" s="24" t="n"/>
      <c r="DD1470" s="24" t="inlineStr">
        <is>
          <t>4eb29aa0d6e8039b6fc7db55e49f4994c414bc8f3d709207917a7b4b1e1e92b0</t>
        </is>
      </c>
      <c r="DE1470" s="24" t="inlineStr">
        <is>
          <t>E:\model-prediction\data\odds\tennis\2026-10-13\polymarket_snapshots.jsonl</t>
        </is>
      </c>
      <c r="DF1470" s="24" t="inlineStr">
        <is>
          <t>1372752:2026-10-13T10:50:57.082594Z</t>
        </is>
      </c>
      <c r="DG1470" s="24" t="n"/>
      <c r="DH1470" s="24" t="n"/>
      <c r="DI1470" s="24" t="n"/>
      <c r="DJ1470" s="24" t="n"/>
      <c r="DK1470" s="24" t="n"/>
      <c r="DL1470" s="24" t="n"/>
      <c r="DM1470" s="24" t="n"/>
      <c r="DN1470" s="24" t="n"/>
      <c r="DO1470" s="24" t="n"/>
      <c r="DP1470" s="24" t="n"/>
      <c r="DQ1470" s="24" t="inlineStr">
        <is>
          <t>{"artifact_hash": "7443acc419841200d57e1edf36b77f1940cdd0c48dce3d43fcd05498a109440b", "away_team": "Alejandro Davidovich Fokina", "event_id": "315-2026:184952", "event_start_utc": "2026-10-13T11:30Z", "features": {"elo_p1_surface": 1645.2, "elo_p2_surface": 1627.5, "expected_games_p1": 13.29, "expected_games_p2": 12.17, "expected_total_games": 25.46, "history_matches": 11486, "min_player_matches": 115, "surface": "Hard"}, "historical_source_observation_times_verified": false, "home_team": "Hubert Hurkacz", "inference_inputs": {"best_of": 3, "code_sha256": {"features/elo_ratings.py": "d6513e79d65448c06cc0f9b9eed0eaa091567835128e1f6647a310da8d78a872", "models/tennis.py": "7443acc419841200d57e1edf36b77f1940cdd0c48dce3d43fcd05498a109440b"}, "counts": [155, 115], "market_probability": null, "model_version": "tennis-learned-v3", "overall_ratings": [1742.0030410898366, 1748.8744355414235], "p_serve_a": 0.6420663331657885, "p_serve_b": 0.6279336668342115, "players": ["Alejandro Davidovich Fokina", "Hubert Hurkacz"], "rest_days": [1.0, 2.0], "sport": "TENNIS", "surface": "Hard", "surface_counts": [107, 65], "surface_ratings": [1645.2176279487087, 1627.4593357492606], "tour": "ATP"}, "market_type": "moneyline", "model_version": "tennis-learned-v3", "observed_at_utc": "2026-10-13T11:17:02.991709+00:00", "probabilities": {"away": 0.5244, "home": 0.4756}, "replay_scope": "Exact full-precision serving state and rounding; upstream historical observation times are not certified.", "schema": "coded-moneyline-replay-v1", "snapshot_hash": "74af55baa4612d9837e09437a3918e1abcb9fa4cd2c1f6a71b7d94126fc31a7d", "sport": "TENNIS"}</t>
        </is>
      </c>
    </row>
    <row r="1471" ht="36" customHeight="1">
      <c r="A1471" s="24" t="inlineStr">
        <is>
          <t>6e5877d626b64872</t>
        </is>
      </c>
      <c r="B1471" s="24" t="inlineStr">
        <is>
          <t>2026-10-13T11:17:05.945016Z</t>
        </is>
      </c>
      <c r="C1471" s="24" t="inlineStr">
        <is>
          <t>2026-10-13T11:30Z</t>
        </is>
      </c>
      <c r="D1471" s="24" t="inlineStr">
        <is>
          <t>315-2026:184952</t>
        </is>
      </c>
      <c r="E1471" s="24" t="inlineStr">
        <is>
          <t>TENNIS</t>
        </is>
      </c>
      <c r="F1471" s="24" t="inlineStr">
        <is>
          <t>Alejandro Davidovich Fokina</t>
        </is>
      </c>
      <c r="G1471" s="24" t="inlineStr">
        <is>
          <t>Hubert Hurkacz</t>
        </is>
      </c>
      <c r="H1471" s="24" t="inlineStr">
        <is>
          <t>spread</t>
        </is>
      </c>
      <c r="I1471" s="24" t="inlineStr">
        <is>
          <t>away</t>
        </is>
      </c>
      <c r="J1471" s="25" t="n">
        <v>-7.5</v>
      </c>
      <c r="K1471" s="24" t="inlineStr">
        <is>
          <t>polymarket_us</t>
        </is>
      </c>
      <c r="L1471" s="26" t="n">
        <v>335</v>
      </c>
      <c r="M1471" s="27" t="n">
        <v>4.35</v>
      </c>
      <c r="N1471" s="28" t="n">
        <v>0.229885</v>
      </c>
      <c r="O1471" s="28" t="n">
        <v>0.9922</v>
      </c>
      <c r="P1471" s="28" t="n">
        <v>0.05</v>
      </c>
      <c r="Q1471" s="28" t="n">
        <v>0.762315</v>
      </c>
      <c r="R1471" s="26" t="n">
        <v>100</v>
      </c>
      <c r="S1471" s="29" t="n">
        <v>2</v>
      </c>
      <c r="T1471" s="24" t="inlineStr">
        <is>
          <t>tennis-learned-v3</t>
        </is>
      </c>
      <c r="U1471" s="24" t="inlineStr">
        <is>
          <t>settled</t>
        </is>
      </c>
      <c r="V1471" s="24" t="inlineStr">
        <is>
          <t>loss</t>
        </is>
      </c>
      <c r="W1471" s="26" t="n">
        <v>14</v>
      </c>
      <c r="X1471" s="26" t="n">
        <v>15</v>
      </c>
      <c r="Y1471" s="25" t="n"/>
      <c r="Z1471" s="26" t="n"/>
      <c r="AA1471" s="28" t="n"/>
      <c r="AB1471" s="28" t="n"/>
      <c r="AC1471" s="30" t="n">
        <v>-2</v>
      </c>
      <c r="AD1471" s="24" t="inlineStr">
        <is>
          <t>2026-10-13T16:15:27.866368Z</t>
        </is>
      </c>
      <c r="AE1471" s="31" t="inlineStr">
        <is>
          <t>Tennis Markov game spread -7.5 games: away cover p=0.992. Executable ask 0.2300 (asc-atp-hubhur-alefok-2026-10-13-gs-neg-7pt5).</t>
        </is>
      </c>
      <c r="AF1471" s="31" t="inlineStr">
        <is>
          <t>Surface-blended Elo model; singles only, WTA+ATP market coverage, not yet locked-holdout qualified -- promoted by explicit operator directive, not genuine walk-forward validation.</t>
        </is>
      </c>
      <c r="AG1471" s="24" t="inlineStr">
        <is>
          <t>review_required</t>
        </is>
      </c>
      <c r="AH1471" s="24" t="n"/>
      <c r="AI1471" s="31" t="n"/>
      <c r="AJ1471" s="31" t="n"/>
      <c r="AK1471" s="24" t="inlineStr">
        <is>
          <t>model_qualified</t>
        </is>
      </c>
      <c r="AL1471" s="26" t="n">
        <v>4</v>
      </c>
      <c r="AM1471" s="24" t="inlineStr">
        <is>
          <t>QUALIFIED_SHADOW_CALL</t>
        </is>
      </c>
      <c r="AN1471" s="24" t="inlineStr">
        <is>
          <t>CALL</t>
        </is>
      </c>
      <c r="AO1471" s="24" t="inlineStr">
        <is>
          <t>QUALIFIED</t>
        </is>
      </c>
      <c r="AP1471" s="24" t="inlineStr">
        <is>
          <t>Alejandro Davidovich Fokina</t>
        </is>
      </c>
      <c r="AQ1471" s="24" t="inlineStr">
        <is>
          <t>Alejandro Davidovich Fokina</t>
        </is>
      </c>
      <c r="AR1471" s="24" t="inlineStr">
        <is>
          <t>Alejandro Davidovich Fokina</t>
        </is>
      </c>
      <c r="AS1471" s="24" t="inlineStr">
        <is>
          <t>Hubert Hurkacz</t>
        </is>
      </c>
      <c r="AT1471" s="24" t="inlineStr">
        <is>
          <t>Hubert Hurkacz</t>
        </is>
      </c>
      <c r="AU1471" s="24" t="inlineStr">
        <is>
          <t>Hubert Hurkacz</t>
        </is>
      </c>
      <c r="AV1471" s="24" t="n"/>
      <c r="AW1471" s="24" t="n"/>
      <c r="AX1471" s="24" t="inlineStr">
        <is>
          <t>statistical_model</t>
        </is>
      </c>
      <c r="AY1471" s="24" t="n"/>
      <c r="AZ1471" s="24" t="inlineStr">
        <is>
          <t>shadow_qualified</t>
        </is>
      </c>
      <c r="BA1471" s="24" t="inlineStr">
        <is>
          <t>7443acc419841200d57e1edf36b77f1940cdd0c48dce3d43fcd05498a109440b</t>
        </is>
      </c>
      <c r="BB1471" s="24" t="inlineStr">
        <is>
          <t>learned_v3</t>
        </is>
      </c>
      <c r="BC1471" s="24" t="inlineStr">
        <is>
          <t>tennis-learned-v3</t>
        </is>
      </c>
      <c r="BD1471" s="24" t="inlineStr">
        <is>
          <t>7443acc419841200d57e1edf36b77f1940cdd0c48dce3d43fcd05498a109440b</t>
        </is>
      </c>
      <c r="BE1471" s="24" t="inlineStr">
        <is>
          <t>tennis-learned-v3</t>
        </is>
      </c>
      <c r="BF1471" s="24" t="inlineStr">
        <is>
          <t>1</t>
        </is>
      </c>
      <c r="BG1471" s="24" t="inlineStr">
        <is>
          <t>7443acc419841200d57e1edf36b77f1940cdd0c48dce3d43fcd05498a109440b</t>
        </is>
      </c>
      <c r="BH1471" s="24" t="inlineStr">
        <is>
          <t>2026-10-13T10:50:16.837269Z</t>
        </is>
      </c>
      <c r="BI1471" s="24" t="inlineStr">
        <is>
          <t>["same_event","same_team_same_day","same_league_same_day"]</t>
        </is>
      </c>
      <c r="BJ1471" s="25" t="n">
        <v>-7.5</v>
      </c>
      <c r="BK1471" s="26" t="n">
        <v>335</v>
      </c>
      <c r="BL1471" s="27" t="n">
        <v>4.35</v>
      </c>
      <c r="BM1471" s="28" t="n">
        <v>0.229885</v>
      </c>
      <c r="BN1471" s="28" t="n"/>
      <c r="BO1471" s="28" t="n"/>
      <c r="BP1471" s="25" t="n"/>
      <c r="BQ1471" s="27" t="n"/>
      <c r="BR1471" s="28" t="n"/>
      <c r="BS1471" s="28" t="n"/>
      <c r="BT1471" s="28" t="n"/>
      <c r="BU1471" s="25" t="n"/>
      <c r="BV1471" s="29" t="n"/>
      <c r="BW1471" s="24" t="n"/>
      <c r="BX1471" s="30" t="n"/>
      <c r="BY1471" s="27" t="n"/>
      <c r="BZ1471" s="24" t="n"/>
      <c r="CA1471" s="31" t="n"/>
      <c r="CB1471" s="24" t="n"/>
      <c r="CC1471" s="24" t="n"/>
      <c r="CD1471" s="24" t="n"/>
      <c r="CE1471" s="24" t="n"/>
      <c r="CF1471" s="24" t="n"/>
      <c r="CG1471" s="24" t="n"/>
      <c r="CH1471" s="24" t="n"/>
      <c r="CI1471" s="24" t="n"/>
      <c r="CJ1471" s="24" t="n"/>
      <c r="CK1471" s="24" t="n"/>
      <c r="CL1471" s="24" t="n"/>
      <c r="CM1471" s="24" t="n"/>
      <c r="CN1471" s="24" t="n"/>
      <c r="CO1471" s="24" t="n"/>
      <c r="CP1471" s="24" t="n"/>
      <c r="CQ1471" s="24" t="n"/>
      <c r="CR1471" s="24" t="n"/>
      <c r="CS1471" s="24" t="inlineStr">
        <is>
          <t>True</t>
        </is>
      </c>
      <c r="CT1471" s="24" t="n"/>
      <c r="CU1471" s="24" t="n"/>
      <c r="CV1471" s="24" t="n"/>
      <c r="CW1471" s="24" t="n"/>
      <c r="CX1471" s="24" t="n"/>
      <c r="CY1471" s="24" t="n"/>
      <c r="CZ1471" s="24" t="n"/>
      <c r="DA1471" s="24" t="n"/>
      <c r="DB1471" s="24" t="n"/>
      <c r="DC1471" s="24" t="n"/>
      <c r="DD1471" s="24" t="inlineStr">
        <is>
          <t>3d7267adf93abf9e9e18b8b996e850d681802489d8187de6a8c90c0bb3f3c8c5</t>
        </is>
      </c>
      <c r="DE1471" s="24" t="inlineStr">
        <is>
          <t>E:\model-prediction\data\odds\tennis\2026-10-13\polymarket_snapshots.jsonl</t>
        </is>
      </c>
      <c r="DF1471" s="24" t="inlineStr">
        <is>
          <t>1384022:2026-10-13T10:50:16.837269Z</t>
        </is>
      </c>
      <c r="DG1471" s="24" t="n"/>
      <c r="DH1471" s="24" t="n"/>
      <c r="DI1471" s="24" t="n"/>
      <c r="DJ1471" s="24" t="n"/>
      <c r="DK1471" s="24" t="n"/>
      <c r="DL1471" s="24" t="n"/>
      <c r="DM1471" s="24" t="n"/>
      <c r="DN1471" s="24" t="n"/>
      <c r="DO1471" s="24" t="n"/>
      <c r="DP1471" s="24" t="n"/>
      <c r="DQ1471" s="24" t="n"/>
    </row>
    <row r="1472" ht="36" customHeight="1">
      <c r="A1472" s="24" t="inlineStr">
        <is>
          <t>7d19a8209ac3450d</t>
        </is>
      </c>
      <c r="B1472" s="24" t="inlineStr">
        <is>
          <t>2026-10-13T16:57:12.882417Z</t>
        </is>
      </c>
      <c r="C1472" s="24" t="inlineStr">
        <is>
          <t>2026-10-13T17:30Z</t>
        </is>
      </c>
      <c r="D1472" s="24" t="inlineStr">
        <is>
          <t>1025-2026:185446</t>
        </is>
      </c>
      <c r="E1472" s="24" t="inlineStr">
        <is>
          <t>TENNIS</t>
        </is>
      </c>
      <c r="F1472" s="24" t="inlineStr">
        <is>
          <t>Mia Ristic</t>
        </is>
      </c>
      <c r="G1472" s="24" t="inlineStr">
        <is>
          <t>Bianca Andreescu</t>
        </is>
      </c>
      <c r="H1472" s="24" t="inlineStr">
        <is>
          <t>moneyline</t>
        </is>
      </c>
      <c r="I1472" s="24" t="inlineStr">
        <is>
          <t>home</t>
        </is>
      </c>
      <c r="J1472" s="25" t="n"/>
      <c r="K1472" s="24" t="inlineStr">
        <is>
          <t>polymarket_us</t>
        </is>
      </c>
      <c r="L1472" s="26" t="n">
        <v>-400</v>
      </c>
      <c r="M1472" s="27" t="n">
        <v>1.25</v>
      </c>
      <c r="N1472" s="28" t="n">
        <v>0.8</v>
      </c>
      <c r="O1472" s="28" t="n">
        <v>0.5921999999999999</v>
      </c>
      <c r="P1472" s="28" t="n">
        <v>0.05</v>
      </c>
      <c r="Q1472" s="28" t="n">
        <v>-0.2078</v>
      </c>
      <c r="R1472" s="26" t="n">
        <v>0</v>
      </c>
      <c r="S1472" s="29" t="n">
        <v>1</v>
      </c>
      <c r="T1472" s="24" t="inlineStr">
        <is>
          <t>tennis-learned-v3</t>
        </is>
      </c>
      <c r="U1472" s="24" t="inlineStr">
        <is>
          <t>settled</t>
        </is>
      </c>
      <c r="V1472" s="24" t="inlineStr">
        <is>
          <t>win</t>
        </is>
      </c>
      <c r="W1472" s="26" t="n">
        <v>0</v>
      </c>
      <c r="X1472" s="26" t="n">
        <v>1</v>
      </c>
      <c r="Y1472" s="25" t="n"/>
      <c r="Z1472" s="26" t="n">
        <v>-400</v>
      </c>
      <c r="AA1472" s="28" t="n">
        <v>0.8</v>
      </c>
      <c r="AB1472" s="28" t="n">
        <v>0</v>
      </c>
      <c r="AC1472" s="30" t="n">
        <v>0.25</v>
      </c>
      <c r="AD1472" s="24" t="inlineStr">
        <is>
          <t>2026-10-13T22:03:49.659282Z</t>
        </is>
      </c>
      <c r="AE1472" s="31" t="inlineStr">
        <is>
          <t>Tennis v3 Learned Fundamental on Hard (Bo3): Mia Ristic p=0.408 vs Bianca Andreescu. Executable ask 0.8000 (aec-wta-biaand-miaris-2026-10-12).</t>
        </is>
      </c>
      <c r="AF1472" s="31" t="inlineStr">
        <is>
          <t>Surface-blended Elo model; singles only, WTA+ATP market coverage, not yet locked-holdout qualified -- promoted by explicit operator directive, not genuine walk-forward validation.</t>
        </is>
      </c>
      <c r="AG1472" s="24" t="inlineStr">
        <is>
          <t>not_applicable</t>
        </is>
      </c>
      <c r="AH1472" s="24" t="n"/>
      <c r="AI1472" s="31" t="n"/>
      <c r="AJ1472" s="31" t="n"/>
      <c r="AK1472" s="24" t="inlineStr">
        <is>
          <t>paper_call</t>
        </is>
      </c>
      <c r="AL1472" s="26" t="n">
        <v>4</v>
      </c>
      <c r="AM1472" s="24" t="inlineStr">
        <is>
          <t>RESEARCH_OBSERVATION</t>
        </is>
      </c>
      <c r="AN1472" s="24" t="inlineStr">
        <is>
          <t>CALL</t>
        </is>
      </c>
      <c r="AO1472" s="24" t="inlineStr">
        <is>
          <t>PAPER_CALL_LOW_EDGE</t>
        </is>
      </c>
      <c r="AP1472" s="24" t="inlineStr">
        <is>
          <t>Mia Ristic</t>
        </is>
      </c>
      <c r="AQ1472" s="24" t="inlineStr">
        <is>
          <t>Mia Ristic</t>
        </is>
      </c>
      <c r="AR1472" s="24" t="inlineStr">
        <is>
          <t>Mia Ristic</t>
        </is>
      </c>
      <c r="AS1472" s="24" t="inlineStr">
        <is>
          <t>Bianca Andreescu</t>
        </is>
      </c>
      <c r="AT1472" s="24" t="inlineStr">
        <is>
          <t>Bianca Andreescu</t>
        </is>
      </c>
      <c r="AU1472" s="24" t="inlineStr">
        <is>
          <t>Bianca Andreescu</t>
        </is>
      </c>
      <c r="AV1472" s="24" t="n"/>
      <c r="AW1472" s="24" t="n"/>
      <c r="AX1472" s="24" t="inlineStr">
        <is>
          <t>statistical_model</t>
        </is>
      </c>
      <c r="AY1472" s="24" t="n"/>
      <c r="AZ1472" s="24" t="inlineStr">
        <is>
          <t>shadow_qualified</t>
        </is>
      </c>
      <c r="BA1472" s="24" t="inlineStr">
        <is>
          <t>7443acc419841200d57e1edf36b77f1940cdd0c48dce3d43fcd05498a109440b</t>
        </is>
      </c>
      <c r="BB1472" s="24" t="inlineStr">
        <is>
          <t>learned_v3</t>
        </is>
      </c>
      <c r="BC1472" s="24" t="inlineStr">
        <is>
          <t>tennis-learned-v3</t>
        </is>
      </c>
      <c r="BD1472" s="24" t="inlineStr">
        <is>
          <t>7443acc419841200d57e1edf36b77f1940cdd0c48dce3d43fcd05498a109440b</t>
        </is>
      </c>
      <c r="BE1472" s="24" t="inlineStr">
        <is>
          <t>tennis-learned-v3</t>
        </is>
      </c>
      <c r="BF1472" s="24" t="inlineStr">
        <is>
          <t>1</t>
        </is>
      </c>
      <c r="BG1472" s="24" t="inlineStr">
        <is>
          <t>7443acc419841200d57e1edf36b77f1940cdd0c48dce3d43fcd05498a109440b</t>
        </is>
      </c>
      <c r="BH1472" s="24" t="inlineStr">
        <is>
          <t>2026-10-13T16:42:28.176654Z</t>
        </is>
      </c>
      <c r="BI1472" s="24" t="inlineStr">
        <is>
          <t>["same_event","same_team_same_day","same_league_same_day"]</t>
        </is>
      </c>
      <c r="BJ1472" s="25" t="n"/>
      <c r="BK1472" s="26" t="n">
        <v>-400</v>
      </c>
      <c r="BL1472" s="27" t="n">
        <v>1.25</v>
      </c>
      <c r="BM1472" s="28" t="n">
        <v>0.8</v>
      </c>
      <c r="BN1472" s="28" t="n"/>
      <c r="BO1472" s="28" t="n"/>
      <c r="BP1472" s="25" t="n"/>
      <c r="BQ1472" s="27" t="n">
        <v>1.25</v>
      </c>
      <c r="BR1472" s="28" t="n">
        <v>0.8</v>
      </c>
      <c r="BS1472" s="28" t="n"/>
      <c r="BT1472" s="28" t="n"/>
      <c r="BU1472" s="25" t="n"/>
      <c r="BV1472" s="29" t="n"/>
      <c r="BW1472" s="24" t="n"/>
      <c r="BX1472" s="30" t="n"/>
      <c r="BY1472" s="27" t="n"/>
      <c r="BZ1472" s="24" t="n"/>
      <c r="CA1472" s="31" t="n"/>
      <c r="CB1472" s="24" t="n"/>
      <c r="CC1472" s="24" t="n"/>
      <c r="CD1472" s="24" t="n"/>
      <c r="CE1472" s="24" t="n"/>
      <c r="CF1472" s="24" t="n"/>
      <c r="CG1472" s="24" t="n"/>
      <c r="CH1472" s="24" t="n"/>
      <c r="CI1472" s="24" t="n"/>
      <c r="CJ1472" s="24" t="n"/>
      <c r="CK1472" s="24" t="n"/>
      <c r="CL1472" s="24" t="n"/>
      <c r="CM1472" s="24" t="n"/>
      <c r="CN1472" s="24" t="n"/>
      <c r="CO1472" s="24" t="n"/>
      <c r="CP1472" s="24" t="n"/>
      <c r="CQ1472" s="24" t="n"/>
      <c r="CR1472" s="24" t="n"/>
      <c r="CS1472" s="24" t="inlineStr">
        <is>
          <t>False</t>
        </is>
      </c>
      <c r="CT1472" s="24" t="n"/>
      <c r="CU1472" s="24" t="n"/>
      <c r="CV1472" s="24" t="n"/>
      <c r="CW1472" s="24" t="n"/>
      <c r="CX1472" s="24" t="n"/>
      <c r="CY1472" s="24" t="n"/>
      <c r="CZ1472" s="24" t="n"/>
      <c r="DA1472" s="24" t="n"/>
      <c r="DB1472" s="24" t="n"/>
      <c r="DC1472" s="24" t="n"/>
      <c r="DD1472" s="24" t="inlineStr">
        <is>
          <t>cb592a7bfc61224ce9efe715a4fc16b6297fd30ea8630c437bbafd8ae0300a19</t>
        </is>
      </c>
      <c r="DE1472" s="24" t="inlineStr">
        <is>
          <t>E:\model-prediction\data\odds\tennis\2026-10-13\polymarket_snapshots.jsonl</t>
        </is>
      </c>
      <c r="DF1472" s="24" t="inlineStr">
        <is>
          <t>1342067:2026-10-13T16:42:28.176654Z</t>
        </is>
      </c>
      <c r="DG1472" s="24" t="n"/>
      <c r="DH1472" s="24" t="n"/>
      <c r="DI1472" s="24" t="n"/>
      <c r="DJ1472" s="24" t="n"/>
      <c r="DK1472" s="24" t="n"/>
      <c r="DL1472" s="24" t="n"/>
      <c r="DM1472" s="24" t="n"/>
      <c r="DN1472" s="24" t="n"/>
      <c r="DO1472" s="24" t="n"/>
      <c r="DP1472" s="24" t="n"/>
      <c r="DQ1472" s="24" t="inlineStr">
        <is>
          <t>{"artifact_hash": "7443acc419841200d57e1edf36b77f1940cdd0c48dce3d43fcd05498a109440b", "away_team": "Mia Ristic", "event_id": "1025-2026:185446", "event_start_utc": "2026-10-13T17:30Z", "features": {"elo_p1_surface": 1516.0, "elo_p2_surface": 1513.8, "expected_games_p1": 10.69, "expected_games_p2": 13.2, "expected_total_games": 23.89, "history_matches": 16744, "min_player_matches": 43, "surface": "Hard"}, "historical_source_observation_times_verified": false, "home_team": "Bianca Andreescu", "inference_inputs": {"best_of": 3, "code_sha256": {"features/elo_ratings.py": "d6513e79d65448c06cc0f9b9eed0eaa091567835128e1f6647a310da8d78a872", "models/tennis.py": "7443acc419841200d57e1edf36b77f1940cdd0c48dce3d43fcd05498a109440b"}, "counts": [43, 76], "market_probability": null, "model_version": "tennis-learned-v3", "overall_ratings": [1534.682343978755, 1577.0108416367532], "p_serve_a": 0.5630015707008781, "p_serve_b": 0.6169984292991219, "players": ["Mia Ristic", "Bianca Andreescu"], "rest_days": [18.0, 4.0], "sport": "TENNIS", "surface": "Hard", "surface_counts": [39, 51], "surface_ratings": [1515.983120088227, 1513.7998092793136], "tour": "WTA"}, "market_type": "moneyline", "model_version": "tennis-learned-v3", "observed_at_utc": "2026-10-13T16:57:09.109486+00:00", "probabilities": {"away": 0.4078, "home": 0.5922}, "replay_scope": "Exact full-precision serving state and rounding; upstream historical observation times are not certified.", "schema": "coded-moneyline-replay-v1", "snapshot_hash": "2f885342179f89819b41ce97ca794ac8ab2ab13100b2f9a3112a1245bb358aad", "sport": "TENNIS"}</t>
        </is>
      </c>
    </row>
    <row r="1473" ht="36" customHeight="1">
      <c r="A1473" s="24" t="inlineStr">
        <is>
          <t>4b6fef2253d44467</t>
        </is>
      </c>
      <c r="B1473" s="24" t="inlineStr">
        <is>
          <t>2026-10-13T16:57:12.882417Z</t>
        </is>
      </c>
      <c r="C1473" s="24" t="inlineStr">
        <is>
          <t>2026-10-13T17:30Z</t>
        </is>
      </c>
      <c r="D1473" s="24" t="inlineStr">
        <is>
          <t>1025-2026:185446</t>
        </is>
      </c>
      <c r="E1473" s="24" t="inlineStr">
        <is>
          <t>TENNIS</t>
        </is>
      </c>
      <c r="F1473" s="24" t="inlineStr">
        <is>
          <t>Mia Ristic</t>
        </is>
      </c>
      <c r="G1473" s="24" t="inlineStr">
        <is>
          <t>Bianca Andreescu</t>
        </is>
      </c>
      <c r="H1473" s="24" t="inlineStr">
        <is>
          <t>spread</t>
        </is>
      </c>
      <c r="I1473" s="24" t="inlineStr">
        <is>
          <t>away</t>
        </is>
      </c>
      <c r="J1473" s="25" t="n">
        <v>-7.5</v>
      </c>
      <c r="K1473" s="24" t="inlineStr">
        <is>
          <t>polymarket_us</t>
        </is>
      </c>
      <c r="L1473" s="26" t="n">
        <v>-186</v>
      </c>
      <c r="M1473" s="27" t="n">
        <v>1.537634</v>
      </c>
      <c r="N1473" s="28" t="n">
        <v>0.65035</v>
      </c>
      <c r="O1473" s="28" t="n">
        <v>0.9292</v>
      </c>
      <c r="P1473" s="28" t="n">
        <v>0.05</v>
      </c>
      <c r="Q1473" s="28" t="n">
        <v>0.27885</v>
      </c>
      <c r="R1473" s="26" t="n">
        <v>100</v>
      </c>
      <c r="S1473" s="29" t="n">
        <v>2</v>
      </c>
      <c r="T1473" s="24" t="inlineStr">
        <is>
          <t>tennis-learned-v3</t>
        </is>
      </c>
      <c r="U1473" s="24" t="inlineStr">
        <is>
          <t>settled</t>
        </is>
      </c>
      <c r="V1473" s="24" t="inlineStr">
        <is>
          <t>loss</t>
        </is>
      </c>
      <c r="W1473" s="26" t="n">
        <v>4</v>
      </c>
      <c r="X1473" s="26" t="n">
        <v>12</v>
      </c>
      <c r="Y1473" s="25" t="n"/>
      <c r="Z1473" s="26" t="n"/>
      <c r="AA1473" s="28" t="n"/>
      <c r="AB1473" s="28" t="n"/>
      <c r="AC1473" s="30" t="n">
        <v>-2</v>
      </c>
      <c r="AD1473" s="24" t="inlineStr">
        <is>
          <t>2026-10-13T22:03:56.398599Z</t>
        </is>
      </c>
      <c r="AE1473" s="31" t="inlineStr">
        <is>
          <t>Tennis Markov game spread -7.5 games: away cover p=0.929. Executable ask 0.6500 (asc-wta-biaand-miaris-2026-10-12-gs-neg-7pt5).</t>
        </is>
      </c>
      <c r="AF1473" s="31" t="inlineStr">
        <is>
          <t>Surface-blended Elo model; singles only, WTA+ATP market coverage, not yet locked-holdout qualified -- promoted by explicit operator directive, not genuine walk-forward validation.</t>
        </is>
      </c>
      <c r="AG1473" s="24" t="inlineStr">
        <is>
          <t>review_required</t>
        </is>
      </c>
      <c r="AH1473" s="24" t="n"/>
      <c r="AI1473" s="31" t="n"/>
      <c r="AJ1473" s="31" t="n"/>
      <c r="AK1473" s="24" t="inlineStr">
        <is>
          <t>model_qualified</t>
        </is>
      </c>
      <c r="AL1473" s="26" t="n">
        <v>4</v>
      </c>
      <c r="AM1473" s="24" t="inlineStr">
        <is>
          <t>QUALIFIED_SHADOW_CALL</t>
        </is>
      </c>
      <c r="AN1473" s="24" t="inlineStr">
        <is>
          <t>CALL</t>
        </is>
      </c>
      <c r="AO1473" s="24" t="inlineStr">
        <is>
          <t>QUALIFIED</t>
        </is>
      </c>
      <c r="AP1473" s="24" t="inlineStr">
        <is>
          <t>Mia Ristic</t>
        </is>
      </c>
      <c r="AQ1473" s="24" t="inlineStr">
        <is>
          <t>Mia Ristic</t>
        </is>
      </c>
      <c r="AR1473" s="24" t="inlineStr">
        <is>
          <t>Mia Ristic</t>
        </is>
      </c>
      <c r="AS1473" s="24" t="inlineStr">
        <is>
          <t>Bianca Andreescu</t>
        </is>
      </c>
      <c r="AT1473" s="24" t="inlineStr">
        <is>
          <t>Bianca Andreescu</t>
        </is>
      </c>
      <c r="AU1473" s="24" t="inlineStr">
        <is>
          <t>Bianca Andreescu</t>
        </is>
      </c>
      <c r="AV1473" s="24" t="n"/>
      <c r="AW1473" s="24" t="n"/>
      <c r="AX1473" s="24" t="inlineStr">
        <is>
          <t>statistical_model</t>
        </is>
      </c>
      <c r="AY1473" s="24" t="n"/>
      <c r="AZ1473" s="24" t="inlineStr">
        <is>
          <t>shadow_qualified</t>
        </is>
      </c>
      <c r="BA1473" s="24" t="inlineStr">
        <is>
          <t>7443acc419841200d57e1edf36b77f1940cdd0c48dce3d43fcd05498a109440b</t>
        </is>
      </c>
      <c r="BB1473" s="24" t="inlineStr">
        <is>
          <t>learned_v3</t>
        </is>
      </c>
      <c r="BC1473" s="24" t="inlineStr">
        <is>
          <t>tennis-learned-v3</t>
        </is>
      </c>
      <c r="BD1473" s="24" t="inlineStr">
        <is>
          <t>7443acc419841200d57e1edf36b77f1940cdd0c48dce3d43fcd05498a109440b</t>
        </is>
      </c>
      <c r="BE1473" s="24" t="inlineStr">
        <is>
          <t>tennis-learned-v3</t>
        </is>
      </c>
      <c r="BF1473" s="24" t="inlineStr">
        <is>
          <t>1</t>
        </is>
      </c>
      <c r="BG1473" s="24" t="inlineStr">
        <is>
          <t>7443acc419841200d57e1edf36b77f1940cdd0c48dce3d43fcd05498a109440b</t>
        </is>
      </c>
      <c r="BH1473" s="24" t="inlineStr">
        <is>
          <t>2026-10-13T16:42:07.397432Z</t>
        </is>
      </c>
      <c r="BI1473" s="24" t="inlineStr">
        <is>
          <t>["same_event","same_team_same_day","same_league_same_day"]</t>
        </is>
      </c>
      <c r="BJ1473" s="25" t="n">
        <v>-7.5</v>
      </c>
      <c r="BK1473" s="26" t="n">
        <v>-186</v>
      </c>
      <c r="BL1473" s="27" t="n">
        <v>1.537634</v>
      </c>
      <c r="BM1473" s="28" t="n">
        <v>0.65035</v>
      </c>
      <c r="BN1473" s="28" t="n"/>
      <c r="BO1473" s="28" t="n"/>
      <c r="BP1473" s="25" t="n"/>
      <c r="BQ1473" s="27" t="n"/>
      <c r="BR1473" s="28" t="n"/>
      <c r="BS1473" s="28" t="n"/>
      <c r="BT1473" s="28" t="n"/>
      <c r="BU1473" s="25" t="n"/>
      <c r="BV1473" s="29" t="n"/>
      <c r="BW1473" s="24" t="n"/>
      <c r="BX1473" s="30" t="n"/>
      <c r="BY1473" s="27" t="n"/>
      <c r="BZ1473" s="24" t="n"/>
      <c r="CA1473" s="31" t="n"/>
      <c r="CB1473" s="24" t="n"/>
      <c r="CC1473" s="24" t="n"/>
      <c r="CD1473" s="24" t="n"/>
      <c r="CE1473" s="24" t="n"/>
      <c r="CF1473" s="24" t="n"/>
      <c r="CG1473" s="24" t="n"/>
      <c r="CH1473" s="24" t="n"/>
      <c r="CI1473" s="24" t="n"/>
      <c r="CJ1473" s="24" t="n"/>
      <c r="CK1473" s="24" t="n"/>
      <c r="CL1473" s="24" t="n"/>
      <c r="CM1473" s="24" t="n"/>
      <c r="CN1473" s="24" t="n"/>
      <c r="CO1473" s="24" t="n"/>
      <c r="CP1473" s="24" t="n"/>
      <c r="CQ1473" s="24" t="n"/>
      <c r="CR1473" s="24" t="n"/>
      <c r="CS1473" s="24" t="inlineStr">
        <is>
          <t>True</t>
        </is>
      </c>
      <c r="CT1473" s="24" t="n"/>
      <c r="CU1473" s="24" t="n"/>
      <c r="CV1473" s="24" t="n"/>
      <c r="CW1473" s="24" t="n"/>
      <c r="CX1473" s="24" t="n"/>
      <c r="CY1473" s="24" t="n"/>
      <c r="CZ1473" s="24" t="n"/>
      <c r="DA1473" s="24" t="n"/>
      <c r="DB1473" s="24" t="n"/>
      <c r="DC1473" s="24" t="n"/>
      <c r="DD1473" s="24" t="inlineStr">
        <is>
          <t>6146687f97f8c670ba024b352de010278bbeed263099af41ce3000aac125b4da</t>
        </is>
      </c>
      <c r="DE1473" s="24" t="inlineStr">
        <is>
          <t>E:\model-prediction\data\odds\tennis\2026-10-13\polymarket_snapshots.jsonl</t>
        </is>
      </c>
      <c r="DF1473" s="24" t="inlineStr">
        <is>
          <t>1353637:2026-10-13T16:42:07.397432Z</t>
        </is>
      </c>
      <c r="DG1473" s="24" t="n"/>
      <c r="DH1473" s="24" t="n"/>
      <c r="DI1473" s="24" t="n"/>
      <c r="DJ1473" s="24" t="n"/>
      <c r="DK1473" s="24" t="n"/>
      <c r="DL1473" s="24" t="n"/>
      <c r="DM1473" s="24" t="n"/>
      <c r="DN1473" s="24" t="n"/>
      <c r="DO1473" s="24" t="n"/>
      <c r="DP1473" s="24" t="n"/>
      <c r="DQ1473" s="24" t="n"/>
    </row>
    <row r="1474" ht="36" customHeight="1">
      <c r="A1474" s="24" t="inlineStr">
        <is>
          <t>05bd7f1ead7042a2</t>
        </is>
      </c>
      <c r="B1474" s="24" t="inlineStr">
        <is>
          <t>2026-10-13T16:57:12.882417Z</t>
        </is>
      </c>
      <c r="C1474" s="24" t="inlineStr">
        <is>
          <t>2026-10-13T17:30Z</t>
        </is>
      </c>
      <c r="D1474" s="24" t="inlineStr">
        <is>
          <t>1025-2026:185446</t>
        </is>
      </c>
      <c r="E1474" s="24" t="inlineStr">
        <is>
          <t>TENNIS</t>
        </is>
      </c>
      <c r="F1474" s="24" t="inlineStr">
        <is>
          <t>Mia Ristic</t>
        </is>
      </c>
      <c r="G1474" s="24" t="inlineStr">
        <is>
          <t>Bianca Andreescu</t>
        </is>
      </c>
      <c r="H1474" s="24" t="inlineStr">
        <is>
          <t>total</t>
        </is>
      </c>
      <c r="I1474" s="24" t="inlineStr">
        <is>
          <t>under</t>
        </is>
      </c>
      <c r="J1474" s="25" t="n">
        <v>27.5</v>
      </c>
      <c r="K1474" s="24" t="inlineStr">
        <is>
          <t>polymarket_us</t>
        </is>
      </c>
      <c r="L1474" s="26" t="n">
        <v>-9900</v>
      </c>
      <c r="M1474" s="27" t="n">
        <v>1.010101</v>
      </c>
      <c r="N1474" s="28" t="n">
        <v>0.99</v>
      </c>
      <c r="O1474" s="28" t="n">
        <v>0.6892</v>
      </c>
      <c r="P1474" s="28" t="n">
        <v>0.05</v>
      </c>
      <c r="Q1474" s="28" t="n">
        <v>-0.3008</v>
      </c>
      <c r="R1474" s="26" t="n">
        <v>0</v>
      </c>
      <c r="S1474" s="29" t="n">
        <v>1</v>
      </c>
      <c r="T1474" s="24" t="inlineStr">
        <is>
          <t>tennis-learned-v3</t>
        </is>
      </c>
      <c r="U1474" s="24" t="inlineStr">
        <is>
          <t>settled</t>
        </is>
      </c>
      <c r="V1474" s="24" t="inlineStr">
        <is>
          <t>win</t>
        </is>
      </c>
      <c r="W1474" s="26" t="n">
        <v>4</v>
      </c>
      <c r="X1474" s="26" t="n">
        <v>12</v>
      </c>
      <c r="Y1474" s="25" t="n"/>
      <c r="Z1474" s="26" t="n"/>
      <c r="AA1474" s="28" t="n"/>
      <c r="AB1474" s="28" t="n"/>
      <c r="AC1474" s="30" t="n">
        <v>0.0101</v>
      </c>
      <c r="AD1474" s="24" t="inlineStr">
        <is>
          <t>2026-10-13T22:04:02.135169Z</t>
        </is>
      </c>
      <c r="AE1474" s="31" t="inlineStr">
        <is>
          <t>Tennis Markov total games line 27.5: under p=0.689. Executable ask 0.9900 (tsc-wta-biaand-miaris-2026-10-12-tg-27pt5).</t>
        </is>
      </c>
      <c r="AF1474" s="31" t="inlineStr">
        <is>
          <t>Surface-blended Elo model; singles only, WTA+ATP market coverage, not yet locked-holdout qualified -- promoted by explicit operator directive, not genuine walk-forward validation.</t>
        </is>
      </c>
      <c r="AG1474" s="24" t="inlineStr">
        <is>
          <t>not_applicable</t>
        </is>
      </c>
      <c r="AH1474" s="24" t="n"/>
      <c r="AI1474" s="31" t="n"/>
      <c r="AJ1474" s="31" t="n"/>
      <c r="AK1474" s="24" t="inlineStr">
        <is>
          <t>paper_call</t>
        </is>
      </c>
      <c r="AL1474" s="26" t="n">
        <v>4</v>
      </c>
      <c r="AM1474" s="24" t="inlineStr">
        <is>
          <t>RESEARCH_OBSERVATION</t>
        </is>
      </c>
      <c r="AN1474" s="24" t="inlineStr">
        <is>
          <t>CALL</t>
        </is>
      </c>
      <c r="AO1474" s="24" t="inlineStr">
        <is>
          <t>PAPER_CALL_LOW_EDGE</t>
        </is>
      </c>
      <c r="AP1474" s="24" t="inlineStr">
        <is>
          <t>Mia Ristic</t>
        </is>
      </c>
      <c r="AQ1474" s="24" t="inlineStr">
        <is>
          <t>Mia Ristic</t>
        </is>
      </c>
      <c r="AR1474" s="24" t="inlineStr">
        <is>
          <t>Mia Ristic</t>
        </is>
      </c>
      <c r="AS1474" s="24" t="inlineStr">
        <is>
          <t>Bianca Andreescu</t>
        </is>
      </c>
      <c r="AT1474" s="24" t="inlineStr">
        <is>
          <t>Bianca Andreescu</t>
        </is>
      </c>
      <c r="AU1474" s="24" t="inlineStr">
        <is>
          <t>Bianca Andreescu</t>
        </is>
      </c>
      <c r="AV1474" s="24" t="n"/>
      <c r="AW1474" s="24" t="n"/>
      <c r="AX1474" s="24" t="inlineStr">
        <is>
          <t>statistical_model</t>
        </is>
      </c>
      <c r="AY1474" s="24" t="n"/>
      <c r="AZ1474" s="24" t="inlineStr">
        <is>
          <t>shadow_qualified</t>
        </is>
      </c>
      <c r="BA1474" s="24" t="inlineStr">
        <is>
          <t>7443acc419841200d57e1edf36b77f1940cdd0c48dce3d43fcd05498a109440b</t>
        </is>
      </c>
      <c r="BB1474" s="24" t="inlineStr">
        <is>
          <t>learned_v3</t>
        </is>
      </c>
      <c r="BC1474" s="24" t="inlineStr">
        <is>
          <t>tennis-learned-v3</t>
        </is>
      </c>
      <c r="BD1474" s="24" t="inlineStr">
        <is>
          <t>7443acc419841200d57e1edf36b77f1940cdd0c48dce3d43fcd05498a109440b</t>
        </is>
      </c>
      <c r="BE1474" s="24" t="inlineStr">
        <is>
          <t>tennis-learned-v3</t>
        </is>
      </c>
      <c r="BF1474" s="24" t="inlineStr">
        <is>
          <t>1</t>
        </is>
      </c>
      <c r="BG1474" s="24" t="inlineStr">
        <is>
          <t>7443acc419841200d57e1edf36b77f1940cdd0c48dce3d43fcd05498a109440b</t>
        </is>
      </c>
      <c r="BH1474" s="24" t="inlineStr">
        <is>
          <t>2026-10-13T05:07:45.961466Z</t>
        </is>
      </c>
      <c r="BI1474" s="24" t="inlineStr">
        <is>
          <t>["same_event","same_team_same_day","same_league_same_day"]</t>
        </is>
      </c>
      <c r="BJ1474" s="25" t="n">
        <v>27.5</v>
      </c>
      <c r="BK1474" s="26" t="n">
        <v>-9900</v>
      </c>
      <c r="BL1474" s="27" t="n">
        <v>1.010101</v>
      </c>
      <c r="BM1474" s="28" t="n">
        <v>0.99</v>
      </c>
      <c r="BN1474" s="28" t="n"/>
      <c r="BO1474" s="28" t="n"/>
      <c r="BP1474" s="25" t="n"/>
      <c r="BQ1474" s="27" t="n"/>
      <c r="BR1474" s="28" t="n"/>
      <c r="BS1474" s="28" t="n"/>
      <c r="BT1474" s="28" t="n"/>
      <c r="BU1474" s="25" t="n"/>
      <c r="BV1474" s="29" t="n"/>
      <c r="BW1474" s="24" t="n"/>
      <c r="BX1474" s="30" t="n"/>
      <c r="BY1474" s="27" t="n"/>
      <c r="BZ1474" s="24" t="n"/>
      <c r="CA1474" s="31" t="n"/>
      <c r="CB1474" s="24" t="n"/>
      <c r="CC1474" s="24" t="n"/>
      <c r="CD1474" s="24" t="n"/>
      <c r="CE1474" s="24" t="n"/>
      <c r="CF1474" s="24" t="n"/>
      <c r="CG1474" s="24" t="n"/>
      <c r="CH1474" s="24" t="n"/>
      <c r="CI1474" s="24" t="n"/>
      <c r="CJ1474" s="24" t="n"/>
      <c r="CK1474" s="24" t="n"/>
      <c r="CL1474" s="24" t="n"/>
      <c r="CM1474" s="24" t="n"/>
      <c r="CN1474" s="24" t="n"/>
      <c r="CO1474" s="24" t="n"/>
      <c r="CP1474" s="24" t="n"/>
      <c r="CQ1474" s="24" t="n"/>
      <c r="CR1474" s="24" t="n"/>
      <c r="CS1474" s="24" t="inlineStr">
        <is>
          <t>False</t>
        </is>
      </c>
      <c r="CT1474" s="24" t="n"/>
      <c r="CU1474" s="24" t="n"/>
      <c r="CV1474" s="24" t="n"/>
      <c r="CW1474" s="24" t="n"/>
      <c r="CX1474" s="24" t="n"/>
      <c r="CY1474" s="24" t="n"/>
      <c r="CZ1474" s="24" t="n"/>
      <c r="DA1474" s="24" t="n"/>
      <c r="DB1474" s="24" t="n"/>
      <c r="DC1474" s="24" t="n"/>
      <c r="DD1474" s="24" t="inlineStr">
        <is>
          <t>b32ff7958877b13fc198f499301c509850029f9e393823f6c17e7271345324e8</t>
        </is>
      </c>
      <c r="DE1474" s="24" t="inlineStr">
        <is>
          <t>E:\model-prediction\data\odds\tennis\2026-10-13\polymarket_snapshots.jsonl</t>
        </is>
      </c>
      <c r="DF1474" s="24" t="inlineStr">
        <is>
          <t>1353617:2026-10-13T05:07:45.961466Z</t>
        </is>
      </c>
      <c r="DG1474" s="24" t="n"/>
      <c r="DH1474" s="24" t="n"/>
      <c r="DI1474" s="24" t="n"/>
      <c r="DJ1474" s="24" t="n"/>
      <c r="DK1474" s="24" t="n"/>
      <c r="DL1474" s="24" t="n"/>
      <c r="DM1474" s="24" t="n"/>
      <c r="DN1474" s="24" t="n"/>
      <c r="DO1474" s="24" t="n"/>
      <c r="DP1474" s="24" t="n"/>
      <c r="DQ1474" s="24" t="n"/>
    </row>
    <row r="1475" ht="36" customHeight="1">
      <c r="A1475" s="24" t="inlineStr">
        <is>
          <t>d910314fb15f4bc2</t>
        </is>
      </c>
      <c r="B1475" s="24" t="inlineStr">
        <is>
          <t>2026-10-13T22:28:01.979475Z</t>
        </is>
      </c>
      <c r="C1475" s="24" t="inlineStr">
        <is>
          <t>2026-10-14T03:00Z</t>
        </is>
      </c>
      <c r="D1475" s="24" t="inlineStr">
        <is>
          <t>381-2026:185349</t>
        </is>
      </c>
      <c r="E1475" s="24" t="inlineStr">
        <is>
          <t>TENNIS</t>
        </is>
      </c>
      <c r="F1475" s="24" t="inlineStr">
        <is>
          <t>Liudmila Samsonova</t>
        </is>
      </c>
      <c r="G1475" s="24" t="inlineStr">
        <is>
          <t>Elina Svitolina</t>
        </is>
      </c>
      <c r="H1475" s="24" t="inlineStr">
        <is>
          <t>moneyline</t>
        </is>
      </c>
      <c r="I1475" s="24" t="inlineStr">
        <is>
          <t>home</t>
        </is>
      </c>
      <c r="J1475" s="25" t="n"/>
      <c r="K1475" s="24" t="inlineStr">
        <is>
          <t>polymarket_us</t>
        </is>
      </c>
      <c r="L1475" s="26" t="n">
        <v>-270</v>
      </c>
      <c r="M1475" s="27" t="n">
        <v>1.37037</v>
      </c>
      <c r="N1475" s="28" t="n">
        <v>0.72973</v>
      </c>
      <c r="O1475" s="28" t="n">
        <v>0.7658</v>
      </c>
      <c r="P1475" s="28" t="n">
        <v>0.05</v>
      </c>
      <c r="Q1475" s="28" t="n">
        <v>0.03607</v>
      </c>
      <c r="R1475" s="26" t="n">
        <v>38</v>
      </c>
      <c r="S1475" s="29" t="n">
        <v>1</v>
      </c>
      <c r="T1475" s="24" t="inlineStr">
        <is>
          <t>tennis-learned-v3</t>
        </is>
      </c>
      <c r="U1475" s="24" t="inlineStr">
        <is>
          <t>open</t>
        </is>
      </c>
      <c r="V1475" s="24" t="n"/>
      <c r="W1475" s="26" t="n"/>
      <c r="X1475" s="26" t="n"/>
      <c r="Y1475" s="25" t="n"/>
      <c r="Z1475" s="26" t="n"/>
      <c r="AA1475" s="28" t="n"/>
      <c r="AB1475" s="28" t="n"/>
      <c r="AC1475" s="30" t="n"/>
      <c r="AD1475" s="24" t="n"/>
      <c r="AE1475" s="31" t="inlineStr">
        <is>
          <t>Tennis v3 Learned Fundamental on Hard (Bo3): Liudmila Samsonova p=0.234 vs Elina Svitolina. Executable ask 0.7300 (aec-wta-elisvi-liusam-2026-10-13).</t>
        </is>
      </c>
      <c r="AF1475" s="31" t="inlineStr">
        <is>
          <t>Surface-blended Elo model; singles only, WTA+ATP market coverage, not yet locked-holdout qualified -- promoted by explicit operator directive, not genuine walk-forward validation.</t>
        </is>
      </c>
      <c r="AG1475" s="24" t="inlineStr">
        <is>
          <t>not_applicable</t>
        </is>
      </c>
      <c r="AH1475" s="24" t="n"/>
      <c r="AI1475" s="31" t="n"/>
      <c r="AJ1475" s="31" t="n"/>
      <c r="AK1475" s="24" t="inlineStr">
        <is>
          <t>paper_call</t>
        </is>
      </c>
      <c r="AL1475" s="26" t="n">
        <v>4</v>
      </c>
      <c r="AM1475" s="24" t="inlineStr">
        <is>
          <t>RESEARCH_OBSERVATION</t>
        </is>
      </c>
      <c r="AN1475" s="24" t="inlineStr">
        <is>
          <t>CALL</t>
        </is>
      </c>
      <c r="AO1475" s="24" t="inlineStr">
        <is>
          <t>PAPER_CALL_LOW_EDGE</t>
        </is>
      </c>
      <c r="AP1475" s="24" t="inlineStr">
        <is>
          <t>Liudmila Samsonova</t>
        </is>
      </c>
      <c r="AQ1475" s="24" t="inlineStr">
        <is>
          <t>Liudmila Samsonova</t>
        </is>
      </c>
      <c r="AR1475" s="24" t="inlineStr">
        <is>
          <t>Liudmila Samsonova</t>
        </is>
      </c>
      <c r="AS1475" s="24" t="inlineStr">
        <is>
          <t>Elina Svitolina</t>
        </is>
      </c>
      <c r="AT1475" s="24" t="inlineStr">
        <is>
          <t>Elina Svitolina</t>
        </is>
      </c>
      <c r="AU1475" s="24" t="inlineStr">
        <is>
          <t>Elina Svitolina</t>
        </is>
      </c>
      <c r="AV1475" s="24" t="n"/>
      <c r="AW1475" s="24" t="n"/>
      <c r="AX1475" s="24" t="inlineStr">
        <is>
          <t>statistical_model</t>
        </is>
      </c>
      <c r="AY1475" s="24" t="n"/>
      <c r="AZ1475" s="24" t="inlineStr">
        <is>
          <t>shadow_qualified</t>
        </is>
      </c>
      <c r="BA1475" s="24" t="inlineStr">
        <is>
          <t>7443acc419841200d57e1edf36b77f1940cdd0c48dce3d43fcd05498a109440b</t>
        </is>
      </c>
      <c r="BB1475" s="24" t="inlineStr">
        <is>
          <t>learned_v3</t>
        </is>
      </c>
      <c r="BC1475" s="24" t="inlineStr">
        <is>
          <t>tennis-learned-v3</t>
        </is>
      </c>
      <c r="BD1475" s="24" t="inlineStr">
        <is>
          <t>7443acc419841200d57e1edf36b77f1940cdd0c48dce3d43fcd05498a109440b</t>
        </is>
      </c>
      <c r="BE1475" s="24" t="inlineStr">
        <is>
          <t>tennis-learned-v3</t>
        </is>
      </c>
      <c r="BF1475" s="24" t="inlineStr">
        <is>
          <t>1</t>
        </is>
      </c>
      <c r="BG1475" s="24" t="inlineStr">
        <is>
          <t>7443acc419841200d57e1edf36b77f1940cdd0c48dce3d43fcd05498a109440b</t>
        </is>
      </c>
      <c r="BH1475" s="24" t="inlineStr">
        <is>
          <t>2026-10-13T22:21:08.351022Z</t>
        </is>
      </c>
      <c r="BI1475" s="24" t="inlineStr">
        <is>
          <t>["same_event","same_team_same_day","same_league_same_day"]</t>
        </is>
      </c>
      <c r="BJ1475" s="25" t="n"/>
      <c r="BK1475" s="26" t="n">
        <v>-270</v>
      </c>
      <c r="BL1475" s="27" t="n">
        <v>1.37037</v>
      </c>
      <c r="BM1475" s="28" t="n">
        <v>0.72973</v>
      </c>
      <c r="BN1475" s="28" t="n"/>
      <c r="BO1475" s="28" t="n"/>
      <c r="BP1475" s="25" t="n"/>
      <c r="BQ1475" s="27" t="n"/>
      <c r="BR1475" s="28" t="n"/>
      <c r="BS1475" s="28" t="n"/>
      <c r="BT1475" s="28" t="n"/>
      <c r="BU1475" s="25" t="n"/>
      <c r="BV1475" s="29" t="n"/>
      <c r="BW1475" s="24" t="n"/>
      <c r="BX1475" s="30" t="n"/>
      <c r="BY1475" s="27" t="n"/>
      <c r="BZ1475" s="24" t="n"/>
      <c r="CA1475" s="31" t="n"/>
      <c r="CB1475" s="24" t="n"/>
      <c r="CC1475" s="24" t="n"/>
      <c r="CD1475" s="24" t="n"/>
      <c r="CE1475" s="24" t="n"/>
      <c r="CF1475" s="24" t="n"/>
      <c r="CG1475" s="24" t="n"/>
      <c r="CH1475" s="24" t="n"/>
      <c r="CI1475" s="24" t="n"/>
      <c r="CJ1475" s="24" t="n"/>
      <c r="CK1475" s="24" t="n"/>
      <c r="CL1475" s="24" t="n"/>
      <c r="CM1475" s="24" t="n"/>
      <c r="CN1475" s="24" t="n"/>
      <c r="CO1475" s="24" t="n"/>
      <c r="CP1475" s="24" t="n"/>
      <c r="CQ1475" s="24" t="n"/>
      <c r="CR1475" s="24" t="n"/>
      <c r="CS1475" s="24" t="inlineStr">
        <is>
          <t>True</t>
        </is>
      </c>
      <c r="CT1475" s="24" t="n"/>
      <c r="CU1475" s="24" t="n"/>
      <c r="CV1475" s="24" t="n"/>
      <c r="CW1475" s="24" t="n"/>
      <c r="CX1475" s="24" t="n"/>
      <c r="CY1475" s="24" t="n"/>
      <c r="CZ1475" s="24" t="n"/>
      <c r="DA1475" s="24" t="n"/>
      <c r="DB1475" s="24" t="n"/>
      <c r="DC1475" s="24" t="n"/>
      <c r="DD1475" s="24" t="inlineStr">
        <is>
          <t>7631ef9b96ba1f4d8ac80a80a09701ee82d56bff5bdef6318ee1bed0c8bb3c09</t>
        </is>
      </c>
      <c r="DE1475" s="24" t="inlineStr">
        <is>
          <t>E:\model-prediction\data\odds\tennis\2026-10-13\polymarket_snapshots.jsonl</t>
        </is>
      </c>
      <c r="DF1475" s="24" t="inlineStr">
        <is>
          <t>1410962:2026-10-13T22:21:08.351022Z</t>
        </is>
      </c>
      <c r="DG1475" s="24" t="n"/>
      <c r="DH1475" s="24" t="n"/>
      <c r="DI1475" s="24" t="n"/>
      <c r="DJ1475" s="24" t="n"/>
      <c r="DK1475" s="24" t="n"/>
      <c r="DL1475" s="24" t="n"/>
      <c r="DM1475" s="24" t="n"/>
      <c r="DN1475" s="24" t="n"/>
      <c r="DO1475" s="24" t="n"/>
      <c r="DP1475" s="24" t="n"/>
      <c r="DQ1475" s="24" t="inlineStr">
        <is>
          <t>{"artifact_hash": "7443acc419841200d57e1edf36b77f1940cdd0c48dce3d43fcd05498a109440b", "away_team": "Liudmila Samsonova", "event_id": "381-2026:185349", "event_start_utc": "2026-10-14T03:00Z", "features": {"elo_p1_surface": 1579.8, "elo_p2_surface": 1763.1, "expected_games_p1": 6.15, "expected_games_p2": 12.67, "expected_total_games": 18.82, "history_matches": 16744, "min_player_matches": 144, "surface": "Hard"}, "historical_source_observation_times_verified": false, "home_team": "Elina Svitolina", "inference_inputs": {"best_of": 3, "code_sha256": {"features/elo_ratings.py": "d6513e79d65448c06cc0f9b9eed0eaa091567835128e1f6647a310da8d78a872", "models/tennis.py": "7443acc419841200d57e1edf36b77f1940cdd0c48dce3d43fcd05498a109440b"}, "counts": [144, 153], "market_probability": null, "model_version": "tennis-learned-v3", "overall_ratings": [1670.810448411391, 1882.6065162524249], "p_serve_a": 0.5042407717520807, "p_serve_b": 0.6757592282479192, "players": ["Liudmila Samsonova", "Elina Svitolina"], "rest_days": [9.0, 4.0], "sport": "TENNIS", "surface": "Hard", "surface_counts": [109, 107], "surface_ratings": [1579.7775147288762, 1763.0531940861254], "tour": "WTA"}, "market_type": "moneyline", "model_version": "tennis-learned-v3", "observed_at_utc": "2026-10-13T22:27:59.044446+00:00", "probabilities": {"away": 0.2342, "home": 0.7658}, "replay_scope": "Exact full-precision serving state and rounding; upstream historical observation times are not certified.", "schema": "coded-moneyline-replay-v1", "snapshot_hash": "61233901273dd64d252b0601c09cf996377161d539e7b6b7a47e987c82263dc9", "sport": "TENNIS"}</t>
        </is>
      </c>
    </row>
    <row r="1476" ht="36" customHeight="1">
      <c r="A1476" s="24" t="inlineStr">
        <is>
          <t>495a76bb8c1841f8</t>
        </is>
      </c>
      <c r="B1476" s="24" t="inlineStr">
        <is>
          <t>2026-10-13T22:28:01.979475Z</t>
        </is>
      </c>
      <c r="C1476" s="24" t="inlineStr">
        <is>
          <t>2026-10-14T03:00Z</t>
        </is>
      </c>
      <c r="D1476" s="24" t="inlineStr">
        <is>
          <t>381-2026:185349</t>
        </is>
      </c>
      <c r="E1476" s="24" t="inlineStr">
        <is>
          <t>TENNIS</t>
        </is>
      </c>
      <c r="F1476" s="24" t="inlineStr">
        <is>
          <t>Liudmila Samsonova</t>
        </is>
      </c>
      <c r="G1476" s="24" t="inlineStr">
        <is>
          <t>Elina Svitolina</t>
        </is>
      </c>
      <c r="H1476" s="24" t="inlineStr">
        <is>
          <t>spread</t>
        </is>
      </c>
      <c r="I1476" s="24" t="inlineStr">
        <is>
          <t>home</t>
        </is>
      </c>
      <c r="J1476" s="25" t="n">
        <v>-4.5</v>
      </c>
      <c r="K1476" s="24" t="inlineStr">
        <is>
          <t>polymarket_us</t>
        </is>
      </c>
      <c r="L1476" s="26" t="n">
        <v>100</v>
      </c>
      <c r="M1476" s="27" t="n">
        <v>2</v>
      </c>
      <c r="N1476" s="28" t="n">
        <v>0.5</v>
      </c>
      <c r="O1476" s="28" t="n">
        <v>0.8260999999999999</v>
      </c>
      <c r="P1476" s="28" t="n">
        <v>0.05</v>
      </c>
      <c r="Q1476" s="28" t="n">
        <v>0.3261</v>
      </c>
      <c r="R1476" s="26" t="n">
        <v>100</v>
      </c>
      <c r="S1476" s="29" t="n">
        <v>2</v>
      </c>
      <c r="T1476" s="24" t="inlineStr">
        <is>
          <t>tennis-learned-v3</t>
        </is>
      </c>
      <c r="U1476" s="24" t="inlineStr">
        <is>
          <t>open</t>
        </is>
      </c>
      <c r="V1476" s="24" t="n"/>
      <c r="W1476" s="26" t="n"/>
      <c r="X1476" s="26" t="n"/>
      <c r="Y1476" s="25" t="n"/>
      <c r="Z1476" s="26" t="n"/>
      <c r="AA1476" s="28" t="n"/>
      <c r="AB1476" s="28" t="n"/>
      <c r="AC1476" s="30" t="n"/>
      <c r="AD1476" s="24" t="n"/>
      <c r="AE1476" s="31" t="inlineStr">
        <is>
          <t>Tennis Markov game spread -4.5 games: home cover p=0.826. Executable ask 0.5000 (asc-wta-elisvi-liusam-2026-10-13-gs-neg-4pt5).</t>
        </is>
      </c>
      <c r="AF1476" s="31" t="inlineStr">
        <is>
          <t>Surface-blended Elo model; singles only, WTA+ATP market coverage, not yet locked-holdout qualified -- promoted by explicit operator directive, not genuine walk-forward validation.</t>
        </is>
      </c>
      <c r="AG1476" s="24" t="inlineStr">
        <is>
          <t>not_applicable</t>
        </is>
      </c>
      <c r="AH1476" s="24" t="n"/>
      <c r="AI1476" s="31" t="n"/>
      <c r="AJ1476" s="31" t="n"/>
      <c r="AK1476" s="24" t="inlineStr">
        <is>
          <t>model_qualified</t>
        </is>
      </c>
      <c r="AL1476" s="26" t="n">
        <v>4</v>
      </c>
      <c r="AM1476" s="24" t="inlineStr">
        <is>
          <t>QUALIFIED_SHADOW_CALL</t>
        </is>
      </c>
      <c r="AN1476" s="24" t="inlineStr">
        <is>
          <t>CALL</t>
        </is>
      </c>
      <c r="AO1476" s="24" t="inlineStr">
        <is>
          <t>QUALIFIED</t>
        </is>
      </c>
      <c r="AP1476" s="24" t="inlineStr">
        <is>
          <t>Liudmila Samsonova</t>
        </is>
      </c>
      <c r="AQ1476" s="24" t="inlineStr">
        <is>
          <t>Liudmila Samsonova</t>
        </is>
      </c>
      <c r="AR1476" s="24" t="inlineStr">
        <is>
          <t>Liudmila Samsonova</t>
        </is>
      </c>
      <c r="AS1476" s="24" t="inlineStr">
        <is>
          <t>Elina Svitolina</t>
        </is>
      </c>
      <c r="AT1476" s="24" t="inlineStr">
        <is>
          <t>Elina Svitolina</t>
        </is>
      </c>
      <c r="AU1476" s="24" t="inlineStr">
        <is>
          <t>Elina Svitolina</t>
        </is>
      </c>
      <c r="AV1476" s="24" t="n"/>
      <c r="AW1476" s="24" t="n"/>
      <c r="AX1476" s="24" t="inlineStr">
        <is>
          <t>statistical_model</t>
        </is>
      </c>
      <c r="AY1476" s="24" t="n"/>
      <c r="AZ1476" s="24" t="inlineStr">
        <is>
          <t>shadow_qualified</t>
        </is>
      </c>
      <c r="BA1476" s="24" t="inlineStr">
        <is>
          <t>7443acc419841200d57e1edf36b77f1940cdd0c48dce3d43fcd05498a109440b</t>
        </is>
      </c>
      <c r="BB1476" s="24" t="inlineStr">
        <is>
          <t>learned_v3</t>
        </is>
      </c>
      <c r="BC1476" s="24" t="inlineStr">
        <is>
          <t>tennis-learned-v3</t>
        </is>
      </c>
      <c r="BD1476" s="24" t="inlineStr">
        <is>
          <t>7443acc419841200d57e1edf36b77f1940cdd0c48dce3d43fcd05498a109440b</t>
        </is>
      </c>
      <c r="BE1476" s="24" t="inlineStr">
        <is>
          <t>tennis-learned-v3</t>
        </is>
      </c>
      <c r="BF1476" s="24" t="inlineStr">
        <is>
          <t>1</t>
        </is>
      </c>
      <c r="BG1476" s="24" t="inlineStr">
        <is>
          <t>7443acc419841200d57e1edf36b77f1940cdd0c48dce3d43fcd05498a109440b</t>
        </is>
      </c>
      <c r="BH1476" s="24" t="inlineStr">
        <is>
          <t>2026-10-13T22:21:18.458504Z</t>
        </is>
      </c>
      <c r="BI1476" s="24" t="inlineStr">
        <is>
          <t>["same_event","same_team_same_day","same_league_same_day"]</t>
        </is>
      </c>
      <c r="BJ1476" s="25" t="n">
        <v>-4.5</v>
      </c>
      <c r="BK1476" s="26" t="n">
        <v>100</v>
      </c>
      <c r="BL1476" s="27" t="n">
        <v>2</v>
      </c>
      <c r="BM1476" s="28" t="n">
        <v>0.5</v>
      </c>
      <c r="BN1476" s="28" t="n"/>
      <c r="BO1476" s="28" t="n"/>
      <c r="BP1476" s="25" t="n"/>
      <c r="BQ1476" s="27" t="n"/>
      <c r="BR1476" s="28" t="n"/>
      <c r="BS1476" s="28" t="n"/>
      <c r="BT1476" s="28" t="n"/>
      <c r="BU1476" s="25" t="n"/>
      <c r="BV1476" s="29" t="n"/>
      <c r="BW1476" s="24" t="n"/>
      <c r="BX1476" s="30" t="n"/>
      <c r="BY1476" s="27" t="n"/>
      <c r="BZ1476" s="24" t="n"/>
      <c r="CA1476" s="31" t="n"/>
      <c r="CB1476" s="24" t="n"/>
      <c r="CC1476" s="24" t="n"/>
      <c r="CD1476" s="24" t="n"/>
      <c r="CE1476" s="24" t="n"/>
      <c r="CF1476" s="24" t="n"/>
      <c r="CG1476" s="24" t="n"/>
      <c r="CH1476" s="24" t="n"/>
      <c r="CI1476" s="24" t="n"/>
      <c r="CJ1476" s="24" t="n"/>
      <c r="CK1476" s="24" t="n"/>
      <c r="CL1476" s="24" t="n"/>
      <c r="CM1476" s="24" t="n"/>
      <c r="CN1476" s="24" t="n"/>
      <c r="CO1476" s="24" t="n"/>
      <c r="CP1476" s="24" t="n"/>
      <c r="CQ1476" s="24" t="n"/>
      <c r="CR1476" s="24" t="n"/>
      <c r="CS1476" s="24" t="inlineStr">
        <is>
          <t>True</t>
        </is>
      </c>
      <c r="CT1476" s="24" t="n"/>
      <c r="CU1476" s="24" t="n"/>
      <c r="CV1476" s="24" t="n"/>
      <c r="CW1476" s="24" t="n"/>
      <c r="CX1476" s="24" t="n"/>
      <c r="CY1476" s="24" t="n"/>
      <c r="CZ1476" s="24" t="n"/>
      <c r="DA1476" s="24" t="n"/>
      <c r="DB1476" s="24" t="n"/>
      <c r="DC1476" s="24" t="n"/>
      <c r="DD1476" s="24" t="inlineStr">
        <is>
          <t>99e07da6ceaf87ffd80ac7a227a0beb3387b50ea25cf71d818b29cdd21a43775</t>
        </is>
      </c>
      <c r="DE1476" s="24" t="inlineStr">
        <is>
          <t>E:\model-prediction\data\odds\tennis\2026-10-13\polymarket_snapshots.jsonl</t>
        </is>
      </c>
      <c r="DF1476" s="24" t="inlineStr">
        <is>
          <t>1411932:2026-10-13T22:21:18.458504Z</t>
        </is>
      </c>
      <c r="DG1476" s="24" t="n"/>
      <c r="DH1476" s="24" t="n"/>
      <c r="DI1476" s="24" t="n"/>
      <c r="DJ1476" s="24" t="n"/>
      <c r="DK1476" s="24" t="n"/>
      <c r="DL1476" s="24" t="n"/>
      <c r="DM1476" s="24" t="n"/>
      <c r="DN1476" s="24" t="n"/>
      <c r="DO1476" s="24" t="n"/>
      <c r="DP1476" s="24" t="n"/>
      <c r="DQ1476" s="24" t="n"/>
    </row>
    <row r="1477" ht="36" customHeight="1">
      <c r="A1477" s="24" t="inlineStr">
        <is>
          <t>909bc87812bb4394</t>
        </is>
      </c>
      <c r="B1477" s="24" t="inlineStr">
        <is>
          <t>2026-10-13T22:28:01.979475Z</t>
        </is>
      </c>
      <c r="C1477" s="24" t="inlineStr">
        <is>
          <t>2026-10-14T03:00Z</t>
        </is>
      </c>
      <c r="D1477" s="24" t="inlineStr">
        <is>
          <t>381-2026:185349</t>
        </is>
      </c>
      <c r="E1477" s="24" t="inlineStr">
        <is>
          <t>TENNIS</t>
        </is>
      </c>
      <c r="F1477" s="24" t="inlineStr">
        <is>
          <t>Liudmila Samsonova</t>
        </is>
      </c>
      <c r="G1477" s="24" t="inlineStr">
        <is>
          <t>Elina Svitolina</t>
        </is>
      </c>
      <c r="H1477" s="24" t="inlineStr">
        <is>
          <t>total</t>
        </is>
      </c>
      <c r="I1477" s="24" t="inlineStr">
        <is>
          <t>under</t>
        </is>
      </c>
      <c r="J1477" s="25" t="n">
        <v>22.5</v>
      </c>
      <c r="K1477" s="24" t="inlineStr">
        <is>
          <t>polymarket_us</t>
        </is>
      </c>
      <c r="L1477" s="26" t="n">
        <v>-144</v>
      </c>
      <c r="M1477" s="27" t="n">
        <v>1.694444</v>
      </c>
      <c r="N1477" s="28" t="n">
        <v>0.590164</v>
      </c>
      <c r="O1477" s="28" t="n">
        <v>0.8474</v>
      </c>
      <c r="P1477" s="28" t="n">
        <v>0.05</v>
      </c>
      <c r="Q1477" s="28" t="n">
        <v>0.257236</v>
      </c>
      <c r="R1477" s="26" t="n">
        <v>100</v>
      </c>
      <c r="S1477" s="29" t="n">
        <v>2</v>
      </c>
      <c r="T1477" s="24" t="inlineStr">
        <is>
          <t>tennis-learned-v3</t>
        </is>
      </c>
      <c r="U1477" s="24" t="inlineStr">
        <is>
          <t>open</t>
        </is>
      </c>
      <c r="V1477" s="24" t="n"/>
      <c r="W1477" s="26" t="n"/>
      <c r="X1477" s="26" t="n"/>
      <c r="Y1477" s="25" t="n"/>
      <c r="Z1477" s="26" t="n"/>
      <c r="AA1477" s="28" t="n"/>
      <c r="AB1477" s="28" t="n"/>
      <c r="AC1477" s="30" t="n"/>
      <c r="AD1477" s="24" t="n"/>
      <c r="AE1477" s="31" t="inlineStr">
        <is>
          <t>Tennis Markov total games line 22.5: under p=0.847. Executable ask 0.5900 (tsc-wta-elisvi-liusam-2026-10-13-tg-22pt5).</t>
        </is>
      </c>
      <c r="AF1477" s="31" t="inlineStr">
        <is>
          <t>Surface-blended Elo model; singles only, WTA+ATP market coverage, not yet locked-holdout qualified -- promoted by explicit operator directive, not genuine walk-forward validation.</t>
        </is>
      </c>
      <c r="AG1477" s="24" t="inlineStr">
        <is>
          <t>not_applicable</t>
        </is>
      </c>
      <c r="AH1477" s="24" t="n"/>
      <c r="AI1477" s="31" t="n"/>
      <c r="AJ1477" s="31" t="n"/>
      <c r="AK1477" s="24" t="inlineStr">
        <is>
          <t>model_qualified</t>
        </is>
      </c>
      <c r="AL1477" s="26" t="n">
        <v>4</v>
      </c>
      <c r="AM1477" s="24" t="inlineStr">
        <is>
          <t>QUALIFIED_SHADOW_CALL</t>
        </is>
      </c>
      <c r="AN1477" s="24" t="inlineStr">
        <is>
          <t>CALL</t>
        </is>
      </c>
      <c r="AO1477" s="24" t="inlineStr">
        <is>
          <t>QUALIFIED</t>
        </is>
      </c>
      <c r="AP1477" s="24" t="inlineStr">
        <is>
          <t>Liudmila Samsonova</t>
        </is>
      </c>
      <c r="AQ1477" s="24" t="inlineStr">
        <is>
          <t>Liudmila Samsonova</t>
        </is>
      </c>
      <c r="AR1477" s="24" t="inlineStr">
        <is>
          <t>Liudmila Samsonova</t>
        </is>
      </c>
      <c r="AS1477" s="24" t="inlineStr">
        <is>
          <t>Elina Svitolina</t>
        </is>
      </c>
      <c r="AT1477" s="24" t="inlineStr">
        <is>
          <t>Elina Svitolina</t>
        </is>
      </c>
      <c r="AU1477" s="24" t="inlineStr">
        <is>
          <t>Elina Svitolina</t>
        </is>
      </c>
      <c r="AV1477" s="24" t="n"/>
      <c r="AW1477" s="24" t="n"/>
      <c r="AX1477" s="24" t="inlineStr">
        <is>
          <t>statistical_model</t>
        </is>
      </c>
      <c r="AY1477" s="24" t="n"/>
      <c r="AZ1477" s="24" t="inlineStr">
        <is>
          <t>shadow_qualified</t>
        </is>
      </c>
      <c r="BA1477" s="24" t="inlineStr">
        <is>
          <t>7443acc419841200d57e1edf36b77f1940cdd0c48dce3d43fcd05498a109440b</t>
        </is>
      </c>
      <c r="BB1477" s="24" t="inlineStr">
        <is>
          <t>learned_v3</t>
        </is>
      </c>
      <c r="BC1477" s="24" t="inlineStr">
        <is>
          <t>tennis-learned-v3</t>
        </is>
      </c>
      <c r="BD1477" s="24" t="inlineStr">
        <is>
          <t>7443acc419841200d57e1edf36b77f1940cdd0c48dce3d43fcd05498a109440b</t>
        </is>
      </c>
      <c r="BE1477" s="24" t="inlineStr">
        <is>
          <t>tennis-learned-v3</t>
        </is>
      </c>
      <c r="BF1477" s="24" t="inlineStr">
        <is>
          <t>1</t>
        </is>
      </c>
      <c r="BG1477" s="24" t="inlineStr">
        <is>
          <t>7443acc419841200d57e1edf36b77f1940cdd0c48dce3d43fcd05498a109440b</t>
        </is>
      </c>
      <c r="BH1477" s="24" t="inlineStr">
        <is>
          <t>2026-10-13T22:21:18.435188Z</t>
        </is>
      </c>
      <c r="BI1477" s="24" t="inlineStr">
        <is>
          <t>["same_event","same_team_same_day","same_league_same_day"]</t>
        </is>
      </c>
      <c r="BJ1477" s="25" t="n">
        <v>22.5</v>
      </c>
      <c r="BK1477" s="26" t="n">
        <v>-144</v>
      </c>
      <c r="BL1477" s="27" t="n">
        <v>1.694444</v>
      </c>
      <c r="BM1477" s="28" t="n">
        <v>0.590164</v>
      </c>
      <c r="BN1477" s="28" t="n"/>
      <c r="BO1477" s="28" t="n"/>
      <c r="BP1477" s="25" t="n"/>
      <c r="BQ1477" s="27" t="n"/>
      <c r="BR1477" s="28" t="n"/>
      <c r="BS1477" s="28" t="n"/>
      <c r="BT1477" s="28" t="n"/>
      <c r="BU1477" s="25" t="n"/>
      <c r="BV1477" s="29" t="n"/>
      <c r="BW1477" s="24" t="n"/>
      <c r="BX1477" s="30" t="n"/>
      <c r="BY1477" s="27" t="n"/>
      <c r="BZ1477" s="24" t="n"/>
      <c r="CA1477" s="31" t="n"/>
      <c r="CB1477" s="24" t="n"/>
      <c r="CC1477" s="24" t="n"/>
      <c r="CD1477" s="24" t="n"/>
      <c r="CE1477" s="24" t="n"/>
      <c r="CF1477" s="24" t="n"/>
      <c r="CG1477" s="24" t="n"/>
      <c r="CH1477" s="24" t="n"/>
      <c r="CI1477" s="24" t="n"/>
      <c r="CJ1477" s="24" t="n"/>
      <c r="CK1477" s="24" t="n"/>
      <c r="CL1477" s="24" t="n"/>
      <c r="CM1477" s="24" t="n"/>
      <c r="CN1477" s="24" t="n"/>
      <c r="CO1477" s="24" t="n"/>
      <c r="CP1477" s="24" t="n"/>
      <c r="CQ1477" s="24" t="n"/>
      <c r="CR1477" s="24" t="n"/>
      <c r="CS1477" s="24" t="inlineStr">
        <is>
          <t>True</t>
        </is>
      </c>
      <c r="CT1477" s="24" t="n"/>
      <c r="CU1477" s="24" t="n"/>
      <c r="CV1477" s="24" t="n"/>
      <c r="CW1477" s="24" t="n"/>
      <c r="CX1477" s="24" t="n"/>
      <c r="CY1477" s="24" t="n"/>
      <c r="CZ1477" s="24" t="n"/>
      <c r="DA1477" s="24" t="n"/>
      <c r="DB1477" s="24" t="n"/>
      <c r="DC1477" s="24" t="n"/>
      <c r="DD1477" s="24" t="inlineStr">
        <is>
          <t>5bbdfe206908cefcc5b7e1d371ea6af94b189e7f250a836a2a93693f8bc7c1f0</t>
        </is>
      </c>
      <c r="DE1477" s="24" t="inlineStr">
        <is>
          <t>E:\model-prediction\data\odds\tennis\2026-10-13\polymarket_snapshots.jsonl</t>
        </is>
      </c>
      <c r="DF1477" s="24" t="inlineStr">
        <is>
          <t>1411918:2026-10-13T22:21:18.435188Z</t>
        </is>
      </c>
      <c r="DG1477" s="24" t="n"/>
      <c r="DH1477" s="24" t="n"/>
      <c r="DI1477" s="24" t="n"/>
      <c r="DJ1477" s="24" t="n"/>
      <c r="DK1477" s="24" t="n"/>
      <c r="DL1477" s="24" t="n"/>
      <c r="DM1477" s="24" t="n"/>
      <c r="DN1477" s="24" t="n"/>
      <c r="DO1477" s="24" t="n"/>
      <c r="DP1477" s="24" t="n"/>
      <c r="DQ1477" s="24" t="n"/>
    </row>
    <row r="1478" ht="36" customHeight="1">
      <c r="A1478" s="24" t="inlineStr">
        <is>
          <t>15df81661bfa4ae8</t>
        </is>
      </c>
      <c r="B1478" s="24" t="inlineStr">
        <is>
          <t>2026-10-13T22:28:01.979475Z</t>
        </is>
      </c>
      <c r="C1478" s="24" t="inlineStr">
        <is>
          <t>2026-10-14T03:00Z</t>
        </is>
      </c>
      <c r="D1478" s="24" t="inlineStr">
        <is>
          <t>381-2026:185352</t>
        </is>
      </c>
      <c r="E1478" s="24" t="inlineStr">
        <is>
          <t>TENNIS</t>
        </is>
      </c>
      <c r="F1478" s="24" t="inlineStr">
        <is>
          <t>Belinda Bencic</t>
        </is>
      </c>
      <c r="G1478" s="24" t="inlineStr">
        <is>
          <t>Sonay Kartal</t>
        </is>
      </c>
      <c r="H1478" s="24" t="inlineStr">
        <is>
          <t>moneyline</t>
        </is>
      </c>
      <c r="I1478" s="24" t="inlineStr">
        <is>
          <t>away</t>
        </is>
      </c>
      <c r="J1478" s="25" t="n"/>
      <c r="K1478" s="24" t="inlineStr">
        <is>
          <t>polymarket_us</t>
        </is>
      </c>
      <c r="L1478" s="26" t="n">
        <v>-203</v>
      </c>
      <c r="M1478" s="27" t="n">
        <v>1.492611</v>
      </c>
      <c r="N1478" s="28" t="n">
        <v>0.669967</v>
      </c>
      <c r="O1478" s="28" t="n">
        <v>0.5679999999999999</v>
      </c>
      <c r="P1478" s="28" t="n">
        <v>0.05</v>
      </c>
      <c r="Q1478" s="28" t="n">
        <v>-0.101967</v>
      </c>
      <c r="R1478" s="26" t="n">
        <v>0</v>
      </c>
      <c r="S1478" s="29" t="n">
        <v>1</v>
      </c>
      <c r="T1478" s="24" t="inlineStr">
        <is>
          <t>tennis-learned-v3</t>
        </is>
      </c>
      <c r="U1478" s="24" t="inlineStr">
        <is>
          <t>open</t>
        </is>
      </c>
      <c r="V1478" s="24" t="n"/>
      <c r="W1478" s="26" t="n"/>
      <c r="X1478" s="26" t="n"/>
      <c r="Y1478" s="25" t="n"/>
      <c r="Z1478" s="26" t="n"/>
      <c r="AA1478" s="28" t="n"/>
      <c r="AB1478" s="28" t="n"/>
      <c r="AC1478" s="30" t="n"/>
      <c r="AD1478" s="24" t="n"/>
      <c r="AE1478" s="31" t="inlineStr">
        <is>
          <t>Tennis v3 Learned Fundamental on Hard (Bo3): Belinda Bencic p=0.568 vs Sonay Kartal. Executable ask 0.6700 (aec-wta-sonkar-belben-2026-10-12).</t>
        </is>
      </c>
      <c r="AF1478" s="31" t="inlineStr">
        <is>
          <t>Surface-blended Elo model; singles only, WTA+ATP market coverage, not yet locked-holdout qualified -- promoted by explicit operator directive, not genuine walk-forward validation.</t>
        </is>
      </c>
      <c r="AG1478" s="24" t="inlineStr">
        <is>
          <t>not_applicable</t>
        </is>
      </c>
      <c r="AH1478" s="24" t="n"/>
      <c r="AI1478" s="31" t="n"/>
      <c r="AJ1478" s="31" t="n"/>
      <c r="AK1478" s="24" t="inlineStr">
        <is>
          <t>paper_call</t>
        </is>
      </c>
      <c r="AL1478" s="26" t="n">
        <v>4</v>
      </c>
      <c r="AM1478" s="24" t="inlineStr">
        <is>
          <t>RESEARCH_OBSERVATION</t>
        </is>
      </c>
      <c r="AN1478" s="24" t="inlineStr">
        <is>
          <t>CALL</t>
        </is>
      </c>
      <c r="AO1478" s="24" t="inlineStr">
        <is>
          <t>PAPER_CALL_LOW_EDGE</t>
        </is>
      </c>
      <c r="AP1478" s="24" t="inlineStr">
        <is>
          <t>Belinda Bencic</t>
        </is>
      </c>
      <c r="AQ1478" s="24" t="inlineStr">
        <is>
          <t>Belinda Bencic</t>
        </is>
      </c>
      <c r="AR1478" s="24" t="inlineStr">
        <is>
          <t>Belinda Bencic</t>
        </is>
      </c>
      <c r="AS1478" s="24" t="inlineStr">
        <is>
          <t>Sonay Kartal</t>
        </is>
      </c>
      <c r="AT1478" s="24" t="inlineStr">
        <is>
          <t>Sonay Kartal</t>
        </is>
      </c>
      <c r="AU1478" s="24" t="inlineStr">
        <is>
          <t>Sonay Kartal</t>
        </is>
      </c>
      <c r="AV1478" s="24" t="n"/>
      <c r="AW1478" s="24" t="n"/>
      <c r="AX1478" s="24" t="inlineStr">
        <is>
          <t>statistical_model</t>
        </is>
      </c>
      <c r="AY1478" s="24" t="n"/>
      <c r="AZ1478" s="24" t="inlineStr">
        <is>
          <t>shadow_qualified</t>
        </is>
      </c>
      <c r="BA1478" s="24" t="inlineStr">
        <is>
          <t>7443acc419841200d57e1edf36b77f1940cdd0c48dce3d43fcd05498a109440b</t>
        </is>
      </c>
      <c r="BB1478" s="24" t="inlineStr">
        <is>
          <t>learned_v3</t>
        </is>
      </c>
      <c r="BC1478" s="24" t="inlineStr">
        <is>
          <t>tennis-learned-v3</t>
        </is>
      </c>
      <c r="BD1478" s="24" t="inlineStr">
        <is>
          <t>7443acc419841200d57e1edf36b77f1940cdd0c48dce3d43fcd05498a109440b</t>
        </is>
      </c>
      <c r="BE1478" s="24" t="inlineStr">
        <is>
          <t>tennis-learned-v3</t>
        </is>
      </c>
      <c r="BF1478" s="24" t="inlineStr">
        <is>
          <t>1</t>
        </is>
      </c>
      <c r="BG1478" s="24" t="inlineStr">
        <is>
          <t>7443acc419841200d57e1edf36b77f1940cdd0c48dce3d43fcd05498a109440b</t>
        </is>
      </c>
      <c r="BH1478" s="24" t="inlineStr">
        <is>
          <t>2026-10-13T22:20:58.276776Z</t>
        </is>
      </c>
      <c r="BI1478" s="24" t="inlineStr">
        <is>
          <t>["same_event","same_team_same_day","same_league_same_day"]</t>
        </is>
      </c>
      <c r="BJ1478" s="25" t="n"/>
      <c r="BK1478" s="26" t="n">
        <v>-203</v>
      </c>
      <c r="BL1478" s="27" t="n">
        <v>1.492611</v>
      </c>
      <c r="BM1478" s="28" t="n">
        <v>0.669967</v>
      </c>
      <c r="BN1478" s="28" t="n"/>
      <c r="BO1478" s="28" t="n"/>
      <c r="BP1478" s="25" t="n"/>
      <c r="BQ1478" s="27" t="n"/>
      <c r="BR1478" s="28" t="n"/>
      <c r="BS1478" s="28" t="n"/>
      <c r="BT1478" s="28" t="n"/>
      <c r="BU1478" s="25" t="n"/>
      <c r="BV1478" s="29" t="n"/>
      <c r="BW1478" s="24" t="n"/>
      <c r="BX1478" s="30" t="n"/>
      <c r="BY1478" s="27" t="n"/>
      <c r="BZ1478" s="24" t="n"/>
      <c r="CA1478" s="31" t="n"/>
      <c r="CB1478" s="24" t="n"/>
      <c r="CC1478" s="24" t="n"/>
      <c r="CD1478" s="24" t="n"/>
      <c r="CE1478" s="24" t="n"/>
      <c r="CF1478" s="24" t="n"/>
      <c r="CG1478" s="24" t="n"/>
      <c r="CH1478" s="24" t="n"/>
      <c r="CI1478" s="24" t="n"/>
      <c r="CJ1478" s="24" t="n"/>
      <c r="CK1478" s="24" t="n"/>
      <c r="CL1478" s="24" t="n"/>
      <c r="CM1478" s="24" t="n"/>
      <c r="CN1478" s="24" t="n"/>
      <c r="CO1478" s="24" t="n"/>
      <c r="CP1478" s="24" t="n"/>
      <c r="CQ1478" s="24" t="n"/>
      <c r="CR1478" s="24" t="n"/>
      <c r="CS1478" s="24" t="inlineStr">
        <is>
          <t>False</t>
        </is>
      </c>
      <c r="CT1478" s="24" t="n"/>
      <c r="CU1478" s="24" t="n"/>
      <c r="CV1478" s="24" t="n"/>
      <c r="CW1478" s="24" t="n"/>
      <c r="CX1478" s="24" t="n"/>
      <c r="CY1478" s="24" t="n"/>
      <c r="CZ1478" s="24" t="n"/>
      <c r="DA1478" s="24" t="n"/>
      <c r="DB1478" s="24" t="n"/>
      <c r="DC1478" s="24" t="n"/>
      <c r="DD1478" s="24" t="inlineStr">
        <is>
          <t>8467897a88ac224b338fbd225ac1a7141000be24a4f09a7016f8ee8f3e3a3dc2</t>
        </is>
      </c>
      <c r="DE1478" s="24" t="inlineStr">
        <is>
          <t>E:\model-prediction\data\odds\tennis\2026-10-13\polymarket_snapshots.jsonl</t>
        </is>
      </c>
      <c r="DF1478" s="24" t="inlineStr">
        <is>
          <t>1387363:2026-10-13T22:20:58.276776Z</t>
        </is>
      </c>
      <c r="DG1478" s="24" t="n"/>
      <c r="DH1478" s="24" t="n"/>
      <c r="DI1478" s="24" t="n"/>
      <c r="DJ1478" s="24" t="n"/>
      <c r="DK1478" s="24" t="n"/>
      <c r="DL1478" s="24" t="n"/>
      <c r="DM1478" s="24" t="n"/>
      <c r="DN1478" s="24" t="n"/>
      <c r="DO1478" s="24" t="n"/>
      <c r="DP1478" s="24" t="n"/>
      <c r="DQ1478" s="24" t="inlineStr">
        <is>
          <t>{"artifact_hash": "7443acc419841200d57e1edf36b77f1940cdd0c48dce3d43fcd05498a109440b", "away_team": "Belinda Bencic", "event_id": "381-2026:185352", "event_start_utc": "2026-10-14T03:00Z", "features": {"elo_p1_surface": 1684.4, "elo_p2_surface": 1669.2, "expected_games_p1": 13.29, "expected_games_p2": 10.85, "expected_total_games": 24.15, "history_matches": 16744, "min_player_matches": 77, "surface": "Hard"}, "historical_source_observation_times_verified": false, "home_team": "Sonay Kartal", "inference_inputs": {"best_of": 3, "code_sha256": {"features/elo_ratings.py": "d6513e79d65448c06cc0f9b9eed0eaa091567835128e1f6647a310da8d78a872", "models/tennis.py": "7443acc419841200d57e1edf36b77f1940cdd0c48dce3d43fcd05498a109440b"}, "counts": [96, 77], "market_probability": null, "model_version": "tennis-learned-v3", "overall_ratings": [1787.579942366954, 1732.8431088303125], "p_serve_a": 0.6098242890727713, "p_serve_b": 0.5701757109272286, "players": ["Belinda Bencic", "Sonay Kartal"], "rest_days": [8.0, 1.0], "sport": "TENNIS", "surface": "Hard", "surface_counts": [72, 56], "surface_ratings": [1684.3554199380312, 1669.197853968999], "tour": "WTA"}, "market_type": "moneyline", "model_version": "tennis-learned-v3", "observed_at_utc": "2026-10-13T22:27:59.044446+00:00", "probabilities": {"away": 0.568, "home": 0.432}, "replay_scope": "Exact full-precision serving state and rounding; upstream historical observation times are not certified.", "schema": "coded-moneyline-replay-v1", "snapshot_hash": "87ed87a305e7e07468e4fbf6c17c5d75cfb9b59f71b4c2eb567b38fd522d6c6f", "sport": "TENNIS"}</t>
        </is>
      </c>
    </row>
    <row r="1479" ht="36" customHeight="1">
      <c r="A1479" s="24" t="inlineStr">
        <is>
          <t>5b6df2fae5834cab</t>
        </is>
      </c>
      <c r="B1479" s="24" t="inlineStr">
        <is>
          <t>2026-10-13T22:28:01.979475Z</t>
        </is>
      </c>
      <c r="C1479" s="24" t="inlineStr">
        <is>
          <t>2026-10-14T03:00Z</t>
        </is>
      </c>
      <c r="D1479" s="24" t="inlineStr">
        <is>
          <t>381-2026:185352</t>
        </is>
      </c>
      <c r="E1479" s="24" t="inlineStr">
        <is>
          <t>TENNIS</t>
        </is>
      </c>
      <c r="F1479" s="24" t="inlineStr">
        <is>
          <t>Belinda Bencic</t>
        </is>
      </c>
      <c r="G1479" s="24" t="inlineStr">
        <is>
          <t>Sonay Kartal</t>
        </is>
      </c>
      <c r="H1479" s="24" t="inlineStr">
        <is>
          <t>spread</t>
        </is>
      </c>
      <c r="I1479" s="24" t="inlineStr">
        <is>
          <t>away</t>
        </is>
      </c>
      <c r="J1479" s="25" t="n">
        <v>-7.5</v>
      </c>
      <c r="K1479" s="24" t="inlineStr">
        <is>
          <t>polymarket_us</t>
        </is>
      </c>
      <c r="L1479" s="26" t="n">
        <v>-203</v>
      </c>
      <c r="M1479" s="27" t="n">
        <v>1.492611</v>
      </c>
      <c r="N1479" s="28" t="n">
        <v>0.669967</v>
      </c>
      <c r="O1479" s="28" t="n">
        <v>0.9913</v>
      </c>
      <c r="P1479" s="28" t="n">
        <v>0.05</v>
      </c>
      <c r="Q1479" s="28" t="n">
        <v>0.321333</v>
      </c>
      <c r="R1479" s="26" t="n">
        <v>100</v>
      </c>
      <c r="S1479" s="29" t="n">
        <v>2</v>
      </c>
      <c r="T1479" s="24" t="inlineStr">
        <is>
          <t>tennis-learned-v3</t>
        </is>
      </c>
      <c r="U1479" s="24" t="inlineStr">
        <is>
          <t>open</t>
        </is>
      </c>
      <c r="V1479" s="24" t="n"/>
      <c r="W1479" s="26" t="n"/>
      <c r="X1479" s="26" t="n"/>
      <c r="Y1479" s="25" t="n"/>
      <c r="Z1479" s="26" t="n"/>
      <c r="AA1479" s="28" t="n"/>
      <c r="AB1479" s="28" t="n"/>
      <c r="AC1479" s="30" t="n"/>
      <c r="AD1479" s="24" t="n"/>
      <c r="AE1479" s="31" t="inlineStr">
        <is>
          <t>Tennis Markov game spread -7.5 games: away cover p=0.991. Executable ask 0.6700 (asc-wta-sonkar-belben-2026-10-12-gs-neg-7pt5).</t>
        </is>
      </c>
      <c r="AF1479" s="31" t="inlineStr">
        <is>
          <t>Surface-blended Elo model; singles only, WTA+ATP market coverage, not yet locked-holdout qualified -- promoted by explicit operator directive, not genuine walk-forward validation.</t>
        </is>
      </c>
      <c r="AG1479" s="24" t="inlineStr">
        <is>
          <t>not_applicable</t>
        </is>
      </c>
      <c r="AH1479" s="24" t="n"/>
      <c r="AI1479" s="31" t="n"/>
      <c r="AJ1479" s="31" t="n"/>
      <c r="AK1479" s="24" t="inlineStr">
        <is>
          <t>model_qualified</t>
        </is>
      </c>
      <c r="AL1479" s="26" t="n">
        <v>4</v>
      </c>
      <c r="AM1479" s="24" t="inlineStr">
        <is>
          <t>QUALIFIED_SHADOW_CALL</t>
        </is>
      </c>
      <c r="AN1479" s="24" t="inlineStr">
        <is>
          <t>CALL</t>
        </is>
      </c>
      <c r="AO1479" s="24" t="inlineStr">
        <is>
          <t>QUALIFIED</t>
        </is>
      </c>
      <c r="AP1479" s="24" t="inlineStr">
        <is>
          <t>Belinda Bencic</t>
        </is>
      </c>
      <c r="AQ1479" s="24" t="inlineStr">
        <is>
          <t>Belinda Bencic</t>
        </is>
      </c>
      <c r="AR1479" s="24" t="inlineStr">
        <is>
          <t>Belinda Bencic</t>
        </is>
      </c>
      <c r="AS1479" s="24" t="inlineStr">
        <is>
          <t>Sonay Kartal</t>
        </is>
      </c>
      <c r="AT1479" s="24" t="inlineStr">
        <is>
          <t>Sonay Kartal</t>
        </is>
      </c>
      <c r="AU1479" s="24" t="inlineStr">
        <is>
          <t>Sonay Kartal</t>
        </is>
      </c>
      <c r="AV1479" s="24" t="n"/>
      <c r="AW1479" s="24" t="n"/>
      <c r="AX1479" s="24" t="inlineStr">
        <is>
          <t>statistical_model</t>
        </is>
      </c>
      <c r="AY1479" s="24" t="n"/>
      <c r="AZ1479" s="24" t="inlineStr">
        <is>
          <t>shadow_qualified</t>
        </is>
      </c>
      <c r="BA1479" s="24" t="inlineStr">
        <is>
          <t>7443acc419841200d57e1edf36b77f1940cdd0c48dce3d43fcd05498a109440b</t>
        </is>
      </c>
      <c r="BB1479" s="24" t="inlineStr">
        <is>
          <t>learned_v3</t>
        </is>
      </c>
      <c r="BC1479" s="24" t="inlineStr">
        <is>
          <t>tennis-learned-v3</t>
        </is>
      </c>
      <c r="BD1479" s="24" t="inlineStr">
        <is>
          <t>7443acc419841200d57e1edf36b77f1940cdd0c48dce3d43fcd05498a109440b</t>
        </is>
      </c>
      <c r="BE1479" s="24" t="inlineStr">
        <is>
          <t>tennis-learned-v3</t>
        </is>
      </c>
      <c r="BF1479" s="24" t="inlineStr">
        <is>
          <t>1</t>
        </is>
      </c>
      <c r="BG1479" s="24" t="inlineStr">
        <is>
          <t>7443acc419841200d57e1edf36b77f1940cdd0c48dce3d43fcd05498a109440b</t>
        </is>
      </c>
      <c r="BH1479" s="24" t="inlineStr">
        <is>
          <t>2026-10-13T22:20:28.029386Z</t>
        </is>
      </c>
      <c r="BI1479" s="24" t="inlineStr">
        <is>
          <t>["same_event","same_team_same_day","same_league_same_day"]</t>
        </is>
      </c>
      <c r="BJ1479" s="25" t="n">
        <v>-7.5</v>
      </c>
      <c r="BK1479" s="26" t="n">
        <v>-203</v>
      </c>
      <c r="BL1479" s="27" t="n">
        <v>1.492611</v>
      </c>
      <c r="BM1479" s="28" t="n">
        <v>0.669967</v>
      </c>
      <c r="BN1479" s="28" t="n"/>
      <c r="BO1479" s="28" t="n"/>
      <c r="BP1479" s="25" t="n"/>
      <c r="BQ1479" s="27" t="n"/>
      <c r="BR1479" s="28" t="n"/>
      <c r="BS1479" s="28" t="n"/>
      <c r="BT1479" s="28" t="n"/>
      <c r="BU1479" s="25" t="n"/>
      <c r="BV1479" s="29" t="n"/>
      <c r="BW1479" s="24" t="n"/>
      <c r="BX1479" s="30" t="n"/>
      <c r="BY1479" s="27" t="n"/>
      <c r="BZ1479" s="24" t="n"/>
      <c r="CA1479" s="31" t="n"/>
      <c r="CB1479" s="24" t="n"/>
      <c r="CC1479" s="24" t="n"/>
      <c r="CD1479" s="24" t="n"/>
      <c r="CE1479" s="24" t="n"/>
      <c r="CF1479" s="24" t="n"/>
      <c r="CG1479" s="24" t="n"/>
      <c r="CH1479" s="24" t="n"/>
      <c r="CI1479" s="24" t="n"/>
      <c r="CJ1479" s="24" t="n"/>
      <c r="CK1479" s="24" t="n"/>
      <c r="CL1479" s="24" t="n"/>
      <c r="CM1479" s="24" t="n"/>
      <c r="CN1479" s="24" t="n"/>
      <c r="CO1479" s="24" t="n"/>
      <c r="CP1479" s="24" t="n"/>
      <c r="CQ1479" s="24" t="n"/>
      <c r="CR1479" s="24" t="n"/>
      <c r="CS1479" s="24" t="inlineStr">
        <is>
          <t>True</t>
        </is>
      </c>
      <c r="CT1479" s="24" t="n"/>
      <c r="CU1479" s="24" t="n"/>
      <c r="CV1479" s="24" t="n"/>
      <c r="CW1479" s="24" t="n"/>
      <c r="CX1479" s="24" t="n"/>
      <c r="CY1479" s="24" t="n"/>
      <c r="CZ1479" s="24" t="n"/>
      <c r="DA1479" s="24" t="n"/>
      <c r="DB1479" s="24" t="n"/>
      <c r="DC1479" s="24" t="n"/>
      <c r="DD1479" s="24" t="inlineStr">
        <is>
          <t>c368e390e4dee787882203de6a918bf677cb32447ccaeaafc485855ff6a1d98e</t>
        </is>
      </c>
      <c r="DE1479" s="24" t="inlineStr">
        <is>
          <t>E:\model-prediction\data\odds\tennis\2026-10-13\polymarket_snapshots.jsonl</t>
        </is>
      </c>
      <c r="DF1479" s="24" t="inlineStr">
        <is>
          <t>1387460:2026-10-13T22:20:28.029386Z</t>
        </is>
      </c>
      <c r="DG1479" s="24" t="n"/>
      <c r="DH1479" s="24" t="n"/>
      <c r="DI1479" s="24" t="n"/>
      <c r="DJ1479" s="24" t="n"/>
      <c r="DK1479" s="24" t="n"/>
      <c r="DL1479" s="24" t="n"/>
      <c r="DM1479" s="24" t="n"/>
      <c r="DN1479" s="24" t="n"/>
      <c r="DO1479" s="24" t="n"/>
      <c r="DP1479" s="24" t="n"/>
      <c r="DQ1479" s="24" t="n"/>
    </row>
    <row r="1480" ht="36" customHeight="1">
      <c r="A1480" s="24" t="inlineStr">
        <is>
          <t>908529b9d9e64342</t>
        </is>
      </c>
      <c r="B1480" s="24" t="inlineStr">
        <is>
          <t>2026-10-13T22:28:01.979475Z</t>
        </is>
      </c>
      <c r="C1480" s="24" t="inlineStr">
        <is>
          <t>2026-10-14T03:00Z</t>
        </is>
      </c>
      <c r="D1480" s="24" t="inlineStr">
        <is>
          <t>381-2026:185352</t>
        </is>
      </c>
      <c r="E1480" s="24" t="inlineStr">
        <is>
          <t>TENNIS</t>
        </is>
      </c>
      <c r="F1480" s="24" t="inlineStr">
        <is>
          <t>Belinda Bencic</t>
        </is>
      </c>
      <c r="G1480" s="24" t="inlineStr">
        <is>
          <t>Sonay Kartal</t>
        </is>
      </c>
      <c r="H1480" s="24" t="inlineStr">
        <is>
          <t>total</t>
        </is>
      </c>
      <c r="I1480" s="24" t="inlineStr">
        <is>
          <t>over</t>
        </is>
      </c>
      <c r="J1480" s="25" t="n">
        <v>22.5</v>
      </c>
      <c r="K1480" s="24" t="inlineStr">
        <is>
          <t>polymarket_us</t>
        </is>
      </c>
      <c r="L1480" s="26" t="n">
        <v>113</v>
      </c>
      <c r="M1480" s="27" t="n">
        <v>2.13</v>
      </c>
      <c r="N1480" s="28" t="n">
        <v>0.469484</v>
      </c>
      <c r="O1480" s="28" t="n">
        <v>0.5314</v>
      </c>
      <c r="P1480" s="28" t="n">
        <v>0.05</v>
      </c>
      <c r="Q1480" s="28" t="n">
        <v>0.061916</v>
      </c>
      <c r="R1480" s="26" t="n">
        <v>51</v>
      </c>
      <c r="S1480" s="29" t="n">
        <v>1</v>
      </c>
      <c r="T1480" s="24" t="inlineStr">
        <is>
          <t>tennis-learned-v3</t>
        </is>
      </c>
      <c r="U1480" s="24" t="inlineStr">
        <is>
          <t>open</t>
        </is>
      </c>
      <c r="V1480" s="24" t="n"/>
      <c r="W1480" s="26" t="n"/>
      <c r="X1480" s="26" t="n"/>
      <c r="Y1480" s="25" t="n"/>
      <c r="Z1480" s="26" t="n"/>
      <c r="AA1480" s="28" t="n"/>
      <c r="AB1480" s="28" t="n"/>
      <c r="AC1480" s="30" t="n"/>
      <c r="AD1480" s="24" t="n"/>
      <c r="AE1480" s="31" t="inlineStr">
        <is>
          <t>Tennis Markov total games line 22.5: over p=0.531. Executable ask 0.4700 (tsc-wta-sonkar-belben-2026-10-12-tg-22pt5).</t>
        </is>
      </c>
      <c r="AF1480" s="31" t="inlineStr">
        <is>
          <t>Surface-blended Elo model; singles only, WTA+ATP market coverage, not yet locked-holdout qualified -- promoted by explicit operator directive, not genuine walk-forward validation.</t>
        </is>
      </c>
      <c r="AG1480" s="24" t="inlineStr">
        <is>
          <t>not_applicable</t>
        </is>
      </c>
      <c r="AH1480" s="24" t="n"/>
      <c r="AI1480" s="31" t="n"/>
      <c r="AJ1480" s="31" t="n"/>
      <c r="AK1480" s="24" t="inlineStr">
        <is>
          <t>paper_call</t>
        </is>
      </c>
      <c r="AL1480" s="26" t="n">
        <v>4</v>
      </c>
      <c r="AM1480" s="24" t="inlineStr">
        <is>
          <t>RESEARCH_OBSERVATION</t>
        </is>
      </c>
      <c r="AN1480" s="24" t="inlineStr">
        <is>
          <t>CALL</t>
        </is>
      </c>
      <c r="AO1480" s="24" t="inlineStr">
        <is>
          <t>PAPER_CALL_LOW_EDGE</t>
        </is>
      </c>
      <c r="AP1480" s="24" t="inlineStr">
        <is>
          <t>Belinda Bencic</t>
        </is>
      </c>
      <c r="AQ1480" s="24" t="inlineStr">
        <is>
          <t>Belinda Bencic</t>
        </is>
      </c>
      <c r="AR1480" s="24" t="inlineStr">
        <is>
          <t>Belinda Bencic</t>
        </is>
      </c>
      <c r="AS1480" s="24" t="inlineStr">
        <is>
          <t>Sonay Kartal</t>
        </is>
      </c>
      <c r="AT1480" s="24" t="inlineStr">
        <is>
          <t>Sonay Kartal</t>
        </is>
      </c>
      <c r="AU1480" s="24" t="inlineStr">
        <is>
          <t>Sonay Kartal</t>
        </is>
      </c>
      <c r="AV1480" s="24" t="n"/>
      <c r="AW1480" s="24" t="n"/>
      <c r="AX1480" s="24" t="inlineStr">
        <is>
          <t>statistical_model</t>
        </is>
      </c>
      <c r="AY1480" s="24" t="n"/>
      <c r="AZ1480" s="24" t="inlineStr">
        <is>
          <t>shadow_qualified</t>
        </is>
      </c>
      <c r="BA1480" s="24" t="inlineStr">
        <is>
          <t>7443acc419841200d57e1edf36b77f1940cdd0c48dce3d43fcd05498a109440b</t>
        </is>
      </c>
      <c r="BB1480" s="24" t="inlineStr">
        <is>
          <t>learned_v3</t>
        </is>
      </c>
      <c r="BC1480" s="24" t="inlineStr">
        <is>
          <t>tennis-learned-v3</t>
        </is>
      </c>
      <c r="BD1480" s="24" t="inlineStr">
        <is>
          <t>7443acc419841200d57e1edf36b77f1940cdd0c48dce3d43fcd05498a109440b</t>
        </is>
      </c>
      <c r="BE1480" s="24" t="inlineStr">
        <is>
          <t>tennis-learned-v3</t>
        </is>
      </c>
      <c r="BF1480" s="24" t="inlineStr">
        <is>
          <t>1</t>
        </is>
      </c>
      <c r="BG1480" s="24" t="inlineStr">
        <is>
          <t>7443acc419841200d57e1edf36b77f1940cdd0c48dce3d43fcd05498a109440b</t>
        </is>
      </c>
      <c r="BH1480" s="24" t="inlineStr">
        <is>
          <t>2026-10-13T22:20:38.127944Z</t>
        </is>
      </c>
      <c r="BI1480" s="24" t="inlineStr">
        <is>
          <t>["same_event","same_team_same_day","same_league_same_day"]</t>
        </is>
      </c>
      <c r="BJ1480" s="25" t="n">
        <v>22.5</v>
      </c>
      <c r="BK1480" s="26" t="n">
        <v>113</v>
      </c>
      <c r="BL1480" s="27" t="n">
        <v>2.13</v>
      </c>
      <c r="BM1480" s="28" t="n">
        <v>0.469484</v>
      </c>
      <c r="BN1480" s="28" t="n"/>
      <c r="BO1480" s="28" t="n"/>
      <c r="BP1480" s="25" t="n"/>
      <c r="BQ1480" s="27" t="n"/>
      <c r="BR1480" s="28" t="n"/>
      <c r="BS1480" s="28" t="n"/>
      <c r="BT1480" s="28" t="n"/>
      <c r="BU1480" s="25" t="n"/>
      <c r="BV1480" s="29" t="n"/>
      <c r="BW1480" s="24" t="n"/>
      <c r="BX1480" s="30" t="n"/>
      <c r="BY1480" s="27" t="n"/>
      <c r="BZ1480" s="24" t="n"/>
      <c r="CA1480" s="31" t="n"/>
      <c r="CB1480" s="24" t="n"/>
      <c r="CC1480" s="24" t="n"/>
      <c r="CD1480" s="24" t="n"/>
      <c r="CE1480" s="24" t="n"/>
      <c r="CF1480" s="24" t="n"/>
      <c r="CG1480" s="24" t="n"/>
      <c r="CH1480" s="24" t="n"/>
      <c r="CI1480" s="24" t="n"/>
      <c r="CJ1480" s="24" t="n"/>
      <c r="CK1480" s="24" t="n"/>
      <c r="CL1480" s="24" t="n"/>
      <c r="CM1480" s="24" t="n"/>
      <c r="CN1480" s="24" t="n"/>
      <c r="CO1480" s="24" t="n"/>
      <c r="CP1480" s="24" t="n"/>
      <c r="CQ1480" s="24" t="n"/>
      <c r="CR1480" s="24" t="n"/>
      <c r="CS1480" s="24" t="inlineStr">
        <is>
          <t>True</t>
        </is>
      </c>
      <c r="CT1480" s="24" t="n"/>
      <c r="CU1480" s="24" t="n"/>
      <c r="CV1480" s="24" t="n"/>
      <c r="CW1480" s="24" t="n"/>
      <c r="CX1480" s="24" t="n"/>
      <c r="CY1480" s="24" t="n"/>
      <c r="CZ1480" s="24" t="n"/>
      <c r="DA1480" s="24" t="n"/>
      <c r="DB1480" s="24" t="n"/>
      <c r="DC1480" s="24" t="n"/>
      <c r="DD1480" s="24" t="inlineStr">
        <is>
          <t>393df434212db727ef66d2770401b0112fd02cee51faf314f59405bb00d71989</t>
        </is>
      </c>
      <c r="DE1480" s="24" t="inlineStr">
        <is>
          <t>E:\model-prediction\data\odds\tennis\2026-10-13\polymarket_snapshots.jsonl</t>
        </is>
      </c>
      <c r="DF1480" s="24" t="inlineStr">
        <is>
          <t>1387435:2026-10-13T22:20:38.127944Z</t>
        </is>
      </c>
      <c r="DG1480" s="24" t="n"/>
      <c r="DH1480" s="24" t="n"/>
      <c r="DI1480" s="24" t="n"/>
      <c r="DJ1480" s="24" t="n"/>
      <c r="DK1480" s="24" t="n"/>
      <c r="DL1480" s="24" t="n"/>
      <c r="DM1480" s="24" t="n"/>
      <c r="DN1480" s="24" t="n"/>
      <c r="DO1480" s="24" t="n"/>
      <c r="DP1480" s="24" t="n"/>
      <c r="DQ1480" s="24" t="n"/>
    </row>
    <row r="1481" ht="36" customHeight="1">
      <c r="A1481" s="24" t="inlineStr">
        <is>
          <t>300dec18ea3f43b8</t>
        </is>
      </c>
      <c r="B1481" s="24" t="inlineStr">
        <is>
          <t>2026-10-13T22:28:01.979475Z</t>
        </is>
      </c>
      <c r="C1481" s="24" t="inlineStr">
        <is>
          <t>2026-10-14T03:00Z</t>
        </is>
      </c>
      <c r="D1481" s="24" t="inlineStr">
        <is>
          <t>381-2026:185355</t>
        </is>
      </c>
      <c r="E1481" s="24" t="inlineStr">
        <is>
          <t>TENNIS</t>
        </is>
      </c>
      <c r="F1481" s="24" t="inlineStr">
        <is>
          <t>Iga Swiatek</t>
        </is>
      </c>
      <c r="G1481" s="24" t="inlineStr">
        <is>
          <t>Magdalena Frech</t>
        </is>
      </c>
      <c r="H1481" s="24" t="inlineStr">
        <is>
          <t>moneyline</t>
        </is>
      </c>
      <c r="I1481" s="24" t="inlineStr">
        <is>
          <t>away</t>
        </is>
      </c>
      <c r="J1481" s="25" t="n"/>
      <c r="K1481" s="24" t="inlineStr">
        <is>
          <t>polymarket_us</t>
        </is>
      </c>
      <c r="L1481" s="26" t="n">
        <v>-1329</v>
      </c>
      <c r="M1481" s="27" t="n">
        <v>1.075245</v>
      </c>
      <c r="N1481" s="28" t="n">
        <v>0.930021</v>
      </c>
      <c r="O1481" s="28" t="n">
        <v>0.8439</v>
      </c>
      <c r="P1481" s="28" t="n">
        <v>0.05</v>
      </c>
      <c r="Q1481" s="28" t="n">
        <v>-0.086121</v>
      </c>
      <c r="R1481" s="26" t="n">
        <v>0</v>
      </c>
      <c r="S1481" s="29" t="n">
        <v>1</v>
      </c>
      <c r="T1481" s="24" t="inlineStr">
        <is>
          <t>tennis-learned-v3</t>
        </is>
      </c>
      <c r="U1481" s="24" t="inlineStr">
        <is>
          <t>open</t>
        </is>
      </c>
      <c r="V1481" s="24" t="n"/>
      <c r="W1481" s="26" t="n"/>
      <c r="X1481" s="26" t="n"/>
      <c r="Y1481" s="25" t="n"/>
      <c r="Z1481" s="26" t="n"/>
      <c r="AA1481" s="28" t="n"/>
      <c r="AB1481" s="28" t="n"/>
      <c r="AC1481" s="30" t="n"/>
      <c r="AD1481" s="24" t="n"/>
      <c r="AE1481" s="31" t="inlineStr">
        <is>
          <t>Tennis v3 Learned Fundamental on Hard (Bo3): Iga Swiatek p=0.844 vs Magdalena Frech. Executable ask 0.9300 (aec-wta-magfre-igaswi-2026-10-13).</t>
        </is>
      </c>
      <c r="AF1481" s="31" t="inlineStr">
        <is>
          <t>Surface-blended Elo model; singles only, WTA+ATP market coverage, not yet locked-holdout qualified -- promoted by explicit operator directive, not genuine walk-forward validation.</t>
        </is>
      </c>
      <c r="AG1481" s="24" t="inlineStr">
        <is>
          <t>not_applicable</t>
        </is>
      </c>
      <c r="AH1481" s="24" t="n"/>
      <c r="AI1481" s="31" t="n"/>
      <c r="AJ1481" s="31" t="n"/>
      <c r="AK1481" s="24" t="inlineStr">
        <is>
          <t>paper_call</t>
        </is>
      </c>
      <c r="AL1481" s="26" t="n">
        <v>4</v>
      </c>
      <c r="AM1481" s="24" t="inlineStr">
        <is>
          <t>RESEARCH_OBSERVATION</t>
        </is>
      </c>
      <c r="AN1481" s="24" t="inlineStr">
        <is>
          <t>CALL</t>
        </is>
      </c>
      <c r="AO1481" s="24" t="inlineStr">
        <is>
          <t>PAPER_CALL_LOW_EDGE</t>
        </is>
      </c>
      <c r="AP1481" s="24" t="inlineStr">
        <is>
          <t>Iga Swiatek</t>
        </is>
      </c>
      <c r="AQ1481" s="24" t="inlineStr">
        <is>
          <t>Iga Swiatek</t>
        </is>
      </c>
      <c r="AR1481" s="24" t="inlineStr">
        <is>
          <t>Iga Swiatek</t>
        </is>
      </c>
      <c r="AS1481" s="24" t="inlineStr">
        <is>
          <t>Magdalena Frech</t>
        </is>
      </c>
      <c r="AT1481" s="24" t="inlineStr">
        <is>
          <t>Magdalena Frech</t>
        </is>
      </c>
      <c r="AU1481" s="24" t="inlineStr">
        <is>
          <t>Magdalena Frech</t>
        </is>
      </c>
      <c r="AV1481" s="24" t="n"/>
      <c r="AW1481" s="24" t="n"/>
      <c r="AX1481" s="24" t="inlineStr">
        <is>
          <t>statistical_model</t>
        </is>
      </c>
      <c r="AY1481" s="24" t="n"/>
      <c r="AZ1481" s="24" t="inlineStr">
        <is>
          <t>shadow_qualified</t>
        </is>
      </c>
      <c r="BA1481" s="24" t="inlineStr">
        <is>
          <t>7443acc419841200d57e1edf36b77f1940cdd0c48dce3d43fcd05498a109440b</t>
        </is>
      </c>
      <c r="BB1481" s="24" t="inlineStr">
        <is>
          <t>learned_v3</t>
        </is>
      </c>
      <c r="BC1481" s="24" t="inlineStr">
        <is>
          <t>tennis-learned-v3</t>
        </is>
      </c>
      <c r="BD1481" s="24" t="inlineStr">
        <is>
          <t>7443acc419841200d57e1edf36b77f1940cdd0c48dce3d43fcd05498a109440b</t>
        </is>
      </c>
      <c r="BE1481" s="24" t="inlineStr">
        <is>
          <t>tennis-learned-v3</t>
        </is>
      </c>
      <c r="BF1481" s="24" t="inlineStr">
        <is>
          <t>1</t>
        </is>
      </c>
      <c r="BG1481" s="24" t="inlineStr">
        <is>
          <t>7443acc419841200d57e1edf36b77f1940cdd0c48dce3d43fcd05498a109440b</t>
        </is>
      </c>
      <c r="BH1481" s="24" t="inlineStr">
        <is>
          <t>2026-10-13T22:21:18.441878Z</t>
        </is>
      </c>
      <c r="BI1481" s="24" t="inlineStr">
        <is>
          <t>["same_event","same_team_same_day","same_league_same_day"]</t>
        </is>
      </c>
      <c r="BJ1481" s="25" t="n"/>
      <c r="BK1481" s="26" t="n">
        <v>-1329</v>
      </c>
      <c r="BL1481" s="27" t="n">
        <v>1.075245</v>
      </c>
      <c r="BM1481" s="28" t="n">
        <v>0.930021</v>
      </c>
      <c r="BN1481" s="28" t="n"/>
      <c r="BO1481" s="28" t="n"/>
      <c r="BP1481" s="25" t="n"/>
      <c r="BQ1481" s="27" t="n"/>
      <c r="BR1481" s="28" t="n"/>
      <c r="BS1481" s="28" t="n"/>
      <c r="BT1481" s="28" t="n"/>
      <c r="BU1481" s="25" t="n"/>
      <c r="BV1481" s="29" t="n"/>
      <c r="BW1481" s="24" t="n"/>
      <c r="BX1481" s="30" t="n"/>
      <c r="BY1481" s="27" t="n"/>
      <c r="BZ1481" s="24" t="n"/>
      <c r="CA1481" s="31" t="n"/>
      <c r="CB1481" s="24" t="n"/>
      <c r="CC1481" s="24" t="n"/>
      <c r="CD1481" s="24" t="n"/>
      <c r="CE1481" s="24" t="n"/>
      <c r="CF1481" s="24" t="n"/>
      <c r="CG1481" s="24" t="n"/>
      <c r="CH1481" s="24" t="n"/>
      <c r="CI1481" s="24" t="n"/>
      <c r="CJ1481" s="24" t="n"/>
      <c r="CK1481" s="24" t="n"/>
      <c r="CL1481" s="24" t="n"/>
      <c r="CM1481" s="24" t="n"/>
      <c r="CN1481" s="24" t="n"/>
      <c r="CO1481" s="24" t="n"/>
      <c r="CP1481" s="24" t="n"/>
      <c r="CQ1481" s="24" t="n"/>
      <c r="CR1481" s="24" t="n"/>
      <c r="CS1481" s="24" t="inlineStr">
        <is>
          <t>False</t>
        </is>
      </c>
      <c r="CT1481" s="24" t="n"/>
      <c r="CU1481" s="24" t="n"/>
      <c r="CV1481" s="24" t="n"/>
      <c r="CW1481" s="24" t="n"/>
      <c r="CX1481" s="24" t="n"/>
      <c r="CY1481" s="24" t="n"/>
      <c r="CZ1481" s="24" t="n"/>
      <c r="DA1481" s="24" t="n"/>
      <c r="DB1481" s="24" t="n"/>
      <c r="DC1481" s="24" t="n"/>
      <c r="DD1481" s="24" t="inlineStr">
        <is>
          <t>8f85d8c080f1bc148162645ad15864fe4027ae9a99e01e2ff14b4cb071ad5e17</t>
        </is>
      </c>
      <c r="DE1481" s="24" t="inlineStr">
        <is>
          <t>E:\model-prediction\data\odds\tennis\2026-10-13\polymarket_snapshots.jsonl</t>
        </is>
      </c>
      <c r="DF1481" s="24" t="inlineStr">
        <is>
          <t>1390326:2026-10-13T22:21:18.441878Z</t>
        </is>
      </c>
      <c r="DG1481" s="24" t="n"/>
      <c r="DH1481" s="24" t="n"/>
      <c r="DI1481" s="24" t="n"/>
      <c r="DJ1481" s="24" t="n"/>
      <c r="DK1481" s="24" t="n"/>
      <c r="DL1481" s="24" t="n"/>
      <c r="DM1481" s="24" t="n"/>
      <c r="DN1481" s="24" t="n"/>
      <c r="DO1481" s="24" t="n"/>
      <c r="DP1481" s="24" t="n"/>
      <c r="DQ1481" s="24" t="inlineStr">
        <is>
          <t>{"artifact_hash": "7443acc419841200d57e1edf36b77f1940cdd0c48dce3d43fcd05498a109440b", "away_team": "Iga Swiatek", "event_id": "381-2026:185355", "event_start_utc": "2026-10-14T03:00Z", "features": {"elo_p1_surface": 1813.2, "elo_p2_surface": 1575.7, "expected_games_p1": 12.23, "expected_games_p2": 3.89, "expected_total_games": 16.12, "history_matches": 16744, "min_player_matches": 155, "surface": "Hard"}, "historical_source_observation_times_verified": false, "home_team": "Magdalena Frech", "inference_inputs": {"best_of": 3, "code_sha256": {"features/elo_ratings.py": "d6513e79d65448c06cc0f9b9eed0eaa091567835128e1f6647a310da8d78a872", "models/tennis.py": "7443acc419841200d57e1edf36b77f1940cdd0c48dce3d43fcd05498a109440b"}, "counts": [187, 155], "market_probability": null, "model_version": "tennis-learned-v3", "overall_ratings": [1931.2431412377111, 1615.7218779879256], "p_serve_a": 0.7121374189758931, "p_serve_b": 0.46786258102410677, "players": ["Iga Swiatek", "Magdalena Frech"], "rest_days": [4.0, 1.0], "sport": "TENNIS", "surface": "Hard", "surface_counts": [131, 128], "surface_ratings": [1813.2254729477054, 1575.6885598984518], "tour": "WTA"}, "market_type": "moneyline", "model_version": "tennis-learned-v3", "observed_at_utc": "2026-10-13T22:27:59.044446+00:00", "probabilities": {"away": 0.8439, "home": 0.1561}, "replay_scope": "Exact full-precision serving state and rounding; upstream historical observation times are not certified.", "schema": "coded-moneyline-replay-v1", "snapshot_hash": "ddc515bdcb648984e4351a013170c1093c17a5a7fc830a59346e5ab368708a45", "sport": "TENNIS"}</t>
        </is>
      </c>
    </row>
    <row r="1482" ht="36" customHeight="1">
      <c r="A1482" s="24" t="inlineStr">
        <is>
          <t>3478443eb95844a2</t>
        </is>
      </c>
      <c r="B1482" s="24" t="inlineStr">
        <is>
          <t>2026-10-13T22:28:01.979475Z</t>
        </is>
      </c>
      <c r="C1482" s="24" t="inlineStr">
        <is>
          <t>2026-10-14T03:00Z</t>
        </is>
      </c>
      <c r="D1482" s="24" t="inlineStr">
        <is>
          <t>381-2026:185355</t>
        </is>
      </c>
      <c r="E1482" s="24" t="inlineStr">
        <is>
          <t>TENNIS</t>
        </is>
      </c>
      <c r="F1482" s="24" t="inlineStr">
        <is>
          <t>Iga Swiatek</t>
        </is>
      </c>
      <c r="G1482" s="24" t="inlineStr">
        <is>
          <t>Magdalena Frech</t>
        </is>
      </c>
      <c r="H1482" s="24" t="inlineStr">
        <is>
          <t>total</t>
        </is>
      </c>
      <c r="I1482" s="24" t="inlineStr">
        <is>
          <t>under</t>
        </is>
      </c>
      <c r="J1482" s="25" t="n">
        <v>17.5</v>
      </c>
      <c r="K1482" s="24" t="inlineStr">
        <is>
          <t>polymarket_us</t>
        </is>
      </c>
      <c r="L1482" s="26" t="n">
        <v>104</v>
      </c>
      <c r="M1482" s="27" t="n">
        <v>2.04</v>
      </c>
      <c r="N1482" s="28" t="n">
        <v>0.490196</v>
      </c>
      <c r="O1482" s="28" t="n">
        <v>0.7896</v>
      </c>
      <c r="P1482" s="28" t="n">
        <v>0.05</v>
      </c>
      <c r="Q1482" s="28" t="n">
        <v>0.299404</v>
      </c>
      <c r="R1482" s="26" t="n">
        <v>100</v>
      </c>
      <c r="S1482" s="29" t="n">
        <v>2</v>
      </c>
      <c r="T1482" s="24" t="inlineStr">
        <is>
          <t>tennis-learned-v3</t>
        </is>
      </c>
      <c r="U1482" s="24" t="inlineStr">
        <is>
          <t>open</t>
        </is>
      </c>
      <c r="V1482" s="24" t="n"/>
      <c r="W1482" s="26" t="n"/>
      <c r="X1482" s="26" t="n"/>
      <c r="Y1482" s="25" t="n"/>
      <c r="Z1482" s="26" t="n"/>
      <c r="AA1482" s="28" t="n"/>
      <c r="AB1482" s="28" t="n"/>
      <c r="AC1482" s="30" t="n"/>
      <c r="AD1482" s="24" t="n"/>
      <c r="AE1482" s="31" t="inlineStr">
        <is>
          <t>Tennis Markov total games line 17.5: under p=0.790. Executable ask 0.4900 (tsc-wta-magfre-igaswi-2026-10-13-tg-17pt5).</t>
        </is>
      </c>
      <c r="AF1482" s="31" t="inlineStr">
        <is>
          <t>Surface-blended Elo model; singles only, WTA+ATP market coverage, not yet locked-holdout qualified -- promoted by explicit operator directive, not genuine walk-forward validation.</t>
        </is>
      </c>
      <c r="AG1482" s="24" t="inlineStr">
        <is>
          <t>not_applicable</t>
        </is>
      </c>
      <c r="AH1482" s="24" t="n"/>
      <c r="AI1482" s="31" t="n"/>
      <c r="AJ1482" s="31" t="n"/>
      <c r="AK1482" s="24" t="inlineStr">
        <is>
          <t>model_qualified</t>
        </is>
      </c>
      <c r="AL1482" s="26" t="n">
        <v>4</v>
      </c>
      <c r="AM1482" s="24" t="inlineStr">
        <is>
          <t>QUALIFIED_SHADOW_CALL</t>
        </is>
      </c>
      <c r="AN1482" s="24" t="inlineStr">
        <is>
          <t>CALL</t>
        </is>
      </c>
      <c r="AO1482" s="24" t="inlineStr">
        <is>
          <t>QUALIFIED</t>
        </is>
      </c>
      <c r="AP1482" s="24" t="inlineStr">
        <is>
          <t>Iga Swiatek</t>
        </is>
      </c>
      <c r="AQ1482" s="24" t="inlineStr">
        <is>
          <t>Iga Swiatek</t>
        </is>
      </c>
      <c r="AR1482" s="24" t="inlineStr">
        <is>
          <t>Iga Swiatek</t>
        </is>
      </c>
      <c r="AS1482" s="24" t="inlineStr">
        <is>
          <t>Magdalena Frech</t>
        </is>
      </c>
      <c r="AT1482" s="24" t="inlineStr">
        <is>
          <t>Magdalena Frech</t>
        </is>
      </c>
      <c r="AU1482" s="24" t="inlineStr">
        <is>
          <t>Magdalena Frech</t>
        </is>
      </c>
      <c r="AV1482" s="24" t="n"/>
      <c r="AW1482" s="24" t="n"/>
      <c r="AX1482" s="24" t="inlineStr">
        <is>
          <t>statistical_model</t>
        </is>
      </c>
      <c r="AY1482" s="24" t="n"/>
      <c r="AZ1482" s="24" t="inlineStr">
        <is>
          <t>shadow_qualified</t>
        </is>
      </c>
      <c r="BA1482" s="24" t="inlineStr">
        <is>
          <t>7443acc419841200d57e1edf36b77f1940cdd0c48dce3d43fcd05498a109440b</t>
        </is>
      </c>
      <c r="BB1482" s="24" t="inlineStr">
        <is>
          <t>learned_v3</t>
        </is>
      </c>
      <c r="BC1482" s="24" t="inlineStr">
        <is>
          <t>tennis-learned-v3</t>
        </is>
      </c>
      <c r="BD1482" s="24" t="inlineStr">
        <is>
          <t>7443acc419841200d57e1edf36b77f1940cdd0c48dce3d43fcd05498a109440b</t>
        </is>
      </c>
      <c r="BE1482" s="24" t="inlineStr">
        <is>
          <t>tennis-learned-v3</t>
        </is>
      </c>
      <c r="BF1482" s="24" t="inlineStr">
        <is>
          <t>1</t>
        </is>
      </c>
      <c r="BG1482" s="24" t="inlineStr">
        <is>
          <t>7443acc419841200d57e1edf36b77f1940cdd0c48dce3d43fcd05498a109440b</t>
        </is>
      </c>
      <c r="BH1482" s="24" t="inlineStr">
        <is>
          <t>2026-10-13T22:20:38.006893Z</t>
        </is>
      </c>
      <c r="BI1482" s="24" t="inlineStr">
        <is>
          <t>["same_event","same_team_same_day","same_league_same_day"]</t>
        </is>
      </c>
      <c r="BJ1482" s="25" t="n">
        <v>17.5</v>
      </c>
      <c r="BK1482" s="26" t="n">
        <v>104</v>
      </c>
      <c r="BL1482" s="27" t="n">
        <v>2.04</v>
      </c>
      <c r="BM1482" s="28" t="n">
        <v>0.490196</v>
      </c>
      <c r="BN1482" s="28" t="n"/>
      <c r="BO1482" s="28" t="n"/>
      <c r="BP1482" s="25" t="n"/>
      <c r="BQ1482" s="27" t="n"/>
      <c r="BR1482" s="28" t="n"/>
      <c r="BS1482" s="28" t="n"/>
      <c r="BT1482" s="28" t="n"/>
      <c r="BU1482" s="25" t="n"/>
      <c r="BV1482" s="29" t="n"/>
      <c r="BW1482" s="24" t="n"/>
      <c r="BX1482" s="30" t="n"/>
      <c r="BY1482" s="27" t="n"/>
      <c r="BZ1482" s="24" t="n"/>
      <c r="CA1482" s="31" t="n"/>
      <c r="CB1482" s="24" t="n"/>
      <c r="CC1482" s="24" t="n"/>
      <c r="CD1482" s="24" t="n"/>
      <c r="CE1482" s="24" t="n"/>
      <c r="CF1482" s="24" t="n"/>
      <c r="CG1482" s="24" t="n"/>
      <c r="CH1482" s="24" t="n"/>
      <c r="CI1482" s="24" t="n"/>
      <c r="CJ1482" s="24" t="n"/>
      <c r="CK1482" s="24" t="n"/>
      <c r="CL1482" s="24" t="n"/>
      <c r="CM1482" s="24" t="n"/>
      <c r="CN1482" s="24" t="n"/>
      <c r="CO1482" s="24" t="n"/>
      <c r="CP1482" s="24" t="n"/>
      <c r="CQ1482" s="24" t="n"/>
      <c r="CR1482" s="24" t="n"/>
      <c r="CS1482" s="24" t="inlineStr">
        <is>
          <t>True</t>
        </is>
      </c>
      <c r="CT1482" s="24" t="n"/>
      <c r="CU1482" s="24" t="n"/>
      <c r="CV1482" s="24" t="n"/>
      <c r="CW1482" s="24" t="n"/>
      <c r="CX1482" s="24" t="n"/>
      <c r="CY1482" s="24" t="n"/>
      <c r="CZ1482" s="24" t="n"/>
      <c r="DA1482" s="24" t="n"/>
      <c r="DB1482" s="24" t="n"/>
      <c r="DC1482" s="24" t="n"/>
      <c r="DD1482" s="24" t="inlineStr">
        <is>
          <t>196eaf0bb6337333d0b272bbbb6efc3117ffda9f3adcb787ef4ac1aab1ee5bd9</t>
        </is>
      </c>
      <c r="DE1482" s="24" t="inlineStr">
        <is>
          <t>E:\model-prediction\data\odds\tennis\2026-10-13\polymarket_snapshots.jsonl</t>
        </is>
      </c>
      <c r="DF1482" s="24" t="inlineStr">
        <is>
          <t>1406260:2026-10-13T22:20:38.006893Z</t>
        </is>
      </c>
      <c r="DG1482" s="24" t="n"/>
      <c r="DH1482" s="24" t="n"/>
      <c r="DI1482" s="24" t="n"/>
      <c r="DJ1482" s="24" t="n"/>
      <c r="DK1482" s="24" t="n"/>
      <c r="DL1482" s="24" t="n"/>
      <c r="DM1482" s="24" t="n"/>
      <c r="DN1482" s="24" t="n"/>
      <c r="DO1482" s="24" t="n"/>
      <c r="DP1482" s="24" t="n"/>
      <c r="DQ1482" s="24" t="n"/>
    </row>
    <row r="1483" ht="36" customHeight="1">
      <c r="A1483" s="24" t="inlineStr">
        <is>
          <t>4bf40d3cb81a45a3</t>
        </is>
      </c>
      <c r="B1483" s="24" t="inlineStr">
        <is>
          <t>2026-10-13T22:28:01.979475Z</t>
        </is>
      </c>
      <c r="C1483" s="24" t="inlineStr">
        <is>
          <t>2026-10-14T03:00Z</t>
        </is>
      </c>
      <c r="D1483" s="24" t="inlineStr">
        <is>
          <t>381-2026:185358</t>
        </is>
      </c>
      <c r="E1483" s="24" t="inlineStr">
        <is>
          <t>TENNIS</t>
        </is>
      </c>
      <c r="F1483" s="24" t="inlineStr">
        <is>
          <t>Maja Chwalinska</t>
        </is>
      </c>
      <c r="G1483" s="24" t="inlineStr">
        <is>
          <t>Marie Bouzkova</t>
        </is>
      </c>
      <c r="H1483" s="24" t="inlineStr">
        <is>
          <t>moneyline</t>
        </is>
      </c>
      <c r="I1483" s="24" t="inlineStr">
        <is>
          <t>home</t>
        </is>
      </c>
      <c r="J1483" s="25" t="n"/>
      <c r="K1483" s="24" t="inlineStr">
        <is>
          <t>polymarket_us</t>
        </is>
      </c>
      <c r="L1483" s="26" t="n">
        <v>-194</v>
      </c>
      <c r="M1483" s="27" t="n">
        <v>1.515464</v>
      </c>
      <c r="N1483" s="28" t="n">
        <v>0.659864</v>
      </c>
      <c r="O1483" s="28" t="n">
        <v>0.6202</v>
      </c>
      <c r="P1483" s="28" t="n">
        <v>0.05</v>
      </c>
      <c r="Q1483" s="28" t="n">
        <v>-0.039664</v>
      </c>
      <c r="R1483" s="26" t="n">
        <v>0</v>
      </c>
      <c r="S1483" s="29" t="n">
        <v>1</v>
      </c>
      <c r="T1483" s="24" t="inlineStr">
        <is>
          <t>tennis-learned-v3</t>
        </is>
      </c>
      <c r="U1483" s="24" t="inlineStr">
        <is>
          <t>open</t>
        </is>
      </c>
      <c r="V1483" s="24" t="n"/>
      <c r="W1483" s="26" t="n"/>
      <c r="X1483" s="26" t="n"/>
      <c r="Y1483" s="25" t="n"/>
      <c r="Z1483" s="26" t="n"/>
      <c r="AA1483" s="28" t="n"/>
      <c r="AB1483" s="28" t="n"/>
      <c r="AC1483" s="30" t="n"/>
      <c r="AD1483" s="24" t="n"/>
      <c r="AE1483" s="31" t="inlineStr">
        <is>
          <t>Tennis v3 Learned Fundamental on Hard (Bo3): Maja Chwalinska p=0.380 vs Marie Bouzkova. Executable ask 0.6600 (aec-wta-marbou-majchw-2026-10-13).</t>
        </is>
      </c>
      <c r="AF1483" s="31" t="inlineStr">
        <is>
          <t>Surface-blended Elo model; singles only, WTA+ATP market coverage, not yet locked-holdout qualified -- promoted by explicit operator directive, not genuine walk-forward validation.</t>
        </is>
      </c>
      <c r="AG1483" s="24" t="inlineStr">
        <is>
          <t>not_applicable</t>
        </is>
      </c>
      <c r="AH1483" s="24" t="n"/>
      <c r="AI1483" s="31" t="n"/>
      <c r="AJ1483" s="31" t="n"/>
      <c r="AK1483" s="24" t="inlineStr">
        <is>
          <t>paper_call</t>
        </is>
      </c>
      <c r="AL1483" s="26" t="n">
        <v>4</v>
      </c>
      <c r="AM1483" s="24" t="inlineStr">
        <is>
          <t>RESEARCH_OBSERVATION</t>
        </is>
      </c>
      <c r="AN1483" s="24" t="inlineStr">
        <is>
          <t>CALL</t>
        </is>
      </c>
      <c r="AO1483" s="24" t="inlineStr">
        <is>
          <t>PAPER_CALL_LOW_EDGE</t>
        </is>
      </c>
      <c r="AP1483" s="24" t="inlineStr">
        <is>
          <t>Maja Chwalinska</t>
        </is>
      </c>
      <c r="AQ1483" s="24" t="inlineStr">
        <is>
          <t>Maja Chwalinska</t>
        </is>
      </c>
      <c r="AR1483" s="24" t="inlineStr">
        <is>
          <t>Maja Chwalinska</t>
        </is>
      </c>
      <c r="AS1483" s="24" t="inlineStr">
        <is>
          <t>Marie Bouzkova</t>
        </is>
      </c>
      <c r="AT1483" s="24" t="inlineStr">
        <is>
          <t>Marie Bouzkova</t>
        </is>
      </c>
      <c r="AU1483" s="24" t="inlineStr">
        <is>
          <t>Marie Bouzkova</t>
        </is>
      </c>
      <c r="AV1483" s="24" t="n"/>
      <c r="AW1483" s="24" t="n"/>
      <c r="AX1483" s="24" t="inlineStr">
        <is>
          <t>statistical_model</t>
        </is>
      </c>
      <c r="AY1483" s="24" t="n"/>
      <c r="AZ1483" s="24" t="inlineStr">
        <is>
          <t>shadow_qualified</t>
        </is>
      </c>
      <c r="BA1483" s="24" t="inlineStr">
        <is>
          <t>7443acc419841200d57e1edf36b77f1940cdd0c48dce3d43fcd05498a109440b</t>
        </is>
      </c>
      <c r="BB1483" s="24" t="inlineStr">
        <is>
          <t>learned_v3</t>
        </is>
      </c>
      <c r="BC1483" s="24" t="inlineStr">
        <is>
          <t>tennis-learned-v3</t>
        </is>
      </c>
      <c r="BD1483" s="24" t="inlineStr">
        <is>
          <t>7443acc419841200d57e1edf36b77f1940cdd0c48dce3d43fcd05498a109440b</t>
        </is>
      </c>
      <c r="BE1483" s="24" t="inlineStr">
        <is>
          <t>tennis-learned-v3</t>
        </is>
      </c>
      <c r="BF1483" s="24" t="inlineStr">
        <is>
          <t>1</t>
        </is>
      </c>
      <c r="BG1483" s="24" t="inlineStr">
        <is>
          <t>7443acc419841200d57e1edf36b77f1940cdd0c48dce3d43fcd05498a109440b</t>
        </is>
      </c>
      <c r="BH1483" s="24" t="inlineStr">
        <is>
          <t>2026-10-13T22:21:28.531387Z</t>
        </is>
      </c>
      <c r="BI1483" s="24" t="inlineStr">
        <is>
          <t>["same_event","same_team_same_day","same_league_same_day"]</t>
        </is>
      </c>
      <c r="BJ1483" s="25" t="n"/>
      <c r="BK1483" s="26" t="n">
        <v>-194</v>
      </c>
      <c r="BL1483" s="27" t="n">
        <v>1.515464</v>
      </c>
      <c r="BM1483" s="28" t="n">
        <v>0.659864</v>
      </c>
      <c r="BN1483" s="28" t="n"/>
      <c r="BO1483" s="28" t="n"/>
      <c r="BP1483" s="25" t="n"/>
      <c r="BQ1483" s="27" t="n"/>
      <c r="BR1483" s="28" t="n"/>
      <c r="BS1483" s="28" t="n"/>
      <c r="BT1483" s="28" t="n"/>
      <c r="BU1483" s="25" t="n"/>
      <c r="BV1483" s="29" t="n"/>
      <c r="BW1483" s="24" t="n"/>
      <c r="BX1483" s="30" t="n"/>
      <c r="BY1483" s="27" t="n"/>
      <c r="BZ1483" s="24" t="n"/>
      <c r="CA1483" s="31" t="n"/>
      <c r="CB1483" s="24" t="n"/>
      <c r="CC1483" s="24" t="n"/>
      <c r="CD1483" s="24" t="n"/>
      <c r="CE1483" s="24" t="n"/>
      <c r="CF1483" s="24" t="n"/>
      <c r="CG1483" s="24" t="n"/>
      <c r="CH1483" s="24" t="n"/>
      <c r="CI1483" s="24" t="n"/>
      <c r="CJ1483" s="24" t="n"/>
      <c r="CK1483" s="24" t="n"/>
      <c r="CL1483" s="24" t="n"/>
      <c r="CM1483" s="24" t="n"/>
      <c r="CN1483" s="24" t="n"/>
      <c r="CO1483" s="24" t="n"/>
      <c r="CP1483" s="24" t="n"/>
      <c r="CQ1483" s="24" t="n"/>
      <c r="CR1483" s="24" t="n"/>
      <c r="CS1483" s="24" t="inlineStr">
        <is>
          <t>False</t>
        </is>
      </c>
      <c r="CT1483" s="24" t="n"/>
      <c r="CU1483" s="24" t="n"/>
      <c r="CV1483" s="24" t="n"/>
      <c r="CW1483" s="24" t="n"/>
      <c r="CX1483" s="24" t="n"/>
      <c r="CY1483" s="24" t="n"/>
      <c r="CZ1483" s="24" t="n"/>
      <c r="DA1483" s="24" t="n"/>
      <c r="DB1483" s="24" t="n"/>
      <c r="DC1483" s="24" t="n"/>
      <c r="DD1483" s="24" t="inlineStr">
        <is>
          <t>ec283d2d921853c853add5d689cadfdb42261264086853b72099baa5c9fe369e</t>
        </is>
      </c>
      <c r="DE1483" s="24" t="inlineStr">
        <is>
          <t>E:\model-prediction\data\odds\tennis\2026-10-13\polymarket_snapshots.jsonl</t>
        </is>
      </c>
      <c r="DF1483" s="24" t="inlineStr">
        <is>
          <t>1411970:2026-10-13T22:21:28.531387Z</t>
        </is>
      </c>
      <c r="DG1483" s="24" t="n"/>
      <c r="DH1483" s="24" t="n"/>
      <c r="DI1483" s="24" t="n"/>
      <c r="DJ1483" s="24" t="n"/>
      <c r="DK1483" s="24" t="n"/>
      <c r="DL1483" s="24" t="n"/>
      <c r="DM1483" s="24" t="n"/>
      <c r="DN1483" s="24" t="n"/>
      <c r="DO1483" s="24" t="n"/>
      <c r="DP1483" s="24" t="n"/>
      <c r="DQ1483" s="24" t="inlineStr">
        <is>
          <t>{"artifact_hash": "7443acc419841200d57e1edf36b77f1940cdd0c48dce3d43fcd05498a109440b", "away_team": "Maja Chwalinska", "event_id": "381-2026:185358", "event_start_utc": "2026-10-14T03:00Z", "features": {"elo_p1_surface": 1613.9, "elo_p2_surface": 1660.5, "expected_games_p1": 9.98, "expected_games_p2": 13.28, "expected_total_games": 23.27, "history_matches": 16744, "min_player_matches": 110, "surface": "Hard"}, "historical_source_observation_times_verified": false, "home_team": "Marie Bouzkova", "inference_inputs": {"best_of": 3, "code_sha256": {"features/elo_ratings.py": "d6513e79d65448c06cc0f9b9eed0eaa091567835128e1f6647a310da8d78a872", "models/tennis.py": "7443acc419841200d57e1edf36b77f1940cdd0c48dce3d43fcd05498a109440b"}, "counts": [110, 151], "market_probability": null, "model_version": "tennis-learned-v3", "overall_ratings": [1690.8394711431745, 1762.9172505284064], "p_serve_a": 0.5544906981380392, "p_serve_b": 0.6255093018619607, "players": ["Maja Chwalinska", "Marie Bouzkova"], "rest_days": [11.0, 1.0], "sport": "TENNIS", "surface": "Hard", "surface_counts": [88, 118], "surface_ratings": [1613.9301264575774, 1660.5012503455034], "tour": "WTA"}, "market_type": "moneyline", "model_version": "tennis-learned-v3", "observed_at_utc": "2026-10-13T22:27:59.044446+00:00", "probabilities": {"away": 0.3798, "home": 0.6202}, "replay_scope": "Exact full-precision serving state and rounding; upstream historical observation times are not certified.", "schema": "coded-moneyline-replay-v1", "snapshot_hash": "b3681b4fe3444d572465a1c460fc3bcfa6818690b5a33d685003a9812d2fa7cd", "sport": "TENNIS"}</t>
        </is>
      </c>
    </row>
    <row r="1484" ht="36" customHeight="1">
      <c r="A1484" s="24" t="inlineStr">
        <is>
          <t>96fdbb8ff2c24f9b</t>
        </is>
      </c>
      <c r="B1484" s="24" t="inlineStr">
        <is>
          <t>2026-10-13T22:28:01.979475Z</t>
        </is>
      </c>
      <c r="C1484" s="24" t="inlineStr">
        <is>
          <t>2026-10-14T03:00Z</t>
        </is>
      </c>
      <c r="D1484" s="24" t="inlineStr">
        <is>
          <t>381-2026:185358</t>
        </is>
      </c>
      <c r="E1484" s="24" t="inlineStr">
        <is>
          <t>TENNIS</t>
        </is>
      </c>
      <c r="F1484" s="24" t="inlineStr">
        <is>
          <t>Maja Chwalinska</t>
        </is>
      </c>
      <c r="G1484" s="24" t="inlineStr">
        <is>
          <t>Marie Bouzkova</t>
        </is>
      </c>
      <c r="H1484" s="24" t="inlineStr">
        <is>
          <t>total</t>
        </is>
      </c>
      <c r="I1484" s="24" t="inlineStr">
        <is>
          <t>under</t>
        </is>
      </c>
      <c r="J1484" s="25" t="n">
        <v>22.5</v>
      </c>
      <c r="K1484" s="24" t="inlineStr">
        <is>
          <t>polymarket_us</t>
        </is>
      </c>
      <c r="L1484" s="26" t="n">
        <v>-156</v>
      </c>
      <c r="M1484" s="27" t="n">
        <v>1.641026</v>
      </c>
      <c r="N1484" s="28" t="n">
        <v>0.609375</v>
      </c>
      <c r="O1484" s="28" t="n">
        <v>0.536</v>
      </c>
      <c r="P1484" s="28" t="n">
        <v>0.05</v>
      </c>
      <c r="Q1484" s="28" t="n">
        <v>-0.073375</v>
      </c>
      <c r="R1484" s="26" t="n">
        <v>0</v>
      </c>
      <c r="S1484" s="29" t="n">
        <v>1</v>
      </c>
      <c r="T1484" s="24" t="inlineStr">
        <is>
          <t>tennis-learned-v3</t>
        </is>
      </c>
      <c r="U1484" s="24" t="inlineStr">
        <is>
          <t>open</t>
        </is>
      </c>
      <c r="V1484" s="24" t="n"/>
      <c r="W1484" s="26" t="n"/>
      <c r="X1484" s="26" t="n"/>
      <c r="Y1484" s="25" t="n"/>
      <c r="Z1484" s="26" t="n"/>
      <c r="AA1484" s="28" t="n"/>
      <c r="AB1484" s="28" t="n"/>
      <c r="AC1484" s="30" t="n"/>
      <c r="AD1484" s="24" t="n"/>
      <c r="AE1484" s="31" t="inlineStr">
        <is>
          <t>Tennis Markov total games line 22.5: under p=0.536. Executable ask 0.6100 (tsc-wta-marbou-majchw-2026-10-13-tg-22pt5).</t>
        </is>
      </c>
      <c r="AF1484" s="31" t="inlineStr">
        <is>
          <t>Surface-blended Elo model; singles only, WTA+ATP market coverage, not yet locked-holdout qualified -- promoted by explicit operator directive, not genuine walk-forward validation.</t>
        </is>
      </c>
      <c r="AG1484" s="24" t="inlineStr">
        <is>
          <t>not_applicable</t>
        </is>
      </c>
      <c r="AH1484" s="24" t="n"/>
      <c r="AI1484" s="31" t="n"/>
      <c r="AJ1484" s="31" t="n"/>
      <c r="AK1484" s="24" t="inlineStr">
        <is>
          <t>paper_call</t>
        </is>
      </c>
      <c r="AL1484" s="26" t="n">
        <v>4</v>
      </c>
      <c r="AM1484" s="24" t="inlineStr">
        <is>
          <t>RESEARCH_OBSERVATION</t>
        </is>
      </c>
      <c r="AN1484" s="24" t="inlineStr">
        <is>
          <t>CALL</t>
        </is>
      </c>
      <c r="AO1484" s="24" t="inlineStr">
        <is>
          <t>PAPER_CALL_LOW_EDGE</t>
        </is>
      </c>
      <c r="AP1484" s="24" t="inlineStr">
        <is>
          <t>Maja Chwalinska</t>
        </is>
      </c>
      <c r="AQ1484" s="24" t="inlineStr">
        <is>
          <t>Maja Chwalinska</t>
        </is>
      </c>
      <c r="AR1484" s="24" t="inlineStr">
        <is>
          <t>Maja Chwalinska</t>
        </is>
      </c>
      <c r="AS1484" s="24" t="inlineStr">
        <is>
          <t>Marie Bouzkova</t>
        </is>
      </c>
      <c r="AT1484" s="24" t="inlineStr">
        <is>
          <t>Marie Bouzkova</t>
        </is>
      </c>
      <c r="AU1484" s="24" t="inlineStr">
        <is>
          <t>Marie Bouzkova</t>
        </is>
      </c>
      <c r="AV1484" s="24" t="n"/>
      <c r="AW1484" s="24" t="n"/>
      <c r="AX1484" s="24" t="inlineStr">
        <is>
          <t>statistical_model</t>
        </is>
      </c>
      <c r="AY1484" s="24" t="n"/>
      <c r="AZ1484" s="24" t="inlineStr">
        <is>
          <t>shadow_qualified</t>
        </is>
      </c>
      <c r="BA1484" s="24" t="inlineStr">
        <is>
          <t>7443acc419841200d57e1edf36b77f1940cdd0c48dce3d43fcd05498a109440b</t>
        </is>
      </c>
      <c r="BB1484" s="24" t="inlineStr">
        <is>
          <t>learned_v3</t>
        </is>
      </c>
      <c r="BC1484" s="24" t="inlineStr">
        <is>
          <t>tennis-learned-v3</t>
        </is>
      </c>
      <c r="BD1484" s="24" t="inlineStr">
        <is>
          <t>7443acc419841200d57e1edf36b77f1940cdd0c48dce3d43fcd05498a109440b</t>
        </is>
      </c>
      <c r="BE1484" s="24" t="inlineStr">
        <is>
          <t>tennis-learned-v3</t>
        </is>
      </c>
      <c r="BF1484" s="24" t="inlineStr">
        <is>
          <t>1</t>
        </is>
      </c>
      <c r="BG1484" s="24" t="inlineStr">
        <is>
          <t>7443acc419841200d57e1edf36b77f1940cdd0c48dce3d43fcd05498a109440b</t>
        </is>
      </c>
      <c r="BH1484" s="24" t="inlineStr">
        <is>
          <t>2026-10-13T22:21:18.459008Z</t>
        </is>
      </c>
      <c r="BI1484" s="24" t="inlineStr">
        <is>
          <t>["same_event","same_team_same_day","same_league_same_day"]</t>
        </is>
      </c>
      <c r="BJ1484" s="25" t="n">
        <v>22.5</v>
      </c>
      <c r="BK1484" s="26" t="n">
        <v>-156</v>
      </c>
      <c r="BL1484" s="27" t="n">
        <v>1.641026</v>
      </c>
      <c r="BM1484" s="28" t="n">
        <v>0.609375</v>
      </c>
      <c r="BN1484" s="28" t="n"/>
      <c r="BO1484" s="28" t="n"/>
      <c r="BP1484" s="25" t="n"/>
      <c r="BQ1484" s="27" t="n"/>
      <c r="BR1484" s="28" t="n"/>
      <c r="BS1484" s="28" t="n"/>
      <c r="BT1484" s="28" t="n"/>
      <c r="BU1484" s="25" t="n"/>
      <c r="BV1484" s="29" t="n"/>
      <c r="BW1484" s="24" t="n"/>
      <c r="BX1484" s="30" t="n"/>
      <c r="BY1484" s="27" t="n"/>
      <c r="BZ1484" s="24" t="n"/>
      <c r="CA1484" s="31" t="n"/>
      <c r="CB1484" s="24" t="n"/>
      <c r="CC1484" s="24" t="n"/>
      <c r="CD1484" s="24" t="n"/>
      <c r="CE1484" s="24" t="n"/>
      <c r="CF1484" s="24" t="n"/>
      <c r="CG1484" s="24" t="n"/>
      <c r="CH1484" s="24" t="n"/>
      <c r="CI1484" s="24" t="n"/>
      <c r="CJ1484" s="24" t="n"/>
      <c r="CK1484" s="24" t="n"/>
      <c r="CL1484" s="24" t="n"/>
      <c r="CM1484" s="24" t="n"/>
      <c r="CN1484" s="24" t="n"/>
      <c r="CO1484" s="24" t="n"/>
      <c r="CP1484" s="24" t="n"/>
      <c r="CQ1484" s="24" t="n"/>
      <c r="CR1484" s="24" t="n"/>
      <c r="CS1484" s="24" t="inlineStr">
        <is>
          <t>False</t>
        </is>
      </c>
      <c r="CT1484" s="24" t="n"/>
      <c r="CU1484" s="24" t="n"/>
      <c r="CV1484" s="24" t="n"/>
      <c r="CW1484" s="24" t="n"/>
      <c r="CX1484" s="24" t="n"/>
      <c r="CY1484" s="24" t="n"/>
      <c r="CZ1484" s="24" t="n"/>
      <c r="DA1484" s="24" t="n"/>
      <c r="DB1484" s="24" t="n"/>
      <c r="DC1484" s="24" t="n"/>
      <c r="DD1484" s="24" t="inlineStr">
        <is>
          <t>269523c53b92bab68b89b1d56a1a2fffa6a822c95eef56351bc38e85d07ce821</t>
        </is>
      </c>
      <c r="DE1484" s="24" t="inlineStr">
        <is>
          <t>E:\model-prediction\data\odds\tennis\2026-10-13\polymarket_snapshots.jsonl</t>
        </is>
      </c>
      <c r="DF1484" s="24" t="inlineStr">
        <is>
          <t>1412716:2026-10-13T22:21:18.459008Z</t>
        </is>
      </c>
      <c r="DG1484" s="24" t="n"/>
      <c r="DH1484" s="24" t="n"/>
      <c r="DI1484" s="24" t="n"/>
      <c r="DJ1484" s="24" t="n"/>
      <c r="DK1484" s="24" t="n"/>
      <c r="DL1484" s="24" t="n"/>
      <c r="DM1484" s="24" t="n"/>
      <c r="DN1484" s="24" t="n"/>
      <c r="DO1484" s="24" t="n"/>
      <c r="DP1484" s="24" t="n"/>
      <c r="DQ1484" s="24" t="n"/>
    </row>
    <row r="1485" ht="36" customHeight="1">
      <c r="A1485" s="24" t="inlineStr">
        <is>
          <t>ee10343495fd4f1c</t>
        </is>
      </c>
      <c r="B1485" s="24" t="inlineStr">
        <is>
          <t>2026-10-13T22:28:01.979475Z</t>
        </is>
      </c>
      <c r="C1485" s="24" t="inlineStr">
        <is>
          <t>2026-10-14T03:00Z</t>
        </is>
      </c>
      <c r="D1485" s="24" t="inlineStr">
        <is>
          <t>381-2026:185358</t>
        </is>
      </c>
      <c r="E1485" s="24" t="inlineStr">
        <is>
          <t>TENNIS</t>
        </is>
      </c>
      <c r="F1485" s="24" t="inlineStr">
        <is>
          <t>Maja Chwalinska</t>
        </is>
      </c>
      <c r="G1485" s="24" t="inlineStr">
        <is>
          <t>Marie Bouzkova</t>
        </is>
      </c>
      <c r="H1485" s="24" t="inlineStr">
        <is>
          <t>spread</t>
        </is>
      </c>
      <c r="I1485" s="24" t="inlineStr">
        <is>
          <t>away</t>
        </is>
      </c>
      <c r="J1485" s="25" t="n">
        <v>-7.5</v>
      </c>
      <c r="K1485" s="24" t="inlineStr">
        <is>
          <t>polymarket_us</t>
        </is>
      </c>
      <c r="L1485" s="26" t="n">
        <v>-127</v>
      </c>
      <c r="M1485" s="27" t="n">
        <v>1.787402</v>
      </c>
      <c r="N1485" s="28" t="n">
        <v>0.5594710000000001</v>
      </c>
      <c r="O1485" s="28" t="n">
        <v>0.9048</v>
      </c>
      <c r="P1485" s="28" t="n">
        <v>0.05</v>
      </c>
      <c r="Q1485" s="28" t="n">
        <v>0.345329</v>
      </c>
      <c r="R1485" s="26" t="n">
        <v>100</v>
      </c>
      <c r="S1485" s="29" t="n">
        <v>2</v>
      </c>
      <c r="T1485" s="24" t="inlineStr">
        <is>
          <t>tennis-learned-v3</t>
        </is>
      </c>
      <c r="U1485" s="24" t="inlineStr">
        <is>
          <t>open</t>
        </is>
      </c>
      <c r="V1485" s="24" t="n"/>
      <c r="W1485" s="26" t="n"/>
      <c r="X1485" s="26" t="n"/>
      <c r="Y1485" s="25" t="n"/>
      <c r="Z1485" s="26" t="n"/>
      <c r="AA1485" s="28" t="n"/>
      <c r="AB1485" s="28" t="n"/>
      <c r="AC1485" s="30" t="n"/>
      <c r="AD1485" s="24" t="n"/>
      <c r="AE1485" s="31" t="inlineStr">
        <is>
          <t>Tennis Markov game spread -7.5 games: away cover p=0.905. Executable ask 0.5600 (asc-wta-marbou-majchw-2026-10-13-gs-neg-7pt5).</t>
        </is>
      </c>
      <c r="AF1485" s="31" t="inlineStr">
        <is>
          <t>Surface-blended Elo model; singles only, WTA+ATP market coverage, not yet locked-holdout qualified -- promoted by explicit operator directive, not genuine walk-forward validation.</t>
        </is>
      </c>
      <c r="AG1485" s="24" t="inlineStr">
        <is>
          <t>not_applicable</t>
        </is>
      </c>
      <c r="AH1485" s="24" t="n"/>
      <c r="AI1485" s="31" t="n"/>
      <c r="AJ1485" s="31" t="n"/>
      <c r="AK1485" s="24" t="inlineStr">
        <is>
          <t>model_qualified</t>
        </is>
      </c>
      <c r="AL1485" s="26" t="n">
        <v>4</v>
      </c>
      <c r="AM1485" s="24" t="inlineStr">
        <is>
          <t>QUALIFIED_SHADOW_CALL</t>
        </is>
      </c>
      <c r="AN1485" s="24" t="inlineStr">
        <is>
          <t>CALL</t>
        </is>
      </c>
      <c r="AO1485" s="24" t="inlineStr">
        <is>
          <t>QUALIFIED</t>
        </is>
      </c>
      <c r="AP1485" s="24" t="inlineStr">
        <is>
          <t>Maja Chwalinska</t>
        </is>
      </c>
      <c r="AQ1485" s="24" t="inlineStr">
        <is>
          <t>Maja Chwalinska</t>
        </is>
      </c>
      <c r="AR1485" s="24" t="inlineStr">
        <is>
          <t>Maja Chwalinska</t>
        </is>
      </c>
      <c r="AS1485" s="24" t="inlineStr">
        <is>
          <t>Marie Bouzkova</t>
        </is>
      </c>
      <c r="AT1485" s="24" t="inlineStr">
        <is>
          <t>Marie Bouzkova</t>
        </is>
      </c>
      <c r="AU1485" s="24" t="inlineStr">
        <is>
          <t>Marie Bouzkova</t>
        </is>
      </c>
      <c r="AV1485" s="24" t="n"/>
      <c r="AW1485" s="24" t="n"/>
      <c r="AX1485" s="24" t="inlineStr">
        <is>
          <t>statistical_model</t>
        </is>
      </c>
      <c r="AY1485" s="24" t="n"/>
      <c r="AZ1485" s="24" t="inlineStr">
        <is>
          <t>shadow_qualified</t>
        </is>
      </c>
      <c r="BA1485" s="24" t="inlineStr">
        <is>
          <t>7443acc419841200d57e1edf36b77f1940cdd0c48dce3d43fcd05498a109440b</t>
        </is>
      </c>
      <c r="BB1485" s="24" t="inlineStr">
        <is>
          <t>learned_v3</t>
        </is>
      </c>
      <c r="BC1485" s="24" t="inlineStr">
        <is>
          <t>tennis-learned-v3</t>
        </is>
      </c>
      <c r="BD1485" s="24" t="inlineStr">
        <is>
          <t>7443acc419841200d57e1edf36b77f1940cdd0c48dce3d43fcd05498a109440b</t>
        </is>
      </c>
      <c r="BE1485" s="24" t="inlineStr">
        <is>
          <t>tennis-learned-v3</t>
        </is>
      </c>
      <c r="BF1485" s="24" t="inlineStr">
        <is>
          <t>1</t>
        </is>
      </c>
      <c r="BG1485" s="24" t="inlineStr">
        <is>
          <t>7443acc419841200d57e1edf36b77f1940cdd0c48dce3d43fcd05498a109440b</t>
        </is>
      </c>
      <c r="BH1485" s="24" t="inlineStr">
        <is>
          <t>2026-10-13T22:21:38.614548Z</t>
        </is>
      </c>
      <c r="BI1485" s="24" t="inlineStr">
        <is>
          <t>["same_event","same_team_same_day","same_league_same_day"]</t>
        </is>
      </c>
      <c r="BJ1485" s="25" t="n">
        <v>-7.5</v>
      </c>
      <c r="BK1485" s="26" t="n">
        <v>-127</v>
      </c>
      <c r="BL1485" s="27" t="n">
        <v>1.787402</v>
      </c>
      <c r="BM1485" s="28" t="n">
        <v>0.5594710000000001</v>
      </c>
      <c r="BN1485" s="28" t="n"/>
      <c r="BO1485" s="28" t="n"/>
      <c r="BP1485" s="25" t="n"/>
      <c r="BQ1485" s="27" t="n"/>
      <c r="BR1485" s="28" t="n"/>
      <c r="BS1485" s="28" t="n"/>
      <c r="BT1485" s="28" t="n"/>
      <c r="BU1485" s="25" t="n"/>
      <c r="BV1485" s="29" t="n"/>
      <c r="BW1485" s="24" t="n"/>
      <c r="BX1485" s="30" t="n"/>
      <c r="BY1485" s="27" t="n"/>
      <c r="BZ1485" s="24" t="n"/>
      <c r="CA1485" s="31" t="n"/>
      <c r="CB1485" s="24" t="n"/>
      <c r="CC1485" s="24" t="n"/>
      <c r="CD1485" s="24" t="n"/>
      <c r="CE1485" s="24" t="n"/>
      <c r="CF1485" s="24" t="n"/>
      <c r="CG1485" s="24" t="n"/>
      <c r="CH1485" s="24" t="n"/>
      <c r="CI1485" s="24" t="n"/>
      <c r="CJ1485" s="24" t="n"/>
      <c r="CK1485" s="24" t="n"/>
      <c r="CL1485" s="24" t="n"/>
      <c r="CM1485" s="24" t="n"/>
      <c r="CN1485" s="24" t="n"/>
      <c r="CO1485" s="24" t="n"/>
      <c r="CP1485" s="24" t="n"/>
      <c r="CQ1485" s="24" t="n"/>
      <c r="CR1485" s="24" t="n"/>
      <c r="CS1485" s="24" t="inlineStr">
        <is>
          <t>True</t>
        </is>
      </c>
      <c r="CT1485" s="24" t="n"/>
      <c r="CU1485" s="24" t="n"/>
      <c r="CV1485" s="24" t="n"/>
      <c r="CW1485" s="24" t="n"/>
      <c r="CX1485" s="24" t="n"/>
      <c r="CY1485" s="24" t="n"/>
      <c r="CZ1485" s="24" t="n"/>
      <c r="DA1485" s="24" t="n"/>
      <c r="DB1485" s="24" t="n"/>
      <c r="DC1485" s="24" t="n"/>
      <c r="DD1485" s="24" t="inlineStr">
        <is>
          <t>db8fbf81b2719cc66c97b6e074102dce7bad07c94acd048c54d7a3e4f381592d</t>
        </is>
      </c>
      <c r="DE1485" s="24" t="inlineStr">
        <is>
          <t>E:\model-prediction\data\odds\tennis\2026-10-13\polymarket_snapshots.jsonl</t>
        </is>
      </c>
      <c r="DF1485" s="24" t="inlineStr">
        <is>
          <t>1412721:2026-10-13T22:21:38.614548Z</t>
        </is>
      </c>
      <c r="DG1485" s="24" t="n"/>
      <c r="DH1485" s="24" t="n"/>
      <c r="DI1485" s="24" t="n"/>
      <c r="DJ1485" s="24" t="n"/>
      <c r="DK1485" s="24" t="n"/>
      <c r="DL1485" s="24" t="n"/>
      <c r="DM1485" s="24" t="n"/>
      <c r="DN1485" s="24" t="n"/>
      <c r="DO1485" s="24" t="n"/>
      <c r="DP1485" s="24" t="n"/>
      <c r="DQ1485" s="24" t="n"/>
    </row>
    <row r="1486" ht="36" customHeight="1">
      <c r="A1486" s="24" t="inlineStr">
        <is>
          <t>0a677868f8694aaf</t>
        </is>
      </c>
      <c r="B1486" s="24" t="inlineStr">
        <is>
          <t>2026-10-13T22:28:01.979475Z</t>
        </is>
      </c>
      <c r="C1486" s="24" t="inlineStr">
        <is>
          <t>2026-10-14T04:30Z</t>
        </is>
      </c>
      <c r="D1486" s="24" t="inlineStr">
        <is>
          <t>381-2026:185345</t>
        </is>
      </c>
      <c r="E1486" s="24" t="inlineStr">
        <is>
          <t>TENNIS</t>
        </is>
      </c>
      <c r="F1486" s="24" t="inlineStr">
        <is>
          <t>Catherine McNally</t>
        </is>
      </c>
      <c r="G1486" s="24" t="inlineStr">
        <is>
          <t>Karolina Muchova</t>
        </is>
      </c>
      <c r="H1486" s="24" t="inlineStr">
        <is>
          <t>moneyline</t>
        </is>
      </c>
      <c r="I1486" s="24" t="inlineStr">
        <is>
          <t>home</t>
        </is>
      </c>
      <c r="J1486" s="25" t="n"/>
      <c r="K1486" s="24" t="inlineStr">
        <is>
          <t>polymarket_us</t>
        </is>
      </c>
      <c r="L1486" s="26" t="n">
        <v>-376</v>
      </c>
      <c r="M1486" s="27" t="n">
        <v>1.265957</v>
      </c>
      <c r="N1486" s="28" t="n">
        <v>0.789916</v>
      </c>
      <c r="O1486" s="28" t="n">
        <v>0.7802</v>
      </c>
      <c r="P1486" s="28" t="n">
        <v>0.05</v>
      </c>
      <c r="Q1486" s="28" t="n">
        <v>-0.009716000000000001</v>
      </c>
      <c r="R1486" s="26" t="n">
        <v>15</v>
      </c>
      <c r="S1486" s="29" t="n">
        <v>1</v>
      </c>
      <c r="T1486" s="24" t="inlineStr">
        <is>
          <t>tennis-learned-v3</t>
        </is>
      </c>
      <c r="U1486" s="24" t="inlineStr">
        <is>
          <t>open</t>
        </is>
      </c>
      <c r="V1486" s="24" t="n"/>
      <c r="W1486" s="26" t="n"/>
      <c r="X1486" s="26" t="n"/>
      <c r="Y1486" s="25" t="n"/>
      <c r="Z1486" s="26" t="n"/>
      <c r="AA1486" s="28" t="n"/>
      <c r="AB1486" s="28" t="n"/>
      <c r="AC1486" s="30" t="n"/>
      <c r="AD1486" s="24" t="n"/>
      <c r="AE1486" s="31" t="inlineStr">
        <is>
          <t>Tennis v3 Learned Fundamental on Hard (Bo3): Catherine McNally p=0.220 vs Karolina Muchova. Executable ask 0.7900 (aec-wta-karmuc-catmcn-2026-10-13).</t>
        </is>
      </c>
      <c r="AF1486" s="31" t="inlineStr">
        <is>
          <t>Surface-blended Elo model; singles only, WTA+ATP market coverage, not yet locked-holdout qualified -- promoted by explicit operator directive, not genuine walk-forward validation.</t>
        </is>
      </c>
      <c r="AG1486" s="24" t="inlineStr">
        <is>
          <t>not_applicable</t>
        </is>
      </c>
      <c r="AH1486" s="24" t="n"/>
      <c r="AI1486" s="31" t="n"/>
      <c r="AJ1486" s="31" t="n"/>
      <c r="AK1486" s="24" t="inlineStr">
        <is>
          <t>paper_call</t>
        </is>
      </c>
      <c r="AL1486" s="26" t="n">
        <v>4</v>
      </c>
      <c r="AM1486" s="24" t="inlineStr">
        <is>
          <t>RESEARCH_OBSERVATION</t>
        </is>
      </c>
      <c r="AN1486" s="24" t="inlineStr">
        <is>
          <t>CALL</t>
        </is>
      </c>
      <c r="AO1486" s="24" t="inlineStr">
        <is>
          <t>PAPER_CALL_LOW_EDGE</t>
        </is>
      </c>
      <c r="AP1486" s="24" t="inlineStr">
        <is>
          <t>Catherine McNally</t>
        </is>
      </c>
      <c r="AQ1486" s="24" t="inlineStr">
        <is>
          <t>Catherine McNally</t>
        </is>
      </c>
      <c r="AR1486" s="24" t="inlineStr">
        <is>
          <t>Catherine McNally</t>
        </is>
      </c>
      <c r="AS1486" s="24" t="inlineStr">
        <is>
          <t>Karolina Muchova</t>
        </is>
      </c>
      <c r="AT1486" s="24" t="inlineStr">
        <is>
          <t>Karolina Muchova</t>
        </is>
      </c>
      <c r="AU1486" s="24" t="inlineStr">
        <is>
          <t>Karolina Muchova</t>
        </is>
      </c>
      <c r="AV1486" s="24" t="n"/>
      <c r="AW1486" s="24" t="n"/>
      <c r="AX1486" s="24" t="inlineStr">
        <is>
          <t>statistical_model</t>
        </is>
      </c>
      <c r="AY1486" s="24" t="n"/>
      <c r="AZ1486" s="24" t="inlineStr">
        <is>
          <t>shadow_qualified</t>
        </is>
      </c>
      <c r="BA1486" s="24" t="inlineStr">
        <is>
          <t>7443acc419841200d57e1edf36b77f1940cdd0c48dce3d43fcd05498a109440b</t>
        </is>
      </c>
      <c r="BB1486" s="24" t="inlineStr">
        <is>
          <t>learned_v3</t>
        </is>
      </c>
      <c r="BC1486" s="24" t="inlineStr">
        <is>
          <t>tennis-learned-v3</t>
        </is>
      </c>
      <c r="BD1486" s="24" t="inlineStr">
        <is>
          <t>7443acc419841200d57e1edf36b77f1940cdd0c48dce3d43fcd05498a109440b</t>
        </is>
      </c>
      <c r="BE1486" s="24" t="inlineStr">
        <is>
          <t>tennis-learned-v3</t>
        </is>
      </c>
      <c r="BF1486" s="24" t="inlineStr">
        <is>
          <t>1</t>
        </is>
      </c>
      <c r="BG1486" s="24" t="inlineStr">
        <is>
          <t>7443acc419841200d57e1edf36b77f1940cdd0c48dce3d43fcd05498a109440b</t>
        </is>
      </c>
      <c r="BH1486" s="24" t="inlineStr">
        <is>
          <t>2026-10-13T10:42:17.376109Z</t>
        </is>
      </c>
      <c r="BI1486" s="24" t="inlineStr">
        <is>
          <t>["same_event","same_team_same_day","same_league_same_day"]</t>
        </is>
      </c>
      <c r="BJ1486" s="25" t="n"/>
      <c r="BK1486" s="26" t="n">
        <v>-376</v>
      </c>
      <c r="BL1486" s="27" t="n">
        <v>1.265957</v>
      </c>
      <c r="BM1486" s="28" t="n">
        <v>0.789916</v>
      </c>
      <c r="BN1486" s="28" t="n"/>
      <c r="BO1486" s="28" t="n"/>
      <c r="BP1486" s="25" t="n"/>
      <c r="BQ1486" s="27" t="n"/>
      <c r="BR1486" s="28" t="n"/>
      <c r="BS1486" s="28" t="n"/>
      <c r="BT1486" s="28" t="n"/>
      <c r="BU1486" s="25" t="n"/>
      <c r="BV1486" s="29" t="n"/>
      <c r="BW1486" s="24" t="n"/>
      <c r="BX1486" s="30" t="n"/>
      <c r="BY1486" s="27" t="n"/>
      <c r="BZ1486" s="24" t="n"/>
      <c r="CA1486" s="31" t="n"/>
      <c r="CB1486" s="24" t="n"/>
      <c r="CC1486" s="24" t="n"/>
      <c r="CD1486" s="24" t="n"/>
      <c r="CE1486" s="24" t="n"/>
      <c r="CF1486" s="24" t="n"/>
      <c r="CG1486" s="24" t="n"/>
      <c r="CH1486" s="24" t="n"/>
      <c r="CI1486" s="24" t="n"/>
      <c r="CJ1486" s="24" t="n"/>
      <c r="CK1486" s="24" t="n"/>
      <c r="CL1486" s="24" t="n"/>
      <c r="CM1486" s="24" t="n"/>
      <c r="CN1486" s="24" t="n"/>
      <c r="CO1486" s="24" t="n"/>
      <c r="CP1486" s="24" t="n"/>
      <c r="CQ1486" s="24" t="n"/>
      <c r="CR1486" s="24" t="n"/>
      <c r="CS1486" s="24" t="inlineStr">
        <is>
          <t>False</t>
        </is>
      </c>
      <c r="CT1486" s="24" t="n"/>
      <c r="CU1486" s="24" t="n"/>
      <c r="CV1486" s="24" t="n"/>
      <c r="CW1486" s="24" t="n"/>
      <c r="CX1486" s="24" t="n"/>
      <c r="CY1486" s="24" t="n"/>
      <c r="CZ1486" s="24" t="n"/>
      <c r="DA1486" s="24" t="n"/>
      <c r="DB1486" s="24" t="n"/>
      <c r="DC1486" s="24" t="n"/>
      <c r="DD1486" s="24" t="inlineStr">
        <is>
          <t>b8dd3004612127853c45dd9f18a18776fb80b7b2ac0de84b73d57d1c55985025</t>
        </is>
      </c>
      <c r="DE1486" s="24" t="inlineStr">
        <is>
          <t>E:\model-prediction\data\odds\tennis\2026-10-13\polymarket_snapshots.jsonl</t>
        </is>
      </c>
      <c r="DF1486" s="24" t="inlineStr">
        <is>
          <t>1391317:2026-10-13T10:42:17.376109Z</t>
        </is>
      </c>
      <c r="DG1486" s="24" t="n"/>
      <c r="DH1486" s="24" t="n"/>
      <c r="DI1486" s="24" t="n"/>
      <c r="DJ1486" s="24" t="n"/>
      <c r="DK1486" s="24" t="n"/>
      <c r="DL1486" s="24" t="n"/>
      <c r="DM1486" s="24" t="n"/>
      <c r="DN1486" s="24" t="n"/>
      <c r="DO1486" s="24" t="n"/>
      <c r="DP1486" s="24" t="n"/>
      <c r="DQ1486" s="24" t="inlineStr">
        <is>
          <t>{"artifact_hash": "7443acc419841200d57e1edf36b77f1940cdd0c48dce3d43fcd05498a109440b", "away_team": "Catherine McNally", "event_id": "381-2026:185345", "event_start_utc": "2026-10-14T04:30Z", "features": {"elo_p1_surface": 1606.6, "elo_p2_surface": 1820.2, "expected_games_p1": 5.79, "expected_games_p2": 12.57, "expected_total_games": 18.37, "history_matches": 16744, "min_player_matches": 88, "surface": "Hard"}, "historical_source_observation_times_verified": false, "home_team": "Karolina Muchova", "inference_inputs": {"best_of": 3, "code_sha256": {"features/elo_ratings.py": "d6513e79d65448c06cc0f9b9eed0eaa091567835128e1f6647a310da8d78a872", "models/tennis.py": "7443acc419841200d57e1edf36b77f1940cdd0c48dce3d43fcd05498a109440b"}, "counts": [88, 119], "market_probability": null, "model_version": "tennis-learned-v3", "overall_ratings": [1715.6079833883598, 1921.3082938264763], "p_serve_a": 0.498324622974194, "p_serve_b": 0.6816753770258059, "players": ["Catherine McNally", "Karolina Muchova"], "rest_days": [1.0, 5.0], "sport": "TENNIS", "surface": "Hard", "surface_counts": [71, 100], "surface_ratings": [1606.610917495765, 1820.2279195795827], "tour": "WTA"}, "market_type": "moneyline", "model_version": "tennis-learned-v3", "observed_at_utc": "2026-10-13T22:27:59.044446+00:00", "probabilities": {"away": 0.2198, "home": 0.7802}, "replay_scope": "Exact full-precision serving state and rounding; upstream historical observation times are not certified.", "schema": "coded-moneyline-replay-v1", "snapshot_hash": "7bc6f14906538b81ffc853531ad0128bbae75f7ce889ecc91890731139c08c59", "sport": "TENNIS"}</t>
        </is>
      </c>
    </row>
    <row r="1487" ht="36" customHeight="1">
      <c r="A1487" s="24" t="inlineStr">
        <is>
          <t>f541d0904b224c8b</t>
        </is>
      </c>
      <c r="B1487" s="24" t="inlineStr">
        <is>
          <t>2026-10-13T22:28:01.979475Z</t>
        </is>
      </c>
      <c r="C1487" s="24" t="inlineStr">
        <is>
          <t>2026-10-14T04:30Z</t>
        </is>
      </c>
      <c r="D1487" s="24" t="inlineStr">
        <is>
          <t>381-2026:185346</t>
        </is>
      </c>
      <c r="E1487" s="24" t="inlineStr">
        <is>
          <t>TENNIS</t>
        </is>
      </c>
      <c r="F1487" s="24" t="inlineStr">
        <is>
          <t>Diana Shnaider</t>
        </is>
      </c>
      <c r="G1487" s="24" t="inlineStr">
        <is>
          <t>Yulia Putintseva</t>
        </is>
      </c>
      <c r="H1487" s="24" t="inlineStr">
        <is>
          <t>moneyline</t>
        </is>
      </c>
      <c r="I1487" s="24" t="inlineStr">
        <is>
          <t>away</t>
        </is>
      </c>
      <c r="J1487" s="25" t="n"/>
      <c r="K1487" s="24" t="inlineStr">
        <is>
          <t>polymarket_us</t>
        </is>
      </c>
      <c r="L1487" s="26" t="n">
        <v>-245</v>
      </c>
      <c r="M1487" s="27" t="n">
        <v>1.408163</v>
      </c>
      <c r="N1487" s="28" t="n">
        <v>0.710145</v>
      </c>
      <c r="O1487" s="28" t="n">
        <v>0.6419</v>
      </c>
      <c r="P1487" s="28" t="n">
        <v>0.05</v>
      </c>
      <c r="Q1487" s="28" t="n">
        <v>-0.068245</v>
      </c>
      <c r="R1487" s="26" t="n">
        <v>0</v>
      </c>
      <c r="S1487" s="29" t="n">
        <v>1</v>
      </c>
      <c r="T1487" s="24" t="inlineStr">
        <is>
          <t>tennis-learned-v3</t>
        </is>
      </c>
      <c r="U1487" s="24" t="inlineStr">
        <is>
          <t>open</t>
        </is>
      </c>
      <c r="V1487" s="24" t="n"/>
      <c r="W1487" s="26" t="n"/>
      <c r="X1487" s="26" t="n"/>
      <c r="Y1487" s="25" t="n"/>
      <c r="Z1487" s="26" t="n"/>
      <c r="AA1487" s="28" t="n"/>
      <c r="AB1487" s="28" t="n"/>
      <c r="AC1487" s="30" t="n"/>
      <c r="AD1487" s="24" t="n"/>
      <c r="AE1487" s="31" t="inlineStr">
        <is>
          <t>Tennis v3 Learned Fundamental on Hard (Bo3): Diana Shnaider p=0.642 vs Yulia Putintseva. Executable ask 0.7100 (aec-wta-yulput-diashn-2026-10-13).</t>
        </is>
      </c>
      <c r="AF1487" s="31" t="inlineStr">
        <is>
          <t>Surface-blended Elo model; singles only, WTA+ATP market coverage, not yet locked-holdout qualified -- promoted by explicit operator directive, not genuine walk-forward validation.</t>
        </is>
      </c>
      <c r="AG1487" s="24" t="inlineStr">
        <is>
          <t>not_applicable</t>
        </is>
      </c>
      <c r="AH1487" s="24" t="n"/>
      <c r="AI1487" s="31" t="n"/>
      <c r="AJ1487" s="31" t="n"/>
      <c r="AK1487" s="24" t="inlineStr">
        <is>
          <t>paper_call</t>
        </is>
      </c>
      <c r="AL1487" s="26" t="n">
        <v>4</v>
      </c>
      <c r="AM1487" s="24" t="inlineStr">
        <is>
          <t>RESEARCH_OBSERVATION</t>
        </is>
      </c>
      <c r="AN1487" s="24" t="inlineStr">
        <is>
          <t>CALL</t>
        </is>
      </c>
      <c r="AO1487" s="24" t="inlineStr">
        <is>
          <t>PAPER_CALL_LOW_EDGE</t>
        </is>
      </c>
      <c r="AP1487" s="24" t="inlineStr">
        <is>
          <t>Diana Shnaider</t>
        </is>
      </c>
      <c r="AQ1487" s="24" t="inlineStr">
        <is>
          <t>Diana Shnaider</t>
        </is>
      </c>
      <c r="AR1487" s="24" t="inlineStr">
        <is>
          <t>Diana Shnaider</t>
        </is>
      </c>
      <c r="AS1487" s="24" t="inlineStr">
        <is>
          <t>Yulia Putintseva</t>
        </is>
      </c>
      <c r="AT1487" s="24" t="inlineStr">
        <is>
          <t>Yulia Putintseva</t>
        </is>
      </c>
      <c r="AU1487" s="24" t="inlineStr">
        <is>
          <t>Yulia Putintseva</t>
        </is>
      </c>
      <c r="AV1487" s="24" t="n"/>
      <c r="AW1487" s="24" t="n"/>
      <c r="AX1487" s="24" t="inlineStr">
        <is>
          <t>statistical_model</t>
        </is>
      </c>
      <c r="AY1487" s="24" t="n"/>
      <c r="AZ1487" s="24" t="inlineStr">
        <is>
          <t>shadow_qualified</t>
        </is>
      </c>
      <c r="BA1487" s="24" t="inlineStr">
        <is>
          <t>7443acc419841200d57e1edf36b77f1940cdd0c48dce3d43fcd05498a109440b</t>
        </is>
      </c>
      <c r="BB1487" s="24" t="inlineStr">
        <is>
          <t>learned_v3</t>
        </is>
      </c>
      <c r="BC1487" s="24" t="inlineStr">
        <is>
          <t>tennis-learned-v3</t>
        </is>
      </c>
      <c r="BD1487" s="24" t="inlineStr">
        <is>
          <t>7443acc419841200d57e1edf36b77f1940cdd0c48dce3d43fcd05498a109440b</t>
        </is>
      </c>
      <c r="BE1487" s="24" t="inlineStr">
        <is>
          <t>tennis-learned-v3</t>
        </is>
      </c>
      <c r="BF1487" s="24" t="inlineStr">
        <is>
          <t>1</t>
        </is>
      </c>
      <c r="BG1487" s="24" t="inlineStr">
        <is>
          <t>7443acc419841200d57e1edf36b77f1940cdd0c48dce3d43fcd05498a109440b</t>
        </is>
      </c>
      <c r="BH1487" s="24" t="inlineStr">
        <is>
          <t>2026-10-13T10:42:27.467613Z</t>
        </is>
      </c>
      <c r="BI1487" s="24" t="inlineStr">
        <is>
          <t>["same_event","same_team_same_day","same_league_same_day"]</t>
        </is>
      </c>
      <c r="BJ1487" s="25" t="n"/>
      <c r="BK1487" s="26" t="n">
        <v>-245</v>
      </c>
      <c r="BL1487" s="27" t="n">
        <v>1.408163</v>
      </c>
      <c r="BM1487" s="28" t="n">
        <v>0.710145</v>
      </c>
      <c r="BN1487" s="28" t="n"/>
      <c r="BO1487" s="28" t="n"/>
      <c r="BP1487" s="25" t="n"/>
      <c r="BQ1487" s="27" t="n"/>
      <c r="BR1487" s="28" t="n"/>
      <c r="BS1487" s="28" t="n"/>
      <c r="BT1487" s="28" t="n"/>
      <c r="BU1487" s="25" t="n"/>
      <c r="BV1487" s="29" t="n"/>
      <c r="BW1487" s="24" t="n"/>
      <c r="BX1487" s="30" t="n"/>
      <c r="BY1487" s="27" t="n"/>
      <c r="BZ1487" s="24" t="n"/>
      <c r="CA1487" s="31" t="n"/>
      <c r="CB1487" s="24" t="n"/>
      <c r="CC1487" s="24" t="n"/>
      <c r="CD1487" s="24" t="n"/>
      <c r="CE1487" s="24" t="n"/>
      <c r="CF1487" s="24" t="n"/>
      <c r="CG1487" s="24" t="n"/>
      <c r="CH1487" s="24" t="n"/>
      <c r="CI1487" s="24" t="n"/>
      <c r="CJ1487" s="24" t="n"/>
      <c r="CK1487" s="24" t="n"/>
      <c r="CL1487" s="24" t="n"/>
      <c r="CM1487" s="24" t="n"/>
      <c r="CN1487" s="24" t="n"/>
      <c r="CO1487" s="24" t="n"/>
      <c r="CP1487" s="24" t="n"/>
      <c r="CQ1487" s="24" t="n"/>
      <c r="CR1487" s="24" t="n"/>
      <c r="CS1487" s="24" t="inlineStr">
        <is>
          <t>False</t>
        </is>
      </c>
      <c r="CT1487" s="24" t="n"/>
      <c r="CU1487" s="24" t="n"/>
      <c r="CV1487" s="24" t="n"/>
      <c r="CW1487" s="24" t="n"/>
      <c r="CX1487" s="24" t="n"/>
      <c r="CY1487" s="24" t="n"/>
      <c r="CZ1487" s="24" t="n"/>
      <c r="DA1487" s="24" t="n"/>
      <c r="DB1487" s="24" t="n"/>
      <c r="DC1487" s="24" t="n"/>
      <c r="DD1487" s="24" t="inlineStr">
        <is>
          <t>6a96de48d4d8081ef3d6ea28233422a1e235942edfe77f6f8c2b04bdd307018f</t>
        </is>
      </c>
      <c r="DE1487" s="24" t="inlineStr">
        <is>
          <t>E:\model-prediction\data\odds\tennis\2026-10-13\polymarket_snapshots.jsonl</t>
        </is>
      </c>
      <c r="DF1487" s="24" t="inlineStr">
        <is>
          <t>1413537:2026-10-13T10:42:27.467613Z</t>
        </is>
      </c>
      <c r="DG1487" s="24" t="n"/>
      <c r="DH1487" s="24" t="n"/>
      <c r="DI1487" s="24" t="n"/>
      <c r="DJ1487" s="24" t="n"/>
      <c r="DK1487" s="24" t="n"/>
      <c r="DL1487" s="24" t="n"/>
      <c r="DM1487" s="24" t="n"/>
      <c r="DN1487" s="24" t="n"/>
      <c r="DO1487" s="24" t="n"/>
      <c r="DP1487" s="24" t="n"/>
      <c r="DQ1487" s="24" t="inlineStr">
        <is>
          <t>{"artifact_hash": "7443acc419841200d57e1edf36b77f1940cdd0c48dce3d43fcd05498a109440b", "away_team": "Diana Shnaider", "event_id": "381-2026:185346", "event_start_utc": "2026-10-14T04:30Z", "features": {"elo_p1_surface": 1676.8, "elo_p2_surface": 1618.3, "expected_games_p1": 13.43, "expected_games_p2": 8.96, "expected_total_games": 22.39, "history_matches": 16744, "min_player_matches": 158, "surface": "Hard"}, "historical_source_observation_times_verified": false, "home_team": "Yulia Putintseva", "inference_inputs": {"best_of": 3, "code_sha256": {"features/elo_ratings.py": "d6513e79d65448c06cc0f9b9eed0eaa091567835128e1f6647a310da8d78a872", "models/tennis.py": "7443acc419841200d57e1edf36b77f1940cdd0c48dce3d43fcd05498a109440b"}, "counts": [178, 158], "market_probability": null, "model_version": "tennis-learned-v3", "overall_ratings": [1774.1060641957818, 1652.00110534277], "p_serve_a": 0.6322576184450105, "p_serve_b": 0.5477423815549894, "players": ["Diana Shnaider", "Yulia Putintseva"], "rest_days": [9.0, 3.0], "sport": "TENNIS", "surface": "Hard", "surface_counts": [141, 119], "surface_ratings": [1676.787410706687, 1618.2724395641796], "tour": "WTA"}, "market_type": "moneyline", "model_version": "tennis-learned-v3", "observed_at_utc": "2026-10-13T22:27:59.044446+00:00", "probabilities": {"away": 0.6419, "home": 0.3581}, "replay_scope": "Exact full-precision serving state and rounding; upstream historical observation times are not certified.", "schema": "coded-moneyline-replay-v1", "snapshot_hash": "a706d5a795f20b7b37f0adea6407b8e73863f7433a433e515617a355d1831b85", "sport": "TENNIS"}</t>
        </is>
      </c>
    </row>
    <row r="1488" ht="36" customHeight="1">
      <c r="A1488" s="24" t="inlineStr">
        <is>
          <t>d81f44c944004454</t>
        </is>
      </c>
      <c r="B1488" s="24" t="inlineStr">
        <is>
          <t>2026-10-13T22:28:01.979475Z</t>
        </is>
      </c>
      <c r="C1488" s="24" t="inlineStr">
        <is>
          <t>2026-10-14T04:30Z</t>
        </is>
      </c>
      <c r="D1488" s="24" t="inlineStr">
        <is>
          <t>381-2026:185351</t>
        </is>
      </c>
      <c r="E1488" s="24" t="inlineStr">
        <is>
          <t>TENNIS</t>
        </is>
      </c>
      <c r="F1488" s="24" t="inlineStr">
        <is>
          <t>Nikola Bartunkova</t>
        </is>
      </c>
      <c r="G1488" s="24" t="inlineStr">
        <is>
          <t>Jasmine Paolini</t>
        </is>
      </c>
      <c r="H1488" s="24" t="inlineStr">
        <is>
          <t>moneyline</t>
        </is>
      </c>
      <c r="I1488" s="24" t="inlineStr">
        <is>
          <t>home</t>
        </is>
      </c>
      <c r="J1488" s="25" t="n"/>
      <c r="K1488" s="24" t="inlineStr">
        <is>
          <t>polymarket_us</t>
        </is>
      </c>
      <c r="L1488" s="26" t="n">
        <v>163</v>
      </c>
      <c r="M1488" s="27" t="n">
        <v>2.63</v>
      </c>
      <c r="N1488" s="28" t="n">
        <v>0.380228</v>
      </c>
      <c r="O1488" s="28" t="n">
        <v>0.5223</v>
      </c>
      <c r="P1488" s="28" t="n">
        <v>0.05</v>
      </c>
      <c r="Q1488" s="28" t="n">
        <v>0.142072</v>
      </c>
      <c r="R1488" s="26" t="n">
        <v>91</v>
      </c>
      <c r="S1488" s="29" t="n">
        <v>1.5</v>
      </c>
      <c r="T1488" s="24" t="inlineStr">
        <is>
          <t>tennis-learned-v3</t>
        </is>
      </c>
      <c r="U1488" s="24" t="inlineStr">
        <is>
          <t>open</t>
        </is>
      </c>
      <c r="V1488" s="24" t="n"/>
      <c r="W1488" s="26" t="n"/>
      <c r="X1488" s="26" t="n"/>
      <c r="Y1488" s="25" t="n"/>
      <c r="Z1488" s="26" t="n"/>
      <c r="AA1488" s="28" t="n"/>
      <c r="AB1488" s="28" t="n"/>
      <c r="AC1488" s="30" t="n"/>
      <c r="AD1488" s="24" t="n"/>
      <c r="AE1488" s="31" t="inlineStr">
        <is>
          <t>Tennis v3 Learned Fundamental on Hard (Bo3): Nikola Bartunkova p=0.478 vs Jasmine Paolini. Executable ask 0.3800 (aec-wta-jaspao-nikbar-2026-10-13).</t>
        </is>
      </c>
      <c r="AF1488" s="31" t="inlineStr">
        <is>
          <t>Surface-blended Elo model; singles only, WTA+ATP market coverage, not yet locked-holdout qualified -- promoted by explicit operator directive, not genuine walk-forward validation.</t>
        </is>
      </c>
      <c r="AG1488" s="24" t="inlineStr">
        <is>
          <t>not_applicable</t>
        </is>
      </c>
      <c r="AH1488" s="24" t="n"/>
      <c r="AI1488" s="31" t="n"/>
      <c r="AJ1488" s="31" t="n"/>
      <c r="AK1488" s="24" t="inlineStr">
        <is>
          <t>paper_call</t>
        </is>
      </c>
      <c r="AL1488" s="26" t="n">
        <v>4</v>
      </c>
      <c r="AM1488" s="24" t="inlineStr">
        <is>
          <t>RESEARCH_OBSERVATION</t>
        </is>
      </c>
      <c r="AN1488" s="24" t="inlineStr">
        <is>
          <t>CALL</t>
        </is>
      </c>
      <c r="AO1488" s="24" t="inlineStr">
        <is>
          <t>PAPER_CALL_LOW_EDGE</t>
        </is>
      </c>
      <c r="AP1488" s="24" t="inlineStr">
        <is>
          <t>Nikola Bartunkova</t>
        </is>
      </c>
      <c r="AQ1488" s="24" t="inlineStr">
        <is>
          <t>Nikola Bartunkova</t>
        </is>
      </c>
      <c r="AR1488" s="24" t="inlineStr">
        <is>
          <t>Nikola Bartunkova</t>
        </is>
      </c>
      <c r="AS1488" s="24" t="inlineStr">
        <is>
          <t>Jasmine Paolini</t>
        </is>
      </c>
      <c r="AT1488" s="24" t="inlineStr">
        <is>
          <t>Jasmine Paolini</t>
        </is>
      </c>
      <c r="AU1488" s="24" t="inlineStr">
        <is>
          <t>Jasmine Paolini</t>
        </is>
      </c>
      <c r="AV1488" s="24" t="n"/>
      <c r="AW1488" s="24" t="n"/>
      <c r="AX1488" s="24" t="inlineStr">
        <is>
          <t>statistical_model</t>
        </is>
      </c>
      <c r="AY1488" s="24" t="n"/>
      <c r="AZ1488" s="24" t="inlineStr">
        <is>
          <t>shadow_qualified</t>
        </is>
      </c>
      <c r="BA1488" s="24" t="inlineStr">
        <is>
          <t>7443acc419841200d57e1edf36b77f1940cdd0c48dce3d43fcd05498a109440b</t>
        </is>
      </c>
      <c r="BB1488" s="24" t="inlineStr">
        <is>
          <t>learned_v3</t>
        </is>
      </c>
      <c r="BC1488" s="24" t="inlineStr">
        <is>
          <t>tennis-learned-v3</t>
        </is>
      </c>
      <c r="BD1488" s="24" t="inlineStr">
        <is>
          <t>7443acc419841200d57e1edf36b77f1940cdd0c48dce3d43fcd05498a109440b</t>
        </is>
      </c>
      <c r="BE1488" s="24" t="inlineStr">
        <is>
          <t>tennis-learned-v3</t>
        </is>
      </c>
      <c r="BF1488" s="24" t="inlineStr">
        <is>
          <t>1</t>
        </is>
      </c>
      <c r="BG1488" s="24" t="inlineStr">
        <is>
          <t>7443acc419841200d57e1edf36b77f1940cdd0c48dce3d43fcd05498a109440b</t>
        </is>
      </c>
      <c r="BH1488" s="24" t="inlineStr">
        <is>
          <t>2026-10-13T10:42:37.534960Z</t>
        </is>
      </c>
      <c r="BI1488" s="24" t="inlineStr">
        <is>
          <t>["same_event","same_team_same_day","same_league_same_day"]</t>
        </is>
      </c>
      <c r="BJ1488" s="25" t="n"/>
      <c r="BK1488" s="26" t="n">
        <v>163</v>
      </c>
      <c r="BL1488" s="27" t="n">
        <v>2.63</v>
      </c>
      <c r="BM1488" s="28" t="n">
        <v>0.380228</v>
      </c>
      <c r="BN1488" s="28" t="n"/>
      <c r="BO1488" s="28" t="n"/>
      <c r="BP1488" s="25" t="n"/>
      <c r="BQ1488" s="27" t="n"/>
      <c r="BR1488" s="28" t="n"/>
      <c r="BS1488" s="28" t="n"/>
      <c r="BT1488" s="28" t="n"/>
      <c r="BU1488" s="25" t="n"/>
      <c r="BV1488" s="29" t="n"/>
      <c r="BW1488" s="24" t="n"/>
      <c r="BX1488" s="30" t="n"/>
      <c r="BY1488" s="27" t="n"/>
      <c r="BZ1488" s="24" t="n"/>
      <c r="CA1488" s="31" t="n"/>
      <c r="CB1488" s="24" t="n"/>
      <c r="CC1488" s="24" t="n"/>
      <c r="CD1488" s="24" t="n"/>
      <c r="CE1488" s="24" t="n"/>
      <c r="CF1488" s="24" t="n"/>
      <c r="CG1488" s="24" t="n"/>
      <c r="CH1488" s="24" t="n"/>
      <c r="CI1488" s="24" t="n"/>
      <c r="CJ1488" s="24" t="n"/>
      <c r="CK1488" s="24" t="n"/>
      <c r="CL1488" s="24" t="n"/>
      <c r="CM1488" s="24" t="n"/>
      <c r="CN1488" s="24" t="n"/>
      <c r="CO1488" s="24" t="n"/>
      <c r="CP1488" s="24" t="n"/>
      <c r="CQ1488" s="24" t="n"/>
      <c r="CR1488" s="24" t="n"/>
      <c r="CS1488" s="24" t="inlineStr">
        <is>
          <t>True</t>
        </is>
      </c>
      <c r="CT1488" s="24" t="n"/>
      <c r="CU1488" s="24" t="n"/>
      <c r="CV1488" s="24" t="n"/>
      <c r="CW1488" s="24" t="n"/>
      <c r="CX1488" s="24" t="n"/>
      <c r="CY1488" s="24" t="n"/>
      <c r="CZ1488" s="24" t="n"/>
      <c r="DA1488" s="24" t="n"/>
      <c r="DB1488" s="24" t="n"/>
      <c r="DC1488" s="24" t="n"/>
      <c r="DD1488" s="24" t="inlineStr">
        <is>
          <t>af203013c5514aab97a0534575b42b881439a9c496fdbc7d70d6e07067a2416f</t>
        </is>
      </c>
      <c r="DE1488" s="24" t="inlineStr">
        <is>
          <t>E:\model-prediction\data\odds\tennis\2026-10-13\polymarket_snapshots.jsonl</t>
        </is>
      </c>
      <c r="DF1488" s="24" t="inlineStr">
        <is>
          <t>1414231:2026-10-13T10:42:37.534960Z</t>
        </is>
      </c>
      <c r="DG1488" s="24" t="n"/>
      <c r="DH1488" s="24" t="n"/>
      <c r="DI1488" s="24" t="n"/>
      <c r="DJ1488" s="24" t="n"/>
      <c r="DK1488" s="24" t="n"/>
      <c r="DL1488" s="24" t="n"/>
      <c r="DM1488" s="24" t="n"/>
      <c r="DN1488" s="24" t="n"/>
      <c r="DO1488" s="24" t="n"/>
      <c r="DP1488" s="24" t="n"/>
      <c r="DQ1488" s="24" t="inlineStr">
        <is>
          <t>{"artifact_hash": "7443acc419841200d57e1edf36b77f1940cdd0c48dce3d43fcd05498a109440b", "away_team": "Nikola Bartunkova", "event_id": "381-2026:185351", "event_start_utc": "2026-10-14T04:30Z", "features": {"elo_p1_surface": 1661.9, "elo_p2_surface": 1661.8, "expected_games_p1": 12.18, "expected_games_p2": 12.57, "expected_total_games": 24.75, "history_matches": 16744, "min_player_matches": 72, "surface": "Hard"}, "historical_source_observation_times_verified": false, "home_team": "Jasmine Paolini", "inference_inputs": {"best_of": 3, "code_sha256": {"features/elo_ratings.py": "d6513e79d65448c06cc0f9b9eed0eaa091567835128e1f6647a310da8d78a872", "models/tennis.py": "7443acc419841200d57e1edf36b77f1940cdd0c48dce3d43fcd05498a109440b"}, "counts": [72, 151], "market_probability": null, "model_version": "tennis-learned-v3", "overall_ratings": [1781.991775921902, 1745.0600165998628], "p_serve_a": 0.5835488991074552, "p_serve_b": 0.5964511008925447, "players": ["Nikola Bartunkova", "Jasmine Paolini"], "rest_days": [3.0, 1.0], "sport": "TENNIS", "surface": "Hard", "surface_counts": [51, 103], "surface_ratings": [1661.9012269542857, 1661.8228445723005], "tour": "WTA"}, "market_type": "moneyline", "model_version": "tennis-learned-v3", "observed_at_utc": "2026-10-13T22:27:59.044446+00:00", "probabilities": {"away": 0.4777, "home": 0.5223}, "replay_scope": "Exact full-precision serving state and rounding; upstream historical observation times are not certified.", "schema": "coded-moneyline-replay-v1", "snapshot_hash": "484fbd25e344c3aaea236b089c0d387dbf9af2ae7c986a6d0e8d6d5a61f91945", "sport": "TENNIS"}</t>
        </is>
      </c>
    </row>
    <row r="1489" ht="36" customHeight="1">
      <c r="A1489" s="24" t="inlineStr">
        <is>
          <t>fbdfe8f3e7934bd3</t>
        </is>
      </c>
      <c r="B1489" s="24" t="inlineStr">
        <is>
          <t>2026-10-13T22:28:01.979475Z</t>
        </is>
      </c>
      <c r="C1489" s="24" t="inlineStr">
        <is>
          <t>2026-10-14T04:30Z</t>
        </is>
      </c>
      <c r="D1489" s="24" t="inlineStr">
        <is>
          <t>381-2026:185356</t>
        </is>
      </c>
      <c r="E1489" s="24" t="inlineStr">
        <is>
          <t>TENNIS</t>
        </is>
      </c>
      <c r="F1489" s="24" t="inlineStr">
        <is>
          <t>Dayana Yastremska</t>
        </is>
      </c>
      <c r="G1489" s="24" t="inlineStr">
        <is>
          <t>Iva Jovic</t>
        </is>
      </c>
      <c r="H1489" s="24" t="inlineStr">
        <is>
          <t>moneyline</t>
        </is>
      </c>
      <c r="I1489" s="24" t="inlineStr">
        <is>
          <t>home</t>
        </is>
      </c>
      <c r="J1489" s="25" t="n"/>
      <c r="K1489" s="24" t="inlineStr">
        <is>
          <t>polymarket_us</t>
        </is>
      </c>
      <c r="L1489" s="26" t="n">
        <v>-400</v>
      </c>
      <c r="M1489" s="27" t="n">
        <v>1.25</v>
      </c>
      <c r="N1489" s="28" t="n">
        <v>0.8</v>
      </c>
      <c r="O1489" s="28" t="n">
        <v>0.7455000000000001</v>
      </c>
      <c r="P1489" s="28" t="n">
        <v>0.05</v>
      </c>
      <c r="Q1489" s="28" t="n">
        <v>-0.0545</v>
      </c>
      <c r="R1489" s="26" t="n">
        <v>0</v>
      </c>
      <c r="S1489" s="29" t="n">
        <v>1</v>
      </c>
      <c r="T1489" s="24" t="inlineStr">
        <is>
          <t>tennis-learned-v3</t>
        </is>
      </c>
      <c r="U1489" s="24" t="inlineStr">
        <is>
          <t>open</t>
        </is>
      </c>
      <c r="V1489" s="24" t="n"/>
      <c r="W1489" s="26" t="n"/>
      <c r="X1489" s="26" t="n"/>
      <c r="Y1489" s="25" t="n"/>
      <c r="Z1489" s="26" t="n"/>
      <c r="AA1489" s="28" t="n"/>
      <c r="AB1489" s="28" t="n"/>
      <c r="AC1489" s="30" t="n"/>
      <c r="AD1489" s="24" t="n"/>
      <c r="AE1489" s="31" t="inlineStr">
        <is>
          <t>Tennis v3 Learned Fundamental on Hard (Bo3): Dayana Yastremska p=0.254 vs Iva Jovic. Executable ask 0.8000 (aec-wta-ivajov-dayyas-2026-10-13).</t>
        </is>
      </c>
      <c r="AF1489" s="31" t="inlineStr">
        <is>
          <t>Surface-blended Elo model; singles only, WTA+ATP market coverage, not yet locked-holdout qualified -- promoted by explicit operator directive, not genuine walk-forward validation.</t>
        </is>
      </c>
      <c r="AG1489" s="24" t="inlineStr">
        <is>
          <t>not_applicable</t>
        </is>
      </c>
      <c r="AH1489" s="24" t="n"/>
      <c r="AI1489" s="31" t="n"/>
      <c r="AJ1489" s="31" t="n"/>
      <c r="AK1489" s="24" t="inlineStr">
        <is>
          <t>paper_call</t>
        </is>
      </c>
      <c r="AL1489" s="26" t="n">
        <v>4</v>
      </c>
      <c r="AM1489" s="24" t="inlineStr">
        <is>
          <t>RESEARCH_OBSERVATION</t>
        </is>
      </c>
      <c r="AN1489" s="24" t="inlineStr">
        <is>
          <t>CALL</t>
        </is>
      </c>
      <c r="AO1489" s="24" t="inlineStr">
        <is>
          <t>PAPER_CALL_LOW_EDGE</t>
        </is>
      </c>
      <c r="AP1489" s="24" t="inlineStr">
        <is>
          <t>Dayana Yastremska</t>
        </is>
      </c>
      <c r="AQ1489" s="24" t="inlineStr">
        <is>
          <t>Dayana Yastremska</t>
        </is>
      </c>
      <c r="AR1489" s="24" t="inlineStr">
        <is>
          <t>Dayana Yastremska</t>
        </is>
      </c>
      <c r="AS1489" s="24" t="inlineStr">
        <is>
          <t>Iva Jovic</t>
        </is>
      </c>
      <c r="AT1489" s="24" t="inlineStr">
        <is>
          <t>Iva Jovic</t>
        </is>
      </c>
      <c r="AU1489" s="24" t="inlineStr">
        <is>
          <t>Iva Jovic</t>
        </is>
      </c>
      <c r="AV1489" s="24" t="n"/>
      <c r="AW1489" s="24" t="n"/>
      <c r="AX1489" s="24" t="inlineStr">
        <is>
          <t>statistical_model</t>
        </is>
      </c>
      <c r="AY1489" s="24" t="n"/>
      <c r="AZ1489" s="24" t="inlineStr">
        <is>
          <t>shadow_qualified</t>
        </is>
      </c>
      <c r="BA1489" s="24" t="inlineStr">
        <is>
          <t>7443acc419841200d57e1edf36b77f1940cdd0c48dce3d43fcd05498a109440b</t>
        </is>
      </c>
      <c r="BB1489" s="24" t="inlineStr">
        <is>
          <t>learned_v3</t>
        </is>
      </c>
      <c r="BC1489" s="24" t="inlineStr">
        <is>
          <t>tennis-learned-v3</t>
        </is>
      </c>
      <c r="BD1489" s="24" t="inlineStr">
        <is>
          <t>7443acc419841200d57e1edf36b77f1940cdd0c48dce3d43fcd05498a109440b</t>
        </is>
      </c>
      <c r="BE1489" s="24" t="inlineStr">
        <is>
          <t>tennis-learned-v3</t>
        </is>
      </c>
      <c r="BF1489" s="24" t="inlineStr">
        <is>
          <t>1</t>
        </is>
      </c>
      <c r="BG1489" s="24" t="inlineStr">
        <is>
          <t>7443acc419841200d57e1edf36b77f1940cdd0c48dce3d43fcd05498a109440b</t>
        </is>
      </c>
      <c r="BH1489" s="24" t="inlineStr">
        <is>
          <t>2026-10-13T10:42:07.316085Z</t>
        </is>
      </c>
      <c r="BI1489" s="24" t="inlineStr">
        <is>
          <t>["same_event","same_team_same_day","same_league_same_day"]</t>
        </is>
      </c>
      <c r="BJ1489" s="25" t="n"/>
      <c r="BK1489" s="26" t="n">
        <v>-400</v>
      </c>
      <c r="BL1489" s="27" t="n">
        <v>1.25</v>
      </c>
      <c r="BM1489" s="28" t="n">
        <v>0.8</v>
      </c>
      <c r="BN1489" s="28" t="n"/>
      <c r="BO1489" s="28" t="n"/>
      <c r="BP1489" s="25" t="n"/>
      <c r="BQ1489" s="27" t="n"/>
      <c r="BR1489" s="28" t="n"/>
      <c r="BS1489" s="28" t="n"/>
      <c r="BT1489" s="28" t="n"/>
      <c r="BU1489" s="25" t="n"/>
      <c r="BV1489" s="29" t="n"/>
      <c r="BW1489" s="24" t="n"/>
      <c r="BX1489" s="30" t="n"/>
      <c r="BY1489" s="27" t="n"/>
      <c r="BZ1489" s="24" t="n"/>
      <c r="CA1489" s="31" t="n"/>
      <c r="CB1489" s="24" t="n"/>
      <c r="CC1489" s="24" t="n"/>
      <c r="CD1489" s="24" t="n"/>
      <c r="CE1489" s="24" t="n"/>
      <c r="CF1489" s="24" t="n"/>
      <c r="CG1489" s="24" t="n"/>
      <c r="CH1489" s="24" t="n"/>
      <c r="CI1489" s="24" t="n"/>
      <c r="CJ1489" s="24" t="n"/>
      <c r="CK1489" s="24" t="n"/>
      <c r="CL1489" s="24" t="n"/>
      <c r="CM1489" s="24" t="n"/>
      <c r="CN1489" s="24" t="n"/>
      <c r="CO1489" s="24" t="n"/>
      <c r="CP1489" s="24" t="n"/>
      <c r="CQ1489" s="24" t="n"/>
      <c r="CR1489" s="24" t="n"/>
      <c r="CS1489" s="24" t="inlineStr">
        <is>
          <t>False</t>
        </is>
      </c>
      <c r="CT1489" s="24" t="n"/>
      <c r="CU1489" s="24" t="n"/>
      <c r="CV1489" s="24" t="n"/>
      <c r="CW1489" s="24" t="n"/>
      <c r="CX1489" s="24" t="n"/>
      <c r="CY1489" s="24" t="n"/>
      <c r="CZ1489" s="24" t="n"/>
      <c r="DA1489" s="24" t="n"/>
      <c r="DB1489" s="24" t="n"/>
      <c r="DC1489" s="24" t="n"/>
      <c r="DD1489" s="24" t="inlineStr">
        <is>
          <t>4f0afd03c0acb9d1c8c3c1686eb68c44b1240608a5971516a0b8cd6019312067</t>
        </is>
      </c>
      <c r="DE1489" s="24" t="inlineStr">
        <is>
          <t>E:\model-prediction\data\odds\tennis\2026-10-13\polymarket_snapshots.jsonl</t>
        </is>
      </c>
      <c r="DF1489" s="24" t="inlineStr">
        <is>
          <t>1411353:2026-10-13T10:42:07.316085Z</t>
        </is>
      </c>
      <c r="DG1489" s="24" t="n"/>
      <c r="DH1489" s="24" t="n"/>
      <c r="DI1489" s="24" t="n"/>
      <c r="DJ1489" s="24" t="n"/>
      <c r="DK1489" s="24" t="n"/>
      <c r="DL1489" s="24" t="n"/>
      <c r="DM1489" s="24" t="n"/>
      <c r="DN1489" s="24" t="n"/>
      <c r="DO1489" s="24" t="n"/>
      <c r="DP1489" s="24" t="n"/>
      <c r="DQ1489" s="24" t="inlineStr">
        <is>
          <t>{"artifact_hash": "7443acc419841200d57e1edf36b77f1940cdd0c48dce3d43fcd05498a109440b", "away_team": "Dayana Yastremska", "event_id": "381-2026:185356", "event_start_utc": "2026-10-14T04:30Z", "features": {"elo_p1_surface": 1537.4, "elo_p2_surface": 1715.1, "expected_games_p1": 6.66, "expected_games_p2": 12.8, "expected_total_games": 19.47, "history_matches": 16744, "min_player_matches": 104, "surface": "Hard"}, "historical_source_observation_times_verified": false, "home_team": "Iva Jovic", "inference_inputs": {"best_of": 3, "code_sha256": {"features/elo_ratings.py": "d6513e79d65448c06cc0f9b9eed0eaa091567835128e1f6647a310da8d78a872", "models/tennis.py": "7443acc419841200d57e1edf36b77f1940cdd0c48dce3d43fcd05498a109440b"}, "counts": [137, 104], "market_probability": null, "model_version": "tennis-learned-v3", "overall_ratings": [1614.5211581928809, 1828.340921037144], "p_serve_a": 0.5122060133004293, "p_serve_b": 0.6677939866995707, "players": ["Dayana Yastremska", "Iva Jovic"], "rest_days": [10.0, 6.0], "sport": "TENNIS", "surface": "Hard", "surface_counts": [94, 86], "surface_ratings": [1537.3608835839439, 1715.0691754721156], "tour": "WTA"}, "market_type": "moneyline", "model_version": "tennis-learned-v3", "observed_at_utc": "2026-10-13T22:27:59.044446+00:00", "probabilities": {"away": 0.2545, "home": 0.7455}, "replay_scope": "Exact full-precision serving state and rounding; upstream historical observation times are not certified.", "schema": "coded-moneyline-replay-v1", "snapshot_hash": "86dbfcfb5c6b652e54952b7b626bbd293bd0392bcdd7ea846073e9fd843279c6", "sport": "TENNIS"}</t>
        </is>
      </c>
    </row>
    <row r="1490" ht="36" customHeight="1">
      <c r="A1490" s="24" t="inlineStr">
        <is>
          <t>59ecec1a35a24f68</t>
        </is>
      </c>
      <c r="B1490" s="24" t="inlineStr">
        <is>
          <t>2026-10-13T22:28:01.979475Z</t>
        </is>
      </c>
      <c r="C1490" s="24" t="inlineStr">
        <is>
          <t>2026-10-14T06:00Z</t>
        </is>
      </c>
      <c r="D1490" s="24" t="inlineStr">
        <is>
          <t>381-2026:185348</t>
        </is>
      </c>
      <c r="E1490" s="24" t="inlineStr">
        <is>
          <t>TENNIS</t>
        </is>
      </c>
      <c r="F1490" s="24" t="inlineStr">
        <is>
          <t>Jessica Pegula</t>
        </is>
      </c>
      <c r="G1490" s="24" t="inlineStr">
        <is>
          <t>Jelena Ostapenko</t>
        </is>
      </c>
      <c r="H1490" s="24" t="inlineStr">
        <is>
          <t>moneyline</t>
        </is>
      </c>
      <c r="I1490" s="24" t="inlineStr">
        <is>
          <t>away</t>
        </is>
      </c>
      <c r="J1490" s="25" t="n"/>
      <c r="K1490" s="24" t="inlineStr">
        <is>
          <t>polymarket_us</t>
        </is>
      </c>
      <c r="L1490" s="26" t="n">
        <v>-3233</v>
      </c>
      <c r="M1490" s="27" t="n">
        <v>1.030931</v>
      </c>
      <c r="N1490" s="28" t="n">
        <v>0.969997</v>
      </c>
      <c r="O1490" s="28" t="n">
        <v>0.8628</v>
      </c>
      <c r="P1490" s="28" t="n">
        <v>0.05</v>
      </c>
      <c r="Q1490" s="28" t="n">
        <v>-0.107197</v>
      </c>
      <c r="R1490" s="26" t="n">
        <v>0</v>
      </c>
      <c r="S1490" s="29" t="n">
        <v>1</v>
      </c>
      <c r="T1490" s="24" t="inlineStr">
        <is>
          <t>tennis-learned-v3</t>
        </is>
      </c>
      <c r="U1490" s="24" t="inlineStr">
        <is>
          <t>open</t>
        </is>
      </c>
      <c r="V1490" s="24" t="n"/>
      <c r="W1490" s="26" t="n"/>
      <c r="X1490" s="26" t="n"/>
      <c r="Y1490" s="25" t="n"/>
      <c r="Z1490" s="26" t="n"/>
      <c r="AA1490" s="28" t="n"/>
      <c r="AB1490" s="28" t="n"/>
      <c r="AC1490" s="30" t="n"/>
      <c r="AD1490" s="24" t="n"/>
      <c r="AE1490" s="31" t="inlineStr">
        <is>
          <t>Tennis v3 Learned Fundamental on Hard (Bo3): Jessica Pegula p=0.863 vs Jelena Ostapenko. Executable ask 0.9700 (aec-wta-jelost-jespeg-2026-10-13).</t>
        </is>
      </c>
      <c r="AF1490" s="31" t="inlineStr">
        <is>
          <t>Surface-blended Elo model; singles only, WTA+ATP market coverage, not yet locked-holdout qualified -- promoted by explicit operator directive, not genuine walk-forward validation.</t>
        </is>
      </c>
      <c r="AG1490" s="24" t="inlineStr">
        <is>
          <t>not_applicable</t>
        </is>
      </c>
      <c r="AH1490" s="24" t="n"/>
      <c r="AI1490" s="31" t="n"/>
      <c r="AJ1490" s="31" t="n"/>
      <c r="AK1490" s="24" t="inlineStr">
        <is>
          <t>paper_call</t>
        </is>
      </c>
      <c r="AL1490" s="26" t="n">
        <v>4</v>
      </c>
      <c r="AM1490" s="24" t="inlineStr">
        <is>
          <t>RESEARCH_OBSERVATION</t>
        </is>
      </c>
      <c r="AN1490" s="24" t="inlineStr">
        <is>
          <t>CALL</t>
        </is>
      </c>
      <c r="AO1490" s="24" t="inlineStr">
        <is>
          <t>PAPER_CALL_LOW_EDGE</t>
        </is>
      </c>
      <c r="AP1490" s="24" t="inlineStr">
        <is>
          <t>Jessica Pegula</t>
        </is>
      </c>
      <c r="AQ1490" s="24" t="inlineStr">
        <is>
          <t>Jessica Pegula</t>
        </is>
      </c>
      <c r="AR1490" s="24" t="inlineStr">
        <is>
          <t>Jessica Pegula</t>
        </is>
      </c>
      <c r="AS1490" s="24" t="inlineStr">
        <is>
          <t>Jelena Ostapenko</t>
        </is>
      </c>
      <c r="AT1490" s="24" t="inlineStr">
        <is>
          <t>Jelena Ostapenko</t>
        </is>
      </c>
      <c r="AU1490" s="24" t="inlineStr">
        <is>
          <t>Jelena Ostapenko</t>
        </is>
      </c>
      <c r="AV1490" s="24" t="n"/>
      <c r="AW1490" s="24" t="n"/>
      <c r="AX1490" s="24" t="inlineStr">
        <is>
          <t>statistical_model</t>
        </is>
      </c>
      <c r="AY1490" s="24" t="n"/>
      <c r="AZ1490" s="24" t="inlineStr">
        <is>
          <t>shadow_qualified</t>
        </is>
      </c>
      <c r="BA1490" s="24" t="inlineStr">
        <is>
          <t>7443acc419841200d57e1edf36b77f1940cdd0c48dce3d43fcd05498a109440b</t>
        </is>
      </c>
      <c r="BB1490" s="24" t="inlineStr">
        <is>
          <t>learned_v3</t>
        </is>
      </c>
      <c r="BC1490" s="24" t="inlineStr">
        <is>
          <t>tennis-learned-v3</t>
        </is>
      </c>
      <c r="BD1490" s="24" t="inlineStr">
        <is>
          <t>7443acc419841200d57e1edf36b77f1940cdd0c48dce3d43fcd05498a109440b</t>
        </is>
      </c>
      <c r="BE1490" s="24" t="inlineStr">
        <is>
          <t>tennis-learned-v3</t>
        </is>
      </c>
      <c r="BF1490" s="24" t="inlineStr">
        <is>
          <t>1</t>
        </is>
      </c>
      <c r="BG1490" s="24" t="inlineStr">
        <is>
          <t>7443acc419841200d57e1edf36b77f1940cdd0c48dce3d43fcd05498a109440b</t>
        </is>
      </c>
      <c r="BH1490" s="24" t="inlineStr">
        <is>
          <t>2026-10-13T10:42:27.463027Z</t>
        </is>
      </c>
      <c r="BI1490" s="24" t="inlineStr">
        <is>
          <t>["same_event","same_team_same_day","same_league_same_day"]</t>
        </is>
      </c>
      <c r="BJ1490" s="25" t="n"/>
      <c r="BK1490" s="26" t="n">
        <v>-3233</v>
      </c>
      <c r="BL1490" s="27" t="n">
        <v>1.030931</v>
      </c>
      <c r="BM1490" s="28" t="n">
        <v>0.969997</v>
      </c>
      <c r="BN1490" s="28" t="n"/>
      <c r="BO1490" s="28" t="n"/>
      <c r="BP1490" s="25" t="n"/>
      <c r="BQ1490" s="27" t="n"/>
      <c r="BR1490" s="28" t="n"/>
      <c r="BS1490" s="28" t="n"/>
      <c r="BT1490" s="28" t="n"/>
      <c r="BU1490" s="25" t="n"/>
      <c r="BV1490" s="29" t="n"/>
      <c r="BW1490" s="24" t="n"/>
      <c r="BX1490" s="30" t="n"/>
      <c r="BY1490" s="27" t="n"/>
      <c r="BZ1490" s="24" t="n"/>
      <c r="CA1490" s="31" t="n"/>
      <c r="CB1490" s="24" t="n"/>
      <c r="CC1490" s="24" t="n"/>
      <c r="CD1490" s="24" t="n"/>
      <c r="CE1490" s="24" t="n"/>
      <c r="CF1490" s="24" t="n"/>
      <c r="CG1490" s="24" t="n"/>
      <c r="CH1490" s="24" t="n"/>
      <c r="CI1490" s="24" t="n"/>
      <c r="CJ1490" s="24" t="n"/>
      <c r="CK1490" s="24" t="n"/>
      <c r="CL1490" s="24" t="n"/>
      <c r="CM1490" s="24" t="n"/>
      <c r="CN1490" s="24" t="n"/>
      <c r="CO1490" s="24" t="n"/>
      <c r="CP1490" s="24" t="n"/>
      <c r="CQ1490" s="24" t="n"/>
      <c r="CR1490" s="24" t="n"/>
      <c r="CS1490" s="24" t="inlineStr">
        <is>
          <t>False</t>
        </is>
      </c>
      <c r="CT1490" s="24" t="n"/>
      <c r="CU1490" s="24" t="n"/>
      <c r="CV1490" s="24" t="n"/>
      <c r="CW1490" s="24" t="n"/>
      <c r="CX1490" s="24" t="n"/>
      <c r="CY1490" s="24" t="n"/>
      <c r="CZ1490" s="24" t="n"/>
      <c r="DA1490" s="24" t="n"/>
      <c r="DB1490" s="24" t="n"/>
      <c r="DC1490" s="24" t="n"/>
      <c r="DD1490" s="24" t="inlineStr">
        <is>
          <t>89df0e936f3e3ba84b9428797d2a9e1d6f3479e41b3df594ec7419f1b75e2121</t>
        </is>
      </c>
      <c r="DE1490" s="24" t="inlineStr">
        <is>
          <t>E:\model-prediction\data\odds\tennis\2026-10-13\polymarket_snapshots.jsonl</t>
        </is>
      </c>
      <c r="DF1490" s="24" t="inlineStr">
        <is>
          <t>1414259:2026-10-13T10:42:27.463027Z</t>
        </is>
      </c>
      <c r="DG1490" s="24" t="n"/>
      <c r="DH1490" s="24" t="n"/>
      <c r="DI1490" s="24" t="n"/>
      <c r="DJ1490" s="24" t="n"/>
      <c r="DK1490" s="24" t="n"/>
      <c r="DL1490" s="24" t="n"/>
      <c r="DM1490" s="24" t="n"/>
      <c r="DN1490" s="24" t="n"/>
      <c r="DO1490" s="24" t="n"/>
      <c r="DP1490" s="24" t="n"/>
      <c r="DQ1490" s="24" t="inlineStr">
        <is>
          <t>{"artifact_hash": "7443acc419841200d57e1edf36b77f1940cdd0c48dce3d43fcd05498a109440b", "away_team": "Jessica Pegula", "event_id": "381-2026:185348", "event_start_utc": "2026-10-14T06:00Z", "features": {"elo_p1_surface": 1892.6, "elo_p2_surface": 1567.8, "expected_games_p1": 12.16, "expected_games_p2": 3.48, "expected_total_games": 15.63, "history_matches": 16744, "min_player_matches": 128, "surface": "Hard"}, "historical_source_observation_times_verified": false, "home_team": "Jelena Ostapenko", "inference_inputs": {"best_of": 3, "code_sha256": {"features/elo_ratings.py": "d6513e79d65448c06cc0f9b9eed0eaa091567835128e1f6647a310da8d78a872", "models/tennis.py": "7443acc419841200d57e1edf36b77f1940cdd0c48dce3d43fcd05498a109440b"}, "counts": [183, 128], "market_probability": null, "model_version": "tennis-learned-v3", "overall_ratings": [1987.493742082803, 1672.3079450279927], "p_serve_a": 0.7231133304459455, "p_serve_b": 0.45688666955405444, "players": ["Jessica Pegula", "Jelena Ostapenko"], "rest_days": [33.0, 8.0], "sport": "TENNIS", "surface": "Hard", "surface_counts": [150, 86], "surface_ratings": [1892.5796579210717, 1567.7953043504117], "tour": "WTA"}, "market_type": "moneyline", "model_version": "tennis-learned-v3", "observed_at_utc": "2026-10-13T22:27:59.044446+00:00", "probabilities": {"away": 0.8628, "home": 0.1372}, "replay_scope": "Exact full-precision serving state and rounding; upstream historical observation times are not certified.", "schema": "coded-moneyline-replay-v1", "snapshot_hash": "e02c7d3ab61aaf03db28d9d3dd46bc7314005fac8a9ac4c155f9642c2dae3af9", "sport": "TENNIS"}</t>
        </is>
      </c>
    </row>
    <row r="1491" ht="36" customHeight="1">
      <c r="A1491" s="24" t="inlineStr">
        <is>
          <t>f88025f9ae474cf9</t>
        </is>
      </c>
      <c r="B1491" s="24" t="inlineStr">
        <is>
          <t>2026-10-13T22:28:01.979475Z</t>
        </is>
      </c>
      <c r="C1491" s="24" t="inlineStr">
        <is>
          <t>2026-10-14T06:00Z</t>
        </is>
      </c>
      <c r="D1491" s="24" t="inlineStr">
        <is>
          <t>381-2026:185350</t>
        </is>
      </c>
      <c r="E1491" s="24" t="inlineStr">
        <is>
          <t>TENNIS</t>
        </is>
      </c>
      <c r="F1491" s="24" t="inlineStr">
        <is>
          <t>Guo Hanyu</t>
        </is>
      </c>
      <c r="G1491" s="24" t="inlineStr">
        <is>
          <t>Katie Volynets</t>
        </is>
      </c>
      <c r="H1491" s="24" t="inlineStr">
        <is>
          <t>moneyline</t>
        </is>
      </c>
      <c r="I1491" s="24" t="inlineStr">
        <is>
          <t>home</t>
        </is>
      </c>
      <c r="J1491" s="25" t="n"/>
      <c r="K1491" s="24" t="inlineStr">
        <is>
          <t>polymarket_us</t>
        </is>
      </c>
      <c r="L1491" s="26" t="n">
        <v>-567</v>
      </c>
      <c r="M1491" s="27" t="n">
        <v>1.176367</v>
      </c>
      <c r="N1491" s="28" t="n">
        <v>0.850075</v>
      </c>
      <c r="O1491" s="28" t="n">
        <v>0.8366</v>
      </c>
      <c r="P1491" s="28" t="n">
        <v>0.05</v>
      </c>
      <c r="Q1491" s="28" t="n">
        <v>-0.013475</v>
      </c>
      <c r="R1491" s="26" t="n">
        <v>13</v>
      </c>
      <c r="S1491" s="29" t="n">
        <v>1</v>
      </c>
      <c r="T1491" s="24" t="inlineStr">
        <is>
          <t>tennis-learned-v3</t>
        </is>
      </c>
      <c r="U1491" s="24" t="inlineStr">
        <is>
          <t>open</t>
        </is>
      </c>
      <c r="V1491" s="24" t="n"/>
      <c r="W1491" s="26" t="n"/>
      <c r="X1491" s="26" t="n"/>
      <c r="Y1491" s="25" t="n"/>
      <c r="Z1491" s="26" t="n"/>
      <c r="AA1491" s="28" t="n"/>
      <c r="AB1491" s="28" t="n"/>
      <c r="AC1491" s="30" t="n"/>
      <c r="AD1491" s="24" t="n"/>
      <c r="AE1491" s="31" t="inlineStr">
        <is>
          <t>Tennis v3 Learned Fundamental on Hard (Bo3): Guo Hanyu p=0.163 vs Katie Volynets. Executable ask 0.8500 (aec-wta-katvol-hanguo-2026-10-13).</t>
        </is>
      </c>
      <c r="AF1491" s="31" t="inlineStr">
        <is>
          <t>Surface-blended Elo model; singles only, WTA+ATP market coverage, not yet locked-holdout qualified -- promoted by explicit operator directive, not genuine walk-forward validation.</t>
        </is>
      </c>
      <c r="AG1491" s="24" t="inlineStr">
        <is>
          <t>not_applicable</t>
        </is>
      </c>
      <c r="AH1491" s="24" t="n"/>
      <c r="AI1491" s="31" t="n"/>
      <c r="AJ1491" s="31" t="n"/>
      <c r="AK1491" s="24" t="inlineStr">
        <is>
          <t>paper_call</t>
        </is>
      </c>
      <c r="AL1491" s="26" t="n">
        <v>4</v>
      </c>
      <c r="AM1491" s="24" t="inlineStr">
        <is>
          <t>RESEARCH_OBSERVATION</t>
        </is>
      </c>
      <c r="AN1491" s="24" t="inlineStr">
        <is>
          <t>CALL</t>
        </is>
      </c>
      <c r="AO1491" s="24" t="inlineStr">
        <is>
          <t>PAPER_CALL_LOW_EDGE</t>
        </is>
      </c>
      <c r="AP1491" s="24" t="inlineStr">
        <is>
          <t>Guo Hanyu</t>
        </is>
      </c>
      <c r="AQ1491" s="24" t="inlineStr">
        <is>
          <t>Guo Hanyu</t>
        </is>
      </c>
      <c r="AR1491" s="24" t="inlineStr">
        <is>
          <t>Guo Hanyu</t>
        </is>
      </c>
      <c r="AS1491" s="24" t="inlineStr">
        <is>
          <t>Katie Volynets</t>
        </is>
      </c>
      <c r="AT1491" s="24" t="inlineStr">
        <is>
          <t>Katie Volynets</t>
        </is>
      </c>
      <c r="AU1491" s="24" t="inlineStr">
        <is>
          <t>Katie Volynets</t>
        </is>
      </c>
      <c r="AV1491" s="24" t="n"/>
      <c r="AW1491" s="24" t="n"/>
      <c r="AX1491" s="24" t="inlineStr">
        <is>
          <t>statistical_model</t>
        </is>
      </c>
      <c r="AY1491" s="24" t="n"/>
      <c r="AZ1491" s="24" t="inlineStr">
        <is>
          <t>shadow_qualified</t>
        </is>
      </c>
      <c r="BA1491" s="24" t="inlineStr">
        <is>
          <t>7443acc419841200d57e1edf36b77f1940cdd0c48dce3d43fcd05498a109440b</t>
        </is>
      </c>
      <c r="BB1491" s="24" t="inlineStr">
        <is>
          <t>learned_v3</t>
        </is>
      </c>
      <c r="BC1491" s="24" t="inlineStr">
        <is>
          <t>tennis-learned-v3</t>
        </is>
      </c>
      <c r="BD1491" s="24" t="inlineStr">
        <is>
          <t>7443acc419841200d57e1edf36b77f1940cdd0c48dce3d43fcd05498a109440b</t>
        </is>
      </c>
      <c r="BE1491" s="24" t="inlineStr">
        <is>
          <t>tennis-learned-v3</t>
        </is>
      </c>
      <c r="BF1491" s="24" t="inlineStr">
        <is>
          <t>1</t>
        </is>
      </c>
      <c r="BG1491" s="24" t="inlineStr">
        <is>
          <t>7443acc419841200d57e1edf36b77f1940cdd0c48dce3d43fcd05498a109440b</t>
        </is>
      </c>
      <c r="BH1491" s="24" t="inlineStr">
        <is>
          <t>2026-10-13T10:42:17.379739Z</t>
        </is>
      </c>
      <c r="BI1491" s="24" t="inlineStr">
        <is>
          <t>["same_event","same_team_same_day","same_league_same_day"]</t>
        </is>
      </c>
      <c r="BJ1491" s="25" t="n"/>
      <c r="BK1491" s="26" t="n">
        <v>-567</v>
      </c>
      <c r="BL1491" s="27" t="n">
        <v>1.176367</v>
      </c>
      <c r="BM1491" s="28" t="n">
        <v>0.850075</v>
      </c>
      <c r="BN1491" s="28" t="n"/>
      <c r="BO1491" s="28" t="n"/>
      <c r="BP1491" s="25" t="n"/>
      <c r="BQ1491" s="27" t="n"/>
      <c r="BR1491" s="28" t="n"/>
      <c r="BS1491" s="28" t="n"/>
      <c r="BT1491" s="28" t="n"/>
      <c r="BU1491" s="25" t="n"/>
      <c r="BV1491" s="29" t="n"/>
      <c r="BW1491" s="24" t="n"/>
      <c r="BX1491" s="30" t="n"/>
      <c r="BY1491" s="27" t="n"/>
      <c r="BZ1491" s="24" t="n"/>
      <c r="CA1491" s="31" t="n"/>
      <c r="CB1491" s="24" t="n"/>
      <c r="CC1491" s="24" t="n"/>
      <c r="CD1491" s="24" t="n"/>
      <c r="CE1491" s="24" t="n"/>
      <c r="CF1491" s="24" t="n"/>
      <c r="CG1491" s="24" t="n"/>
      <c r="CH1491" s="24" t="n"/>
      <c r="CI1491" s="24" t="n"/>
      <c r="CJ1491" s="24" t="n"/>
      <c r="CK1491" s="24" t="n"/>
      <c r="CL1491" s="24" t="n"/>
      <c r="CM1491" s="24" t="n"/>
      <c r="CN1491" s="24" t="n"/>
      <c r="CO1491" s="24" t="n"/>
      <c r="CP1491" s="24" t="n"/>
      <c r="CQ1491" s="24" t="n"/>
      <c r="CR1491" s="24" t="n"/>
      <c r="CS1491" s="24" t="inlineStr">
        <is>
          <t>False</t>
        </is>
      </c>
      <c r="CT1491" s="24" t="n"/>
      <c r="CU1491" s="24" t="n"/>
      <c r="CV1491" s="24" t="n"/>
      <c r="CW1491" s="24" t="n"/>
      <c r="CX1491" s="24" t="n"/>
      <c r="CY1491" s="24" t="n"/>
      <c r="CZ1491" s="24" t="n"/>
      <c r="DA1491" s="24" t="n"/>
      <c r="DB1491" s="24" t="n"/>
      <c r="DC1491" s="24" t="n"/>
      <c r="DD1491" s="24" t="inlineStr">
        <is>
          <t>b213d079709b060339f368d8d3f5b28c331816fa20c69207dda0094713579b3e</t>
        </is>
      </c>
      <c r="DE1491" s="24" t="inlineStr">
        <is>
          <t>E:\model-prediction\data\odds\tennis\2026-10-13\polymarket_snapshots.jsonl</t>
        </is>
      </c>
      <c r="DF1491" s="24" t="inlineStr">
        <is>
          <t>1413364:2026-10-13T10:42:17.379739Z</t>
        </is>
      </c>
      <c r="DG1491" s="24" t="n"/>
      <c r="DH1491" s="24" t="n"/>
      <c r="DI1491" s="24" t="n"/>
      <c r="DJ1491" s="24" t="n"/>
      <c r="DK1491" s="24" t="n"/>
      <c r="DL1491" s="24" t="n"/>
      <c r="DM1491" s="24" t="n"/>
      <c r="DN1491" s="24" t="n"/>
      <c r="DO1491" s="24" t="n"/>
      <c r="DP1491" s="24" t="n"/>
      <c r="DQ1491" s="24" t="inlineStr">
        <is>
          <t>{"artifact_hash": "7443acc419841200d57e1edf36b77f1940cdd0c48dce3d43fcd05498a109440b", "away_team": "Guo Hanyu", "event_id": "381-2026:185350", "event_start_utc": "2026-10-14T06:00Z", "features": {"elo_p1_surface": 1491.5, "elo_p2_surface": 1657.2, "expected_games_p1": 4.46, "expected_games_p2": 12.25, "expected_total_games": 16.71, "history_matches": 16744, "min_player_matches": 41, "surface": "Hard"}, "historical_source_observation_times_verified": false, "home_team": "Katie Volynets", "inference_inputs": {"best_of": 3, "code_sha256": {"features/elo_ratings.py": "d6513e79d65448c06cc0f9b9eed0eaa091567835128e1f6647a310da8d78a872", "models/tennis.py": "7443acc419841200d57e1edf36b77f1940cdd0c48dce3d43fcd05498a109440b"}, "counts": [41, 195], "market_probability": null, "model_version": "tennis-learned-v3", "overall_ratings": [1505.6216099257297, 1725.5156922860797], "p_serve_a": 0.4717638830198577, "p_serve_b": 0.7082361169801422, "players": ["Guo Hanyu", "Katie Volynets"], "rest_days": [8.0, 3.0], "sport": "TENNIS", "surface": "Hard", "surface_counts": [36, 153], "surface_ratings": [1491.463627260353, 1657.223358133049], "tour": "WTA"}, "market_type": "moneyline", "model_version": "tennis-learned-v3", "observed_at_utc": "2026-10-13T22:27:59.044446+00:00", "probabilities": {"away": 0.1634, "home": 0.8366}, "replay_scope": "Exact full-precision serving state and rounding; upstream historical observation times are not certified.", "schema": "coded-moneyline-replay-v1", "snapshot_hash": "7f30c8b490a4194d317bd8d2922b3321959923eb932b84187e6a7ab3dff2c35a", "sport": "TENNIS"}</t>
        </is>
      </c>
    </row>
    <row r="1492" ht="36" customHeight="1">
      <c r="A1492" s="24" t="inlineStr">
        <is>
          <t>a03b7a319e494320</t>
        </is>
      </c>
      <c r="B1492" s="24" t="inlineStr">
        <is>
          <t>2026-10-13T22:28:01.979475Z</t>
        </is>
      </c>
      <c r="C1492" s="24" t="inlineStr">
        <is>
          <t>2026-10-14T12:30Z</t>
        </is>
      </c>
      <c r="D1492" s="24" t="inlineStr">
        <is>
          <t>381-2026:185347</t>
        </is>
      </c>
      <c r="E1492" s="24" t="inlineStr">
        <is>
          <t>TENNIS</t>
        </is>
      </c>
      <c r="F1492" s="24" t="inlineStr">
        <is>
          <t>Leylah Fernandez</t>
        </is>
      </c>
      <c r="G1492" s="24" t="inlineStr">
        <is>
          <t>Shi Han</t>
        </is>
      </c>
      <c r="H1492" s="24" t="inlineStr">
        <is>
          <t>moneyline</t>
        </is>
      </c>
      <c r="I1492" s="24" t="inlineStr">
        <is>
          <t>away</t>
        </is>
      </c>
      <c r="J1492" s="25" t="n"/>
      <c r="K1492" s="24" t="inlineStr">
        <is>
          <t>polymarket_us</t>
        </is>
      </c>
      <c r="L1492" s="26" t="n">
        <v>-335</v>
      </c>
      <c r="M1492" s="27" t="n">
        <v>1.298507</v>
      </c>
      <c r="N1492" s="28" t="n">
        <v>0.770115</v>
      </c>
      <c r="O1492" s="28" t="n">
        <v>0.8034</v>
      </c>
      <c r="P1492" s="28" t="n">
        <v>0.05</v>
      </c>
      <c r="Q1492" s="28" t="n">
        <v>0.033285</v>
      </c>
      <c r="R1492" s="26" t="n">
        <v>37</v>
      </c>
      <c r="S1492" s="29" t="n">
        <v>1</v>
      </c>
      <c r="T1492" s="24" t="inlineStr">
        <is>
          <t>tennis-learned-v3</t>
        </is>
      </c>
      <c r="U1492" s="24" t="inlineStr">
        <is>
          <t>open</t>
        </is>
      </c>
      <c r="V1492" s="24" t="n"/>
      <c r="W1492" s="26" t="n"/>
      <c r="X1492" s="26" t="n"/>
      <c r="Y1492" s="25" t="n"/>
      <c r="Z1492" s="26" t="n"/>
      <c r="AA1492" s="28" t="n"/>
      <c r="AB1492" s="28" t="n"/>
      <c r="AC1492" s="30" t="n"/>
      <c r="AD1492" s="24" t="n"/>
      <c r="AE1492" s="31" t="inlineStr">
        <is>
          <t>Tennis v3 Learned Fundamental on Hard (Bo3): Leylah Fernandez p=0.803 vs Shi Han. Executable ask 0.7700 (aec-wta-hanshi-leyfer-2026-10-13).</t>
        </is>
      </c>
      <c r="AF1492" s="31" t="inlineStr">
        <is>
          <t>Surface-blended Elo model; singles only, WTA+ATP market coverage, not yet locked-holdout qualified -- promoted by explicit operator directive, not genuine walk-forward validation.</t>
        </is>
      </c>
      <c r="AG1492" s="24" t="inlineStr">
        <is>
          <t>not_applicable</t>
        </is>
      </c>
      <c r="AH1492" s="24" t="n"/>
      <c r="AI1492" s="31" t="n"/>
      <c r="AJ1492" s="31" t="n"/>
      <c r="AK1492" s="24" t="inlineStr">
        <is>
          <t>paper_call</t>
        </is>
      </c>
      <c r="AL1492" s="26" t="n">
        <v>4</v>
      </c>
      <c r="AM1492" s="24" t="inlineStr">
        <is>
          <t>RESEARCH_OBSERVATION</t>
        </is>
      </c>
      <c r="AN1492" s="24" t="inlineStr">
        <is>
          <t>CALL</t>
        </is>
      </c>
      <c r="AO1492" s="24" t="inlineStr">
        <is>
          <t>PAPER_CALL_LOW_EDGE</t>
        </is>
      </c>
      <c r="AP1492" s="24" t="inlineStr">
        <is>
          <t>Leylah Fernandez</t>
        </is>
      </c>
      <c r="AQ1492" s="24" t="inlineStr">
        <is>
          <t>Leylah Fernandez</t>
        </is>
      </c>
      <c r="AR1492" s="24" t="inlineStr">
        <is>
          <t>Leylah Fernandez</t>
        </is>
      </c>
      <c r="AS1492" s="24" t="inlineStr">
        <is>
          <t>Shi Han</t>
        </is>
      </c>
      <c r="AT1492" s="24" t="inlineStr">
        <is>
          <t>Shi Han</t>
        </is>
      </c>
      <c r="AU1492" s="24" t="inlineStr">
        <is>
          <t>Shi Han</t>
        </is>
      </c>
      <c r="AV1492" s="24" t="n"/>
      <c r="AW1492" s="24" t="n"/>
      <c r="AX1492" s="24" t="inlineStr">
        <is>
          <t>statistical_model</t>
        </is>
      </c>
      <c r="AY1492" s="24" t="n"/>
      <c r="AZ1492" s="24" t="inlineStr">
        <is>
          <t>shadow_qualified</t>
        </is>
      </c>
      <c r="BA1492" s="24" t="inlineStr">
        <is>
          <t>7443acc419841200d57e1edf36b77f1940cdd0c48dce3d43fcd05498a109440b</t>
        </is>
      </c>
      <c r="BB1492" s="24" t="inlineStr">
        <is>
          <t>learned_v3</t>
        </is>
      </c>
      <c r="BC1492" s="24" t="inlineStr">
        <is>
          <t>tennis-learned-v3</t>
        </is>
      </c>
      <c r="BD1492" s="24" t="inlineStr">
        <is>
          <t>7443acc419841200d57e1edf36b77f1940cdd0c48dce3d43fcd05498a109440b</t>
        </is>
      </c>
      <c r="BE1492" s="24" t="inlineStr">
        <is>
          <t>tennis-learned-v3</t>
        </is>
      </c>
      <c r="BF1492" s="24" t="inlineStr">
        <is>
          <t>1</t>
        </is>
      </c>
      <c r="BG1492" s="24" t="inlineStr">
        <is>
          <t>7443acc419841200d57e1edf36b77f1940cdd0c48dce3d43fcd05498a109440b</t>
        </is>
      </c>
      <c r="BH1492" s="24" t="inlineStr">
        <is>
          <t>2026-10-13T10:42:17.373745Z</t>
        </is>
      </c>
      <c r="BI1492" s="24" t="inlineStr">
        <is>
          <t>["same_event","same_team_same_day","same_league_same_day"]</t>
        </is>
      </c>
      <c r="BJ1492" s="25" t="n"/>
      <c r="BK1492" s="26" t="n">
        <v>-335</v>
      </c>
      <c r="BL1492" s="27" t="n">
        <v>1.298507</v>
      </c>
      <c r="BM1492" s="28" t="n">
        <v>0.770115</v>
      </c>
      <c r="BN1492" s="28" t="n"/>
      <c r="BO1492" s="28" t="n"/>
      <c r="BP1492" s="25" t="n"/>
      <c r="BQ1492" s="27" t="n"/>
      <c r="BR1492" s="28" t="n"/>
      <c r="BS1492" s="28" t="n"/>
      <c r="BT1492" s="28" t="n"/>
      <c r="BU1492" s="25" t="n"/>
      <c r="BV1492" s="29" t="n"/>
      <c r="BW1492" s="24" t="n"/>
      <c r="BX1492" s="30" t="n"/>
      <c r="BY1492" s="27" t="n"/>
      <c r="BZ1492" s="24" t="n"/>
      <c r="CA1492" s="31" t="n"/>
      <c r="CB1492" s="24" t="n"/>
      <c r="CC1492" s="24" t="n"/>
      <c r="CD1492" s="24" t="n"/>
      <c r="CE1492" s="24" t="n"/>
      <c r="CF1492" s="24" t="n"/>
      <c r="CG1492" s="24" t="n"/>
      <c r="CH1492" s="24" t="n"/>
      <c r="CI1492" s="24" t="n"/>
      <c r="CJ1492" s="24" t="n"/>
      <c r="CK1492" s="24" t="n"/>
      <c r="CL1492" s="24" t="n"/>
      <c r="CM1492" s="24" t="n"/>
      <c r="CN1492" s="24" t="n"/>
      <c r="CO1492" s="24" t="n"/>
      <c r="CP1492" s="24" t="n"/>
      <c r="CQ1492" s="24" t="n"/>
      <c r="CR1492" s="24" t="n"/>
      <c r="CS1492" s="24" t="inlineStr">
        <is>
          <t>True</t>
        </is>
      </c>
      <c r="CT1492" s="24" t="n"/>
      <c r="CU1492" s="24" t="n"/>
      <c r="CV1492" s="24" t="n"/>
      <c r="CW1492" s="24" t="n"/>
      <c r="CX1492" s="24" t="n"/>
      <c r="CY1492" s="24" t="n"/>
      <c r="CZ1492" s="24" t="n"/>
      <c r="DA1492" s="24" t="n"/>
      <c r="DB1492" s="24" t="n"/>
      <c r="DC1492" s="24" t="n"/>
      <c r="DD1492" s="24" t="inlineStr">
        <is>
          <t>05cb50dbc5630649fc863e32000b3d4b8ba447422530d8191aeb4a193a2a0325</t>
        </is>
      </c>
      <c r="DE1492" s="24" t="inlineStr">
        <is>
          <t>E:\model-prediction\data\odds\tennis\2026-10-13\polymarket_snapshots.jsonl</t>
        </is>
      </c>
      <c r="DF1492" s="24" t="inlineStr">
        <is>
          <t>1394234:2026-10-13T10:42:17.373745Z</t>
        </is>
      </c>
      <c r="DG1492" s="24" t="n"/>
      <c r="DH1492" s="24" t="n"/>
      <c r="DI1492" s="24" t="n"/>
      <c r="DJ1492" s="24" t="n"/>
      <c r="DK1492" s="24" t="n"/>
      <c r="DL1492" s="24" t="n"/>
      <c r="DM1492" s="24" t="n"/>
      <c r="DN1492" s="24" t="n"/>
      <c r="DO1492" s="24" t="n"/>
      <c r="DP1492" s="24" t="n"/>
      <c r="DQ1492" s="24" t="inlineStr">
        <is>
          <t>{"artifact_hash": "7443acc419841200d57e1edf36b77f1940cdd0c48dce3d43fcd05498a109440b", "away_team": "Leylah Fernandez", "event_id": "381-2026:185347", "event_start_utc": "2026-10-14T12:30Z", "features": {"elo_p1_surface": 1660.3, "elo_p2_surface": 1519.3, "expected_games_p1": 12.45, "expected_games_p2": 4.79, "expected_total_games": 17.25, "history_matches": 16744, "min_player_matches": 36, "surface": "Hard"}, "historical_source_observation_times_verified": false, "home_team": "Shi Han", "inference_inputs": {"best_of": 3, "code_sha256": {"features/elo_ratings.py": "d6513e79d65448c06cc0f9b9eed0eaa091567835128e1f6647a310da8d78a872", "models/tennis.py": "7443acc419841200d57e1edf36b77f1940cdd0c48dce3d43fcd05498a109440b"}, "counts": [154, 36], "market_probability": null, "model_version": "tennis-learned-v3", "overall_ratings": [1718.4895047574169, 1531.5282536692887], "p_serve_a": 0.6919053633655263, "p_serve_b": 0.48809463663447356, "players": ["Leylah Fernandez", "Shi Han"], "rest_days": [2.0, 1.0], "sport": "TENNIS", "surface": "Hard", "surface_counts": [121, 35], "surface_ratings": [1660.2571625969672, 1519.308967145587], "tour": "WTA"}, "market_type": "moneyline", "model_version": "tennis-learned-v3", "observed_at_utc": "2026-10-13T22:27:59.044446+00:00", "probabilities": {"away": 0.8034, "home": 0.1966}, "replay_scope": "Exact full-precision serving state and rounding; upstream historical observation times are not certified.", "schema": "coded-moneyline-replay-v1", "snapshot_hash": "3a76113f15c9197340e737b53fde210b2f2d44f1e18caa030dd555ddf4a26249", "sport": "TENNIS"}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2026-10-13T22:35:02Z</dcterms:created>
  <dcterms:modified xmlns:dcterms="http://purl.org/dc/terms/" xmlns:xsi="http://www.w3.org/2001/XMLSchema-instance" xsi:type="dcterms:W3CDTF">2026-10-13T22:35:03Z</dcterms:modified>
</cp:coreProperties>
</file>